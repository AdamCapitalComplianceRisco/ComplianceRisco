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Z:\Riscos\Planilhas\Atuais\Power BI\"/>
    </mc:Choice>
  </mc:AlternateContent>
  <xr:revisionPtr revIDLastSave="0" documentId="13_ncr:1_{36F83678-BF42-4AF6-9F6F-426607C6885D}" xr6:coauthVersionLast="47" xr6:coauthVersionMax="47" xr10:uidLastSave="{00000000-0000-0000-0000-000000000000}"/>
  <bookViews>
    <workbookView xWindow="28680" yWindow="-120" windowWidth="29040" windowHeight="15840" tabRatio="887" firstSheet="12" activeTab="22" xr2:uid="{BBEEC0B9-B283-4A4E-90D5-C443D2F26E68}"/>
  </bookViews>
  <sheets>
    <sheet name="Menu" sheetId="32" r:id="rId1"/>
    <sheet name="Sheet1" sheetId="48" state="hidden" r:id="rId2"/>
    <sheet name="Sheet2" sheetId="49" state="hidden" r:id="rId3"/>
    <sheet name="Rotinas" sheetId="54" r:id="rId4"/>
    <sheet name="DEPARA - ATIVOS" sheetId="56" r:id="rId5"/>
    <sheet name="Monitor Legal" sheetId="51" r:id="rId6"/>
    <sheet name="Compliance - Manual Operacional" sheetId="44" r:id="rId7"/>
    <sheet name="Compliance - Onshore" sheetId="52" r:id="rId8"/>
    <sheet name="Textos comercial" sheetId="47" r:id="rId9"/>
    <sheet name="Compliance - Rel. Risco" sheetId="1" state="hidden" r:id="rId10"/>
    <sheet name="Compliance - LGPD" sheetId="7" r:id="rId11"/>
    <sheet name="Compliance - Risco Operacional" sheetId="21" r:id="rId12"/>
    <sheet name="Compliance - Docs Internos" sheetId="4" r:id="rId13"/>
    <sheet name="log" sheetId="31" state="hidden" r:id="rId14"/>
    <sheet name="Compliance - Monit de Terceiros" sheetId="13" r:id="rId15"/>
    <sheet name="Compliance - PCN" sheetId="23" r:id="rId16"/>
    <sheet name="Compliance - Termos" sheetId="24" r:id="rId17"/>
    <sheet name="Compliance - DDQ" sheetId="25" r:id="rId18"/>
    <sheet name="DD - Admn e Corretoras" sheetId="50" r:id="rId19"/>
    <sheet name="Treinamento" sheetId="28" r:id="rId20"/>
    <sheet name="Distribuidores" sheetId="45" r:id="rId21"/>
    <sheet name="CPM" sheetId="33" r:id="rId22"/>
    <sheet name="BackOffice - Passagens" sheetId="8" r:id="rId23"/>
    <sheet name="TI - Diario" sheetId="2" state="hidden" r:id="rId24"/>
    <sheet name="TI - Semanal" sheetId="12" state="hidden" r:id="rId25"/>
    <sheet name="TI - Matriz SoD" sheetId="3" r:id="rId26"/>
    <sheet name="TI - Acessos Sistemas" sheetId="19" r:id="rId27"/>
    <sheet name="Emissores de Ordem" sheetId="27" r:id="rId28"/>
    <sheet name="Questionamento Comitê" sheetId="26" state="hidden" r:id="rId29"/>
    <sheet name="Compliance - Regulamentos" sheetId="40" r:id="rId30"/>
    <sheet name="Testes" sheetId="46" r:id="rId31"/>
    <sheet name="Textos padrão" sheetId="57" r:id="rId32"/>
  </sheets>
  <functionGroups builtInGroupCount="19"/>
  <definedNames>
    <definedName name="_DV_M39" localSheetId="5">'Monitor Legal'!$K$159</definedName>
    <definedName name="_DV_M43" localSheetId="5">'Monitor Legal'!$K$163</definedName>
    <definedName name="_DV_M44" localSheetId="5">'Monitor Legal'!#REF!</definedName>
    <definedName name="_DV_M46" localSheetId="5">'Monitor Legal'!#REF!</definedName>
    <definedName name="_DV_M47" localSheetId="5">'Monitor Legal'!$K$174</definedName>
    <definedName name="_xlnm._FilterDatabase" localSheetId="17" hidden="1">'Compliance - DDQ'!$A$1:$G$102</definedName>
    <definedName name="_xlnm._FilterDatabase" localSheetId="12" hidden="1">'Compliance - Docs Internos'!$A$1:$J$76</definedName>
    <definedName name="_xlnm._FilterDatabase" localSheetId="10" hidden="1">'Compliance - LGPD'!$A$1:$M$18</definedName>
    <definedName name="_xlnm._FilterDatabase" localSheetId="14" hidden="1">'Compliance - Monit de Terceiros'!$G$84:$I$87</definedName>
    <definedName name="_xlnm._FilterDatabase" localSheetId="15" hidden="1">'Compliance - PCN'!$K$1:$O$31</definedName>
    <definedName name="_xlnm._FilterDatabase" localSheetId="29" hidden="1">'Compliance - Regulamentos'!$A$2:$H$70</definedName>
    <definedName name="_xlnm._FilterDatabase" localSheetId="9" hidden="1">'Compliance - Rel. Risco'!$A$1:$Y$443</definedName>
    <definedName name="_xlnm._FilterDatabase" localSheetId="11" hidden="1">'Compliance - Risco Operacional'!$A$1:$BA$34</definedName>
    <definedName name="_xlnm._FilterDatabase" localSheetId="16" hidden="1">'Compliance - Termos'!$A$1:$H$50</definedName>
    <definedName name="_xlnm._FilterDatabase" localSheetId="21" hidden="1">CPM!$AU$1:$AY$213</definedName>
    <definedName name="_xlnm._FilterDatabase" localSheetId="18" hidden="1">'DD - Admn e Corretoras'!$A$1:$K$59</definedName>
    <definedName name="_xlnm._FilterDatabase" localSheetId="4" hidden="1">'DEPARA - ATIVOS'!$B$1:$C$697</definedName>
    <definedName name="_xlnm._FilterDatabase" localSheetId="27" hidden="1">'Emissores de Ordem'!$B$1:$J$12</definedName>
    <definedName name="_xlnm._FilterDatabase" localSheetId="13" hidden="1">log!$A$1:$L$44</definedName>
    <definedName name="_xlnm._FilterDatabase" localSheetId="5" hidden="1">'Monitor Legal'!$S$2:$Y$52</definedName>
    <definedName name="_xlnm._FilterDatabase" localSheetId="26" hidden="1">'TI - Acessos Sistemas'!$A$1:$F$61</definedName>
    <definedName name="_xlnm._FilterDatabase" localSheetId="25" hidden="1">'TI - Matriz SoD'!$A$1:$F$255</definedName>
    <definedName name="Anual">'Compliance - Risco Operacional'!$AJ$3:$AJ$6</definedName>
    <definedName name="Atas">'Compliance - Docs Internos'!$P$1:$Y$101</definedName>
    <definedName name="Consolidação">'Compliance - Monit de Terceiros'!$CG$3:$CX$60</definedName>
    <definedName name="Consolidado_forncecedores">'Compliance - Monit de Terceiros'!$CG$3:$CY$132</definedName>
    <definedName name="diário">'Compliance - Risco Operacional'!$AE$3:$AE$6</definedName>
    <definedName name="Grupo">'TI - Matriz SoD'!$D$2:$D$1048576</definedName>
    <definedName name="grupos">'TI - Matriz SoD'!$I$1:$M$68</definedName>
    <definedName name="impacto_fin">'Compliance - Risco Operacional'!$AM$3:$AM$6</definedName>
    <definedName name="impacto_imagem">'Compliance - Risco Operacional'!$AK$3:$AK$6</definedName>
    <definedName name="impacto_reg">'Compliance - Risco Operacional'!$AL$3:$AL$5</definedName>
    <definedName name="Mensal">'Compliance - Risco Operacional'!$AG$3:$AG$6</definedName>
    <definedName name="nucleo">'Compliance - LGPD'!$R$2:$R$8</definedName>
    <definedName name="pacotes">'Compliance - Termos'!$N$1:$O$29</definedName>
    <definedName name="Pastas">'TI - Matriz SoD'!$C$2:$C$1048576</definedName>
    <definedName name="periodicidade">'Compliance - Risco Operacional'!$AD$3:$AD$8</definedName>
    <definedName name="_xlnm.Print_Area" localSheetId="27">'Emissores de Ordem'!$B$1:$I$25</definedName>
    <definedName name="probabilidade">'Compliance - Risco Operacional'!$AC$3:$AC$6</definedName>
    <definedName name="Raiz">'TI - Matriz SoD'!$B$2:$B$1048576</definedName>
    <definedName name="Ramais">'TI - Matriz SoD'!$AC:$AD</definedName>
    <definedName name="Semanal">'Compliance - Risco Operacional'!$AF$3:$AF$6</definedName>
    <definedName name="Semestral">'Compliance - Risco Operacional'!$AI$3:$AI$6</definedName>
    <definedName name="SOD">'TI - Matriz SoD'!$A:$F</definedName>
    <definedName name="Tecnico_PCN">'Compliance - PCN'!$R$1:$S$13</definedName>
    <definedName name="Tipo_de_Risco">'Compliance - Risco Operacional'!$AB$3:$AB$7</definedName>
    <definedName name="Trimestral">'Compliance - Risco Operacional'!$AH$3:$AH$6</definedName>
    <definedName name="Usuários">'TI - Matriz SoD'!$E$2:$E$1048576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45" i="4" l="1"/>
  <c r="V45" i="4"/>
  <c r="U45" i="4"/>
  <c r="Y44" i="4"/>
  <c r="V44" i="4"/>
  <c r="U44" i="4"/>
  <c r="Y43" i="4"/>
  <c r="V43" i="4"/>
  <c r="U43" i="4"/>
  <c r="F33" i="4"/>
  <c r="F32" i="4"/>
  <c r="F63" i="4"/>
  <c r="G63" i="4" s="1"/>
  <c r="F60" i="4"/>
  <c r="G32" i="4" l="1"/>
  <c r="F58" i="4"/>
  <c r="V38" i="4"/>
  <c r="V42" i="4"/>
  <c r="Y42" i="4"/>
  <c r="U42" i="4"/>
  <c r="J39" i="4" l="1"/>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38" i="4"/>
  <c r="J3"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2" i="4"/>
  <c r="F76" i="4"/>
  <c r="G76" i="4" s="1"/>
  <c r="Y38" i="4"/>
  <c r="U38" i="4"/>
  <c r="Y41" i="4"/>
  <c r="V41" i="4"/>
  <c r="U41" i="4"/>
  <c r="Y40" i="4"/>
  <c r="V40" i="4"/>
  <c r="U40" i="4"/>
  <c r="Y39" i="4"/>
  <c r="V39" i="4"/>
  <c r="U39" i="4"/>
  <c r="F37" i="4"/>
  <c r="F75" i="4" l="1"/>
  <c r="G75" i="4" s="1"/>
  <c r="F74" i="4"/>
  <c r="G74" i="4" s="1"/>
  <c r="F73" i="4"/>
  <c r="G73" i="4" s="1"/>
  <c r="Y35" i="4"/>
  <c r="V35" i="4"/>
  <c r="U35" i="4"/>
  <c r="U36" i="4"/>
  <c r="V36" i="4"/>
  <c r="Y36" i="4"/>
  <c r="F72" i="4"/>
  <c r="G72" i="4" s="1"/>
  <c r="F71" i="4"/>
  <c r="G71" i="4" s="1"/>
  <c r="B1" i="32"/>
  <c r="F70" i="4" l="1"/>
  <c r="G70" i="4" s="1"/>
  <c r="V37" i="4" l="1"/>
  <c r="Y37" i="4"/>
  <c r="U37" i="4"/>
  <c r="F69" i="4" l="1"/>
  <c r="G69" i="4" s="1"/>
  <c r="U34" i="4"/>
  <c r="V34" i="4"/>
  <c r="Y34" i="4"/>
  <c r="F68" i="4" l="1"/>
  <c r="G68" i="4" s="1"/>
  <c r="F67" i="4"/>
  <c r="G67" i="4" s="1"/>
  <c r="AV85" i="33" l="1"/>
  <c r="AV82" i="33"/>
  <c r="AV80" i="33"/>
  <c r="F39" i="4" l="1"/>
  <c r="G39" i="4" s="1"/>
  <c r="AH74" i="13" l="1"/>
  <c r="S21" i="7" l="1"/>
  <c r="S22" i="7"/>
  <c r="S20" i="7"/>
  <c r="S19" i="7"/>
  <c r="S18" i="7"/>
  <c r="S17" i="7"/>
  <c r="S16" i="7"/>
  <c r="S15" i="7"/>
  <c r="AH12" i="13" l="1"/>
  <c r="F23" i="13"/>
  <c r="AH54" i="13"/>
  <c r="AH59" i="13" s="1"/>
  <c r="AH32" i="13"/>
  <c r="AH23" i="13"/>
  <c r="O48" i="7"/>
  <c r="O47" i="7"/>
  <c r="O46" i="7"/>
  <c r="O45" i="7"/>
  <c r="O44" i="7"/>
  <c r="O43" i="7"/>
  <c r="O42" i="7"/>
  <c r="O41" i="7"/>
  <c r="O40" i="7"/>
  <c r="O39" i="7"/>
  <c r="O38" i="7"/>
  <c r="O37" i="7"/>
  <c r="O36" i="7"/>
  <c r="O35" i="7"/>
  <c r="O34" i="7"/>
  <c r="Y23" i="4"/>
  <c r="V23" i="4"/>
  <c r="U23" i="4"/>
  <c r="Y33" i="4"/>
  <c r="V33" i="4"/>
  <c r="U33" i="4"/>
  <c r="AG74" i="13"/>
  <c r="AH39" i="13" l="1"/>
  <c r="AH45" i="13" s="1"/>
  <c r="AH58" i="13" s="1"/>
  <c r="AH60" i="13" s="1"/>
  <c r="AG54" i="13"/>
  <c r="AG59" i="13" s="1"/>
  <c r="AG32" i="13"/>
  <c r="AG38" i="13" s="1"/>
  <c r="AG23" i="13"/>
  <c r="AG37" i="13" s="1"/>
  <c r="AG12" i="13"/>
  <c r="AG36" i="13" s="1"/>
  <c r="CY2" i="13"/>
  <c r="CV2" i="13"/>
  <c r="CX2" i="13"/>
  <c r="CH4" i="13" a="1"/>
  <c r="CH11" i="13" s="1"/>
  <c r="AG39" i="13" l="1"/>
  <c r="AG45" i="13" s="1"/>
  <c r="AG58" i="13" s="1"/>
  <c r="AG60" i="13" s="1"/>
  <c r="CH74" i="13"/>
  <c r="CY74" i="13" s="1"/>
  <c r="CH66" i="13"/>
  <c r="CY66" i="13" s="1"/>
  <c r="CH58" i="13"/>
  <c r="CY58" i="13" s="1"/>
  <c r="CH50" i="13"/>
  <c r="CY50" i="13" s="1"/>
  <c r="CH42" i="13"/>
  <c r="CY42" i="13" s="1"/>
  <c r="CH34" i="13"/>
  <c r="CH26" i="13"/>
  <c r="CH18" i="13"/>
  <c r="CH10" i="13"/>
  <c r="CH73" i="13"/>
  <c r="CY73" i="13" s="1"/>
  <c r="CH9" i="13"/>
  <c r="CH61" i="13"/>
  <c r="CY61" i="13" s="1"/>
  <c r="CH57" i="13"/>
  <c r="CY57" i="13" s="1"/>
  <c r="CH41" i="13"/>
  <c r="CY41" i="13" s="1"/>
  <c r="CH25" i="13"/>
  <c r="CH72" i="13"/>
  <c r="CY72" i="13" s="1"/>
  <c r="CH64" i="13"/>
  <c r="CY64" i="13" s="1"/>
  <c r="CH40" i="13"/>
  <c r="CY40" i="13" s="1"/>
  <c r="CH16" i="13"/>
  <c r="CH71" i="13"/>
  <c r="CY71" i="13" s="1"/>
  <c r="CH55" i="13"/>
  <c r="CY55" i="13" s="1"/>
  <c r="CH47" i="13"/>
  <c r="CY47" i="13" s="1"/>
  <c r="CH31" i="13"/>
  <c r="CH23" i="13"/>
  <c r="CH15" i="13"/>
  <c r="CH7" i="13"/>
  <c r="CH37" i="13"/>
  <c r="CY37" i="13" s="1"/>
  <c r="CH65" i="13"/>
  <c r="CY65" i="13" s="1"/>
  <c r="CH49" i="13"/>
  <c r="CY49" i="13" s="1"/>
  <c r="CH33" i="13"/>
  <c r="CH17" i="13"/>
  <c r="CH56" i="13"/>
  <c r="CY56" i="13" s="1"/>
  <c r="CH48" i="13"/>
  <c r="CY48" i="13" s="1"/>
  <c r="CH32" i="13"/>
  <c r="CH24" i="13"/>
  <c r="CH8" i="13"/>
  <c r="CH63" i="13"/>
  <c r="CY63" i="13" s="1"/>
  <c r="CH39" i="13"/>
  <c r="CY39" i="13" s="1"/>
  <c r="CH70" i="13"/>
  <c r="CY70" i="13" s="1"/>
  <c r="CH62" i="13"/>
  <c r="CY62" i="13" s="1"/>
  <c r="CH54" i="13"/>
  <c r="CY54" i="13" s="1"/>
  <c r="CH46" i="13"/>
  <c r="CY46" i="13" s="1"/>
  <c r="CH38" i="13"/>
  <c r="CY38" i="13" s="1"/>
  <c r="CH30" i="13"/>
  <c r="CH22" i="13"/>
  <c r="CH14" i="13"/>
  <c r="CH6" i="13"/>
  <c r="CH5" i="13"/>
  <c r="CH77" i="13"/>
  <c r="CY77" i="13" s="1"/>
  <c r="CH69" i="13"/>
  <c r="CY69" i="13" s="1"/>
  <c r="CH53" i="13"/>
  <c r="CY53" i="13" s="1"/>
  <c r="CH45" i="13"/>
  <c r="CY45" i="13" s="1"/>
  <c r="CH29" i="13"/>
  <c r="CH21" i="13"/>
  <c r="CH13" i="13"/>
  <c r="CH76" i="13"/>
  <c r="CY76" i="13" s="1"/>
  <c r="CH68" i="13"/>
  <c r="CY68" i="13" s="1"/>
  <c r="CH60" i="13"/>
  <c r="CY60" i="13" s="1"/>
  <c r="CH52" i="13"/>
  <c r="CY52" i="13" s="1"/>
  <c r="CH44" i="13"/>
  <c r="CY44" i="13" s="1"/>
  <c r="CH36" i="13"/>
  <c r="CY36" i="13" s="1"/>
  <c r="CH28" i="13"/>
  <c r="CH20" i="13"/>
  <c r="CH12" i="13"/>
  <c r="CH4" i="13"/>
  <c r="CH75" i="13"/>
  <c r="CY75" i="13" s="1"/>
  <c r="CH67" i="13"/>
  <c r="CY67" i="13" s="1"/>
  <c r="CH59" i="13"/>
  <c r="CY59" i="13" s="1"/>
  <c r="CH51" i="13"/>
  <c r="CY51" i="13" s="1"/>
  <c r="CH43" i="13"/>
  <c r="CY43" i="13" s="1"/>
  <c r="CH35" i="13"/>
  <c r="CY35" i="13" s="1"/>
  <c r="CH27" i="13"/>
  <c r="CH19" i="13"/>
  <c r="CY34" i="13" l="1"/>
  <c r="CY33" i="13"/>
  <c r="D97" i="49"/>
  <c r="D96" i="49"/>
  <c r="D95" i="49"/>
  <c r="D94" i="49"/>
  <c r="D93" i="49"/>
  <c r="D92" i="49"/>
  <c r="D91" i="49"/>
  <c r="D90" i="49"/>
  <c r="D89" i="49"/>
  <c r="D88" i="49"/>
  <c r="D87" i="49"/>
  <c r="D86" i="49"/>
  <c r="D85" i="49"/>
  <c r="D84" i="49"/>
  <c r="D83" i="49"/>
  <c r="D82" i="49"/>
  <c r="D81" i="49"/>
  <c r="D80" i="49"/>
  <c r="D79" i="49"/>
  <c r="D78" i="49"/>
  <c r="D77" i="49"/>
  <c r="D76" i="49"/>
  <c r="D75" i="49"/>
  <c r="D74" i="49"/>
  <c r="D73" i="49"/>
  <c r="D72" i="49"/>
  <c r="D71" i="49"/>
  <c r="D70" i="49"/>
  <c r="D69" i="49"/>
  <c r="F38" i="4"/>
  <c r="G38" i="4" s="1"/>
  <c r="J6" i="46" l="1"/>
  <c r="J3" i="46" l="1"/>
  <c r="J14" i="46"/>
  <c r="J12" i="46"/>
  <c r="J4" i="46"/>
  <c r="J5" i="46"/>
  <c r="J7" i="46"/>
  <c r="J8" i="46"/>
  <c r="J9" i="46"/>
  <c r="J10" i="46"/>
  <c r="J11" i="46"/>
  <c r="J13" i="46"/>
  <c r="F66" i="4"/>
  <c r="G66" i="4" s="1"/>
  <c r="G29" i="40" l="1"/>
  <c r="G30" i="40"/>
  <c r="G31" i="40"/>
  <c r="G32" i="40"/>
  <c r="G33" i="40"/>
  <c r="G34" i="40"/>
  <c r="G35" i="40"/>
  <c r="G36" i="40"/>
  <c r="G37" i="40"/>
  <c r="G38" i="40"/>
  <c r="G39" i="40"/>
  <c r="G40" i="40"/>
  <c r="G41" i="40"/>
  <c r="G42" i="40"/>
  <c r="G43" i="40"/>
  <c r="G44" i="40"/>
  <c r="G45" i="40"/>
  <c r="G46" i="40"/>
  <c r="G47" i="40"/>
  <c r="G48" i="40"/>
  <c r="G49" i="40"/>
  <c r="G50" i="40"/>
  <c r="G51" i="40"/>
  <c r="G52" i="40"/>
  <c r="G53" i="40"/>
  <c r="G54" i="40"/>
  <c r="G55" i="40"/>
  <c r="G56" i="40"/>
  <c r="G57" i="40"/>
  <c r="G58" i="40"/>
  <c r="G59" i="40"/>
  <c r="G60" i="40"/>
  <c r="G61" i="40"/>
  <c r="G62" i="40"/>
  <c r="G63" i="40"/>
  <c r="G64" i="40"/>
  <c r="G65" i="40"/>
  <c r="G66" i="40"/>
  <c r="G67" i="40"/>
  <c r="G68" i="40"/>
  <c r="G69" i="40"/>
  <c r="G70" i="40"/>
  <c r="G22" i="40"/>
  <c r="G21" i="40"/>
  <c r="G19" i="40"/>
  <c r="G18" i="40"/>
  <c r="G17" i="40"/>
  <c r="G16" i="40"/>
  <c r="G15" i="40"/>
  <c r="G14" i="40"/>
  <c r="G13" i="40"/>
  <c r="G12" i="40"/>
  <c r="G4" i="40"/>
  <c r="G5" i="40"/>
  <c r="G6" i="40"/>
  <c r="G7" i="40"/>
  <c r="G8" i="40"/>
  <c r="G9" i="40"/>
  <c r="G10" i="40"/>
  <c r="G11" i="40"/>
  <c r="G20" i="40"/>
  <c r="G23" i="40"/>
  <c r="G24" i="40"/>
  <c r="G25" i="40"/>
  <c r="G26" i="40"/>
  <c r="G27" i="40"/>
  <c r="G28" i="40"/>
  <c r="G3" i="40"/>
  <c r="F36" i="4" l="1"/>
  <c r="G36" i="4" s="1"/>
  <c r="V32" i="4" l="1"/>
  <c r="V28" i="4"/>
  <c r="V26" i="4"/>
  <c r="V31" i="4"/>
  <c r="V30" i="4"/>
  <c r="V29" i="4"/>
  <c r="V27" i="4"/>
  <c r="V25" i="4"/>
  <c r="V24" i="4"/>
  <c r="V22" i="4"/>
  <c r="V21" i="4"/>
  <c r="V20" i="4"/>
  <c r="V19" i="4"/>
  <c r="V18" i="4"/>
  <c r="V17" i="4"/>
  <c r="V16" i="4"/>
  <c r="V15" i="4"/>
  <c r="V14" i="4"/>
  <c r="V13" i="4"/>
  <c r="V12" i="4"/>
  <c r="V11" i="4"/>
  <c r="V9" i="4"/>
  <c r="V10" i="4"/>
  <c r="V8" i="4"/>
  <c r="V6" i="4"/>
  <c r="V7" i="4"/>
  <c r="V5" i="4"/>
  <c r="V4" i="4"/>
  <c r="V2" i="4"/>
  <c r="V3" i="4"/>
  <c r="U32" i="4" l="1"/>
  <c r="Y32" i="4"/>
  <c r="U3" i="4"/>
  <c r="Y2" i="4"/>
  <c r="Y4" i="4"/>
  <c r="Y5" i="4"/>
  <c r="Y7" i="4"/>
  <c r="Y6" i="4"/>
  <c r="Y8" i="4"/>
  <c r="Y10" i="4"/>
  <c r="Y9" i="4"/>
  <c r="Y11" i="4"/>
  <c r="Y12" i="4"/>
  <c r="Y13" i="4"/>
  <c r="Y14" i="4"/>
  <c r="Y15" i="4"/>
  <c r="Y16" i="4"/>
  <c r="Y17" i="4"/>
  <c r="Y18" i="4"/>
  <c r="Y19" i="4"/>
  <c r="Y20" i="4"/>
  <c r="Y21" i="4"/>
  <c r="Y22" i="4"/>
  <c r="Y24" i="4"/>
  <c r="Y25" i="4"/>
  <c r="Y27" i="4"/>
  <c r="Y29" i="4"/>
  <c r="Y30" i="4"/>
  <c r="Y31" i="4"/>
  <c r="Y26" i="4"/>
  <c r="Y28" i="4"/>
  <c r="Y3" i="4"/>
  <c r="U28" i="4"/>
  <c r="U26" i="4"/>
  <c r="U31" i="4"/>
  <c r="U30" i="4"/>
  <c r="U29" i="4"/>
  <c r="U27" i="4"/>
  <c r="U25" i="4"/>
  <c r="U24" i="4"/>
  <c r="U22" i="4"/>
  <c r="U21" i="4"/>
  <c r="U20" i="4"/>
  <c r="U19" i="4"/>
  <c r="U18" i="4"/>
  <c r="U17" i="4"/>
  <c r="U16" i="4"/>
  <c r="U15" i="4"/>
  <c r="U14" i="4"/>
  <c r="U13" i="4"/>
  <c r="U12" i="4"/>
  <c r="U11" i="4"/>
  <c r="U9" i="4"/>
  <c r="U10" i="4"/>
  <c r="U8" i="4"/>
  <c r="U6" i="4"/>
  <c r="U7" i="4"/>
  <c r="U5" i="4"/>
  <c r="U4" i="4"/>
  <c r="U2" i="4"/>
  <c r="G341" i="2" l="1"/>
  <c r="X412" i="1" l="1"/>
  <c r="X410" i="1" l="1"/>
  <c r="X409" i="1"/>
  <c r="AF74" i="13" l="1"/>
  <c r="AE74" i="13"/>
  <c r="AD74" i="13"/>
  <c r="AC74" i="13"/>
  <c r="AB74" i="13"/>
  <c r="AA74" i="13"/>
  <c r="Z74" i="13"/>
  <c r="Y74" i="13"/>
  <c r="X74" i="13"/>
  <c r="W74" i="13"/>
  <c r="V74" i="13"/>
  <c r="U74" i="13"/>
  <c r="T74" i="13"/>
  <c r="S74" i="13"/>
  <c r="R74" i="13"/>
  <c r="Q74" i="13"/>
  <c r="P74" i="13"/>
  <c r="O74" i="13"/>
  <c r="N74" i="13"/>
  <c r="M74" i="13"/>
  <c r="L74" i="13"/>
  <c r="K74" i="13"/>
  <c r="J74" i="13"/>
  <c r="I74" i="13"/>
  <c r="H74" i="13"/>
  <c r="G74" i="13"/>
  <c r="F74" i="13"/>
  <c r="E74" i="13"/>
  <c r="D74" i="13"/>
  <c r="X408" i="1"/>
  <c r="X406" i="1"/>
  <c r="X407" i="1"/>
  <c r="F24" i="4"/>
  <c r="G24" i="4" s="1"/>
  <c r="G25" i="31"/>
  <c r="F25" i="4"/>
  <c r="G25" i="4" s="1"/>
  <c r="G28" i="31"/>
  <c r="G27" i="31"/>
  <c r="G29" i="31" l="1"/>
  <c r="H29" i="31" s="1"/>
  <c r="F61" i="4"/>
  <c r="G61" i="4" s="1"/>
  <c r="F26" i="4"/>
  <c r="G26" i="4" s="1"/>
  <c r="F27" i="4"/>
  <c r="G27" i="4" s="1"/>
  <c r="F28" i="4"/>
  <c r="G28" i="4" s="1"/>
  <c r="F29" i="4"/>
  <c r="G29" i="4" s="1"/>
  <c r="F30" i="4"/>
  <c r="G30" i="4" s="1"/>
  <c r="F31" i="4"/>
  <c r="G31" i="4" s="1"/>
  <c r="G33" i="4"/>
  <c r="F34" i="4"/>
  <c r="G34" i="4" s="1"/>
  <c r="F35" i="4"/>
  <c r="G35" i="4" s="1"/>
  <c r="G37" i="4"/>
  <c r="F40" i="4"/>
  <c r="G40" i="4" s="1"/>
  <c r="F41" i="4"/>
  <c r="G41" i="4" s="1"/>
  <c r="F42" i="4"/>
  <c r="G42" i="4" s="1"/>
  <c r="F43" i="4"/>
  <c r="G43" i="4" s="1"/>
  <c r="F44" i="4"/>
  <c r="G44" i="4" s="1"/>
  <c r="F45" i="4"/>
  <c r="G45" i="4" s="1"/>
  <c r="F46" i="4"/>
  <c r="G46" i="4" s="1"/>
  <c r="F47" i="4"/>
  <c r="G47" i="4" s="1"/>
  <c r="F48" i="4"/>
  <c r="G48" i="4" s="1"/>
  <c r="F49" i="4"/>
  <c r="G49" i="4" s="1"/>
  <c r="F50" i="4"/>
  <c r="G50" i="4" s="1"/>
  <c r="F51" i="4"/>
  <c r="G51" i="4" s="1"/>
  <c r="F52" i="4"/>
  <c r="G52" i="4" s="1"/>
  <c r="F53" i="4"/>
  <c r="G53" i="4" s="1"/>
  <c r="F54" i="4"/>
  <c r="G54" i="4" s="1"/>
  <c r="F55" i="4"/>
  <c r="G55" i="4" s="1"/>
  <c r="F56" i="4"/>
  <c r="G56" i="4" s="1"/>
  <c r="F57" i="4"/>
  <c r="G57" i="4" s="1"/>
  <c r="G58" i="4"/>
  <c r="F59" i="4"/>
  <c r="G59" i="4" s="1"/>
  <c r="G60" i="4"/>
  <c r="F62" i="4"/>
  <c r="G62" i="4" s="1"/>
  <c r="F64" i="4"/>
  <c r="G64" i="4" s="1"/>
  <c r="F65" i="4"/>
  <c r="G65" i="4" s="1"/>
  <c r="G54" i="31"/>
  <c r="H54" i="31" s="1"/>
  <c r="G53" i="31"/>
  <c r="H53" i="31" s="1"/>
  <c r="G52" i="31"/>
  <c r="H52" i="31" s="1"/>
  <c r="G51" i="31"/>
  <c r="H51" i="31" s="1"/>
  <c r="G50" i="31"/>
  <c r="H50" i="31" s="1"/>
  <c r="G49" i="31"/>
  <c r="H49" i="31" s="1"/>
  <c r="G48" i="31"/>
  <c r="H48" i="31" s="1"/>
  <c r="G47" i="31"/>
  <c r="H47" i="31" s="1"/>
  <c r="G46" i="31"/>
  <c r="H46" i="31" s="1"/>
  <c r="G45" i="31"/>
  <c r="H45" i="31" s="1"/>
  <c r="G44" i="31"/>
  <c r="H44" i="31" s="1"/>
  <c r="G43" i="31"/>
  <c r="H43" i="31" s="1"/>
  <c r="G42" i="31"/>
  <c r="H42" i="31" s="1"/>
  <c r="G41" i="31"/>
  <c r="H41" i="31" s="1"/>
  <c r="G40" i="31"/>
  <c r="H40" i="31" s="1"/>
  <c r="G39" i="31"/>
  <c r="H39" i="31" s="1"/>
  <c r="G38" i="31"/>
  <c r="H38" i="31" s="1"/>
  <c r="G37" i="31"/>
  <c r="H37" i="31" s="1"/>
  <c r="G36" i="31"/>
  <c r="H36" i="31" s="1"/>
  <c r="G35" i="31"/>
  <c r="H35" i="31" s="1"/>
  <c r="G34" i="31"/>
  <c r="H34" i="31" s="1"/>
  <c r="G33" i="31"/>
  <c r="H33" i="31" s="1"/>
  <c r="G32" i="31"/>
  <c r="H32" i="31" s="1"/>
  <c r="G31" i="31"/>
  <c r="H31" i="31" s="1"/>
  <c r="G30" i="31"/>
  <c r="H30" i="31" s="1"/>
  <c r="H28" i="31"/>
  <c r="H27" i="31"/>
  <c r="G26" i="31"/>
  <c r="H26" i="31" s="1"/>
  <c r="H25" i="31"/>
  <c r="G24" i="31"/>
  <c r="H24" i="31" s="1"/>
  <c r="G23" i="31"/>
  <c r="H23" i="31" s="1"/>
  <c r="G22" i="31"/>
  <c r="H22" i="31" s="1"/>
  <c r="G21" i="31"/>
  <c r="H21" i="31" s="1"/>
  <c r="G20" i="31"/>
  <c r="H20" i="31" s="1"/>
  <c r="G19" i="31"/>
  <c r="H19" i="31" s="1"/>
  <c r="G18" i="31"/>
  <c r="H18" i="31" s="1"/>
  <c r="G17" i="31"/>
  <c r="H17" i="31" s="1"/>
  <c r="G16" i="31"/>
  <c r="H16" i="31" s="1"/>
  <c r="G15" i="31"/>
  <c r="H15" i="31" s="1"/>
  <c r="G14" i="31"/>
  <c r="H14" i="31" s="1"/>
  <c r="G13" i="31"/>
  <c r="H13" i="31" s="1"/>
  <c r="G12" i="31"/>
  <c r="H12" i="31" s="1"/>
  <c r="G11" i="31"/>
  <c r="H11" i="31" s="1"/>
  <c r="G10" i="31"/>
  <c r="H10" i="31" s="1"/>
  <c r="G9" i="31"/>
  <c r="H9" i="31" s="1"/>
  <c r="G8" i="31"/>
  <c r="H8" i="31" s="1"/>
  <c r="G7" i="31"/>
  <c r="H7" i="31" s="1"/>
  <c r="G6" i="31"/>
  <c r="H6" i="31" s="1"/>
  <c r="G5" i="31"/>
  <c r="H5" i="31" s="1"/>
  <c r="G4" i="31"/>
  <c r="H4" i="31" s="1"/>
  <c r="G3" i="31"/>
  <c r="H3" i="31" s="1"/>
  <c r="G2" i="31"/>
  <c r="H2" i="31" s="1"/>
  <c r="F2" i="4"/>
  <c r="G2" i="4" s="1"/>
  <c r="AF54" i="13"/>
  <c r="AF59" i="13" s="1"/>
  <c r="AF32" i="13"/>
  <c r="AF23" i="13"/>
  <c r="AF37" i="13" s="1"/>
  <c r="AF12" i="13"/>
  <c r="AF39" i="13" l="1"/>
  <c r="AF45" i="13" s="1"/>
  <c r="AF58" i="13" s="1"/>
  <c r="AF60" i="13" s="1"/>
  <c r="CY32" i="13" s="1"/>
  <c r="AF36" i="13"/>
  <c r="AF38" i="13"/>
  <c r="F4" i="4" l="1"/>
  <c r="G4" i="4" s="1"/>
  <c r="F5" i="4"/>
  <c r="G5" i="4" s="1"/>
  <c r="F6" i="4"/>
  <c r="G6" i="4" s="1"/>
  <c r="F7" i="4"/>
  <c r="G7" i="4" s="1"/>
  <c r="F8" i="4"/>
  <c r="G8" i="4" s="1"/>
  <c r="F9" i="4"/>
  <c r="G9" i="4" s="1"/>
  <c r="F10" i="4"/>
  <c r="G10" i="4" s="1"/>
  <c r="F11" i="4"/>
  <c r="G11" i="4" s="1"/>
  <c r="F12" i="4"/>
  <c r="G12" i="4" s="1"/>
  <c r="F13" i="4"/>
  <c r="G13" i="4" s="1"/>
  <c r="F14" i="4"/>
  <c r="G14" i="4" s="1"/>
  <c r="F15" i="4"/>
  <c r="G15" i="4" s="1"/>
  <c r="F16" i="4"/>
  <c r="G16" i="4" s="1"/>
  <c r="F17" i="4"/>
  <c r="G17" i="4" s="1"/>
  <c r="F18" i="4"/>
  <c r="G18" i="4" s="1"/>
  <c r="F19" i="4"/>
  <c r="G19" i="4" s="1"/>
  <c r="F20" i="4"/>
  <c r="G20" i="4" s="1"/>
  <c r="X246" i="1" l="1"/>
  <c r="CG4" i="13" a="1"/>
  <c r="CG5" i="13" s="1"/>
  <c r="CD5" i="13" a="1"/>
  <c r="CD5" i="13" s="1"/>
  <c r="CG76" i="13" l="1"/>
  <c r="CG68" i="13"/>
  <c r="CG60" i="13"/>
  <c r="CG52" i="13"/>
  <c r="CG44" i="13"/>
  <c r="CG36" i="13"/>
  <c r="CG28" i="13"/>
  <c r="CG20" i="13"/>
  <c r="CG12" i="13"/>
  <c r="CG4" i="13"/>
  <c r="CG75" i="13"/>
  <c r="CG67" i="13"/>
  <c r="CG59" i="13"/>
  <c r="CG51" i="13"/>
  <c r="CG43" i="13"/>
  <c r="CG35" i="13"/>
  <c r="CG27" i="13"/>
  <c r="CG19" i="13"/>
  <c r="CG11" i="13"/>
  <c r="CG74" i="13"/>
  <c r="CG58" i="13"/>
  <c r="CG42" i="13"/>
  <c r="CG26" i="13"/>
  <c r="CG10" i="13"/>
  <c r="CG73" i="13"/>
  <c r="CG57" i="13"/>
  <c r="CG41" i="13"/>
  <c r="CG25" i="13"/>
  <c r="CG9" i="13"/>
  <c r="CG72" i="13"/>
  <c r="CG56" i="13"/>
  <c r="CG48" i="13"/>
  <c r="CG32" i="13"/>
  <c r="CG16" i="13"/>
  <c r="CG63" i="13"/>
  <c r="CG55" i="13"/>
  <c r="CG39" i="13"/>
  <c r="CG23" i="13"/>
  <c r="CG7" i="13"/>
  <c r="CG70" i="13"/>
  <c r="CG62" i="13"/>
  <c r="CG54" i="13"/>
  <c r="CG46" i="13"/>
  <c r="CG38" i="13"/>
  <c r="CG30" i="13"/>
  <c r="CG22" i="13"/>
  <c r="CG14" i="13"/>
  <c r="CG6" i="13"/>
  <c r="CG66" i="13"/>
  <c r="CG50" i="13"/>
  <c r="CG34" i="13"/>
  <c r="CG18" i="13"/>
  <c r="CG65" i="13"/>
  <c r="CG49" i="13"/>
  <c r="CG33" i="13"/>
  <c r="CG17" i="13"/>
  <c r="CG64" i="13"/>
  <c r="CG40" i="13"/>
  <c r="CG24" i="13"/>
  <c r="CG8" i="13"/>
  <c r="CG71" i="13"/>
  <c r="CG47" i="13"/>
  <c r="CG31" i="13"/>
  <c r="CG15" i="13"/>
  <c r="CG77" i="13"/>
  <c r="CG69" i="13"/>
  <c r="CG61" i="13"/>
  <c r="CG53" i="13"/>
  <c r="CG45" i="13"/>
  <c r="CG37" i="13"/>
  <c r="CG29" i="13"/>
  <c r="CG21" i="13"/>
  <c r="CG13" i="13"/>
  <c r="CR2" i="13"/>
  <c r="CS2" i="13"/>
  <c r="CS33" i="13" s="1"/>
  <c r="CT2" i="13"/>
  <c r="CU2" i="13"/>
  <c r="CW2" i="13"/>
  <c r="CW6" i="13" s="1"/>
  <c r="CQ2" i="13"/>
  <c r="CP2" i="13"/>
  <c r="CN2" i="13"/>
  <c r="CO2" i="13"/>
  <c r="CL2" i="13"/>
  <c r="CM2" i="13"/>
  <c r="CK2" i="13"/>
  <c r="CJ2" i="13"/>
  <c r="CI2" i="13"/>
  <c r="CH2" i="13"/>
  <c r="CG2" i="13"/>
  <c r="AE54" i="13"/>
  <c r="AE59" i="13" s="1"/>
  <c r="AD54" i="13"/>
  <c r="AD59" i="13" s="1"/>
  <c r="AC54" i="13"/>
  <c r="AC59" i="13" s="1"/>
  <c r="AB54" i="13"/>
  <c r="AB59" i="13" s="1"/>
  <c r="AA54" i="13"/>
  <c r="AA59" i="13" s="1"/>
  <c r="Z54" i="13"/>
  <c r="Z59" i="13" s="1"/>
  <c r="Y54" i="13"/>
  <c r="Y59" i="13" s="1"/>
  <c r="X54" i="13"/>
  <c r="X59" i="13" s="1"/>
  <c r="W54" i="13"/>
  <c r="W59" i="13" s="1"/>
  <c r="V54" i="13"/>
  <c r="V59" i="13" s="1"/>
  <c r="U54" i="13"/>
  <c r="U59" i="13" s="1"/>
  <c r="T54" i="13"/>
  <c r="T59" i="13" s="1"/>
  <c r="S54" i="13"/>
  <c r="S59" i="13" s="1"/>
  <c r="R54" i="13"/>
  <c r="R59" i="13" s="1"/>
  <c r="Q54" i="13"/>
  <c r="Q59" i="13" s="1"/>
  <c r="P54" i="13"/>
  <c r="P59" i="13" s="1"/>
  <c r="O54" i="13"/>
  <c r="O59" i="13" s="1"/>
  <c r="N54" i="13"/>
  <c r="N59" i="13" s="1"/>
  <c r="M54" i="13"/>
  <c r="M59" i="13" s="1"/>
  <c r="L54" i="13"/>
  <c r="L59" i="13" s="1"/>
  <c r="K54" i="13"/>
  <c r="K59" i="13" s="1"/>
  <c r="J54" i="13"/>
  <c r="J59" i="13" s="1"/>
  <c r="I54" i="13"/>
  <c r="I59" i="13" s="1"/>
  <c r="H54" i="13"/>
  <c r="H59" i="13" s="1"/>
  <c r="G54" i="13"/>
  <c r="G59" i="13" s="1"/>
  <c r="F54" i="13"/>
  <c r="F59" i="13" s="1"/>
  <c r="E54" i="13"/>
  <c r="E59" i="13" s="1"/>
  <c r="D54" i="13"/>
  <c r="D59" i="13" s="1"/>
  <c r="CU34" i="13" l="1"/>
  <c r="CU33" i="13"/>
  <c r="CT34" i="13"/>
  <c r="CT28" i="13"/>
  <c r="CT33" i="13"/>
  <c r="CT4" i="13"/>
  <c r="CT5" i="13"/>
  <c r="X224" i="1"/>
  <c r="X223" i="1"/>
  <c r="X222" i="1"/>
  <c r="X221" i="1"/>
  <c r="X220" i="1"/>
  <c r="X219" i="1"/>
  <c r="X218" i="1"/>
  <c r="X217" i="1"/>
  <c r="X216" i="1"/>
  <c r="S14" i="7" l="1"/>
  <c r="S13" i="7"/>
  <c r="S12" i="7"/>
  <c r="S11" i="7"/>
  <c r="S10" i="7"/>
  <c r="S9" i="7"/>
  <c r="O33" i="7"/>
  <c r="O32" i="7"/>
  <c r="O31" i="7"/>
  <c r="O30" i="7"/>
  <c r="O29" i="7"/>
  <c r="O28" i="7"/>
  <c r="O27" i="7"/>
  <c r="O26" i="7"/>
  <c r="O25" i="7"/>
  <c r="O24" i="7"/>
  <c r="O23" i="7"/>
  <c r="O22" i="7"/>
  <c r="O21" i="7"/>
  <c r="O20" i="7"/>
  <c r="O19" i="7"/>
  <c r="X160" i="1" l="1"/>
  <c r="X159" i="1"/>
  <c r="X158" i="1"/>
  <c r="A2" i="1"/>
  <c r="A3" i="1"/>
  <c r="A4" i="1"/>
  <c r="A17" i="1"/>
  <c r="A18" i="1"/>
  <c r="A19" i="1"/>
  <c r="A32" i="1"/>
  <c r="A33" i="1"/>
  <c r="A34" i="1"/>
  <c r="A47" i="1"/>
  <c r="A48" i="1"/>
  <c r="A49" i="1"/>
  <c r="A50" i="1"/>
  <c r="A51" i="1"/>
  <c r="A52" i="1"/>
  <c r="A53" i="1"/>
  <c r="A54" i="1"/>
  <c r="A55" i="1"/>
  <c r="A56" i="1"/>
  <c r="A57" i="1"/>
  <c r="A58" i="1"/>
  <c r="A62" i="1"/>
  <c r="A63" i="1"/>
  <c r="A64" i="1"/>
  <c r="A77" i="1"/>
  <c r="A78" i="1"/>
  <c r="A79" i="1"/>
  <c r="A92" i="1"/>
  <c r="A93" i="1"/>
  <c r="A94" i="1"/>
  <c r="A101" i="1"/>
  <c r="A102" i="1"/>
  <c r="A103" i="1"/>
  <c r="A104" i="1"/>
  <c r="A109" i="1"/>
  <c r="A114" i="1"/>
  <c r="A127" i="1"/>
  <c r="A132" i="1"/>
  <c r="A137" i="1"/>
  <c r="A142" i="1"/>
  <c r="A157" i="1"/>
  <c r="X157" i="1" l="1"/>
  <c r="N2" i="19" l="1"/>
  <c r="O2" i="19"/>
  <c r="P2" i="19"/>
  <c r="Q2" i="19"/>
  <c r="R2" i="19"/>
  <c r="S2" i="19"/>
  <c r="T2" i="19"/>
  <c r="N3" i="19"/>
  <c r="N8" i="19"/>
  <c r="O8" i="19"/>
  <c r="P8" i="19"/>
  <c r="Q8" i="19"/>
  <c r="R8" i="19"/>
  <c r="S8" i="19"/>
  <c r="T8" i="19"/>
  <c r="N9" i="19"/>
  <c r="O9" i="19"/>
  <c r="P9" i="19"/>
  <c r="Q9" i="19"/>
  <c r="R9" i="19"/>
  <c r="S9" i="19"/>
  <c r="T9" i="19"/>
  <c r="N10" i="19"/>
  <c r="O10" i="19"/>
  <c r="P10" i="19"/>
  <c r="Q10" i="19"/>
  <c r="R10" i="19"/>
  <c r="S10" i="19"/>
  <c r="T10" i="19"/>
  <c r="N11" i="19"/>
  <c r="O11" i="19"/>
  <c r="P11" i="19"/>
  <c r="Q11" i="19"/>
  <c r="R11" i="19"/>
  <c r="S11" i="19"/>
  <c r="T11" i="19"/>
  <c r="N12" i="19"/>
  <c r="O12" i="19"/>
  <c r="P12" i="19"/>
  <c r="Q12" i="19"/>
  <c r="R12" i="19"/>
  <c r="S12" i="19"/>
  <c r="T12" i="19"/>
  <c r="N13" i="19"/>
  <c r="O13" i="19"/>
  <c r="P13" i="19"/>
  <c r="Q13" i="19"/>
  <c r="R13" i="19"/>
  <c r="S13" i="19"/>
  <c r="T13" i="19"/>
  <c r="N14" i="19"/>
  <c r="O14" i="19"/>
  <c r="P14" i="19"/>
  <c r="Q14" i="19"/>
  <c r="R14" i="19"/>
  <c r="S14" i="19"/>
  <c r="T14" i="19"/>
  <c r="N15" i="19"/>
  <c r="O15" i="19"/>
  <c r="P15" i="19"/>
  <c r="Q15" i="19"/>
  <c r="R15" i="19"/>
  <c r="S15" i="19"/>
  <c r="T15" i="19"/>
  <c r="N16" i="19"/>
  <c r="O16" i="19"/>
  <c r="P16" i="19"/>
  <c r="Q16" i="19"/>
  <c r="R16" i="19"/>
  <c r="S16" i="19"/>
  <c r="T16" i="19"/>
  <c r="N17" i="19"/>
  <c r="O17" i="19"/>
  <c r="P17" i="19"/>
  <c r="Q17" i="19"/>
  <c r="R17" i="19"/>
  <c r="S17" i="19"/>
  <c r="T17" i="19"/>
  <c r="N18" i="19"/>
  <c r="O18" i="19"/>
  <c r="P18" i="19"/>
  <c r="Q18" i="19"/>
  <c r="R18" i="19"/>
  <c r="S18" i="19"/>
  <c r="T18" i="19"/>
  <c r="N19" i="19"/>
  <c r="O19" i="19"/>
  <c r="P19" i="19"/>
  <c r="Q19" i="19"/>
  <c r="R19" i="19"/>
  <c r="S19" i="19"/>
  <c r="T19" i="19"/>
  <c r="N20" i="19"/>
  <c r="O20" i="19"/>
  <c r="P20" i="19"/>
  <c r="Q20" i="19"/>
  <c r="R20" i="19"/>
  <c r="S20" i="19"/>
  <c r="T20" i="19"/>
  <c r="N21" i="19"/>
  <c r="O21" i="19"/>
  <c r="P21" i="19"/>
  <c r="Q21" i="19"/>
  <c r="R21" i="19"/>
  <c r="S21" i="19"/>
  <c r="T21" i="19"/>
  <c r="N22" i="19"/>
  <c r="O22" i="19"/>
  <c r="P22" i="19"/>
  <c r="Q22" i="19"/>
  <c r="R22" i="19"/>
  <c r="S22" i="19"/>
  <c r="T22" i="19"/>
  <c r="N23" i="19"/>
  <c r="O23" i="19"/>
  <c r="P23" i="19"/>
  <c r="Q23" i="19"/>
  <c r="R23" i="19"/>
  <c r="S23" i="19"/>
  <c r="T23" i="19"/>
  <c r="N24" i="19"/>
  <c r="O24" i="19"/>
  <c r="P24" i="19"/>
  <c r="Q24" i="19"/>
  <c r="R24" i="19"/>
  <c r="S24" i="19"/>
  <c r="T24" i="19"/>
  <c r="N25" i="19"/>
  <c r="O25" i="19"/>
  <c r="P25" i="19"/>
  <c r="Q25" i="19"/>
  <c r="R25" i="19"/>
  <c r="S25" i="19"/>
  <c r="T25" i="19"/>
  <c r="N26" i="19"/>
  <c r="O26" i="19"/>
  <c r="P26" i="19"/>
  <c r="Q26" i="19"/>
  <c r="R26" i="19"/>
  <c r="S26" i="19"/>
  <c r="T26" i="19"/>
  <c r="N27" i="19"/>
  <c r="O27" i="19"/>
  <c r="P27" i="19"/>
  <c r="Q27" i="19"/>
  <c r="R27" i="19"/>
  <c r="S27" i="19"/>
  <c r="T27" i="19"/>
  <c r="N28" i="19"/>
  <c r="O28" i="19"/>
  <c r="P28" i="19"/>
  <c r="Q28" i="19"/>
  <c r="R28" i="19"/>
  <c r="S28" i="19"/>
  <c r="T28" i="19"/>
  <c r="N29" i="19"/>
  <c r="O29" i="19"/>
  <c r="P29" i="19"/>
  <c r="Q29" i="19"/>
  <c r="R29" i="19"/>
  <c r="S29" i="19"/>
  <c r="T29" i="19"/>
  <c r="N30" i="19"/>
  <c r="O30" i="19"/>
  <c r="P30" i="19"/>
  <c r="Q30" i="19"/>
  <c r="R30" i="19"/>
  <c r="S30" i="19"/>
  <c r="T30" i="19"/>
  <c r="N31" i="19"/>
  <c r="O31" i="19"/>
  <c r="P31" i="19"/>
  <c r="Q31" i="19"/>
  <c r="R31" i="19"/>
  <c r="S31" i="19"/>
  <c r="T31" i="19"/>
  <c r="N32" i="19"/>
  <c r="O32" i="19"/>
  <c r="P32" i="19"/>
  <c r="Q32" i="19"/>
  <c r="R32" i="19"/>
  <c r="S32" i="19"/>
  <c r="T32" i="19"/>
  <c r="N33" i="19"/>
  <c r="O33" i="19"/>
  <c r="P33" i="19"/>
  <c r="Q33" i="19"/>
  <c r="R33" i="19"/>
  <c r="S33" i="19"/>
  <c r="T33" i="19"/>
  <c r="N34" i="19"/>
  <c r="O34" i="19"/>
  <c r="P34" i="19"/>
  <c r="Q34" i="19"/>
  <c r="R34" i="19"/>
  <c r="S34" i="19"/>
  <c r="T34" i="19"/>
  <c r="N35" i="19"/>
  <c r="O35" i="19"/>
  <c r="P35" i="19"/>
  <c r="Q35" i="19"/>
  <c r="R35" i="19"/>
  <c r="S35" i="19"/>
  <c r="T35" i="19"/>
  <c r="N36" i="19"/>
  <c r="O36" i="19"/>
  <c r="P36" i="19"/>
  <c r="Q36" i="19"/>
  <c r="R36" i="19"/>
  <c r="S36" i="19"/>
  <c r="T36" i="19"/>
  <c r="N37" i="19"/>
  <c r="O37" i="19"/>
  <c r="P37" i="19"/>
  <c r="Q37" i="19"/>
  <c r="R37" i="19"/>
  <c r="S37" i="19"/>
  <c r="T37" i="19"/>
  <c r="N38" i="19"/>
  <c r="O38" i="19"/>
  <c r="P38" i="19"/>
  <c r="Q38" i="19"/>
  <c r="R38" i="19"/>
  <c r="S38" i="19"/>
  <c r="T38" i="19"/>
  <c r="N39" i="19"/>
  <c r="O39" i="19"/>
  <c r="P39" i="19"/>
  <c r="Q39" i="19"/>
  <c r="R39" i="19"/>
  <c r="S39" i="19"/>
  <c r="T39" i="19"/>
  <c r="N40" i="19"/>
  <c r="O40" i="19"/>
  <c r="P40" i="19"/>
  <c r="Q40" i="19"/>
  <c r="R40" i="19"/>
  <c r="S40" i="19"/>
  <c r="T40" i="19"/>
  <c r="N41" i="19"/>
  <c r="O41" i="19"/>
  <c r="P41" i="19"/>
  <c r="Q41" i="19"/>
  <c r="R41" i="19"/>
  <c r="S41" i="19"/>
  <c r="T41" i="19"/>
  <c r="N42" i="19"/>
  <c r="O42" i="19"/>
  <c r="P42" i="19"/>
  <c r="Q42" i="19"/>
  <c r="R42" i="19"/>
  <c r="S42" i="19"/>
  <c r="T42" i="19"/>
  <c r="N43" i="19"/>
  <c r="O43" i="19"/>
  <c r="P43" i="19"/>
  <c r="Q43" i="19"/>
  <c r="R43" i="19"/>
  <c r="S43" i="19"/>
  <c r="T43" i="19"/>
  <c r="N44" i="19"/>
  <c r="O44" i="19"/>
  <c r="P44" i="19"/>
  <c r="Q44" i="19"/>
  <c r="R44" i="19"/>
  <c r="S44" i="19"/>
  <c r="T44" i="19"/>
  <c r="N45" i="19"/>
  <c r="O45" i="19"/>
  <c r="P45" i="19"/>
  <c r="Q45" i="19"/>
  <c r="R45" i="19"/>
  <c r="S45" i="19"/>
  <c r="T45" i="19"/>
  <c r="N46" i="19"/>
  <c r="O46" i="19"/>
  <c r="P46" i="19"/>
  <c r="Q46" i="19"/>
  <c r="R46" i="19"/>
  <c r="S46" i="19"/>
  <c r="T46" i="19"/>
  <c r="N47" i="19"/>
  <c r="O47" i="19"/>
  <c r="P47" i="19"/>
  <c r="Q47" i="19"/>
  <c r="R47" i="19"/>
  <c r="S47" i="19"/>
  <c r="T47" i="19"/>
  <c r="N48" i="19"/>
  <c r="O48" i="19"/>
  <c r="P48" i="19"/>
  <c r="Q48" i="19"/>
  <c r="R48" i="19"/>
  <c r="S48" i="19"/>
  <c r="T48" i="19"/>
  <c r="N49" i="19"/>
  <c r="O49" i="19"/>
  <c r="P49" i="19"/>
  <c r="Q49" i="19"/>
  <c r="R49" i="19"/>
  <c r="S49" i="19"/>
  <c r="T49" i="19"/>
  <c r="O3" i="19"/>
  <c r="P3" i="19"/>
  <c r="Q3" i="19"/>
  <c r="R3" i="19"/>
  <c r="S3" i="19"/>
  <c r="T3" i="19"/>
  <c r="N4" i="19"/>
  <c r="O4" i="19"/>
  <c r="P4" i="19"/>
  <c r="Q4" i="19"/>
  <c r="R4" i="19"/>
  <c r="S4" i="19"/>
  <c r="T4" i="19"/>
  <c r="N5" i="19"/>
  <c r="O5" i="19"/>
  <c r="P5" i="19"/>
  <c r="Q5" i="19"/>
  <c r="R5" i="19"/>
  <c r="S5" i="19"/>
  <c r="T5" i="19"/>
  <c r="N6" i="19"/>
  <c r="O6" i="19"/>
  <c r="P6" i="19"/>
  <c r="Q6" i="19"/>
  <c r="R6" i="19"/>
  <c r="S6" i="19"/>
  <c r="T6" i="19"/>
  <c r="N7" i="19"/>
  <c r="O7" i="19"/>
  <c r="P7" i="19"/>
  <c r="Q7" i="19"/>
  <c r="R7" i="19"/>
  <c r="S7" i="19"/>
  <c r="T7" i="19"/>
  <c r="M46" i="19"/>
  <c r="M47" i="19"/>
  <c r="M48" i="19"/>
  <c r="M49" i="19"/>
  <c r="M3" i="19"/>
  <c r="M4" i="19"/>
  <c r="M5" i="19"/>
  <c r="M6" i="19"/>
  <c r="M7" i="19"/>
  <c r="M8" i="19"/>
  <c r="M9" i="19"/>
  <c r="M10" i="19"/>
  <c r="M11" i="19"/>
  <c r="M12" i="19"/>
  <c r="M13" i="19"/>
  <c r="M14" i="19"/>
  <c r="M15" i="19"/>
  <c r="M16" i="19"/>
  <c r="M17" i="19"/>
  <c r="M18" i="19"/>
  <c r="M19" i="19"/>
  <c r="M20" i="19"/>
  <c r="M21" i="19"/>
  <c r="M22" i="19"/>
  <c r="M23" i="19"/>
  <c r="M24" i="19"/>
  <c r="M25" i="19"/>
  <c r="M26" i="19"/>
  <c r="M27" i="19"/>
  <c r="M28" i="19"/>
  <c r="M29" i="19"/>
  <c r="M30" i="19"/>
  <c r="M31" i="19"/>
  <c r="M32" i="19"/>
  <c r="M33" i="19"/>
  <c r="M34" i="19"/>
  <c r="M35" i="19"/>
  <c r="M36" i="19"/>
  <c r="M37" i="19"/>
  <c r="M38" i="19"/>
  <c r="M39" i="19"/>
  <c r="M40" i="19"/>
  <c r="M41" i="19"/>
  <c r="M42" i="19"/>
  <c r="M43" i="19"/>
  <c r="M44" i="19"/>
  <c r="M45" i="19"/>
  <c r="M2" i="19"/>
  <c r="F3" i="4"/>
  <c r="G3" i="4" s="1"/>
  <c r="F21" i="4"/>
  <c r="G21" i="4" s="1"/>
  <c r="F22" i="4"/>
  <c r="G22" i="4" s="1"/>
  <c r="F23" i="4"/>
  <c r="G23" i="4" s="1"/>
  <c r="X161" i="1" l="1"/>
  <c r="U2" i="19"/>
  <c r="U9" i="19"/>
  <c r="U33" i="19"/>
  <c r="U26" i="19"/>
  <c r="U27" i="19"/>
  <c r="U19" i="19"/>
  <c r="U13" i="19"/>
  <c r="U35" i="19"/>
  <c r="U37" i="19"/>
  <c r="U30" i="19"/>
  <c r="U15" i="19"/>
  <c r="U40" i="19"/>
  <c r="U39" i="19"/>
  <c r="U38" i="19"/>
  <c r="U32" i="19"/>
  <c r="U29" i="19"/>
  <c r="U28" i="19"/>
  <c r="U25" i="19"/>
  <c r="U22" i="19"/>
  <c r="U8" i="19"/>
  <c r="U42" i="19"/>
  <c r="U21" i="19"/>
  <c r="U12" i="19"/>
  <c r="U11" i="19"/>
  <c r="U23" i="19"/>
  <c r="U24" i="19"/>
  <c r="U14" i="19"/>
  <c r="U10" i="19"/>
  <c r="U31" i="19"/>
  <c r="U16" i="19"/>
  <c r="U34" i="19"/>
  <c r="U17" i="19"/>
  <c r="U36" i="19"/>
  <c r="U18" i="19"/>
  <c r="U20" i="19"/>
  <c r="U49" i="19"/>
  <c r="U4" i="19"/>
  <c r="U43" i="19"/>
  <c r="U5" i="19"/>
  <c r="U44" i="19"/>
  <c r="U6" i="19"/>
  <c r="U45" i="19"/>
  <c r="U7" i="19"/>
  <c r="U46" i="19"/>
  <c r="U47" i="19"/>
  <c r="U48" i="19"/>
  <c r="U41" i="19"/>
  <c r="U3" i="19"/>
  <c r="U12" i="13"/>
  <c r="U36" i="13" s="1"/>
  <c r="V12" i="13"/>
  <c r="V36" i="13" s="1"/>
  <c r="W12" i="13"/>
  <c r="W36" i="13" s="1"/>
  <c r="X12" i="13"/>
  <c r="X36" i="13" s="1"/>
  <c r="Y12" i="13"/>
  <c r="Y36" i="13" s="1"/>
  <c r="Z12" i="13"/>
  <c r="Z36" i="13" s="1"/>
  <c r="AA12" i="13"/>
  <c r="AA36" i="13" s="1"/>
  <c r="U23" i="13"/>
  <c r="V23" i="13"/>
  <c r="V37" i="13" s="1"/>
  <c r="W23" i="13"/>
  <c r="W37" i="13" s="1"/>
  <c r="X23" i="13"/>
  <c r="X37" i="13" s="1"/>
  <c r="Y23" i="13"/>
  <c r="Y37" i="13" s="1"/>
  <c r="Z23" i="13"/>
  <c r="Z37" i="13" s="1"/>
  <c r="AA23" i="13"/>
  <c r="U32" i="13"/>
  <c r="V32" i="13"/>
  <c r="W32" i="13"/>
  <c r="X32" i="13"/>
  <c r="Y32" i="13"/>
  <c r="Z32" i="13"/>
  <c r="AA32" i="13"/>
  <c r="AA38" i="13" l="1"/>
  <c r="Z38" i="13"/>
  <c r="Y38" i="13"/>
  <c r="X38" i="13"/>
  <c r="W38" i="13"/>
  <c r="V38" i="13"/>
  <c r="U38" i="13"/>
  <c r="X39" i="13"/>
  <c r="X45" i="13" s="1"/>
  <c r="X58" i="13" s="1"/>
  <c r="X60" i="13" s="1"/>
  <c r="CY24" i="13" s="1"/>
  <c r="U39" i="13"/>
  <c r="U45" i="13" s="1"/>
  <c r="U58" i="13" s="1"/>
  <c r="U60" i="13" s="1"/>
  <c r="CY21" i="13" s="1"/>
  <c r="AA39" i="13"/>
  <c r="AA45" i="13" s="1"/>
  <c r="AA58" i="13" s="1"/>
  <c r="AA60" i="13" s="1"/>
  <c r="CY27" i="13" s="1"/>
  <c r="Y39" i="13"/>
  <c r="Y45" i="13" s="1"/>
  <c r="Y58" i="13" s="1"/>
  <c r="Y60" i="13" s="1"/>
  <c r="CY25" i="13" s="1"/>
  <c r="X162" i="1"/>
  <c r="Z39" i="13"/>
  <c r="Z45" i="13" s="1"/>
  <c r="Z58" i="13" s="1"/>
  <c r="Z60" i="13" s="1"/>
  <c r="CY26" i="13" s="1"/>
  <c r="W39" i="13"/>
  <c r="W45" i="13" s="1"/>
  <c r="W58" i="13" s="1"/>
  <c r="W60" i="13" s="1"/>
  <c r="CY23" i="13" s="1"/>
  <c r="V39" i="13"/>
  <c r="V45" i="13" s="1"/>
  <c r="V58" i="13" s="1"/>
  <c r="V60" i="13" s="1"/>
  <c r="CY22" i="13" s="1"/>
  <c r="U37" i="13"/>
  <c r="AA37" i="13"/>
  <c r="C39" i="13"/>
  <c r="AE32" i="13"/>
  <c r="AD32" i="13"/>
  <c r="AC32" i="13"/>
  <c r="AB32" i="13"/>
  <c r="T32" i="13"/>
  <c r="S32" i="13"/>
  <c r="R32" i="13"/>
  <c r="Q32" i="13"/>
  <c r="P32" i="13"/>
  <c r="O32" i="13"/>
  <c r="N32" i="13"/>
  <c r="M32" i="13"/>
  <c r="L32" i="13"/>
  <c r="K32" i="13"/>
  <c r="J32" i="13"/>
  <c r="I32" i="13"/>
  <c r="H32" i="13"/>
  <c r="G32" i="13"/>
  <c r="F32" i="13"/>
  <c r="E32" i="13"/>
  <c r="D32" i="13"/>
  <c r="C32" i="13"/>
  <c r="AE23" i="13"/>
  <c r="AE37" i="13" s="1"/>
  <c r="AD23" i="13"/>
  <c r="AD37" i="13" s="1"/>
  <c r="AC23" i="13"/>
  <c r="AC37" i="13" s="1"/>
  <c r="AB23" i="13"/>
  <c r="AB37" i="13" s="1"/>
  <c r="T23" i="13"/>
  <c r="T37" i="13" s="1"/>
  <c r="S23" i="13"/>
  <c r="S37" i="13" s="1"/>
  <c r="R23" i="13"/>
  <c r="R37" i="13" s="1"/>
  <c r="Q23" i="13"/>
  <c r="Q37" i="13" s="1"/>
  <c r="P23" i="13"/>
  <c r="P37" i="13" s="1"/>
  <c r="O23" i="13"/>
  <c r="O37" i="13" s="1"/>
  <c r="N23" i="13"/>
  <c r="N37" i="13" s="1"/>
  <c r="M23" i="13"/>
  <c r="M37" i="13" s="1"/>
  <c r="L23" i="13"/>
  <c r="L37" i="13" s="1"/>
  <c r="K23" i="13"/>
  <c r="K37" i="13" s="1"/>
  <c r="J23" i="13"/>
  <c r="J37" i="13" s="1"/>
  <c r="I23" i="13"/>
  <c r="I37" i="13" s="1"/>
  <c r="H23" i="13"/>
  <c r="H37" i="13" s="1"/>
  <c r="G23" i="13"/>
  <c r="G37" i="13" s="1"/>
  <c r="F37" i="13"/>
  <c r="E23" i="13"/>
  <c r="E37" i="13" s="1"/>
  <c r="D23" i="13"/>
  <c r="D37" i="13" s="1"/>
  <c r="C23" i="13"/>
  <c r="AE12" i="13"/>
  <c r="AD12" i="13"/>
  <c r="AC12" i="13"/>
  <c r="AB12" i="13"/>
  <c r="T12" i="13"/>
  <c r="S12" i="13"/>
  <c r="S36" i="13" s="1"/>
  <c r="R12" i="13"/>
  <c r="Q12" i="13"/>
  <c r="Q36" i="13" s="1"/>
  <c r="P12" i="13"/>
  <c r="O12" i="13"/>
  <c r="N12" i="13"/>
  <c r="M12" i="13"/>
  <c r="L12" i="13"/>
  <c r="K12" i="13"/>
  <c r="J12" i="13"/>
  <c r="I12" i="13"/>
  <c r="H12" i="13"/>
  <c r="G12" i="13"/>
  <c r="F12" i="13"/>
  <c r="F36" i="13" s="1"/>
  <c r="E12" i="13"/>
  <c r="E36" i="13" s="1"/>
  <c r="D12" i="13"/>
  <c r="C12" i="13"/>
  <c r="D97" i="12"/>
  <c r="D96" i="12"/>
  <c r="D95" i="12"/>
  <c r="D94" i="12"/>
  <c r="D93" i="12"/>
  <c r="D92" i="12"/>
  <c r="D91" i="12"/>
  <c r="D90" i="12"/>
  <c r="D89" i="12"/>
  <c r="D88" i="12"/>
  <c r="D87" i="12"/>
  <c r="D86" i="12"/>
  <c r="D85" i="12"/>
  <c r="D84" i="12"/>
  <c r="D83" i="12"/>
  <c r="D82" i="12"/>
  <c r="D81" i="12"/>
  <c r="D80" i="12"/>
  <c r="D79" i="12"/>
  <c r="D78" i="12"/>
  <c r="D77" i="12"/>
  <c r="D76" i="12"/>
  <c r="D75" i="12"/>
  <c r="D74" i="12"/>
  <c r="D73" i="12"/>
  <c r="D72" i="12"/>
  <c r="D71" i="12"/>
  <c r="D70" i="12"/>
  <c r="D69" i="12"/>
  <c r="F68" i="12"/>
  <c r="Q34" i="21"/>
  <c r="P34" i="21"/>
  <c r="N34" i="21"/>
  <c r="L34" i="21"/>
  <c r="Q33" i="21"/>
  <c r="P33" i="21"/>
  <c r="N33" i="21"/>
  <c r="L33" i="21"/>
  <c r="Q32" i="21"/>
  <c r="P32" i="21"/>
  <c r="N32" i="21"/>
  <c r="L32" i="21"/>
  <c r="Q31" i="21"/>
  <c r="P31" i="21"/>
  <c r="N31" i="21"/>
  <c r="L31" i="21"/>
  <c r="Q30" i="21"/>
  <c r="P30" i="21"/>
  <c r="N30" i="21"/>
  <c r="L30" i="21"/>
  <c r="Q29" i="21"/>
  <c r="P29" i="21"/>
  <c r="N29" i="21"/>
  <c r="L29" i="21"/>
  <c r="Q28" i="21"/>
  <c r="P28" i="21"/>
  <c r="N28" i="21"/>
  <c r="L28" i="21"/>
  <c r="Q27" i="21"/>
  <c r="P27" i="21"/>
  <c r="N27" i="21"/>
  <c r="L27" i="21"/>
  <c r="Q26" i="21"/>
  <c r="P26" i="21"/>
  <c r="N26" i="21"/>
  <c r="L26" i="21"/>
  <c r="Q25" i="21"/>
  <c r="P25" i="21"/>
  <c r="N25" i="21"/>
  <c r="L25" i="21"/>
  <c r="Q24" i="21"/>
  <c r="P24" i="21"/>
  <c r="N24" i="21"/>
  <c r="L24" i="21"/>
  <c r="Q23" i="21"/>
  <c r="P23" i="21"/>
  <c r="N23" i="21"/>
  <c r="L23" i="21"/>
  <c r="Q22" i="21"/>
  <c r="P22" i="21"/>
  <c r="N22" i="21"/>
  <c r="L22" i="21"/>
  <c r="Q21" i="21"/>
  <c r="P21" i="21"/>
  <c r="N21" i="21"/>
  <c r="L21" i="21"/>
  <c r="Q20" i="21"/>
  <c r="P20" i="21"/>
  <c r="N20" i="21"/>
  <c r="L20" i="21"/>
  <c r="Q19" i="21"/>
  <c r="P19" i="21"/>
  <c r="N19" i="21"/>
  <c r="L19" i="21"/>
  <c r="Q18" i="21"/>
  <c r="P18" i="21"/>
  <c r="N18" i="21"/>
  <c r="L18" i="21"/>
  <c r="Q17" i="21"/>
  <c r="P17" i="21"/>
  <c r="N17" i="21"/>
  <c r="L17" i="21"/>
  <c r="Q16" i="21"/>
  <c r="P16" i="21"/>
  <c r="N16" i="21"/>
  <c r="L16" i="21"/>
  <c r="Q15" i="21"/>
  <c r="P15" i="21"/>
  <c r="N15" i="21"/>
  <c r="L15" i="21"/>
  <c r="Q14" i="21"/>
  <c r="P14" i="21"/>
  <c r="N14" i="21"/>
  <c r="L14" i="21"/>
  <c r="Q13" i="21"/>
  <c r="P13" i="21"/>
  <c r="N13" i="21"/>
  <c r="L13" i="21"/>
  <c r="Q12" i="21"/>
  <c r="P12" i="21"/>
  <c r="N12" i="21"/>
  <c r="L12" i="21"/>
  <c r="Q11" i="21"/>
  <c r="P11" i="21"/>
  <c r="N11" i="21"/>
  <c r="L11" i="21"/>
  <c r="Q10" i="21"/>
  <c r="P10" i="21"/>
  <c r="N10" i="21"/>
  <c r="L10" i="21"/>
  <c r="B10" i="21"/>
  <c r="V10" i="21" s="1"/>
  <c r="Q9" i="21"/>
  <c r="P9" i="21"/>
  <c r="N9" i="21"/>
  <c r="L9" i="21"/>
  <c r="B9" i="21"/>
  <c r="V9" i="21" s="1"/>
  <c r="Q8" i="21"/>
  <c r="P8" i="21"/>
  <c r="N8" i="21"/>
  <c r="L8" i="21"/>
  <c r="B8" i="21"/>
  <c r="V8" i="21" s="1"/>
  <c r="Q7" i="21"/>
  <c r="P7" i="21"/>
  <c r="N7" i="21"/>
  <c r="L7" i="21"/>
  <c r="B7" i="21"/>
  <c r="V7" i="21" s="1"/>
  <c r="Q6" i="21"/>
  <c r="P6" i="21"/>
  <c r="N6" i="21"/>
  <c r="L6" i="21"/>
  <c r="B6" i="21"/>
  <c r="V6" i="21" s="1"/>
  <c r="Q5" i="21"/>
  <c r="P5" i="21"/>
  <c r="N5" i="21"/>
  <c r="L5" i="21"/>
  <c r="B5" i="21"/>
  <c r="V5" i="21" s="1"/>
  <c r="Q4" i="21"/>
  <c r="P4" i="21"/>
  <c r="N4" i="21"/>
  <c r="L4" i="21"/>
  <c r="B4" i="21"/>
  <c r="V4" i="21" s="1"/>
  <c r="Q3" i="21"/>
  <c r="P3" i="21"/>
  <c r="N3" i="21"/>
  <c r="L3" i="21"/>
  <c r="B3" i="21"/>
  <c r="V3" i="21" s="1"/>
  <c r="Q2" i="21"/>
  <c r="P2" i="21"/>
  <c r="N2" i="21"/>
  <c r="L2" i="21"/>
  <c r="B2" i="21"/>
  <c r="V2" i="21" s="1"/>
  <c r="S8" i="7"/>
  <c r="S7" i="7"/>
  <c r="S6" i="7"/>
  <c r="S5" i="7"/>
  <c r="S4" i="7"/>
  <c r="S3" i="7"/>
  <c r="S2" i="7"/>
  <c r="B133" i="1"/>
  <c r="A133" i="1" s="1"/>
  <c r="X132" i="1"/>
  <c r="B128" i="1"/>
  <c r="A128" i="1" s="1"/>
  <c r="X127" i="1"/>
  <c r="B115" i="1"/>
  <c r="X114" i="1"/>
  <c r="B110" i="1"/>
  <c r="A110" i="1" s="1"/>
  <c r="X109" i="1"/>
  <c r="B105" i="1"/>
  <c r="A105" i="1" s="1"/>
  <c r="X104" i="1"/>
  <c r="X103" i="1"/>
  <c r="X102" i="1"/>
  <c r="X101" i="1"/>
  <c r="B97" i="1"/>
  <c r="A97" i="1" s="1"/>
  <c r="B96" i="1"/>
  <c r="A96" i="1" s="1"/>
  <c r="B95" i="1"/>
  <c r="A95" i="1" s="1"/>
  <c r="X94" i="1"/>
  <c r="X93" i="1"/>
  <c r="X92" i="1"/>
  <c r="B82" i="1"/>
  <c r="A82" i="1" s="1"/>
  <c r="B81" i="1"/>
  <c r="A81" i="1" s="1"/>
  <c r="B80" i="1"/>
  <c r="A80" i="1" s="1"/>
  <c r="X79" i="1"/>
  <c r="X78" i="1"/>
  <c r="X77" i="1"/>
  <c r="B67" i="1"/>
  <c r="B66" i="1"/>
  <c r="A66" i="1" s="1"/>
  <c r="B65" i="1"/>
  <c r="A65" i="1" s="1"/>
  <c r="X64" i="1"/>
  <c r="X63" i="1"/>
  <c r="X62" i="1"/>
  <c r="B61" i="1"/>
  <c r="A61" i="1" s="1"/>
  <c r="B60" i="1"/>
  <c r="A60" i="1" s="1"/>
  <c r="B59" i="1"/>
  <c r="A59" i="1" s="1"/>
  <c r="X58" i="1"/>
  <c r="X57" i="1"/>
  <c r="X56" i="1"/>
  <c r="X55" i="1"/>
  <c r="X54" i="1"/>
  <c r="X53" i="1"/>
  <c r="X52" i="1"/>
  <c r="X51" i="1"/>
  <c r="X50" i="1"/>
  <c r="X49" i="1"/>
  <c r="X48" i="1"/>
  <c r="X47" i="1"/>
  <c r="B37" i="1"/>
  <c r="A37" i="1" s="1"/>
  <c r="B36" i="1"/>
  <c r="A36" i="1" s="1"/>
  <c r="B35" i="1"/>
  <c r="A35" i="1" s="1"/>
  <c r="X34" i="1"/>
  <c r="X33" i="1"/>
  <c r="X32" i="1"/>
  <c r="B22" i="1"/>
  <c r="A22" i="1" s="1"/>
  <c r="B21" i="1"/>
  <c r="A21" i="1" s="1"/>
  <c r="B20" i="1"/>
  <c r="X19" i="1"/>
  <c r="X18" i="1"/>
  <c r="X17" i="1"/>
  <c r="B7" i="1"/>
  <c r="A7" i="1" s="1"/>
  <c r="B6" i="1"/>
  <c r="A6" i="1" s="1"/>
  <c r="B5" i="1"/>
  <c r="A5" i="1" s="1"/>
  <c r="X4" i="1"/>
  <c r="X3" i="1"/>
  <c r="X2" i="1"/>
  <c r="R23" i="21" l="1"/>
  <c r="S23" i="21" s="1"/>
  <c r="U23" i="21" s="1"/>
  <c r="K38" i="13"/>
  <c r="S38" i="13"/>
  <c r="D38" i="13"/>
  <c r="L38" i="13"/>
  <c r="T38" i="13"/>
  <c r="J38" i="13"/>
  <c r="E38" i="13"/>
  <c r="M38" i="13"/>
  <c r="AB38" i="13"/>
  <c r="F38" i="13"/>
  <c r="N38" i="13"/>
  <c r="AC38" i="13"/>
  <c r="G38" i="13"/>
  <c r="O38" i="13"/>
  <c r="AD38" i="13"/>
  <c r="H38" i="13"/>
  <c r="P38" i="13"/>
  <c r="AE38" i="13"/>
  <c r="R38" i="13"/>
  <c r="I38" i="13"/>
  <c r="Q38" i="13"/>
  <c r="R14" i="21"/>
  <c r="S14" i="21" s="1"/>
  <c r="U14" i="21" s="1"/>
  <c r="R28" i="21"/>
  <c r="S28" i="21" s="1"/>
  <c r="U28" i="21" s="1"/>
  <c r="R11" i="21"/>
  <c r="S11" i="21" s="1"/>
  <c r="T11" i="21" s="1"/>
  <c r="X67" i="1"/>
  <c r="A67" i="1"/>
  <c r="B23" i="1"/>
  <c r="A23" i="1" s="1"/>
  <c r="A20" i="1"/>
  <c r="X115" i="1"/>
  <c r="A115" i="1"/>
  <c r="X163" i="1"/>
  <c r="X20" i="1"/>
  <c r="B39" i="1"/>
  <c r="X61" i="1"/>
  <c r="B106" i="1"/>
  <c r="X60" i="1"/>
  <c r="X5" i="1"/>
  <c r="B24" i="1"/>
  <c r="B40" i="1"/>
  <c r="A40" i="1" s="1"/>
  <c r="B98" i="1"/>
  <c r="A98" i="1" s="1"/>
  <c r="B134" i="1"/>
  <c r="A134" i="1" s="1"/>
  <c r="B129" i="1"/>
  <c r="A129" i="1" s="1"/>
  <c r="B9" i="1"/>
  <c r="B25" i="1"/>
  <c r="A25" i="1" s="1"/>
  <c r="B111" i="1"/>
  <c r="A111" i="1" s="1"/>
  <c r="B100" i="1"/>
  <c r="A100" i="1" s="1"/>
  <c r="B10" i="1"/>
  <c r="A10" i="1" s="1"/>
  <c r="B8" i="1"/>
  <c r="B68" i="1"/>
  <c r="B84" i="1"/>
  <c r="A84" i="1" s="1"/>
  <c r="B116" i="1"/>
  <c r="A116" i="1" s="1"/>
  <c r="B69" i="1"/>
  <c r="X82" i="1"/>
  <c r="X59" i="1"/>
  <c r="B70" i="1"/>
  <c r="A70" i="1" s="1"/>
  <c r="X6" i="1"/>
  <c r="X22" i="1"/>
  <c r="B85" i="1"/>
  <c r="X133" i="1"/>
  <c r="X7" i="1"/>
  <c r="X65" i="1"/>
  <c r="X97" i="1"/>
  <c r="X105" i="1"/>
  <c r="X36" i="1"/>
  <c r="X21" i="1"/>
  <c r="X110" i="1"/>
  <c r="X95" i="1"/>
  <c r="R29" i="21"/>
  <c r="S29" i="21" s="1"/>
  <c r="U29" i="21" s="1"/>
  <c r="R13" i="21"/>
  <c r="S13" i="21" s="1"/>
  <c r="U13" i="21" s="1"/>
  <c r="R19" i="21"/>
  <c r="S19" i="21" s="1"/>
  <c r="U19" i="21" s="1"/>
  <c r="R21" i="21"/>
  <c r="S21" i="21" s="1"/>
  <c r="U21" i="21" s="1"/>
  <c r="R27" i="21"/>
  <c r="S27" i="21" s="1"/>
  <c r="U27" i="21" s="1"/>
  <c r="R33" i="21"/>
  <c r="S33" i="21" s="1"/>
  <c r="U33" i="21" s="1"/>
  <c r="R32" i="21"/>
  <c r="S32" i="21" s="1"/>
  <c r="U32" i="21" s="1"/>
  <c r="R6" i="21"/>
  <c r="S6" i="21" s="1"/>
  <c r="T6" i="21" s="1"/>
  <c r="R31" i="21"/>
  <c r="S31" i="21" s="1"/>
  <c r="U31" i="21" s="1"/>
  <c r="R5" i="21"/>
  <c r="S5" i="21" s="1"/>
  <c r="T5" i="21" s="1"/>
  <c r="R8" i="21"/>
  <c r="S8" i="21" s="1"/>
  <c r="U8" i="21" s="1"/>
  <c r="R17" i="21"/>
  <c r="S17" i="21" s="1"/>
  <c r="U17" i="21" s="1"/>
  <c r="R2" i="21"/>
  <c r="S2" i="21" s="1"/>
  <c r="U2" i="21" s="1"/>
  <c r="R10" i="21"/>
  <c r="S10" i="21" s="1"/>
  <c r="U10" i="21" s="1"/>
  <c r="R25" i="21"/>
  <c r="S25" i="21" s="1"/>
  <c r="U25" i="21" s="1"/>
  <c r="R7" i="21"/>
  <c r="S7" i="21" s="1"/>
  <c r="U7" i="21" s="1"/>
  <c r="R12" i="21"/>
  <c r="S12" i="21" s="1"/>
  <c r="U12" i="21" s="1"/>
  <c r="R16" i="21"/>
  <c r="S16" i="21" s="1"/>
  <c r="U16" i="21" s="1"/>
  <c r="R18" i="21"/>
  <c r="S18" i="21" s="1"/>
  <c r="U18" i="21" s="1"/>
  <c r="R9" i="21"/>
  <c r="S9" i="21" s="1"/>
  <c r="T9" i="21" s="1"/>
  <c r="R20" i="21"/>
  <c r="S20" i="21" s="1"/>
  <c r="U20" i="21" s="1"/>
  <c r="R24" i="21"/>
  <c r="S24" i="21" s="1"/>
  <c r="U24" i="21" s="1"/>
  <c r="R26" i="21"/>
  <c r="S26" i="21" s="1"/>
  <c r="U26" i="21" s="1"/>
  <c r="R3" i="21"/>
  <c r="S3" i="21" s="1"/>
  <c r="U3" i="21" s="1"/>
  <c r="R15" i="21"/>
  <c r="S15" i="21" s="1"/>
  <c r="U15" i="21" s="1"/>
  <c r="R22" i="21"/>
  <c r="S22" i="21" s="1"/>
  <c r="U22" i="21" s="1"/>
  <c r="R34" i="21"/>
  <c r="S34" i="21" s="1"/>
  <c r="U34" i="21" s="1"/>
  <c r="R30" i="21"/>
  <c r="S30" i="21" s="1"/>
  <c r="U30" i="21" s="1"/>
  <c r="N39" i="13"/>
  <c r="N45" i="13" s="1"/>
  <c r="N58" i="13" s="1"/>
  <c r="N60" i="13" s="1"/>
  <c r="CY14" i="13" s="1"/>
  <c r="AC39" i="13"/>
  <c r="AC45" i="13" s="1"/>
  <c r="AC58" i="13" s="1"/>
  <c r="AC60" i="13" s="1"/>
  <c r="CY29" i="13" s="1"/>
  <c r="AE39" i="13"/>
  <c r="AE45" i="13" s="1"/>
  <c r="AE58" i="13" s="1"/>
  <c r="AE60" i="13" s="1"/>
  <c r="CY31" i="13" s="1"/>
  <c r="K39" i="13"/>
  <c r="K45" i="13" s="1"/>
  <c r="K58" i="13" s="1"/>
  <c r="K60" i="13" s="1"/>
  <c r="CY11" i="13" s="1"/>
  <c r="H39" i="13"/>
  <c r="H45" i="13" s="1"/>
  <c r="H58" i="13" s="1"/>
  <c r="H60" i="13" s="1"/>
  <c r="CY8" i="13" s="1"/>
  <c r="P39" i="13"/>
  <c r="P45" i="13" s="1"/>
  <c r="P58" i="13" s="1"/>
  <c r="P60" i="13" s="1"/>
  <c r="CY16" i="13" s="1"/>
  <c r="I39" i="13"/>
  <c r="I45" i="13" s="1"/>
  <c r="I58" i="13" s="1"/>
  <c r="I60" i="13" s="1"/>
  <c r="CY9" i="13" s="1"/>
  <c r="AC36" i="13"/>
  <c r="X37" i="1"/>
  <c r="X66" i="1"/>
  <c r="X81" i="1"/>
  <c r="X96" i="1"/>
  <c r="B99" i="1"/>
  <c r="A99" i="1" s="1"/>
  <c r="X128" i="1"/>
  <c r="X35" i="1"/>
  <c r="B38" i="1"/>
  <c r="A38" i="1" s="1"/>
  <c r="X80" i="1"/>
  <c r="B83" i="1"/>
  <c r="A83" i="1" s="1"/>
  <c r="T28" i="21"/>
  <c r="R4" i="21"/>
  <c r="S4" i="21" s="1"/>
  <c r="U4" i="21" s="1"/>
  <c r="T23" i="21"/>
  <c r="L39" i="13"/>
  <c r="L45" i="13" s="1"/>
  <c r="L58" i="13" s="1"/>
  <c r="L60" i="13" s="1"/>
  <c r="CY12" i="13" s="1"/>
  <c r="L36" i="13"/>
  <c r="T39" i="13"/>
  <c r="T45" i="13" s="1"/>
  <c r="T58" i="13" s="1"/>
  <c r="T60" i="13" s="1"/>
  <c r="CY20" i="13" s="1"/>
  <c r="AE36" i="13"/>
  <c r="E39" i="13"/>
  <c r="E45" i="13" s="1"/>
  <c r="E58" i="13" s="1"/>
  <c r="E60" i="13" s="1"/>
  <c r="CY5" i="13" s="1"/>
  <c r="D39" i="13"/>
  <c r="D36" i="13"/>
  <c r="M39" i="13"/>
  <c r="M45" i="13" s="1"/>
  <c r="M58" i="13" s="1"/>
  <c r="M60" i="13" s="1"/>
  <c r="CY13" i="13" s="1"/>
  <c r="M36" i="13"/>
  <c r="Q39" i="13"/>
  <c r="Q45" i="13" s="1"/>
  <c r="Q58" i="13" s="1"/>
  <c r="Q60" i="13" s="1"/>
  <c r="CY17" i="13" s="1"/>
  <c r="S39" i="13"/>
  <c r="S45" i="13" s="1"/>
  <c r="S58" i="13" s="1"/>
  <c r="S60" i="13" s="1"/>
  <c r="CY19" i="13" s="1"/>
  <c r="G39" i="13"/>
  <c r="G45" i="13" s="1"/>
  <c r="G58" i="13" s="1"/>
  <c r="G60" i="13" s="1"/>
  <c r="CY7" i="13" s="1"/>
  <c r="G36" i="13"/>
  <c r="O39" i="13"/>
  <c r="O45" i="13" s="1"/>
  <c r="O58" i="13" s="1"/>
  <c r="O60" i="13" s="1"/>
  <c r="CY15" i="13" s="1"/>
  <c r="O36" i="13"/>
  <c r="AD39" i="13"/>
  <c r="AD45" i="13" s="1"/>
  <c r="AD58" i="13" s="1"/>
  <c r="AD60" i="13" s="1"/>
  <c r="CY30" i="13" s="1"/>
  <c r="AD36" i="13"/>
  <c r="H36" i="13"/>
  <c r="N36" i="13"/>
  <c r="J39" i="13"/>
  <c r="J45" i="13" s="1"/>
  <c r="J58" i="13" s="1"/>
  <c r="J60" i="13" s="1"/>
  <c r="CY10" i="13" s="1"/>
  <c r="J36" i="13"/>
  <c r="R36" i="13"/>
  <c r="R39" i="13"/>
  <c r="R45" i="13" s="1"/>
  <c r="R58" i="13" s="1"/>
  <c r="R60" i="13" s="1"/>
  <c r="CY18" i="13" s="1"/>
  <c r="P36" i="13"/>
  <c r="I36" i="13"/>
  <c r="F39" i="13"/>
  <c r="F45" i="13" s="1"/>
  <c r="F58" i="13" s="1"/>
  <c r="F60" i="13" s="1"/>
  <c r="CY6" i="13" s="1"/>
  <c r="K36" i="13"/>
  <c r="T36" i="13"/>
  <c r="AB39" i="13"/>
  <c r="AB45" i="13" s="1"/>
  <c r="AB58" i="13" s="1"/>
  <c r="AB60" i="13" s="1"/>
  <c r="CY28" i="13" s="1"/>
  <c r="AB36" i="13"/>
  <c r="T3" i="21" l="1"/>
  <c r="T29" i="21"/>
  <c r="T16" i="21"/>
  <c r="T14" i="21"/>
  <c r="T31" i="21"/>
  <c r="T32" i="21"/>
  <c r="D45" i="13"/>
  <c r="CM4" i="13" s="1"/>
  <c r="U5" i="21"/>
  <c r="T24" i="21"/>
  <c r="T33" i="21"/>
  <c r="T10" i="21"/>
  <c r="T20" i="21"/>
  <c r="U11" i="21"/>
  <c r="T2" i="21"/>
  <c r="T12" i="21"/>
  <c r="T18" i="21"/>
  <c r="T4" i="21"/>
  <c r="CX35" i="13"/>
  <c r="CW35" i="13"/>
  <c r="CV35" i="13"/>
  <c r="CS35" i="13"/>
  <c r="CT35" i="13"/>
  <c r="CR35" i="13"/>
  <c r="CU35" i="13"/>
  <c r="CQ35" i="13"/>
  <c r="CN35" i="13"/>
  <c r="CM35" i="13"/>
  <c r="CP35" i="13"/>
  <c r="CO35" i="13"/>
  <c r="CK35" i="13"/>
  <c r="CL35" i="13"/>
  <c r="CJ35" i="13"/>
  <c r="CI35" i="13"/>
  <c r="CT46" i="13"/>
  <c r="CW46" i="13"/>
  <c r="CV46" i="13"/>
  <c r="CR46" i="13"/>
  <c r="CQ46" i="13"/>
  <c r="CU46" i="13"/>
  <c r="CP46" i="13"/>
  <c r="CO46" i="13"/>
  <c r="CX46" i="13"/>
  <c r="CL46" i="13"/>
  <c r="CJ46" i="13"/>
  <c r="CI46" i="13"/>
  <c r="CN46" i="13"/>
  <c r="CM46" i="13"/>
  <c r="CK46" i="13"/>
  <c r="CS46" i="13"/>
  <c r="CW48" i="13"/>
  <c r="CX48" i="13"/>
  <c r="CV48" i="13"/>
  <c r="CU48" i="13"/>
  <c r="CS48" i="13"/>
  <c r="CT48" i="13"/>
  <c r="CR48" i="13"/>
  <c r="CQ48" i="13"/>
  <c r="CL48" i="13"/>
  <c r="CK48" i="13"/>
  <c r="CP48" i="13"/>
  <c r="CO48" i="13"/>
  <c r="CN48" i="13"/>
  <c r="CM48" i="13"/>
  <c r="CJ48" i="13"/>
  <c r="CI48" i="13"/>
  <c r="CX44" i="13"/>
  <c r="CW44" i="13"/>
  <c r="CV44" i="13"/>
  <c r="CU44" i="13"/>
  <c r="CS44" i="13"/>
  <c r="CR44" i="13"/>
  <c r="CP44" i="13"/>
  <c r="CN44" i="13"/>
  <c r="CQ44" i="13"/>
  <c r="CO44" i="13"/>
  <c r="CT44" i="13"/>
  <c r="CL44" i="13"/>
  <c r="CM44" i="13"/>
  <c r="CK44" i="13"/>
  <c r="CJ44" i="13"/>
  <c r="CI44" i="13"/>
  <c r="CX33" i="13"/>
  <c r="CW33" i="13"/>
  <c r="CV33" i="13"/>
  <c r="CR33" i="13"/>
  <c r="CQ33" i="13"/>
  <c r="CO33" i="13"/>
  <c r="CN33" i="13"/>
  <c r="CM33" i="13"/>
  <c r="CL33" i="13"/>
  <c r="CP33" i="13"/>
  <c r="CK33" i="13"/>
  <c r="CI33" i="13"/>
  <c r="CJ33" i="13"/>
  <c r="CX52" i="13"/>
  <c r="CW52" i="13"/>
  <c r="CV52" i="13"/>
  <c r="CU52" i="13"/>
  <c r="CT52" i="13"/>
  <c r="CS52" i="13"/>
  <c r="CR52" i="13"/>
  <c r="CP52" i="13"/>
  <c r="CN52" i="13"/>
  <c r="CQ52" i="13"/>
  <c r="CL52" i="13"/>
  <c r="CJ52" i="13"/>
  <c r="CI52" i="13"/>
  <c r="CO52" i="13"/>
  <c r="CM52" i="13"/>
  <c r="CK52" i="13"/>
  <c r="CX51" i="13"/>
  <c r="CW51" i="13"/>
  <c r="CV51" i="13"/>
  <c r="CU51" i="13"/>
  <c r="CT51" i="13"/>
  <c r="CS51" i="13"/>
  <c r="CR51" i="13"/>
  <c r="CQ51" i="13"/>
  <c r="CO51" i="13"/>
  <c r="CN51" i="13"/>
  <c r="CM51" i="13"/>
  <c r="CK51" i="13"/>
  <c r="CJ51" i="13"/>
  <c r="CI51" i="13"/>
  <c r="CP51" i="13"/>
  <c r="CL51" i="13"/>
  <c r="CX7" i="13"/>
  <c r="CV7" i="13"/>
  <c r="CW7" i="13"/>
  <c r="CS7" i="13"/>
  <c r="CR7" i="13"/>
  <c r="CQ7" i="13"/>
  <c r="CP7" i="13"/>
  <c r="CM7" i="13"/>
  <c r="CK7" i="13"/>
  <c r="CJ7" i="13"/>
  <c r="CT7" i="13"/>
  <c r="CO7" i="13"/>
  <c r="CN7" i="13"/>
  <c r="CI7" i="13"/>
  <c r="CL7" i="13"/>
  <c r="CU7" i="13"/>
  <c r="CS69" i="13"/>
  <c r="CX69" i="13"/>
  <c r="CW69" i="13"/>
  <c r="CV69" i="13"/>
  <c r="CU69" i="13"/>
  <c r="CT69" i="13"/>
  <c r="CQ69" i="13"/>
  <c r="CO69" i="13"/>
  <c r="CK69" i="13"/>
  <c r="CI69" i="13"/>
  <c r="CP69" i="13"/>
  <c r="CN69" i="13"/>
  <c r="CM69" i="13"/>
  <c r="CR69" i="13"/>
  <c r="CJ69" i="13"/>
  <c r="CL69" i="13"/>
  <c r="CV36" i="13"/>
  <c r="CU36" i="13"/>
  <c r="CS36" i="13"/>
  <c r="CX36" i="13"/>
  <c r="CW36" i="13"/>
  <c r="CT36" i="13"/>
  <c r="CR36" i="13"/>
  <c r="CQ36" i="13"/>
  <c r="CN36" i="13"/>
  <c r="CP36" i="13"/>
  <c r="CL36" i="13"/>
  <c r="CO36" i="13"/>
  <c r="CM36" i="13"/>
  <c r="CI36" i="13"/>
  <c r="CK36" i="13"/>
  <c r="CJ36" i="13"/>
  <c r="CX25" i="13"/>
  <c r="CW25" i="13"/>
  <c r="CV25" i="13"/>
  <c r="CU25" i="13"/>
  <c r="CS25" i="13"/>
  <c r="CR25" i="13"/>
  <c r="CQ25" i="13"/>
  <c r="CT25" i="13"/>
  <c r="CO25" i="13"/>
  <c r="CN25" i="13"/>
  <c r="CM25" i="13"/>
  <c r="CL25" i="13"/>
  <c r="CK25" i="13"/>
  <c r="CI25" i="13"/>
  <c r="CJ25" i="13"/>
  <c r="CP25" i="13"/>
  <c r="CT54" i="13"/>
  <c r="CV54" i="13"/>
  <c r="CU54" i="13"/>
  <c r="CX54" i="13"/>
  <c r="CR54" i="13"/>
  <c r="CQ54" i="13"/>
  <c r="CP54" i="13"/>
  <c r="CO54" i="13"/>
  <c r="CW54" i="13"/>
  <c r="CS54" i="13"/>
  <c r="CL54" i="13"/>
  <c r="CJ54" i="13"/>
  <c r="CI54" i="13"/>
  <c r="CN54" i="13"/>
  <c r="CK54" i="13"/>
  <c r="CM54" i="13"/>
  <c r="CW56" i="13"/>
  <c r="CX56" i="13"/>
  <c r="CV56" i="13"/>
  <c r="CT56" i="13"/>
  <c r="CS56" i="13"/>
  <c r="CR56" i="13"/>
  <c r="CQ56" i="13"/>
  <c r="CU56" i="13"/>
  <c r="CP56" i="13"/>
  <c r="CL56" i="13"/>
  <c r="CO56" i="13"/>
  <c r="CK56" i="13"/>
  <c r="CM56" i="13"/>
  <c r="CJ56" i="13"/>
  <c r="CI56" i="13"/>
  <c r="CN56" i="13"/>
  <c r="CX34" i="13"/>
  <c r="CW34" i="13"/>
  <c r="CV34" i="13"/>
  <c r="CS34" i="13"/>
  <c r="CR34" i="13"/>
  <c r="CQ34" i="13"/>
  <c r="CP34" i="13"/>
  <c r="CM34" i="13"/>
  <c r="CL34" i="13"/>
  <c r="CO34" i="13"/>
  <c r="CJ34" i="13"/>
  <c r="CK34" i="13"/>
  <c r="CN34" i="13"/>
  <c r="CI34" i="13"/>
  <c r="CS21" i="13"/>
  <c r="CX21" i="13"/>
  <c r="CW21" i="13"/>
  <c r="CV21" i="13"/>
  <c r="CT21" i="13"/>
  <c r="CQ21" i="13"/>
  <c r="CU21" i="13"/>
  <c r="CO21" i="13"/>
  <c r="CK21" i="13"/>
  <c r="CI21" i="13"/>
  <c r="CN21" i="13"/>
  <c r="CP21" i="13"/>
  <c r="CM21" i="13"/>
  <c r="CR21" i="13"/>
  <c r="CL21" i="13"/>
  <c r="CJ21" i="13"/>
  <c r="CX42" i="13"/>
  <c r="CW42" i="13"/>
  <c r="CV42" i="13"/>
  <c r="CU42" i="13"/>
  <c r="CT42" i="13"/>
  <c r="CS42" i="13"/>
  <c r="CR42" i="13"/>
  <c r="CQ42" i="13"/>
  <c r="CP42" i="13"/>
  <c r="CO42" i="13"/>
  <c r="CM42" i="13"/>
  <c r="CL42" i="13"/>
  <c r="CJ42" i="13"/>
  <c r="CN42" i="13"/>
  <c r="CK42" i="13"/>
  <c r="CI42" i="13"/>
  <c r="CX41" i="13"/>
  <c r="CW41" i="13"/>
  <c r="CV41" i="13"/>
  <c r="CU41" i="13"/>
  <c r="CT41" i="13"/>
  <c r="CS41" i="13"/>
  <c r="CR41" i="13"/>
  <c r="CQ41" i="13"/>
  <c r="CO41" i="13"/>
  <c r="CN41" i="13"/>
  <c r="CM41" i="13"/>
  <c r="CL41" i="13"/>
  <c r="CK41" i="13"/>
  <c r="CI41" i="13"/>
  <c r="CJ41" i="13"/>
  <c r="CP41" i="13"/>
  <c r="CX59" i="13"/>
  <c r="CW59" i="13"/>
  <c r="CV59" i="13"/>
  <c r="CU59" i="13"/>
  <c r="CT59" i="13"/>
  <c r="CR59" i="13"/>
  <c r="CQ59" i="13"/>
  <c r="CS59" i="13"/>
  <c r="CN59" i="13"/>
  <c r="CP59" i="13"/>
  <c r="CM59" i="13"/>
  <c r="CO59" i="13"/>
  <c r="CK59" i="13"/>
  <c r="CL59" i="13"/>
  <c r="CJ59" i="13"/>
  <c r="CI59" i="13"/>
  <c r="CX68" i="13"/>
  <c r="CW68" i="13"/>
  <c r="CV68" i="13"/>
  <c r="CU68" i="13"/>
  <c r="CT68" i="13"/>
  <c r="CS68" i="13"/>
  <c r="CR68" i="13"/>
  <c r="CQ68" i="13"/>
  <c r="CP68" i="13"/>
  <c r="CN68" i="13"/>
  <c r="CO68" i="13"/>
  <c r="CL68" i="13"/>
  <c r="CJ68" i="13"/>
  <c r="CM68" i="13"/>
  <c r="CI68" i="13"/>
  <c r="CK68" i="13"/>
  <c r="CS13" i="13"/>
  <c r="CX13" i="13"/>
  <c r="CW13" i="13"/>
  <c r="CV13" i="13"/>
  <c r="CU13" i="13"/>
  <c r="CT13" i="13"/>
  <c r="CQ13" i="13"/>
  <c r="CO13" i="13"/>
  <c r="CR13" i="13"/>
  <c r="CP13" i="13"/>
  <c r="CK13" i="13"/>
  <c r="CI13" i="13"/>
  <c r="CN13" i="13"/>
  <c r="CM13" i="13"/>
  <c r="CL13" i="13"/>
  <c r="CJ13" i="13"/>
  <c r="CT62" i="13"/>
  <c r="CX62" i="13"/>
  <c r="CW62" i="13"/>
  <c r="CR62" i="13"/>
  <c r="CS62" i="13"/>
  <c r="CP62" i="13"/>
  <c r="CV62" i="13"/>
  <c r="CQ62" i="13"/>
  <c r="CL62" i="13"/>
  <c r="CJ62" i="13"/>
  <c r="CI62" i="13"/>
  <c r="CN62" i="13"/>
  <c r="CM62" i="13"/>
  <c r="CU62" i="13"/>
  <c r="CK62" i="13"/>
  <c r="CO62" i="13"/>
  <c r="CW64" i="13"/>
  <c r="CV64" i="13"/>
  <c r="CU64" i="13"/>
  <c r="CS64" i="13"/>
  <c r="CT64" i="13"/>
  <c r="CR64" i="13"/>
  <c r="CQ64" i="13"/>
  <c r="CX64" i="13"/>
  <c r="CL64" i="13"/>
  <c r="CK64" i="13"/>
  <c r="CP64" i="13"/>
  <c r="CJ64" i="13"/>
  <c r="CN64" i="13"/>
  <c r="CI64" i="13"/>
  <c r="CM64" i="13"/>
  <c r="CO64" i="13"/>
  <c r="CV23" i="13"/>
  <c r="CU23" i="13"/>
  <c r="CX23" i="13"/>
  <c r="CW23" i="13"/>
  <c r="CT23" i="13"/>
  <c r="CS23" i="13"/>
  <c r="CR23" i="13"/>
  <c r="CQ23" i="13"/>
  <c r="CP23" i="13"/>
  <c r="CM23" i="13"/>
  <c r="CK23" i="13"/>
  <c r="CJ23" i="13"/>
  <c r="CO23" i="13"/>
  <c r="CN23" i="13"/>
  <c r="CL23" i="13"/>
  <c r="CI23" i="13"/>
  <c r="CX11" i="13"/>
  <c r="CW11" i="13"/>
  <c r="CV11" i="13"/>
  <c r="CU11" i="13"/>
  <c r="CT11" i="13"/>
  <c r="CS11" i="13"/>
  <c r="CR11" i="13"/>
  <c r="CQ11" i="13"/>
  <c r="CN11" i="13"/>
  <c r="CM11" i="13"/>
  <c r="CP11" i="13"/>
  <c r="CK11" i="13"/>
  <c r="CI11" i="13"/>
  <c r="CO11" i="13"/>
  <c r="CL11" i="13"/>
  <c r="CJ11" i="13"/>
  <c r="CV31" i="13"/>
  <c r="CU31" i="13"/>
  <c r="CX31" i="13"/>
  <c r="CW31" i="13"/>
  <c r="CS31" i="13"/>
  <c r="CT31" i="13"/>
  <c r="CR31" i="13"/>
  <c r="CQ31" i="13"/>
  <c r="CP31" i="13"/>
  <c r="CM31" i="13"/>
  <c r="CK31" i="13"/>
  <c r="CO31" i="13"/>
  <c r="CJ31" i="13"/>
  <c r="CN31" i="13"/>
  <c r="CI31" i="13"/>
  <c r="CL31" i="13"/>
  <c r="CS29" i="13"/>
  <c r="CX29" i="13"/>
  <c r="CW29" i="13"/>
  <c r="CV29" i="13"/>
  <c r="CU29" i="13"/>
  <c r="CQ29" i="13"/>
  <c r="CO29" i="13"/>
  <c r="CK29" i="13"/>
  <c r="CR29" i="13"/>
  <c r="CP29" i="13"/>
  <c r="CI29" i="13"/>
  <c r="CN29" i="13"/>
  <c r="CT29" i="13"/>
  <c r="CM29" i="13"/>
  <c r="CJ29" i="13"/>
  <c r="CL29" i="13"/>
  <c r="CV71" i="13"/>
  <c r="CU71" i="13"/>
  <c r="CX71" i="13"/>
  <c r="CW71" i="13"/>
  <c r="CR71" i="13"/>
  <c r="CQ71" i="13"/>
  <c r="CP71" i="13"/>
  <c r="CT71" i="13"/>
  <c r="CM71" i="13"/>
  <c r="CK71" i="13"/>
  <c r="CJ71" i="13"/>
  <c r="CO71" i="13"/>
  <c r="CN71" i="13"/>
  <c r="CI71" i="13"/>
  <c r="CL71" i="13"/>
  <c r="CS71" i="13"/>
  <c r="CX49" i="13"/>
  <c r="CW49" i="13"/>
  <c r="CV49" i="13"/>
  <c r="CS49" i="13"/>
  <c r="CT49" i="13"/>
  <c r="CU49" i="13"/>
  <c r="CR49" i="13"/>
  <c r="CQ49" i="13"/>
  <c r="CO49" i="13"/>
  <c r="CN49" i="13"/>
  <c r="CM49" i="13"/>
  <c r="CL49" i="13"/>
  <c r="CK49" i="13"/>
  <c r="CP49" i="13"/>
  <c r="CI49" i="13"/>
  <c r="CJ49" i="13"/>
  <c r="CX58" i="13"/>
  <c r="CW58" i="13"/>
  <c r="CV58" i="13"/>
  <c r="CR58" i="13"/>
  <c r="CU58" i="13"/>
  <c r="CS58" i="13"/>
  <c r="CP58" i="13"/>
  <c r="CM58" i="13"/>
  <c r="CO58" i="13"/>
  <c r="CL58" i="13"/>
  <c r="CQ58" i="13"/>
  <c r="CJ58" i="13"/>
  <c r="CK58" i="13"/>
  <c r="CT58" i="13"/>
  <c r="CI58" i="13"/>
  <c r="CN58" i="13"/>
  <c r="CX6" i="13"/>
  <c r="CU6" i="13"/>
  <c r="CT6" i="13"/>
  <c r="CV6" i="13"/>
  <c r="CS6" i="13"/>
  <c r="CR6" i="13"/>
  <c r="CQ6" i="13"/>
  <c r="CP6" i="13"/>
  <c r="CO6" i="13"/>
  <c r="CL6" i="13"/>
  <c r="CJ6" i="13"/>
  <c r="CI6" i="13"/>
  <c r="CN6" i="13"/>
  <c r="CM6" i="13"/>
  <c r="CK6" i="13"/>
  <c r="CT70" i="13"/>
  <c r="CX70" i="13"/>
  <c r="CW70" i="13"/>
  <c r="CV70" i="13"/>
  <c r="CU70" i="13"/>
  <c r="CR70" i="13"/>
  <c r="CP70" i="13"/>
  <c r="CS70" i="13"/>
  <c r="CL70" i="13"/>
  <c r="CJ70" i="13"/>
  <c r="CQ70" i="13"/>
  <c r="CI70" i="13"/>
  <c r="CO70" i="13"/>
  <c r="CN70" i="13"/>
  <c r="CM70" i="13"/>
  <c r="CK70" i="13"/>
  <c r="CX8" i="13"/>
  <c r="CW8" i="13"/>
  <c r="CT8" i="13"/>
  <c r="CS8" i="13"/>
  <c r="CR8" i="13"/>
  <c r="CQ8" i="13"/>
  <c r="CV8" i="13"/>
  <c r="CU8" i="13"/>
  <c r="CN8" i="13"/>
  <c r="CL8" i="13"/>
  <c r="CK8" i="13"/>
  <c r="CP8" i="13"/>
  <c r="CO8" i="13"/>
  <c r="CJ8" i="13"/>
  <c r="CM8" i="13"/>
  <c r="CI8" i="13"/>
  <c r="CW72" i="13"/>
  <c r="CX72" i="13"/>
  <c r="CS72" i="13"/>
  <c r="CU72" i="13"/>
  <c r="CR72" i="13"/>
  <c r="CQ72" i="13"/>
  <c r="CV72" i="13"/>
  <c r="CT72" i="13"/>
  <c r="CL72" i="13"/>
  <c r="CK72" i="13"/>
  <c r="CP72" i="13"/>
  <c r="CN72" i="13"/>
  <c r="CJ72" i="13"/>
  <c r="CO72" i="13"/>
  <c r="CM72" i="13"/>
  <c r="CI72" i="13"/>
  <c r="CX12" i="13"/>
  <c r="CW12" i="13"/>
  <c r="CV12" i="13"/>
  <c r="CT12" i="13"/>
  <c r="CS12" i="13"/>
  <c r="CR12" i="13"/>
  <c r="CQ12" i="13"/>
  <c r="CO12" i="13"/>
  <c r="CN12" i="13"/>
  <c r="CL12" i="13"/>
  <c r="CP12" i="13"/>
  <c r="CK12" i="13"/>
  <c r="CJ12" i="13"/>
  <c r="CI12" i="13"/>
  <c r="CU12" i="13"/>
  <c r="CM12" i="13"/>
  <c r="CX20" i="13"/>
  <c r="CW20" i="13"/>
  <c r="CV20" i="13"/>
  <c r="CU20" i="13"/>
  <c r="CS20" i="13"/>
  <c r="CT20" i="13"/>
  <c r="CR20" i="13"/>
  <c r="CN20" i="13"/>
  <c r="CP20" i="13"/>
  <c r="CO20" i="13"/>
  <c r="CL20" i="13"/>
  <c r="CM20" i="13"/>
  <c r="CK20" i="13"/>
  <c r="CQ20" i="13"/>
  <c r="CJ20" i="13"/>
  <c r="CI20" i="13"/>
  <c r="CW19" i="13"/>
  <c r="CV19" i="13"/>
  <c r="CT19" i="13"/>
  <c r="CS19" i="13"/>
  <c r="CU19" i="13"/>
  <c r="CX19" i="13"/>
  <c r="CR19" i="13"/>
  <c r="CQ19" i="13"/>
  <c r="CN19" i="13"/>
  <c r="CP19" i="13"/>
  <c r="CO19" i="13"/>
  <c r="CM19" i="13"/>
  <c r="CK19" i="13"/>
  <c r="CL19" i="13"/>
  <c r="CJ19" i="13"/>
  <c r="CI19" i="13"/>
  <c r="CX60" i="13"/>
  <c r="CW60" i="13"/>
  <c r="CV60" i="13"/>
  <c r="CU60" i="13"/>
  <c r="CT60" i="13"/>
  <c r="CS60" i="13"/>
  <c r="CR60" i="13"/>
  <c r="CN60" i="13"/>
  <c r="CP60" i="13"/>
  <c r="CO60" i="13"/>
  <c r="CL60" i="13"/>
  <c r="CM60" i="13"/>
  <c r="CK60" i="13"/>
  <c r="CQ60" i="13"/>
  <c r="CJ60" i="13"/>
  <c r="CI60" i="13"/>
  <c r="CS37" i="13"/>
  <c r="CW37" i="13"/>
  <c r="CV37" i="13"/>
  <c r="CT37" i="13"/>
  <c r="CQ37" i="13"/>
  <c r="CO37" i="13"/>
  <c r="CX37" i="13"/>
  <c r="CU37" i="13"/>
  <c r="CK37" i="13"/>
  <c r="CI37" i="13"/>
  <c r="CR37" i="13"/>
  <c r="CN37" i="13"/>
  <c r="CM37" i="13"/>
  <c r="CJ37" i="13"/>
  <c r="CL37" i="13"/>
  <c r="CP37" i="13"/>
  <c r="CT26" i="13"/>
  <c r="CX26" i="13"/>
  <c r="CW26" i="13"/>
  <c r="CU26" i="13"/>
  <c r="CS26" i="13"/>
  <c r="CR26" i="13"/>
  <c r="CQ26" i="13"/>
  <c r="CP26" i="13"/>
  <c r="CO26" i="13"/>
  <c r="CM26" i="13"/>
  <c r="CL26" i="13"/>
  <c r="CV26" i="13"/>
  <c r="CJ26" i="13"/>
  <c r="CI26" i="13"/>
  <c r="CK26" i="13"/>
  <c r="CN26" i="13"/>
  <c r="CX77" i="13"/>
  <c r="CS77" i="13"/>
  <c r="CW77" i="13"/>
  <c r="CV77" i="13"/>
  <c r="CU77" i="13"/>
  <c r="CT77" i="13"/>
  <c r="CQ77" i="13"/>
  <c r="CO77" i="13"/>
  <c r="CR77" i="13"/>
  <c r="CP77" i="13"/>
  <c r="CK77" i="13"/>
  <c r="CI77" i="13"/>
  <c r="CN77" i="13"/>
  <c r="CM77" i="13"/>
  <c r="CL77" i="13"/>
  <c r="CJ77" i="13"/>
  <c r="CT14" i="13"/>
  <c r="CX14" i="13"/>
  <c r="CW14" i="13"/>
  <c r="CV14" i="13"/>
  <c r="CU14" i="13"/>
  <c r="CS14" i="13"/>
  <c r="CR14" i="13"/>
  <c r="CQ14" i="13"/>
  <c r="CP14" i="13"/>
  <c r="CO14" i="13"/>
  <c r="CL14" i="13"/>
  <c r="CJ14" i="13"/>
  <c r="CI14" i="13"/>
  <c r="CN14" i="13"/>
  <c r="CM14" i="13"/>
  <c r="CK14" i="13"/>
  <c r="CW16" i="13"/>
  <c r="CX16" i="13"/>
  <c r="CV16" i="13"/>
  <c r="CU16" i="13"/>
  <c r="CT16" i="13"/>
  <c r="CR16" i="13"/>
  <c r="CQ16" i="13"/>
  <c r="CS16" i="13"/>
  <c r="CO16" i="13"/>
  <c r="CL16" i="13"/>
  <c r="CK16" i="13"/>
  <c r="CP16" i="13"/>
  <c r="CM16" i="13"/>
  <c r="CJ16" i="13"/>
  <c r="CI16" i="13"/>
  <c r="CN16" i="13"/>
  <c r="CX75" i="13"/>
  <c r="CW75" i="13"/>
  <c r="CV75" i="13"/>
  <c r="CU75" i="13"/>
  <c r="CT75" i="13"/>
  <c r="CS75" i="13"/>
  <c r="CR75" i="13"/>
  <c r="CQ75" i="13"/>
  <c r="CN75" i="13"/>
  <c r="CM75" i="13"/>
  <c r="CP75" i="13"/>
  <c r="CK75" i="13"/>
  <c r="CI75" i="13"/>
  <c r="CO75" i="13"/>
  <c r="CL75" i="13"/>
  <c r="CJ75" i="13"/>
  <c r="CX10" i="13"/>
  <c r="CW10" i="13"/>
  <c r="CV10" i="13"/>
  <c r="CT10" i="13"/>
  <c r="CS10" i="13"/>
  <c r="CR10" i="13"/>
  <c r="CQ10" i="13"/>
  <c r="CU10" i="13"/>
  <c r="CP10" i="13"/>
  <c r="CM10" i="13"/>
  <c r="CL10" i="13"/>
  <c r="CO10" i="13"/>
  <c r="CJ10" i="13"/>
  <c r="CN10" i="13"/>
  <c r="CK10" i="13"/>
  <c r="CI10" i="13"/>
  <c r="CX9" i="13"/>
  <c r="CV9" i="13"/>
  <c r="CU9" i="13"/>
  <c r="CS9" i="13"/>
  <c r="CT9" i="13"/>
  <c r="CR9" i="13"/>
  <c r="CQ9" i="13"/>
  <c r="CO9" i="13"/>
  <c r="CN9" i="13"/>
  <c r="CM9" i="13"/>
  <c r="CW9" i="13"/>
  <c r="CL9" i="13"/>
  <c r="CK9" i="13"/>
  <c r="CP9" i="13"/>
  <c r="CI9" i="13"/>
  <c r="CJ9" i="13"/>
  <c r="CX50" i="13"/>
  <c r="CW50" i="13"/>
  <c r="CV50" i="13"/>
  <c r="CU50" i="13"/>
  <c r="CT50" i="13"/>
  <c r="CS50" i="13"/>
  <c r="CR50" i="13"/>
  <c r="CQ50" i="13"/>
  <c r="CP50" i="13"/>
  <c r="CM50" i="13"/>
  <c r="CL50" i="13"/>
  <c r="CJ50" i="13"/>
  <c r="CI50" i="13"/>
  <c r="CO50" i="13"/>
  <c r="CN50" i="13"/>
  <c r="CK50" i="13"/>
  <c r="CV27" i="13"/>
  <c r="CU27" i="13"/>
  <c r="CS27" i="13"/>
  <c r="CX27" i="13"/>
  <c r="CW27" i="13"/>
  <c r="CR27" i="13"/>
  <c r="CT27" i="13"/>
  <c r="CQ27" i="13"/>
  <c r="CP27" i="13"/>
  <c r="CN27" i="13"/>
  <c r="CM27" i="13"/>
  <c r="CK27" i="13"/>
  <c r="CJ27" i="13"/>
  <c r="CI27" i="13"/>
  <c r="CL27" i="13"/>
  <c r="CO27" i="13"/>
  <c r="CV47" i="13"/>
  <c r="CU47" i="13"/>
  <c r="CX47" i="13"/>
  <c r="CW47" i="13"/>
  <c r="CT47" i="13"/>
  <c r="CS47" i="13"/>
  <c r="CR47" i="13"/>
  <c r="CQ47" i="13"/>
  <c r="CP47" i="13"/>
  <c r="CM47" i="13"/>
  <c r="CK47" i="13"/>
  <c r="CJ47" i="13"/>
  <c r="CO47" i="13"/>
  <c r="CN47" i="13"/>
  <c r="CL47" i="13"/>
  <c r="CI47" i="13"/>
  <c r="CX67" i="13"/>
  <c r="CW67" i="13"/>
  <c r="CV67" i="13"/>
  <c r="CU67" i="13"/>
  <c r="CT67" i="13"/>
  <c r="CS67" i="13"/>
  <c r="CR67" i="13"/>
  <c r="CQ67" i="13"/>
  <c r="CN67" i="13"/>
  <c r="CO67" i="13"/>
  <c r="CM67" i="13"/>
  <c r="CK67" i="13"/>
  <c r="CP67" i="13"/>
  <c r="CJ67" i="13"/>
  <c r="CI67" i="13"/>
  <c r="CL67" i="13"/>
  <c r="CT22" i="13"/>
  <c r="CX22" i="13"/>
  <c r="CW22" i="13"/>
  <c r="CV22" i="13"/>
  <c r="CU22" i="13"/>
  <c r="CS22" i="13"/>
  <c r="CR22" i="13"/>
  <c r="CQ22" i="13"/>
  <c r="CP22" i="13"/>
  <c r="CO22" i="13"/>
  <c r="CL22" i="13"/>
  <c r="CJ22" i="13"/>
  <c r="CI22" i="13"/>
  <c r="CN22" i="13"/>
  <c r="CM22" i="13"/>
  <c r="CK22" i="13"/>
  <c r="CW24" i="13"/>
  <c r="CX24" i="13"/>
  <c r="CV24" i="13"/>
  <c r="CU24" i="13"/>
  <c r="CT24" i="13"/>
  <c r="CS24" i="13"/>
  <c r="CR24" i="13"/>
  <c r="CQ24" i="13"/>
  <c r="CL24" i="13"/>
  <c r="CK24" i="13"/>
  <c r="CP24" i="13"/>
  <c r="CI24" i="13"/>
  <c r="CM24" i="13"/>
  <c r="CO24" i="13"/>
  <c r="CN24" i="13"/>
  <c r="CJ24" i="13"/>
  <c r="CX76" i="13"/>
  <c r="CW76" i="13"/>
  <c r="CV76" i="13"/>
  <c r="CT76" i="13"/>
  <c r="CS76" i="13"/>
  <c r="CU76" i="13"/>
  <c r="CR76" i="13"/>
  <c r="CO76" i="13"/>
  <c r="CN76" i="13"/>
  <c r="CQ76" i="13"/>
  <c r="CL76" i="13"/>
  <c r="CK76" i="13"/>
  <c r="CJ76" i="13"/>
  <c r="CI76" i="13"/>
  <c r="CP76" i="13"/>
  <c r="CM76" i="13"/>
  <c r="CX65" i="13"/>
  <c r="CW65" i="13"/>
  <c r="CV65" i="13"/>
  <c r="CT65" i="13"/>
  <c r="CS65" i="13"/>
  <c r="CU65" i="13"/>
  <c r="CR65" i="13"/>
  <c r="CQ65" i="13"/>
  <c r="CO65" i="13"/>
  <c r="CP65" i="13"/>
  <c r="CN65" i="13"/>
  <c r="CM65" i="13"/>
  <c r="CL65" i="13"/>
  <c r="CK65" i="13"/>
  <c r="CI65" i="13"/>
  <c r="CJ65" i="13"/>
  <c r="CV39" i="13"/>
  <c r="CU39" i="13"/>
  <c r="CX39" i="13"/>
  <c r="CW39" i="13"/>
  <c r="CR39" i="13"/>
  <c r="CQ39" i="13"/>
  <c r="CS39" i="13"/>
  <c r="CP39" i="13"/>
  <c r="CT39" i="13"/>
  <c r="CO39" i="13"/>
  <c r="CM39" i="13"/>
  <c r="CK39" i="13"/>
  <c r="CJ39" i="13"/>
  <c r="CN39" i="13"/>
  <c r="CI39" i="13"/>
  <c r="CL39" i="13"/>
  <c r="CX17" i="13"/>
  <c r="CT17" i="13"/>
  <c r="CW17" i="13"/>
  <c r="CU17" i="13"/>
  <c r="CR17" i="13"/>
  <c r="CQ17" i="13"/>
  <c r="CV17" i="13"/>
  <c r="CO17" i="13"/>
  <c r="CN17" i="13"/>
  <c r="CP17" i="13"/>
  <c r="CM17" i="13"/>
  <c r="CL17" i="13"/>
  <c r="CK17" i="13"/>
  <c r="CS17" i="13"/>
  <c r="CI17" i="13"/>
  <c r="CJ17" i="13"/>
  <c r="CV15" i="13"/>
  <c r="CU15" i="13"/>
  <c r="CX15" i="13"/>
  <c r="CW15" i="13"/>
  <c r="CT15" i="13"/>
  <c r="CR15" i="13"/>
  <c r="CQ15" i="13"/>
  <c r="CP15" i="13"/>
  <c r="CS15" i="13"/>
  <c r="CM15" i="13"/>
  <c r="CK15" i="13"/>
  <c r="CJ15" i="13"/>
  <c r="CN15" i="13"/>
  <c r="CL15" i="13"/>
  <c r="CI15" i="13"/>
  <c r="CO15" i="13"/>
  <c r="CX57" i="13"/>
  <c r="CW57" i="13"/>
  <c r="CV57" i="13"/>
  <c r="CU57" i="13"/>
  <c r="CS57" i="13"/>
  <c r="CR57" i="13"/>
  <c r="CQ57" i="13"/>
  <c r="CT57" i="13"/>
  <c r="CO57" i="13"/>
  <c r="CN57" i="13"/>
  <c r="CM57" i="13"/>
  <c r="CP57" i="13"/>
  <c r="CL57" i="13"/>
  <c r="CK57" i="13"/>
  <c r="CI57" i="13"/>
  <c r="CJ57" i="13"/>
  <c r="CT30" i="13"/>
  <c r="CX30" i="13"/>
  <c r="CW30" i="13"/>
  <c r="CV30" i="13"/>
  <c r="CR30" i="13"/>
  <c r="CQ30" i="13"/>
  <c r="CP30" i="13"/>
  <c r="CO30" i="13"/>
  <c r="CU30" i="13"/>
  <c r="CS30" i="13"/>
  <c r="CL30" i="13"/>
  <c r="CJ30" i="13"/>
  <c r="CI30" i="13"/>
  <c r="CN30" i="13"/>
  <c r="CM30" i="13"/>
  <c r="CK30" i="13"/>
  <c r="CW32" i="13"/>
  <c r="CX32" i="13"/>
  <c r="CV32" i="13"/>
  <c r="CU32" i="13"/>
  <c r="CT32" i="13"/>
  <c r="CS32" i="13"/>
  <c r="CR32" i="13"/>
  <c r="CQ32" i="13"/>
  <c r="CL32" i="13"/>
  <c r="CP32" i="13"/>
  <c r="CK32" i="13"/>
  <c r="CO32" i="13"/>
  <c r="CN32" i="13"/>
  <c r="CJ32" i="13"/>
  <c r="CI32" i="13"/>
  <c r="CM32" i="13"/>
  <c r="CX66" i="13"/>
  <c r="CW66" i="13"/>
  <c r="CV66" i="13"/>
  <c r="CU66" i="13"/>
  <c r="CT66" i="13"/>
  <c r="CS66" i="13"/>
  <c r="CR66" i="13"/>
  <c r="CP66" i="13"/>
  <c r="CO66" i="13"/>
  <c r="CM66" i="13"/>
  <c r="CL66" i="13"/>
  <c r="CJ66" i="13"/>
  <c r="CN66" i="13"/>
  <c r="CI66" i="13"/>
  <c r="CK66" i="13"/>
  <c r="CQ66" i="13"/>
  <c r="CS53" i="13"/>
  <c r="CX53" i="13"/>
  <c r="CW53" i="13"/>
  <c r="CQ53" i="13"/>
  <c r="CV53" i="13"/>
  <c r="CO53" i="13"/>
  <c r="CU53" i="13"/>
  <c r="CT53" i="13"/>
  <c r="CK53" i="13"/>
  <c r="CI53" i="13"/>
  <c r="CN53" i="13"/>
  <c r="CR53" i="13"/>
  <c r="CM53" i="13"/>
  <c r="CJ53" i="13"/>
  <c r="CP53" i="13"/>
  <c r="CL53" i="13"/>
  <c r="CW74" i="13"/>
  <c r="CV74" i="13"/>
  <c r="CT74" i="13"/>
  <c r="CX74" i="13"/>
  <c r="CS74" i="13"/>
  <c r="CU74" i="13"/>
  <c r="CR74" i="13"/>
  <c r="CP74" i="13"/>
  <c r="CO74" i="13"/>
  <c r="CM74" i="13"/>
  <c r="CQ74" i="13"/>
  <c r="CL74" i="13"/>
  <c r="CJ74" i="13"/>
  <c r="CN74" i="13"/>
  <c r="CK74" i="13"/>
  <c r="CI74" i="13"/>
  <c r="CX73" i="13"/>
  <c r="CV73" i="13"/>
  <c r="CU73" i="13"/>
  <c r="CS73" i="13"/>
  <c r="CR73" i="13"/>
  <c r="CQ73" i="13"/>
  <c r="CW73" i="13"/>
  <c r="CO73" i="13"/>
  <c r="CT73" i="13"/>
  <c r="CN73" i="13"/>
  <c r="CM73" i="13"/>
  <c r="CL73" i="13"/>
  <c r="CK73" i="13"/>
  <c r="CP73" i="13"/>
  <c r="CI73" i="13"/>
  <c r="CJ73" i="13"/>
  <c r="CW28" i="13"/>
  <c r="CV28" i="13"/>
  <c r="CX28" i="13"/>
  <c r="CU28" i="13"/>
  <c r="CS28" i="13"/>
  <c r="CR28" i="13"/>
  <c r="CQ28" i="13"/>
  <c r="CO28" i="13"/>
  <c r="CN28" i="13"/>
  <c r="CL28" i="13"/>
  <c r="CJ28" i="13"/>
  <c r="CP28" i="13"/>
  <c r="CI28" i="13"/>
  <c r="CM28" i="13"/>
  <c r="CK28" i="13"/>
  <c r="CX5" i="13"/>
  <c r="CS5" i="13"/>
  <c r="CW5" i="13"/>
  <c r="CV5" i="13"/>
  <c r="CU5" i="13"/>
  <c r="CQ5" i="13"/>
  <c r="CO5" i="13"/>
  <c r="CK5" i="13"/>
  <c r="CI5" i="13"/>
  <c r="CP5" i="13"/>
  <c r="CN5" i="13"/>
  <c r="CM5" i="13"/>
  <c r="CR5" i="13"/>
  <c r="CJ5" i="13"/>
  <c r="CL5" i="13"/>
  <c r="CV45" i="13"/>
  <c r="CU45" i="13"/>
  <c r="CS45" i="13"/>
  <c r="CX45" i="13"/>
  <c r="CT45" i="13"/>
  <c r="CQ45" i="13"/>
  <c r="CO45" i="13"/>
  <c r="CW45" i="13"/>
  <c r="CK45" i="13"/>
  <c r="CI45" i="13"/>
  <c r="CR45" i="13"/>
  <c r="CP45" i="13"/>
  <c r="CN45" i="13"/>
  <c r="CM45" i="13"/>
  <c r="CL45" i="13"/>
  <c r="CJ45" i="13"/>
  <c r="CT38" i="13"/>
  <c r="CX38" i="13"/>
  <c r="CW38" i="13"/>
  <c r="CV38" i="13"/>
  <c r="CU38" i="13"/>
  <c r="CR38" i="13"/>
  <c r="CQ38" i="13"/>
  <c r="CS38" i="13"/>
  <c r="CP38" i="13"/>
  <c r="CO38" i="13"/>
  <c r="CL38" i="13"/>
  <c r="CJ38" i="13"/>
  <c r="CI38" i="13"/>
  <c r="CN38" i="13"/>
  <c r="CM38" i="13"/>
  <c r="CK38" i="13"/>
  <c r="CW40" i="13"/>
  <c r="CX40" i="13"/>
  <c r="CV40" i="13"/>
  <c r="CS40" i="13"/>
  <c r="CU40" i="13"/>
  <c r="CR40" i="13"/>
  <c r="CQ40" i="13"/>
  <c r="CT40" i="13"/>
  <c r="CP40" i="13"/>
  <c r="CL40" i="13"/>
  <c r="CK40" i="13"/>
  <c r="CO40" i="13"/>
  <c r="CJ40" i="13"/>
  <c r="CN40" i="13"/>
  <c r="CM40" i="13"/>
  <c r="CI40" i="13"/>
  <c r="CV55" i="13"/>
  <c r="CU55" i="13"/>
  <c r="CW55" i="13"/>
  <c r="CR55" i="13"/>
  <c r="CQ55" i="13"/>
  <c r="CP55" i="13"/>
  <c r="CT55" i="13"/>
  <c r="CS55" i="13"/>
  <c r="CX55" i="13"/>
  <c r="CM55" i="13"/>
  <c r="CO55" i="13"/>
  <c r="CK55" i="13"/>
  <c r="CJ55" i="13"/>
  <c r="CN55" i="13"/>
  <c r="CL55" i="13"/>
  <c r="CI55" i="13"/>
  <c r="CX43" i="13"/>
  <c r="CW43" i="13"/>
  <c r="CV43" i="13"/>
  <c r="CU43" i="13"/>
  <c r="CS43" i="13"/>
  <c r="CR43" i="13"/>
  <c r="CT43" i="13"/>
  <c r="CQ43" i="13"/>
  <c r="CP43" i="13"/>
  <c r="CN43" i="13"/>
  <c r="CO43" i="13"/>
  <c r="CM43" i="13"/>
  <c r="CK43" i="13"/>
  <c r="CL43" i="13"/>
  <c r="CJ43" i="13"/>
  <c r="CI43" i="13"/>
  <c r="CV63" i="13"/>
  <c r="CU63" i="13"/>
  <c r="CX63" i="13"/>
  <c r="CT63" i="13"/>
  <c r="CR63" i="13"/>
  <c r="CS63" i="13"/>
  <c r="CQ63" i="13"/>
  <c r="CP63" i="13"/>
  <c r="CW63" i="13"/>
  <c r="CO63" i="13"/>
  <c r="CM63" i="13"/>
  <c r="CK63" i="13"/>
  <c r="CJ63" i="13"/>
  <c r="CN63" i="13"/>
  <c r="CI63" i="13"/>
  <c r="CL63" i="13"/>
  <c r="CS61" i="13"/>
  <c r="CX61" i="13"/>
  <c r="CW61" i="13"/>
  <c r="CV61" i="13"/>
  <c r="CU61" i="13"/>
  <c r="CT61" i="13"/>
  <c r="CQ61" i="13"/>
  <c r="CO61" i="13"/>
  <c r="CK61" i="13"/>
  <c r="CI61" i="13"/>
  <c r="CN61" i="13"/>
  <c r="CR61" i="13"/>
  <c r="CP61" i="13"/>
  <c r="CM61" i="13"/>
  <c r="CL61" i="13"/>
  <c r="CJ61" i="13"/>
  <c r="CV18" i="13"/>
  <c r="CU18" i="13"/>
  <c r="CS18" i="13"/>
  <c r="CX18" i="13"/>
  <c r="CW18" i="13"/>
  <c r="CT18" i="13"/>
  <c r="CR18" i="13"/>
  <c r="CQ18" i="13"/>
  <c r="CP18" i="13"/>
  <c r="CO18" i="13"/>
  <c r="CM18" i="13"/>
  <c r="CL18" i="13"/>
  <c r="CJ18" i="13"/>
  <c r="CK18" i="13"/>
  <c r="CI18" i="13"/>
  <c r="CN18" i="13"/>
  <c r="T27" i="21"/>
  <c r="T21" i="21"/>
  <c r="T19" i="21"/>
  <c r="T15" i="21"/>
  <c r="T8" i="21"/>
  <c r="T7" i="21"/>
  <c r="T17" i="21"/>
  <c r="T13" i="21"/>
  <c r="U9" i="21"/>
  <c r="T26" i="21"/>
  <c r="B26" i="1"/>
  <c r="X26" i="1" s="1"/>
  <c r="X23" i="1"/>
  <c r="B11" i="1"/>
  <c r="A11" i="1" s="1"/>
  <c r="A8" i="1"/>
  <c r="X68" i="1"/>
  <c r="A68" i="1"/>
  <c r="X24" i="1"/>
  <c r="A24" i="1"/>
  <c r="X69" i="1"/>
  <c r="A69" i="1"/>
  <c r="B88" i="1"/>
  <c r="A88" i="1" s="1"/>
  <c r="A85" i="1"/>
  <c r="B12" i="1"/>
  <c r="A12" i="1" s="1"/>
  <c r="A9" i="1"/>
  <c r="X106" i="1"/>
  <c r="A106" i="1"/>
  <c r="B42" i="1"/>
  <c r="A42" i="1" s="1"/>
  <c r="A39" i="1"/>
  <c r="X116" i="1"/>
  <c r="B117" i="1"/>
  <c r="X164" i="1"/>
  <c r="X40" i="1"/>
  <c r="B73" i="1"/>
  <c r="B43" i="1"/>
  <c r="A43" i="1" s="1"/>
  <c r="X10" i="1"/>
  <c r="B13" i="1"/>
  <c r="A13" i="1" s="1"/>
  <c r="X134" i="1"/>
  <c r="B130" i="1"/>
  <c r="A130" i="1" s="1"/>
  <c r="B28" i="1"/>
  <c r="A28" i="1" s="1"/>
  <c r="B135" i="1"/>
  <c r="A135" i="1" s="1"/>
  <c r="X111" i="1"/>
  <c r="B87" i="1"/>
  <c r="A87" i="1" s="1"/>
  <c r="B112" i="1"/>
  <c r="A112" i="1" s="1"/>
  <c r="X84" i="1"/>
  <c r="X70" i="1"/>
  <c r="X9" i="1"/>
  <c r="B107" i="1"/>
  <c r="A107" i="1" s="1"/>
  <c r="X98" i="1"/>
  <c r="X129" i="1"/>
  <c r="X85" i="1"/>
  <c r="B71" i="1"/>
  <c r="A71" i="1" s="1"/>
  <c r="X8" i="1"/>
  <c r="X39" i="1"/>
  <c r="X99" i="1"/>
  <c r="X100" i="1"/>
  <c r="B27" i="1"/>
  <c r="A27" i="1" s="1"/>
  <c r="X25" i="1"/>
  <c r="B72" i="1"/>
  <c r="A72" i="1" s="1"/>
  <c r="U6" i="21"/>
  <c r="T25" i="21"/>
  <c r="T34" i="21"/>
  <c r="T30" i="21"/>
  <c r="T22" i="21"/>
  <c r="CW4" i="13"/>
  <c r="CU4" i="13"/>
  <c r="CV4" i="13"/>
  <c r="CJ4" i="13"/>
  <c r="CK4" i="13"/>
  <c r="CL4" i="13"/>
  <c r="CP4" i="13"/>
  <c r="CN4" i="13"/>
  <c r="CX4" i="13"/>
  <c r="CO4" i="13"/>
  <c r="CR4" i="13"/>
  <c r="CQ4" i="13"/>
  <c r="CS4" i="13"/>
  <c r="CI4" i="13"/>
  <c r="B86" i="1"/>
  <c r="A86" i="1" s="1"/>
  <c r="X83" i="1"/>
  <c r="X38" i="1"/>
  <c r="B41" i="1"/>
  <c r="A41" i="1" s="1"/>
  <c r="D58" i="13" l="1"/>
  <c r="D60" i="13" s="1"/>
  <c r="CY4" i="13" s="1"/>
  <c r="X88" i="1"/>
  <c r="A26" i="1"/>
  <c r="B29" i="1"/>
  <c r="A29" i="1" s="1"/>
  <c r="B15" i="1"/>
  <c r="A15" i="1" s="1"/>
  <c r="X12" i="1"/>
  <c r="B76" i="1"/>
  <c r="A76" i="1" s="1"/>
  <c r="A73" i="1"/>
  <c r="B45" i="1"/>
  <c r="A45" i="1" s="1"/>
  <c r="B14" i="1"/>
  <c r="A14" i="1" s="1"/>
  <c r="B91" i="1"/>
  <c r="B118" i="1"/>
  <c r="A118" i="1" s="1"/>
  <c r="A117" i="1"/>
  <c r="X11" i="1"/>
  <c r="X42" i="1"/>
  <c r="X43" i="1"/>
  <c r="B16" i="1"/>
  <c r="B113" i="1"/>
  <c r="A113" i="1" s="1"/>
  <c r="X165" i="1"/>
  <c r="B46" i="1"/>
  <c r="A46" i="1" s="1"/>
  <c r="B90" i="1"/>
  <c r="A90" i="1" s="1"/>
  <c r="X87" i="1"/>
  <c r="B131" i="1"/>
  <c r="X28" i="1"/>
  <c r="X130" i="1"/>
  <c r="X135" i="1"/>
  <c r="X112" i="1"/>
  <c r="X73" i="1"/>
  <c r="X13" i="1"/>
  <c r="B136" i="1"/>
  <c r="A136" i="1" s="1"/>
  <c r="B31" i="1"/>
  <c r="X72" i="1"/>
  <c r="B75" i="1"/>
  <c r="A75" i="1" s="1"/>
  <c r="X71" i="1"/>
  <c r="B74" i="1"/>
  <c r="A74" i="1" s="1"/>
  <c r="X117" i="1"/>
  <c r="X27" i="1"/>
  <c r="B30" i="1"/>
  <c r="A30" i="1" s="1"/>
  <c r="B108" i="1"/>
  <c r="A108" i="1" s="1"/>
  <c r="X107" i="1"/>
  <c r="B44" i="1"/>
  <c r="A44" i="1" s="1"/>
  <c r="X41" i="1"/>
  <c r="X86" i="1"/>
  <c r="B89" i="1"/>
  <c r="A89" i="1" s="1"/>
  <c r="X29" i="1" l="1"/>
  <c r="X14" i="1"/>
  <c r="X15" i="1"/>
  <c r="X45" i="1"/>
  <c r="X31" i="1"/>
  <c r="A31" i="1"/>
  <c r="X76" i="1"/>
  <c r="X91" i="1"/>
  <c r="A91" i="1"/>
  <c r="X131" i="1"/>
  <c r="A131" i="1"/>
  <c r="X16" i="1"/>
  <c r="A16" i="1"/>
  <c r="X113" i="1"/>
  <c r="X46" i="1"/>
  <c r="X90" i="1"/>
  <c r="X136" i="1"/>
  <c r="X118" i="1"/>
  <c r="X75" i="1"/>
  <c r="X89" i="1"/>
  <c r="X30" i="1"/>
  <c r="X108" i="1"/>
  <c r="X74" i="1"/>
  <c r="X44" i="1"/>
  <c r="X166" i="1" l="1"/>
  <c r="B138" i="1"/>
  <c r="A138" i="1" s="1"/>
  <c r="X137" i="1"/>
  <c r="X167" i="1" l="1"/>
  <c r="X138" i="1"/>
  <c r="B139" i="1"/>
  <c r="A139" i="1" s="1"/>
  <c r="X168" i="1" l="1"/>
  <c r="X139" i="1"/>
  <c r="B140" i="1"/>
  <c r="A140" i="1" s="1"/>
  <c r="X169" i="1" l="1"/>
  <c r="B141" i="1"/>
  <c r="A141" i="1" s="1"/>
  <c r="X140" i="1"/>
  <c r="X170" i="1" l="1"/>
  <c r="X141" i="1"/>
  <c r="X171" i="1" l="1"/>
  <c r="B143" i="1"/>
  <c r="A143" i="1" s="1"/>
  <c r="X142" i="1"/>
  <c r="X172" i="1" l="1"/>
  <c r="B144" i="1"/>
  <c r="A144" i="1" s="1"/>
  <c r="X143" i="1"/>
  <c r="X173" i="1" l="1"/>
  <c r="B125" i="1"/>
  <c r="A125" i="1" s="1"/>
  <c r="B145" i="1"/>
  <c r="A145" i="1" s="1"/>
  <c r="X144" i="1"/>
  <c r="X174" i="1" l="1"/>
  <c r="X125" i="1"/>
  <c r="B126" i="1"/>
  <c r="X145" i="1"/>
  <c r="B146" i="1"/>
  <c r="A146" i="1" s="1"/>
  <c r="X126" i="1" l="1"/>
  <c r="A126" i="1"/>
  <c r="X175" i="1"/>
  <c r="X146" i="1"/>
  <c r="B148" i="1" l="1"/>
  <c r="A148" i="1" s="1"/>
  <c r="X148" i="1" l="1"/>
  <c r="B149" i="1"/>
  <c r="A149" i="1" s="1"/>
  <c r="X176" i="1" l="1"/>
  <c r="X149" i="1"/>
  <c r="B150" i="1"/>
  <c r="A150" i="1" s="1"/>
  <c r="X177" i="1" l="1"/>
  <c r="B151" i="1"/>
  <c r="A151" i="1" s="1"/>
  <c r="X150" i="1"/>
  <c r="X178" i="1" l="1"/>
  <c r="X151" i="1"/>
  <c r="X179" i="1" l="1"/>
  <c r="B153" i="1"/>
  <c r="A153" i="1" s="1"/>
  <c r="X180" i="1" l="1"/>
  <c r="X153" i="1"/>
  <c r="B154" i="1"/>
  <c r="A154" i="1" s="1"/>
  <c r="B155" i="1" l="1"/>
  <c r="A155" i="1" s="1"/>
  <c r="X154" i="1"/>
  <c r="X155" i="1" l="1"/>
  <c r="B156" i="1"/>
  <c r="A156" i="1" s="1"/>
  <c r="X181" i="1" l="1"/>
  <c r="X156" i="1"/>
  <c r="X182" i="1" l="1"/>
  <c r="X183" i="1" l="1"/>
  <c r="X184" i="1" l="1"/>
  <c r="X185" i="1" l="1"/>
  <c r="X186" i="1" l="1"/>
  <c r="X187" i="1" l="1"/>
  <c r="X188" i="1" l="1"/>
  <c r="X189" i="1" l="1"/>
  <c r="X190" i="1" l="1"/>
  <c r="X191" i="1" l="1"/>
  <c r="X192" i="1" l="1"/>
  <c r="X193" i="1" l="1"/>
  <c r="X194" i="1" l="1"/>
  <c r="X195" i="1" l="1"/>
  <c r="X196" i="1" l="1"/>
  <c r="X197" i="1" l="1"/>
  <c r="X198" i="1" l="1"/>
  <c r="X199" i="1" l="1"/>
  <c r="X200" i="1" l="1"/>
  <c r="X201" i="1" l="1"/>
  <c r="X202" i="1" l="1"/>
  <c r="X203" i="1" l="1"/>
  <c r="X204" i="1" l="1"/>
  <c r="X205" i="1" l="1"/>
  <c r="X206" i="1" l="1"/>
  <c r="X207" i="1" l="1"/>
  <c r="X208" i="1" l="1"/>
  <c r="X209" i="1" l="1"/>
  <c r="X210" i="1" l="1"/>
  <c r="X211" i="1" l="1"/>
  <c r="X212" i="1" l="1"/>
  <c r="X213" i="1" l="1"/>
  <c r="X214" i="1" l="1"/>
  <c r="X215" i="1" l="1"/>
  <c r="X225" i="1" l="1"/>
  <c r="X226" i="1" l="1"/>
  <c r="X227" i="1" l="1"/>
  <c r="X228" i="1" l="1"/>
  <c r="X229" i="1" l="1"/>
  <c r="X230" i="1" l="1"/>
  <c r="X231" i="1" l="1"/>
  <c r="X232" i="1" l="1"/>
  <c r="X233" i="1" l="1"/>
  <c r="X234" i="1" l="1"/>
  <c r="X235" i="1" l="1"/>
  <c r="X236" i="1" l="1"/>
  <c r="X237" i="1" l="1"/>
  <c r="X238" i="1" l="1"/>
  <c r="X239" i="1" l="1"/>
  <c r="X240" i="1" l="1"/>
  <c r="X241" i="1" l="1"/>
  <c r="X242" i="1" l="1"/>
  <c r="X243" i="1" l="1"/>
  <c r="X244" i="1" l="1"/>
  <c r="X245" i="1" l="1"/>
  <c r="X247" i="1" l="1"/>
  <c r="X248" i="1" l="1"/>
  <c r="X249" i="1" l="1"/>
  <c r="X250" i="1" l="1"/>
  <c r="X251" i="1" l="1"/>
  <c r="X252" i="1" l="1"/>
  <c r="X253" i="1" l="1"/>
  <c r="X254" i="1" l="1"/>
  <c r="X255" i="1" l="1"/>
  <c r="X256" i="1" l="1"/>
  <c r="X257" i="1" l="1"/>
  <c r="X258" i="1" l="1"/>
  <c r="X259" i="1" l="1"/>
  <c r="X260" i="1" l="1"/>
  <c r="X261" i="1" l="1"/>
  <c r="X262" i="1" l="1"/>
  <c r="X263" i="1" l="1"/>
  <c r="X264" i="1" l="1"/>
  <c r="X265" i="1" l="1"/>
  <c r="X266" i="1" l="1"/>
  <c r="X267" i="1" l="1"/>
  <c r="X268" i="1" l="1"/>
  <c r="X269" i="1" l="1"/>
  <c r="X270" i="1" l="1"/>
  <c r="X271" i="1" l="1"/>
  <c r="X272" i="1" l="1"/>
  <c r="X273" i="1" l="1"/>
  <c r="X274" i="1" l="1"/>
  <c r="X275" i="1" l="1"/>
  <c r="X276" i="1" l="1"/>
  <c r="X277" i="1" l="1"/>
  <c r="X278" i="1" l="1"/>
  <c r="X279" i="1" l="1"/>
  <c r="X280" i="1" l="1"/>
  <c r="X281" i="1" l="1"/>
  <c r="X282" i="1" l="1"/>
  <c r="X283" i="1" l="1"/>
  <c r="X284" i="1" l="1"/>
  <c r="X285" i="1" l="1"/>
  <c r="X286" i="1" l="1"/>
  <c r="X287" i="1" l="1"/>
  <c r="X288" i="1" l="1"/>
  <c r="X289" i="1" l="1"/>
  <c r="X290" i="1" l="1"/>
  <c r="X291" i="1" l="1"/>
  <c r="X292" i="1" l="1"/>
  <c r="X293" i="1" l="1"/>
  <c r="X294" i="1" l="1"/>
  <c r="X295" i="1" l="1"/>
  <c r="X296" i="1" l="1"/>
  <c r="X297" i="1" l="1"/>
  <c r="X298" i="1" l="1"/>
  <c r="X299" i="1" l="1"/>
  <c r="X300" i="1" l="1"/>
  <c r="X301" i="1" l="1"/>
  <c r="X302" i="1" l="1"/>
  <c r="X303" i="1" l="1"/>
  <c r="X304" i="1" l="1"/>
  <c r="X305" i="1" l="1"/>
  <c r="X306" i="1" l="1"/>
  <c r="X307" i="1" l="1"/>
  <c r="X308" i="1" l="1"/>
  <c r="X309" i="1" l="1"/>
  <c r="X310" i="1" l="1"/>
  <c r="X311" i="1" l="1"/>
  <c r="X312" i="1" l="1"/>
  <c r="X313" i="1" l="1"/>
  <c r="X314" i="1" l="1"/>
  <c r="X315" i="1" l="1"/>
  <c r="X316" i="1" l="1"/>
  <c r="X317" i="1" l="1"/>
  <c r="X318" i="1" l="1"/>
  <c r="X319" i="1" l="1"/>
  <c r="X320" i="1" l="1"/>
  <c r="X321" i="1" l="1"/>
  <c r="X322" i="1" l="1"/>
  <c r="X323" i="1" l="1"/>
  <c r="X324" i="1" l="1"/>
  <c r="X325" i="1" l="1"/>
  <c r="X326" i="1" l="1"/>
  <c r="X327" i="1" l="1"/>
  <c r="X328" i="1" l="1"/>
  <c r="X329" i="1" l="1"/>
  <c r="X330" i="1" l="1"/>
  <c r="X331" i="1" l="1"/>
  <c r="X332" i="1" l="1"/>
  <c r="X333" i="1" l="1"/>
  <c r="X334" i="1" l="1"/>
  <c r="X335" i="1" l="1"/>
  <c r="X336" i="1" l="1"/>
  <c r="X337" i="1" l="1"/>
  <c r="X338" i="1" l="1"/>
  <c r="X339" i="1" l="1"/>
  <c r="X340" i="1" l="1"/>
  <c r="X341" i="1" l="1"/>
  <c r="X342" i="1" l="1"/>
  <c r="X343" i="1" l="1"/>
  <c r="X344" i="1" l="1"/>
  <c r="X345" i="1" l="1"/>
  <c r="X346" i="1" l="1"/>
  <c r="X347" i="1" l="1"/>
  <c r="X348" i="1" l="1"/>
  <c r="X349" i="1" l="1"/>
  <c r="X350" i="1" l="1"/>
  <c r="X351" i="1" l="1"/>
  <c r="X352" i="1" l="1"/>
  <c r="X353" i="1" l="1"/>
  <c r="X354" i="1" l="1"/>
  <c r="X355" i="1" l="1"/>
  <c r="X356" i="1" l="1"/>
  <c r="X357" i="1" l="1"/>
  <c r="X358" i="1" l="1"/>
  <c r="X359" i="1" l="1"/>
  <c r="X360" i="1" l="1"/>
  <c r="X361" i="1" l="1"/>
  <c r="X362" i="1" l="1"/>
  <c r="X363" i="1" l="1"/>
  <c r="X364" i="1" l="1"/>
  <c r="X365" i="1" l="1"/>
  <c r="X366" i="1" l="1"/>
  <c r="X367" i="1" l="1"/>
  <c r="X368" i="1" l="1"/>
  <c r="X369" i="1" l="1"/>
  <c r="X370" i="1" l="1"/>
  <c r="X371" i="1" l="1"/>
  <c r="X372" i="1" l="1"/>
  <c r="X373" i="1" l="1"/>
  <c r="X374" i="1" l="1"/>
  <c r="X375" i="1" l="1"/>
  <c r="X376" i="1" l="1"/>
  <c r="X377" i="1" l="1"/>
  <c r="X378" i="1" l="1"/>
  <c r="X379" i="1" l="1"/>
  <c r="X380" i="1" l="1"/>
  <c r="X381" i="1" l="1"/>
  <c r="X382" i="1" l="1"/>
  <c r="X383" i="1" l="1"/>
  <c r="X384" i="1" l="1"/>
  <c r="X385" i="1" l="1"/>
  <c r="X386" i="1" l="1"/>
  <c r="X387" i="1" l="1"/>
  <c r="X388" i="1" l="1"/>
  <c r="X389" i="1" l="1"/>
  <c r="X390" i="1" l="1"/>
  <c r="X391" i="1" l="1"/>
  <c r="X392" i="1" l="1"/>
  <c r="X393" i="1" l="1"/>
  <c r="X394" i="1" l="1"/>
  <c r="X395" i="1" l="1"/>
  <c r="X396" i="1" l="1"/>
  <c r="X397" i="1" l="1"/>
  <c r="X398" i="1" l="1"/>
  <c r="X399" i="1" l="1"/>
  <c r="X400" i="1" l="1"/>
  <c r="X401" i="1" l="1"/>
  <c r="X402" i="1" l="1"/>
  <c r="X403" i="1" l="1"/>
  <c r="X404" i="1" l="1"/>
  <c r="X405" i="1" l="1"/>
  <c r="X411" i="1" l="1"/>
  <c r="X413" i="1" l="1"/>
  <c r="X414" i="1" l="1"/>
  <c r="X415" i="1" l="1"/>
  <c r="X416" i="1" l="1"/>
  <c r="X417" i="1" l="1"/>
  <c r="X418" i="1" l="1"/>
  <c r="X419" i="1" l="1"/>
  <c r="X420" i="1" l="1"/>
  <c r="X421" i="1" l="1"/>
  <c r="X422" i="1" l="1"/>
  <c r="X423" i="1" l="1"/>
  <c r="X424" i="1" l="1"/>
  <c r="X425" i="1" l="1"/>
  <c r="X426" i="1" l="1"/>
  <c r="X427" i="1" l="1"/>
  <c r="X428" i="1" l="1"/>
  <c r="X429" i="1" l="1"/>
  <c r="X430" i="1" l="1"/>
  <c r="X431" i="1" l="1"/>
  <c r="X432" i="1" l="1"/>
  <c r="X433" i="1" l="1"/>
  <c r="X434" i="1" l="1"/>
  <c r="X435" i="1" l="1"/>
  <c r="X436" i="1" l="1"/>
  <c r="X437" i="1" l="1"/>
  <c r="X438" i="1" l="1"/>
  <c r="X439" i="1" l="1"/>
  <c r="X440" i="1" l="1"/>
  <c r="X441" i="1" l="1"/>
  <c r="X442" i="1" l="1"/>
  <c r="X44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Jessica Padilha</author>
  </authors>
  <commentList>
    <comment ref="D2" authorId="0" shapeId="0" xr:uid="{64C88558-E7A7-474F-A2E5-F85D2188911A}">
      <text>
        <r>
          <rPr>
            <b/>
            <sz val="9"/>
            <color indexed="81"/>
            <rFont val="Tahoma"/>
            <family val="2"/>
          </rPr>
          <t>Jessica Padilha:</t>
        </r>
        <r>
          <rPr>
            <sz val="9"/>
            <color indexed="81"/>
            <rFont val="Tahoma"/>
            <family val="2"/>
          </rPr>
          <t xml:space="preserve">
Basico ou Personalizado</t>
        </r>
      </text>
    </comment>
    <comment ref="E2" authorId="0" shapeId="0" xr:uid="{470177B8-0E27-4094-A091-F257C5464468}">
      <text>
        <r>
          <rPr>
            <b/>
            <sz val="9"/>
            <color indexed="81"/>
            <rFont val="Tahoma"/>
            <family val="2"/>
          </rPr>
          <t>Jessica Padilha:
Sobre o Conteudo</t>
        </r>
      </text>
    </comment>
    <comment ref="F2" authorId="0" shapeId="0" xr:uid="{D2FF1B29-2D47-4457-8084-9AA993096DEB}">
      <text>
        <r>
          <rPr>
            <b/>
            <sz val="9"/>
            <color indexed="81"/>
            <rFont val="Tahoma"/>
            <family val="2"/>
          </rPr>
          <t>Jessica Padilha:</t>
        </r>
        <r>
          <rPr>
            <sz val="9"/>
            <color indexed="81"/>
            <rFont val="Tahoma"/>
            <family val="2"/>
          </rPr>
          <t xml:space="preserve">
Contraparte que faz o contrato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Guilherme Rafare</author>
  </authors>
  <commentList>
    <comment ref="E21" authorId="0" shapeId="0" xr:uid="{945A6E3A-F7B9-46E1-AD16-FD1E7951382D}">
      <text>
        <r>
          <rPr>
            <b/>
            <sz val="9"/>
            <color indexed="81"/>
            <rFont val="Segoe UI"/>
            <family val="2"/>
          </rPr>
          <t>Guilherme Rafare:</t>
        </r>
        <r>
          <rPr>
            <sz val="9"/>
            <color indexed="81"/>
            <rFont val="Segoe UI"/>
            <family val="2"/>
          </rPr>
          <t xml:space="preserve">
Não houve aprovação formal, apenas envio para a ANBIMA.</t>
        </r>
      </text>
    </comment>
    <comment ref="E22" authorId="0" shapeId="0" xr:uid="{B9C17952-4A17-4DED-8E0F-6DE0CBBABA9C}">
      <text>
        <r>
          <rPr>
            <b/>
            <sz val="9"/>
            <color indexed="81"/>
            <rFont val="Segoe UI"/>
            <family val="2"/>
          </rPr>
          <t>Guilherme Rafare:</t>
        </r>
        <r>
          <rPr>
            <sz val="9"/>
            <color indexed="81"/>
            <rFont val="Segoe UI"/>
            <family val="2"/>
          </rPr>
          <t xml:space="preserve">
Não houve aprovação formal, apenas envio para a ANBIMA.</t>
        </r>
      </text>
    </comment>
    <comment ref="E23" authorId="0" shapeId="0" xr:uid="{EAAF0A85-C68D-43C8-BD79-689F17717324}">
      <text>
        <r>
          <rPr>
            <b/>
            <sz val="9"/>
            <color indexed="81"/>
            <rFont val="Segoe UI"/>
            <family val="2"/>
          </rPr>
          <t>Guilherme Rafare:</t>
        </r>
        <r>
          <rPr>
            <sz val="9"/>
            <color indexed="81"/>
            <rFont val="Segoe UI"/>
            <family val="2"/>
          </rPr>
          <t xml:space="preserve">
Não houve aprovação formal, apenas envio para a ANBIMA.</t>
        </r>
      </text>
    </comment>
    <comment ref="E24" authorId="0" shapeId="0" xr:uid="{000D76F6-8EBC-4EA5-9E94-24405818D23A}">
      <text>
        <r>
          <rPr>
            <b/>
            <sz val="9"/>
            <color indexed="81"/>
            <rFont val="Segoe UI"/>
            <family val="2"/>
          </rPr>
          <t>Guilherme Rafare:</t>
        </r>
        <r>
          <rPr>
            <sz val="9"/>
            <color indexed="81"/>
            <rFont val="Segoe UI"/>
            <family val="2"/>
          </rPr>
          <t xml:space="preserve">
Não houve aprovação formal, apenas envio para a ANBIMA.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Geovane Carmo</author>
  </authors>
  <commentList>
    <comment ref="B28" authorId="0" shapeId="0" xr:uid="{12D69DA5-C54D-4744-8403-7064F02804DB}">
      <text>
        <r>
          <rPr>
            <b/>
            <sz val="9"/>
            <color indexed="81"/>
            <rFont val="Tahoma"/>
            <family val="2"/>
          </rPr>
          <t>Geovane Carmo:</t>
        </r>
        <r>
          <rPr>
            <sz val="9"/>
            <color indexed="81"/>
            <rFont val="Tahoma"/>
            <family val="2"/>
          </rPr>
          <t xml:space="preserve">
Quando maior a disponiblidade melhor. Na ótica no indicador 
0 = alta disponibilidade
10= baixa disponibilidade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3B8C38B-5B3E-44AF-934E-734117D76BF3}" keepAlive="1" name="Query - d_Treinamentos" description="Connection to the 'd_Treinamentos' query in the workbook." type="5" refreshedVersion="8" background="1" saveData="1">
    <dbPr connection="Provider=Microsoft.Mashup.OleDb.1;Data Source=$Workbook$;Location=d_Treinamentos;Extended Properties=&quot;&quot;" command="SELECT * FROM [d_Treinamentos]"/>
  </connection>
</connections>
</file>

<file path=xl/sharedStrings.xml><?xml version="1.0" encoding="utf-8"?>
<sst xmlns="http://schemas.openxmlformats.org/spreadsheetml/2006/main" count="45537" uniqueCount="4776">
  <si>
    <t>Data</t>
  </si>
  <si>
    <t>Versão</t>
  </si>
  <si>
    <t>1° Prévia</t>
  </si>
  <si>
    <t>2° Prévia</t>
  </si>
  <si>
    <t>Final</t>
  </si>
  <si>
    <t>Observação</t>
  </si>
  <si>
    <t>Ok</t>
  </si>
  <si>
    <t>Satus</t>
  </si>
  <si>
    <t>Confirmação de backup</t>
  </si>
  <si>
    <t>Gravação de vídeo</t>
  </si>
  <si>
    <t>Gravação telefônica</t>
  </si>
  <si>
    <t>Status</t>
  </si>
  <si>
    <r>
      <t xml:space="preserve">Lote45 com indisponibilidade </t>
    </r>
    <r>
      <rPr>
        <i/>
        <sz val="11"/>
        <color theme="1"/>
        <rFont val="Calibri"/>
        <family val="2"/>
        <scheme val="minor"/>
      </rPr>
      <t>"TimeOut"</t>
    </r>
  </si>
  <si>
    <t>DDQ (ANBIMA)</t>
  </si>
  <si>
    <t>Formulário de Referência (Anexo 15 - II da Instrução CVM 558)</t>
  </si>
  <si>
    <t>Manual de Compliance e Código de Ética e Conduta</t>
  </si>
  <si>
    <t>Manual de Gerenciamento de Liquidez</t>
  </si>
  <si>
    <t>Manual de Gestão de Riscos (Política de Gestão de Riscos)</t>
  </si>
  <si>
    <t>Plano de Contingência e Continuidade do Negócio</t>
  </si>
  <si>
    <t>Política de Combate à Corrupção</t>
  </si>
  <si>
    <t>Política de Compra e Venda de Valores Mobiliários por Colaboradores e pela Própria Sociedade (Política de Investimentos Pessoais)</t>
  </si>
  <si>
    <t>Política de Controles Internos</t>
  </si>
  <si>
    <t>Política de Decisão, Seleção e Alocação de Investimentos</t>
  </si>
  <si>
    <t>Política de Exercício de Direito de Voto em Assembleias Gerais</t>
  </si>
  <si>
    <t>Política de Prevenção à Lavagem de Dinheiro</t>
  </si>
  <si>
    <t>Política de Rateio e Divisão de Ordens</t>
  </si>
  <si>
    <t>Política de Segurança das Informações e de Segurança Cibernética</t>
  </si>
  <si>
    <t>Política de Seleção de Corretoras</t>
  </si>
  <si>
    <t>Política de Seleção, Contratação e Monitoramento de Terceiros</t>
  </si>
  <si>
    <t>Política de Treinamento e Reciclagem de Colaboradores</t>
  </si>
  <si>
    <t>Relatório de Controles Internos</t>
  </si>
  <si>
    <t xml:space="preserve">Roteiro para a Realização de Testes para a Verificação de Aderência aos Documentos Internos </t>
  </si>
  <si>
    <t xml:space="preserve">Política de Certificação </t>
  </si>
  <si>
    <t>Nome do Documento Interno</t>
  </si>
  <si>
    <t>Periodicidade da Revisão</t>
  </si>
  <si>
    <t>Trimestral</t>
  </si>
  <si>
    <t>Anual</t>
  </si>
  <si>
    <t>Semestral</t>
  </si>
  <si>
    <t>Data de Aprovação</t>
  </si>
  <si>
    <t>N/A</t>
  </si>
  <si>
    <t>23/Set/2018</t>
  </si>
  <si>
    <t>Data da última revisão</t>
  </si>
  <si>
    <t>Qtd.</t>
  </si>
  <si>
    <t>Núcleo gerencial</t>
  </si>
  <si>
    <t>Tipo de dado</t>
  </si>
  <si>
    <t>Dado</t>
  </si>
  <si>
    <t>Tempo de guarda do dado</t>
  </si>
  <si>
    <t>ok</t>
  </si>
  <si>
    <t>A partir dessa data, fizemos ajustes nos relatórios de "Resumo" data de início da cota 12M</t>
  </si>
  <si>
    <t>Mesa de Operações</t>
  </si>
  <si>
    <t>Riscos e Compliance</t>
  </si>
  <si>
    <t>Operacional</t>
  </si>
  <si>
    <t>Administrativo</t>
  </si>
  <si>
    <t>Relação com Investidores</t>
  </si>
  <si>
    <t>Amazenado</t>
  </si>
  <si>
    <t>Análise</t>
  </si>
  <si>
    <t>Economia</t>
  </si>
  <si>
    <t>Sexo</t>
  </si>
  <si>
    <t>Estado civil</t>
  </si>
  <si>
    <t>Raça</t>
  </si>
  <si>
    <t>Endereço</t>
  </si>
  <si>
    <t>Comum</t>
  </si>
  <si>
    <t>Processo</t>
  </si>
  <si>
    <t>Admissão de funcionário/estagiário</t>
  </si>
  <si>
    <t>Nome Completo</t>
  </si>
  <si>
    <t>Data de nascimento</t>
  </si>
  <si>
    <t>Nacionalidade</t>
  </si>
  <si>
    <t>Grau de escolaridade</t>
  </si>
  <si>
    <t>Profissão</t>
  </si>
  <si>
    <t>Dependentes (até 14 anos)</t>
  </si>
  <si>
    <t>Nome do cônjuge</t>
  </si>
  <si>
    <t>Deficiência</t>
  </si>
  <si>
    <t>Telefone</t>
  </si>
  <si>
    <t>Documentos pessoais (RG, CPF, Título de eleitor, PIS)</t>
  </si>
  <si>
    <t>Filiação</t>
  </si>
  <si>
    <t>E-mail</t>
  </si>
  <si>
    <t>Biométricos</t>
  </si>
  <si>
    <t>Acesso à portaria</t>
  </si>
  <si>
    <t>Sensível</t>
  </si>
  <si>
    <t>Objetivo da coleta</t>
  </si>
  <si>
    <t>Consentimento</t>
  </si>
  <si>
    <t>Sim</t>
  </si>
  <si>
    <t>Compartilhamento</t>
  </si>
  <si>
    <t>FEPIN</t>
  </si>
  <si>
    <t>ENDEV</t>
  </si>
  <si>
    <t>ADAM</t>
  </si>
  <si>
    <t>Não necessária</t>
  </si>
  <si>
    <t>Contrato de confidencialidade com o prestador de serviço (ENDEV)</t>
  </si>
  <si>
    <t>Ação/Tratamento</t>
  </si>
  <si>
    <t>Exclusão da pergunta na "Ficha cadastral"</t>
  </si>
  <si>
    <t>Tempo de permanência do colaborador no quadro da Adam|Capital + 5 anos depois de desligado</t>
  </si>
  <si>
    <t>Diretório "Z:\Administrativo\Contabilidade e RH\Cadastro Funcionários"</t>
  </si>
  <si>
    <t>Responsável pela coleta</t>
  </si>
  <si>
    <t>Sistema ENDEV</t>
  </si>
  <si>
    <t>Admissão - Preenchimento da Ficha cadastral</t>
  </si>
  <si>
    <t>Acesso ao escritório</t>
  </si>
  <si>
    <t>Tempo de permanência do colaborador no quadro da Adam</t>
  </si>
  <si>
    <t>Controle de acesso ao diretório e previsão</t>
  </si>
  <si>
    <t>Controle</t>
  </si>
  <si>
    <t>Previsão contratual de "Confidencialidade"  junto à FEPIN</t>
  </si>
  <si>
    <t>Previsão contratual de "Confidencialidade"  junto à ENDEV</t>
  </si>
  <si>
    <t>N°</t>
  </si>
  <si>
    <t>Consolidação</t>
  </si>
  <si>
    <t>Dados</t>
  </si>
  <si>
    <t>Não foram identificados dados pessoais.</t>
  </si>
  <si>
    <t>Todos os dados são controlados e são tratados.</t>
  </si>
  <si>
    <t>Ativo</t>
  </si>
  <si>
    <t>Fundo</t>
  </si>
  <si>
    <t>Amount</t>
  </si>
  <si>
    <t>Price</t>
  </si>
  <si>
    <t>Dealer</t>
  </si>
  <si>
    <t>NTNB 15/08/2050</t>
  </si>
  <si>
    <t>Local - ADAM PREV IG20 Master</t>
  </si>
  <si>
    <t>Necton</t>
  </si>
  <si>
    <t>Local - ADAM PREV IQ Master</t>
  </si>
  <si>
    <t>Local - ADVANCED Master</t>
  </si>
  <si>
    <t>Local - BB PREVIDENCIARIO Master</t>
  </si>
  <si>
    <t>Local - ICATU PREVIDENCIÁRIO Master</t>
  </si>
  <si>
    <t>Local - INTRAG PREVIDENCIARIO Master</t>
  </si>
  <si>
    <t>Local - MACRO Master</t>
  </si>
  <si>
    <t>Local - SANTANDER PREV Master</t>
  </si>
  <si>
    <t>NTNB 15/05/2055</t>
  </si>
  <si>
    <t>Justificativa</t>
  </si>
  <si>
    <t>Passagem realizada para manter as medidas de risco e proporções de PL desejadas para o fundo.</t>
  </si>
  <si>
    <t>Limite Advanced</t>
  </si>
  <si>
    <t>Resumo Advanced</t>
  </si>
  <si>
    <t>Limite Macro</t>
  </si>
  <si>
    <t>Resumo Macro</t>
  </si>
  <si>
    <t>Limite Strategy</t>
  </si>
  <si>
    <t>Resumo Strategy</t>
  </si>
  <si>
    <t>Limite Icatu</t>
  </si>
  <si>
    <t>Resumo Icatu</t>
  </si>
  <si>
    <t>Limite Intrag</t>
  </si>
  <si>
    <t>Resumo Intrag</t>
  </si>
  <si>
    <t>Limite Santander</t>
  </si>
  <si>
    <t>Resumo Santander</t>
  </si>
  <si>
    <t>Limite BB</t>
  </si>
  <si>
    <t>Resumo BB</t>
  </si>
  <si>
    <t>Limite IG20</t>
  </si>
  <si>
    <t>Resumo IG20</t>
  </si>
  <si>
    <t>Limite IQ</t>
  </si>
  <si>
    <t>Resumo IQ</t>
  </si>
  <si>
    <t>Limite Caixa</t>
  </si>
  <si>
    <t>Resumo Caixa</t>
  </si>
  <si>
    <t>Link de Internet</t>
  </si>
  <si>
    <t>Teste de VPN</t>
  </si>
  <si>
    <t>LFT01092023</t>
  </si>
  <si>
    <t>Renascença</t>
  </si>
  <si>
    <t>Data da última revisão (aprovado)</t>
  </si>
  <si>
    <t>Relatório de Avaliação Interna de Risco de Lavagem de Dinheiro e Financiamento ao Terrorismo ("Relatório LDFT")</t>
  </si>
  <si>
    <t>Metodologia de avaliação de fornecedores por grau de risco</t>
  </si>
  <si>
    <t>Procedimentos para realização de testes de observância</t>
  </si>
  <si>
    <t>Próxima atualização</t>
  </si>
  <si>
    <t>Prazo legal é final de março</t>
  </si>
  <si>
    <t>Prazo legal é final de abril</t>
  </si>
  <si>
    <t>Tullet</t>
  </si>
  <si>
    <t>Raiz</t>
  </si>
  <si>
    <t>Pastas</t>
  </si>
  <si>
    <t>Todas</t>
  </si>
  <si>
    <t>Grupo</t>
  </si>
  <si>
    <t>Todos</t>
  </si>
  <si>
    <t>Administradores</t>
  </si>
  <si>
    <t>(P:) Público</t>
  </si>
  <si>
    <t>(Z:) AdamCapital</t>
  </si>
  <si>
    <t>Aviação</t>
  </si>
  <si>
    <t>Dados_Coletas_Economia</t>
  </si>
  <si>
    <t>Docs</t>
  </si>
  <si>
    <t>DropBox</t>
  </si>
  <si>
    <t>FX</t>
  </si>
  <si>
    <t>Gestão</t>
  </si>
  <si>
    <t>Risco</t>
  </si>
  <si>
    <t>Sales</t>
  </si>
  <si>
    <t>Secretaria</t>
  </si>
  <si>
    <t>Tecnologia</t>
  </si>
  <si>
    <t>Full</t>
  </si>
  <si>
    <t>Usuários</t>
  </si>
  <si>
    <t>André Salgado</t>
  </si>
  <si>
    <t>Camila Souza</t>
  </si>
  <si>
    <t>Filipe Gomes</t>
  </si>
  <si>
    <t>Geovane Carmo</t>
  </si>
  <si>
    <t>Humberto Peres</t>
  </si>
  <si>
    <t>Marina Calasans</t>
  </si>
  <si>
    <t>Thiago Araújo</t>
  </si>
  <si>
    <t>Marcio Appel</t>
  </si>
  <si>
    <t>Raphael Lino</t>
  </si>
  <si>
    <t>David Medeiros</t>
  </si>
  <si>
    <t>Fábio Landi</t>
  </si>
  <si>
    <t>Isadora Sales</t>
  </si>
  <si>
    <t>Pedro Santos</t>
  </si>
  <si>
    <t>Sérgio Dias</t>
  </si>
  <si>
    <t>Eric Willenmsens</t>
  </si>
  <si>
    <t>Monique Goncalves</t>
  </si>
  <si>
    <t>Categoria</t>
  </si>
  <si>
    <t>Tem acesso ao VPN</t>
  </si>
  <si>
    <t>Data de atualização</t>
  </si>
  <si>
    <t>Não</t>
  </si>
  <si>
    <t>Contabilidade e RH\FOLHA</t>
  </si>
  <si>
    <t>Riscos\Rotinas</t>
  </si>
  <si>
    <t>Complexidade (Nota Máxima = 10,00)</t>
  </si>
  <si>
    <t>Peso</t>
  </si>
  <si>
    <t>Diferenciação do produto/serviço frente aos concorrentes</t>
  </si>
  <si>
    <t>Facilidade de substituição do produto/serviço</t>
  </si>
  <si>
    <t>Facilidade de integração do produto/serviço</t>
  </si>
  <si>
    <t>Tempo de substituição do produto/serviço</t>
  </si>
  <si>
    <t>Tempo de aprendizagem para uso do produto/serviço</t>
  </si>
  <si>
    <t>Diferenciação do fornecedor frente aos concorrentes</t>
  </si>
  <si>
    <t>Nota</t>
  </si>
  <si>
    <t>Impacto (Nota Máxima = 10,00)</t>
  </si>
  <si>
    <t>Acesso à Informações Sigilosas</t>
  </si>
  <si>
    <t>Acesso ao local da sede da Gestora</t>
  </si>
  <si>
    <t>Necessidade de contingência</t>
  </si>
  <si>
    <t>Adoção de contingência</t>
  </si>
  <si>
    <t>Nível de impacto de falhas e atrasos</t>
  </si>
  <si>
    <t>Nível de impacto decorrente da descontinuidade do fornecedor</t>
  </si>
  <si>
    <t>Nível de impacto decorrente da descontinuidade do produto/serviço</t>
  </si>
  <si>
    <t>Dependência (Nota Máxima = 10,00)</t>
  </si>
  <si>
    <t>Dificuldade para mudar de fornecedor</t>
  </si>
  <si>
    <t>Diponibilidade de outro fornecedor</t>
  </si>
  <si>
    <t>Disponibilidade de produtos/serviços equivalentes</t>
  </si>
  <si>
    <t xml:space="preserve">Grau de customização do produto/serviço </t>
  </si>
  <si>
    <t xml:space="preserve">Importância do produto/serviço para a atividade principal  </t>
  </si>
  <si>
    <t>Fornecedores de Software para Gestão de Riscos e de Compliance</t>
  </si>
  <si>
    <t>Tecnologia da Informação</t>
  </si>
  <si>
    <t>Nome do Fornecedor</t>
  </si>
  <si>
    <t>Bloomberg</t>
  </si>
  <si>
    <t>Baixo</t>
  </si>
  <si>
    <t>Alto</t>
  </si>
  <si>
    <t>Complexidade</t>
  </si>
  <si>
    <t>Impacto</t>
  </si>
  <si>
    <t>Dependência</t>
  </si>
  <si>
    <t>Limite Superior</t>
  </si>
  <si>
    <t>Classificação de Risco</t>
  </si>
  <si>
    <t>Criticidade</t>
  </si>
  <si>
    <t>Criticidade (Nota Máxima = 10,00)</t>
  </si>
  <si>
    <t>SIM</t>
  </si>
  <si>
    <t>Obs</t>
  </si>
  <si>
    <t>XP</t>
  </si>
  <si>
    <t>C6</t>
  </si>
  <si>
    <t>UBS</t>
  </si>
  <si>
    <t>TULLET</t>
  </si>
  <si>
    <t>Bradesco</t>
  </si>
  <si>
    <t>LGPD</t>
  </si>
  <si>
    <t>Anticorrupção</t>
  </si>
  <si>
    <t>Insituição</t>
  </si>
  <si>
    <t>Sistema</t>
  </si>
  <si>
    <t>Link</t>
  </si>
  <si>
    <t>Anbima</t>
  </si>
  <si>
    <t>Site de certificação</t>
  </si>
  <si>
    <t>https://cert.anbima.com.br/</t>
  </si>
  <si>
    <t>Sistema de Supervisão de Mercados</t>
  </si>
  <si>
    <t>https://ssm.anbima.com.br/</t>
  </si>
  <si>
    <t>CIMA</t>
  </si>
  <si>
    <t>CIMA Director Gateway</t>
  </si>
  <si>
    <t>https://gateway.cimaconnect.com/</t>
  </si>
  <si>
    <t>COAF</t>
  </si>
  <si>
    <t>SISCOAF</t>
  </si>
  <si>
    <t>https://siscoaf.coaf.gov.br/siscoaf-internet/pages/private/index.jsf</t>
  </si>
  <si>
    <t>CVM</t>
  </si>
  <si>
    <t>CVMWEB</t>
  </si>
  <si>
    <t xml:space="preserve">http://sistemas.cvm.gov.br/ </t>
  </si>
  <si>
    <t>DITC</t>
  </si>
  <si>
    <t>DITC Portal</t>
  </si>
  <si>
    <t>https://ditcportal.secure.ky:443</t>
  </si>
  <si>
    <t>SEC</t>
  </si>
  <si>
    <t>EDGAR</t>
  </si>
  <si>
    <t>https://www.edgarfiling.sec.gov/Welcome/EDGARLogin.htm</t>
  </si>
  <si>
    <t>TI</t>
  </si>
  <si>
    <t>Sistema de Backup</t>
  </si>
  <si>
    <t>https://portal.azure.com/#home</t>
  </si>
  <si>
    <t>Usuário</t>
  </si>
  <si>
    <t>Mellon</t>
  </si>
  <si>
    <t>Credit</t>
  </si>
  <si>
    <t>INTRAG</t>
  </si>
  <si>
    <t>Santander</t>
  </si>
  <si>
    <t>Software - Investimento/Notícia</t>
  </si>
  <si>
    <t>Data da 1° assinatura</t>
  </si>
  <si>
    <t>SAG</t>
  </si>
  <si>
    <t>Citco</t>
  </si>
  <si>
    <t>LOTE45</t>
  </si>
  <si>
    <t>Goldman Sachs</t>
  </si>
  <si>
    <t>Santander - ADM</t>
  </si>
  <si>
    <t>Banco ITAU</t>
  </si>
  <si>
    <t>WindowsUser</t>
  </si>
  <si>
    <t>Active</t>
  </si>
  <si>
    <t>AccessControl</t>
  </si>
  <si>
    <t>Controller</t>
  </si>
  <si>
    <t>Accounting</t>
  </si>
  <si>
    <t>Master</t>
  </si>
  <si>
    <t>Read</t>
  </si>
  <si>
    <t>Risk</t>
  </si>
  <si>
    <t>Trader</t>
  </si>
  <si>
    <t>TradingDesk</t>
  </si>
  <si>
    <t>Accessible</t>
  </si>
  <si>
    <t>Write</t>
  </si>
  <si>
    <t>adamcapital\crohmal</t>
  </si>
  <si>
    <t>Adam Teste</t>
  </si>
  <si>
    <t>adamcapital\pribeiro</t>
  </si>
  <si>
    <t>Adam Teste 2</t>
  </si>
  <si>
    <t>Local - CAIXA Master</t>
  </si>
  <si>
    <t>Local - EXCLUSIVO FIC</t>
  </si>
  <si>
    <t>Local - MACRO STRATEGY Master</t>
  </si>
  <si>
    <t>Local - OMEGA ACESSO Master</t>
  </si>
  <si>
    <t>Offshore - ADAM OMEGA</t>
  </si>
  <si>
    <t>Offshore - ALPHA Fund</t>
  </si>
  <si>
    <t>Offshore - STRATEGY Fund</t>
  </si>
  <si>
    <t>Pre-boletagem Local Advanced</t>
  </si>
  <si>
    <t>Pre-boletagem Local Caixa</t>
  </si>
  <si>
    <t>Pre-Boletagem Local INTRAG PREVIDENCIARIO</t>
  </si>
  <si>
    <t>Pre-boletagem Local Macro</t>
  </si>
  <si>
    <t>Pre-boletagem Local Macro Strategy</t>
  </si>
  <si>
    <t>Pre-boletagem Local Previdencia Icatu</t>
  </si>
  <si>
    <t>Pre-Boletagem Local SANTANDER PREV</t>
  </si>
  <si>
    <t>Pre-boletagem Offshore Alpha</t>
  </si>
  <si>
    <t>Pre-boletagem Offshore Global</t>
  </si>
  <si>
    <t>Pre-boletagem Offshore Strategy</t>
  </si>
  <si>
    <t>Rateio Carteiras</t>
  </si>
  <si>
    <t>Rateio Carteiras 2</t>
  </si>
  <si>
    <t>Rateio Offshore</t>
  </si>
  <si>
    <t>Rateio Onshore</t>
  </si>
  <si>
    <t>Rateio Teste</t>
  </si>
  <si>
    <t>adamcapital\analise</t>
  </si>
  <si>
    <t>adamcapital\amatias</t>
  </si>
  <si>
    <t>adamcapital\bchor</t>
  </si>
  <si>
    <t>adamcapital\bnigri</t>
  </si>
  <si>
    <t>adamcapital\bgoulart</t>
  </si>
  <si>
    <t>adamcapital\csouza</t>
  </si>
  <si>
    <t>DESKTOP-06ULV4J\camila souza</t>
  </si>
  <si>
    <t>adamcapital\captura</t>
  </si>
  <si>
    <t>ds-rmar-01\grafare</t>
  </si>
  <si>
    <t>ds-rmar-01\csouza</t>
  </si>
  <si>
    <t>ds-rmar-02</t>
  </si>
  <si>
    <t>ds-rmar-03</t>
  </si>
  <si>
    <t>pc-escritorio\fabio</t>
  </si>
  <si>
    <t>desktop-tr5emsr\guilh</t>
  </si>
  <si>
    <t>Eric Willemsens</t>
  </si>
  <si>
    <t>adamcapital\ewillemsens</t>
  </si>
  <si>
    <t>Fabio Landi</t>
  </si>
  <si>
    <t>adamcapital\flandi</t>
  </si>
  <si>
    <t>adamcapital\gonçalves</t>
  </si>
  <si>
    <t>Fillipe Gomes</t>
  </si>
  <si>
    <t>adamcapital\fgomes</t>
  </si>
  <si>
    <t>adamcapital\gcarmo</t>
  </si>
  <si>
    <t>desktop-il92pul\admin</t>
  </si>
  <si>
    <t>adamcapital\grafare</t>
  </si>
  <si>
    <t>desktop-tr5emsr\t-gamer</t>
  </si>
  <si>
    <t>desktop-fmnv8kk\guilh</t>
  </si>
  <si>
    <t>macbook-pc\macbook</t>
  </si>
  <si>
    <t>adamcapital\hperes</t>
  </si>
  <si>
    <t>adamcapital\jviterbo</t>
  </si>
  <si>
    <t>adamcapital\ataide</t>
  </si>
  <si>
    <t>adamcapital\mcoelho</t>
  </si>
  <si>
    <t>adamcapital\mcalasans</t>
  </si>
  <si>
    <t>desktop-pe8kkof\andre</t>
  </si>
  <si>
    <t>laptop-k3n4a79k\landi_uonlrsg</t>
  </si>
  <si>
    <t>ntb-sdias\sergio</t>
  </si>
  <si>
    <t>laptop-vgrq126c\rafare</t>
  </si>
  <si>
    <t>laptop-bbudumdj\adam_capital</t>
  </si>
  <si>
    <t>am-dell\andre</t>
  </si>
  <si>
    <t>claudia\claudia c s a amaral</t>
  </si>
  <si>
    <t>avell-1513-v3\avell 1513</t>
  </si>
  <si>
    <t>Raffael Russo</t>
  </si>
  <si>
    <t>adamcapital\russo</t>
  </si>
  <si>
    <t>adamcapital\lino</t>
  </si>
  <si>
    <t>adamcapital\rborges</t>
  </si>
  <si>
    <t>adamcapital\ralves</t>
  </si>
  <si>
    <t>Sergio Dias</t>
  </si>
  <si>
    <t>adamcapital\sdias</t>
  </si>
  <si>
    <t>desktop-rec4j21\sergio</t>
  </si>
  <si>
    <t>Banco BRADESCO</t>
  </si>
  <si>
    <t>Tipo de fornecedor</t>
  </si>
  <si>
    <t>Corretoras</t>
  </si>
  <si>
    <t>BNY Mellon</t>
  </si>
  <si>
    <t>Tem contrato?</t>
  </si>
  <si>
    <t>Ilan Crohmal</t>
  </si>
  <si>
    <t>x</t>
  </si>
  <si>
    <t>DE</t>
  </si>
  <si>
    <t>PARA</t>
  </si>
  <si>
    <t>Acessos</t>
  </si>
  <si>
    <t xml:space="preserve">    Read  </t>
  </si>
  <si>
    <t>AccessControl Controller  Master Read Risk Trader</t>
  </si>
  <si>
    <t>AccessControl Controller   Read  Trader</t>
  </si>
  <si>
    <t xml:space="preserve"> Controller  Master Read Risk Trader</t>
  </si>
  <si>
    <t xml:space="preserve"> Controller  Master Read  Trader</t>
  </si>
  <si>
    <t>LFT01032027</t>
  </si>
  <si>
    <t>Renovação</t>
  </si>
  <si>
    <t>Contrato permanete com correção anual pelo  IGPM</t>
  </si>
  <si>
    <t>Contrato permanete com variação de valor por serviço.</t>
  </si>
  <si>
    <t>2 anos</t>
  </si>
  <si>
    <t>Permanente</t>
  </si>
  <si>
    <t>Hugo Tavares</t>
  </si>
  <si>
    <t>Sagra Bruni</t>
  </si>
  <si>
    <t>CLT</t>
  </si>
  <si>
    <t>Contrato</t>
  </si>
  <si>
    <t>Sociedade</t>
  </si>
  <si>
    <t>Estagiário</t>
  </si>
  <si>
    <t>Sale</t>
  </si>
  <si>
    <t>RH</t>
  </si>
  <si>
    <t>BackOffice</t>
  </si>
  <si>
    <t>Iuri Honda</t>
  </si>
  <si>
    <t>Copeira</t>
  </si>
  <si>
    <t>BBG</t>
  </si>
  <si>
    <t>Revisão</t>
  </si>
  <si>
    <t>Data da próxima revisão</t>
  </si>
  <si>
    <t>Tipo de documento</t>
  </si>
  <si>
    <t>Legal</t>
  </si>
  <si>
    <t>COMPLIASSET</t>
  </si>
  <si>
    <t>Administrativo\Contabilidade e RH\Cadastro Funcionários</t>
  </si>
  <si>
    <t>Administrativo\Contabilidade e RH\FOLHA</t>
  </si>
  <si>
    <t>-</t>
  </si>
  <si>
    <t>Grupos</t>
  </si>
  <si>
    <t>Tipo de contrato</t>
  </si>
  <si>
    <t>Administrador</t>
  </si>
  <si>
    <t>Informações adicionais do fornecedor</t>
  </si>
  <si>
    <t>LFT01032024</t>
  </si>
  <si>
    <t>Local - ICATU PREVIDENCIARIO Master</t>
  </si>
  <si>
    <t>Padrão do terceiro</t>
  </si>
  <si>
    <t>O teste de link de internet não foi enviado pela Endev</t>
  </si>
  <si>
    <t>TimeOut Lote45</t>
  </si>
  <si>
    <r>
      <t>Evento de risco</t>
    </r>
    <r>
      <rPr>
        <sz val="12"/>
        <rFont val="Calibri"/>
        <family val="2"/>
      </rPr>
      <t>*</t>
    </r>
  </si>
  <si>
    <t>Periodicidade do processo</t>
  </si>
  <si>
    <t>Probabilidade de ocorrência</t>
  </si>
  <si>
    <t>Impacto Financeiro</t>
  </si>
  <si>
    <t>Impacto de imagem e reputacional</t>
  </si>
  <si>
    <t>Impacto Regulatório</t>
  </si>
  <si>
    <t>Severidade do Risco</t>
  </si>
  <si>
    <t>Classificação do risco</t>
  </si>
  <si>
    <t>Quadrante na matriz</t>
  </si>
  <si>
    <t>Causas</t>
  </si>
  <si>
    <t>Pessoas</t>
  </si>
  <si>
    <t>Fatores externos</t>
  </si>
  <si>
    <t>Fraude</t>
  </si>
  <si>
    <t>Tipo de risco</t>
  </si>
  <si>
    <t>Controle Preventivo</t>
  </si>
  <si>
    <t>Controle Mitigatório</t>
  </si>
  <si>
    <t>Data Base</t>
  </si>
  <si>
    <t>Erro no pagamento de boletos e obrigações administrativas</t>
  </si>
  <si>
    <t>Uso indevido cartão corporativo</t>
  </si>
  <si>
    <t>Diverso</t>
  </si>
  <si>
    <t>Erro na negociação de ativo</t>
  </si>
  <si>
    <t>Erro na boletagem</t>
  </si>
  <si>
    <t>Desenquadrar ativamente limites legais e/ou limites previstos nos regulamentos dos fundos. (ex.: PM, Concentração, Exposição, Riscos etc)</t>
  </si>
  <si>
    <t>Aprovar uma carteira com erro</t>
  </si>
  <si>
    <t>Não enviar ou enviar trades errados</t>
  </si>
  <si>
    <t>1. Operador agredir ou lançar ordem errada de TPF via call ou chat bloomberg.
2. Operador enviar ordem errada para operação de RV, juros, moedas ou commodities</t>
  </si>
  <si>
    <t>Probabilidade</t>
  </si>
  <si>
    <t>Periodicidade</t>
  </si>
  <si>
    <t>Diário</t>
  </si>
  <si>
    <t>Semanal</t>
  </si>
  <si>
    <t>Mensal</t>
  </si>
  <si>
    <t>Baixa</t>
  </si>
  <si>
    <t>1 vez ao mês ou menos</t>
  </si>
  <si>
    <t>1 vez no semestre ou menos</t>
  </si>
  <si>
    <t xml:space="preserve">1 vez a cada 2 anos ou mais </t>
  </si>
  <si>
    <t xml:space="preserve">1 vez a cada 3 anos ou mais </t>
  </si>
  <si>
    <t xml:space="preserve">1 vez a cada 4 anos </t>
  </si>
  <si>
    <t xml:space="preserve">1 vez a cada 8 anos ou mais </t>
  </si>
  <si>
    <t>Média</t>
  </si>
  <si>
    <t>1 vez na quinzena</t>
  </si>
  <si>
    <t>1 vez por trimestre</t>
  </si>
  <si>
    <t>1 vez ao ano</t>
  </si>
  <si>
    <t>1 vez a cada 2 anos</t>
  </si>
  <si>
    <t>1 vez a cada 3 anos</t>
  </si>
  <si>
    <t xml:space="preserve">1 vez a cada 6 anos   </t>
  </si>
  <si>
    <t>Alta</t>
  </si>
  <si>
    <t>1 vez por semana</t>
  </si>
  <si>
    <t>1 vez por mês</t>
  </si>
  <si>
    <t>1 vez no semestre</t>
  </si>
  <si>
    <t xml:space="preserve">1 vez ao ano </t>
  </si>
  <si>
    <t xml:space="preserve">1 vez a cada 2 anos </t>
  </si>
  <si>
    <t xml:space="preserve">1 vez a cada 4 anos   </t>
  </si>
  <si>
    <t>Muito Alta</t>
  </si>
  <si>
    <t>Mais de uma vez por semana</t>
  </si>
  <si>
    <t xml:space="preserve">1 vez na quinzena </t>
  </si>
  <si>
    <t>1 vez no trimestre</t>
  </si>
  <si>
    <t xml:space="preserve">1 vez no semestre </t>
  </si>
  <si>
    <t xml:space="preserve">1 vez ao ano   </t>
  </si>
  <si>
    <t xml:space="preserve">1 vez a cada 2 anos   </t>
  </si>
  <si>
    <t>Impacto de Imagem e Reputacional</t>
  </si>
  <si>
    <t>Impacto Financeira</t>
  </si>
  <si>
    <t>Score</t>
  </si>
  <si>
    <t>Classificação</t>
  </si>
  <si>
    <t>Médio</t>
  </si>
  <si>
    <t>Muito Alto</t>
  </si>
  <si>
    <t>Pouco relevante (sem multa)</t>
  </si>
  <si>
    <t>Muito Relevante (com multa)</t>
  </si>
  <si>
    <t>Baixo - Até 1% AUM</t>
  </si>
  <si>
    <t>Alto - Até 3% AUM</t>
  </si>
  <si>
    <t>Muito Alto - Maior 3% AUM</t>
  </si>
  <si>
    <t>LFT01092026</t>
  </si>
  <si>
    <t>Passagem realizada para ajustar liquidez do fundo vendedor e em contrapartida ajustar o prazo médio do fundo comprador</t>
  </si>
  <si>
    <t>Baixo - Interno</t>
  </si>
  <si>
    <t>Médio - Regional</t>
  </si>
  <si>
    <t>Alto - Nacional</t>
  </si>
  <si>
    <t>Faixas matriz</t>
  </si>
  <si>
    <t xml:space="preserve">Alto </t>
  </si>
  <si>
    <t>Muito alto</t>
  </si>
  <si>
    <t>Pontuação - Impacto Financeiro</t>
  </si>
  <si>
    <t>Pontuação - Impacto de imagem e reputacional</t>
  </si>
  <si>
    <t>Pontuação - Impacto Regulatório</t>
  </si>
  <si>
    <t>Tipos</t>
  </si>
  <si>
    <t>Pontuação - Severidade</t>
  </si>
  <si>
    <t>Próxima revisão</t>
  </si>
  <si>
    <t>Insumos</t>
  </si>
  <si>
    <t>1. Pagamento em duplicidade;
2. Boleto não chegar/falta de comunicação;
3. Erro Fepin/conube;
4. Esquecimento do administrativo;</t>
  </si>
  <si>
    <t>1. Checklist mensal (com fornecedores a pagar);
2. Pagamento concentrado em uma pessoa;</t>
  </si>
  <si>
    <t>1. Prestação de conta mensal;
2. Baixo limites dos cartões corporativos;
3. Somente pessoas chaves possuem o cartão;</t>
  </si>
  <si>
    <t>1. Negociação do juros/multa com o fornecedor;
2. CONUBE assumir o custo da multa/juros quando há erro;
3. Solicitar devolução do pagamento em duplicidade;</t>
  </si>
  <si>
    <t>Erro no processo de boletagem de aplicação e resgate dos fundos - Ponta passiva - FIC X Cotista</t>
  </si>
  <si>
    <t>Erro no processo de boletagem de aplicação e resgate dos fundos - FIC X Master</t>
  </si>
  <si>
    <t>1. Analista não ver boleta
2. Analista boletar com o cotista/fundo errado</t>
  </si>
  <si>
    <t xml:space="preserve">1. Analista boletar com o MASTER errado
2. Analista esquecer de boletar
3. Analista boletar valor errado </t>
  </si>
  <si>
    <t>1. Planilha de checagem entre boletas dos FIC x Masters</t>
  </si>
  <si>
    <t xml:space="preserve">1. Em casos de resgates é possível lançar boleta retroativa (PREV 3 dias e MM 1 dia) </t>
  </si>
  <si>
    <t>1. Falha no processo de batimento da carteira
2. Aprovar uma carteira não batida</t>
  </si>
  <si>
    <t>1. Atividade sistêmica (LOTE45)
2. Todas as carteiras são aprovadas juntas para minimizar erro</t>
  </si>
  <si>
    <t>1. Ajutar divergência na cota do dia seguinte</t>
  </si>
  <si>
    <t>1. Mesa boletar errado no sistema
2. Confirmação da corretora vir errada
3. BackOffice não checar se trade foi boletado com base no Recap</t>
  </si>
  <si>
    <t>1. Atividade sistêmica (LOTE45, SAG, GS)</t>
  </si>
  <si>
    <t>1. Ajustar a operação via reespecificação da B3.</t>
  </si>
  <si>
    <t>BGC</t>
  </si>
  <si>
    <t>BNP Paribas</t>
  </si>
  <si>
    <t>Brasil Plural</t>
  </si>
  <si>
    <t>CM Capital</t>
  </si>
  <si>
    <t>Credit Suisse</t>
  </si>
  <si>
    <t>JP Morgan</t>
  </si>
  <si>
    <t>Merrill Lynch</t>
  </si>
  <si>
    <t>Morgan Stanley</t>
  </si>
  <si>
    <t>Bernstein</t>
  </si>
  <si>
    <t>BTG Pactual</t>
  </si>
  <si>
    <t>Santander Corretora</t>
  </si>
  <si>
    <t>Itaú corretora</t>
  </si>
  <si>
    <t>O software de backup não reinicializou automaticamente após falta de energia.</t>
  </si>
  <si>
    <t>Ata comitê de investimento</t>
  </si>
  <si>
    <t>Ata comitê de riscos</t>
  </si>
  <si>
    <t>ATA</t>
  </si>
  <si>
    <t>Assinado</t>
  </si>
  <si>
    <t>Feito</t>
  </si>
  <si>
    <t>Name</t>
  </si>
  <si>
    <t>Analise</t>
  </si>
  <si>
    <t>Andre Matias</t>
  </si>
  <si>
    <t>Beny Chor</t>
  </si>
  <si>
    <t>Bianca Nigri</t>
  </si>
  <si>
    <t>Breno</t>
  </si>
  <si>
    <t>Camila Souza Notebook SAMSUNG</t>
  </si>
  <si>
    <t>captura</t>
  </si>
  <si>
    <t>Compliance</t>
  </si>
  <si>
    <t>LAPTOP-VGRQ126C\compliance</t>
  </si>
  <si>
    <t>computador 01 site contingência</t>
  </si>
  <si>
    <t>computador 01 site de contingência</t>
  </si>
  <si>
    <t>computador 02 site de contingência</t>
  </si>
  <si>
    <t>computador 03 site de contingência</t>
  </si>
  <si>
    <t>adamcapital\dmedeiros</t>
  </si>
  <si>
    <t>Descktop Casa do Fabio Landi</t>
  </si>
  <si>
    <t>desktop_guilherme_1</t>
  </si>
  <si>
    <t>Fernando</t>
  </si>
  <si>
    <t>Grafare_desktop_3990</t>
  </si>
  <si>
    <t>Guilherme Rafare</t>
  </si>
  <si>
    <t>Guilherme Rafare Casa</t>
  </si>
  <si>
    <t>Guilherme Rafare Lenovo</t>
  </si>
  <si>
    <t>Guilherme Rafare Mac</t>
  </si>
  <si>
    <t>adamcapital\honda</t>
  </si>
  <si>
    <t>Julio Viterbo</t>
  </si>
  <si>
    <t>Lucas Ataide</t>
  </si>
  <si>
    <t>Mariana Coelho</t>
  </si>
  <si>
    <t>Notebook andre Matias</t>
  </si>
  <si>
    <t>Notebook Fábio Landi</t>
  </si>
  <si>
    <t>Notebook Sergio Dias</t>
  </si>
  <si>
    <t>Notebook_adam</t>
  </si>
  <si>
    <t>Notebook_adam_capital</t>
  </si>
  <si>
    <t>Notebook_Andre</t>
  </si>
  <si>
    <t>Notebook_breno</t>
  </si>
  <si>
    <t>Notebook_Julio</t>
  </si>
  <si>
    <t>Rodrgio Borges</t>
  </si>
  <si>
    <t>Ruy</t>
  </si>
  <si>
    <t>Sergio Dias Notebook Novo</t>
  </si>
  <si>
    <t>Tiago Araujo</t>
  </si>
  <si>
    <t>adamcapital\taraujo</t>
  </si>
  <si>
    <t>dd</t>
  </si>
  <si>
    <t>Pedro Ribeiro</t>
  </si>
  <si>
    <t xml:space="preserve">      Trader</t>
  </si>
  <si>
    <t xml:space="preserve"> Controller  Master Read Risk </t>
  </si>
  <si>
    <t>Thiago Araujo</t>
  </si>
  <si>
    <t>O teste de VPN não foi enviado pela Endev</t>
  </si>
  <si>
    <t>Passagem realizada para ajustar liquidez do fundo vendedor.</t>
  </si>
  <si>
    <t>LFT01032026</t>
  </si>
  <si>
    <t>Passagem realizada para ajustar o prazo médio do fundo.</t>
  </si>
  <si>
    <t>Dia</t>
  </si>
  <si>
    <t>Conforme</t>
  </si>
  <si>
    <t>PLDFT</t>
  </si>
  <si>
    <t>Última Revisão</t>
  </si>
  <si>
    <t>Data do teste</t>
  </si>
  <si>
    <t>Teste</t>
  </si>
  <si>
    <t>Avaliação</t>
  </si>
  <si>
    <t>SITE</t>
  </si>
  <si>
    <t xml:space="preserve">Logar nos computadores com os usuários padrão </t>
  </si>
  <si>
    <r>
      <t xml:space="preserve">Verificar se a máquina está direcionada para o servidor </t>
    </r>
    <r>
      <rPr>
        <i/>
        <sz val="11"/>
        <color theme="1"/>
        <rFont val="Calibri"/>
        <family val="2"/>
        <scheme val="minor"/>
      </rPr>
      <t>default</t>
    </r>
    <r>
      <rPr>
        <sz val="11"/>
        <color theme="1"/>
        <rFont val="Calibri"/>
        <family val="2"/>
        <scheme val="minor"/>
      </rPr>
      <t xml:space="preserve"> no site "Adam" (4)</t>
    </r>
  </si>
  <si>
    <t>Verificar se a alta disponibilidade do DHCP está funcional (Failover). Ou seja, se com a queda do servidor 4 o servidor 1 distribui IP. (Automático)</t>
  </si>
  <si>
    <r>
      <t xml:space="preserve">Verificar se a máquina está direcionada para o servidor </t>
    </r>
    <r>
      <rPr>
        <i/>
        <sz val="11"/>
        <color theme="1"/>
        <rFont val="Calibri"/>
        <family val="2"/>
        <scheme val="minor"/>
      </rPr>
      <t>default</t>
    </r>
    <r>
      <rPr>
        <sz val="11"/>
        <color theme="1"/>
        <rFont val="Calibri"/>
        <family val="2"/>
        <scheme val="minor"/>
      </rPr>
      <t xml:space="preserve"> no site "Casa do Márcio" (3)</t>
    </r>
  </si>
  <si>
    <r>
      <t xml:space="preserve">Testar o serviço de DFSL (replicação de arquivos) entre os servidores </t>
    </r>
    <r>
      <rPr>
        <i/>
        <sz val="11"/>
        <color theme="1"/>
        <rFont val="Calibri"/>
        <family val="2"/>
        <scheme val="minor"/>
      </rPr>
      <t>default</t>
    </r>
    <r>
      <rPr>
        <sz val="11"/>
        <color theme="1"/>
        <rFont val="Calibri"/>
        <family val="2"/>
        <scheme val="minor"/>
      </rPr>
      <t xml:space="preserve"> X Secundário.</t>
    </r>
  </si>
  <si>
    <t>Verificar se o acesso dos usuários aos serviços Outlook, Excel, LOTE45 e Bloomberg estão funcionais.</t>
  </si>
  <si>
    <t>Verificar se a alta disponibilidade do DHCP está funcional (Failover). Ou seja, se com a queda do servidor 3 o servidor 2 distribui IP. (Automático)</t>
  </si>
  <si>
    <t>Testar o serviço de conexão à internet - WIFI</t>
  </si>
  <si>
    <t>Testar o serviço de conexão à internet - CABO DE REDE</t>
  </si>
  <si>
    <t>Logar nos computadores com os usuários ".PCN"</t>
  </si>
  <si>
    <t>Quantas amostras</t>
  </si>
  <si>
    <t>Usuários de teste</t>
  </si>
  <si>
    <r>
      <t xml:space="preserve">Verificar o acesso aos diretórios nos servidores </t>
    </r>
    <r>
      <rPr>
        <i/>
        <sz val="11"/>
        <color theme="1"/>
        <rFont val="Calibri"/>
        <family val="2"/>
        <scheme val="minor"/>
      </rPr>
      <t>(default</t>
    </r>
    <r>
      <rPr>
        <sz val="11"/>
        <color theme="1"/>
        <rFont val="Calibri"/>
        <family val="2"/>
        <scheme val="minor"/>
      </rPr>
      <t xml:space="preserve"> e secundário).</t>
    </r>
  </si>
  <si>
    <r>
      <t xml:space="preserve">Logar com usuário ".PCN" na máquina do site "ADAM" e verificar qual servidor está sendo o </t>
    </r>
    <r>
      <rPr>
        <i/>
        <sz val="11"/>
        <color theme="1"/>
        <rFont val="Calibri"/>
        <family val="2"/>
        <scheme val="minor"/>
      </rPr>
      <t>default,</t>
    </r>
    <r>
      <rPr>
        <sz val="11"/>
        <color theme="1"/>
        <rFont val="Calibri"/>
        <family val="2"/>
        <scheme val="minor"/>
      </rPr>
      <t xml:space="preserve"> qual é o servidor secundário e se é possível acessar os diretórios.</t>
    </r>
  </si>
  <si>
    <r>
      <t xml:space="preserve">Testar o serviço de DFSL (replicação de arquivos) entre os servidores </t>
    </r>
    <r>
      <rPr>
        <i/>
        <sz val="11"/>
        <color theme="1"/>
        <rFont val="Calibri"/>
        <family val="2"/>
        <scheme val="minor"/>
      </rPr>
      <t>default</t>
    </r>
    <r>
      <rPr>
        <sz val="11"/>
        <color theme="1"/>
        <rFont val="Calibri"/>
        <family val="2"/>
        <scheme val="minor"/>
      </rPr>
      <t xml:space="preserve"> X secundário.</t>
    </r>
  </si>
  <si>
    <r>
      <t xml:space="preserve">Verificar o acesso aos diretórios nos servidores </t>
    </r>
    <r>
      <rPr>
        <i/>
        <sz val="11"/>
        <color theme="1"/>
        <rFont val="Calibri"/>
        <family val="2"/>
        <scheme val="minor"/>
      </rPr>
      <t>(deafult</t>
    </r>
    <r>
      <rPr>
        <sz val="11"/>
        <color theme="1"/>
        <rFont val="Calibri"/>
        <family val="2"/>
        <scheme val="minor"/>
      </rPr>
      <t xml:space="preserve"> e secundário).</t>
    </r>
  </si>
  <si>
    <t>Geovane, Eric, Rodrigo (ENDEV)</t>
  </si>
  <si>
    <t>Geovane, Eric</t>
  </si>
  <si>
    <t>NOK</t>
  </si>
  <si>
    <t>OK</t>
  </si>
  <si>
    <t>Devido a queda de energia no final do dia 13, o servidor está fazendo o backup, porém não está enviando e-mail de confirmação. Endev já entrou em contato com a Veritas.</t>
  </si>
  <si>
    <t>Nome</t>
  </si>
  <si>
    <t>Usuário Padrão</t>
  </si>
  <si>
    <t>Usuário de Contingência</t>
  </si>
  <si>
    <t>Usuário Crítico</t>
  </si>
  <si>
    <t>flandi</t>
  </si>
  <si>
    <t>flandi.pcn</t>
  </si>
  <si>
    <t>fgomes</t>
  </si>
  <si>
    <t>fgomes.pcn</t>
  </si>
  <si>
    <t>gcarmo</t>
  </si>
  <si>
    <t>gcarmo.pcn</t>
  </si>
  <si>
    <t>sdias</t>
  </si>
  <si>
    <t>sdias.pcn</t>
  </si>
  <si>
    <t>Tiago Araújo</t>
  </si>
  <si>
    <t>taraujo</t>
  </si>
  <si>
    <t>taraujo.pcn</t>
  </si>
  <si>
    <t>Andre Salgado</t>
  </si>
  <si>
    <t>asalgado</t>
  </si>
  <si>
    <t>asalgado.pcn</t>
  </si>
  <si>
    <t>csouza</t>
  </si>
  <si>
    <t>csouza.pcn</t>
  </si>
  <si>
    <t>Isadora Salles</t>
  </si>
  <si>
    <t>isalles</t>
  </si>
  <si>
    <t>isalles.pcn</t>
  </si>
  <si>
    <t>Márcio Appel</t>
  </si>
  <si>
    <t>mappel</t>
  </si>
  <si>
    <t>mappel.pcn</t>
  </si>
  <si>
    <t>psantos</t>
  </si>
  <si>
    <t>psantos.pcn</t>
  </si>
  <si>
    <t>Atribuição</t>
  </si>
  <si>
    <t>Mesa</t>
  </si>
  <si>
    <t>Rmar</t>
  </si>
  <si>
    <t>Termos de Adesão Colaborador 2022.2 - Tiago Araujo</t>
  </si>
  <si>
    <t>Termos de Adesão Colaborador 2022.2 - Sergio Dias</t>
  </si>
  <si>
    <t>Termos de Adesão Colaborador 2022.2 - Raphael Lino</t>
  </si>
  <si>
    <t>Termos de Adesão Colaborador 2022.2 - Marina Calasans</t>
  </si>
  <si>
    <t>Termos de Adesão Colaborador 2022.2 - Marcio Appel</t>
  </si>
  <si>
    <t>Termos de Adesão Colaborador 2022.2 - Iuri Honda</t>
  </si>
  <si>
    <t>Termos de Adesão Colaborador 2022.2 - Isadora Salles</t>
  </si>
  <si>
    <t>Termos de Adesão Colaborador 2022.2 - Ilan Crohmal</t>
  </si>
  <si>
    <t>Termos de Adesão Colaborador 2022.2 - Henrique Rocha</t>
  </si>
  <si>
    <t>Termos de Adesão Colaborador 2022.2 - Geovane Carmo</t>
  </si>
  <si>
    <t>Termos de Adesão Colaborador 2022.2 - Fillipe Gomes</t>
  </si>
  <si>
    <t>Termos de Adesão Colaborador 2022.2 - Fabio Landi</t>
  </si>
  <si>
    <t>Termos de Adesão Colaborador 2022.2 - Debora Knopman</t>
  </si>
  <si>
    <t>Termos de Adesão Colaborador 2022.2 - David Medeiros</t>
  </si>
  <si>
    <t>Termos de Adesão Colaborador 2022.2 - Camila Souza</t>
  </si>
  <si>
    <t>Termos de Adesão Colaborador 2022.2 - Breno Aguiar</t>
  </si>
  <si>
    <t>Termos de Adesão Colaborador 2022.2 - Eric Willemsens</t>
  </si>
  <si>
    <t>ID</t>
  </si>
  <si>
    <t>Título</t>
  </si>
  <si>
    <t>Data Envio</t>
  </si>
  <si>
    <t>Colaborador</t>
  </si>
  <si>
    <t>Data Assinatura</t>
  </si>
  <si>
    <t>16/09/2022 11:31</t>
  </si>
  <si>
    <t>ACEITO</t>
  </si>
  <si>
    <t>16/09/2022 11:55</t>
  </si>
  <si>
    <t>16/09/2022 11:30</t>
  </si>
  <si>
    <t/>
  </si>
  <si>
    <t>16/09/2022 11:27</t>
  </si>
  <si>
    <t>Raphael Luis Bourdon Lino</t>
  </si>
  <si>
    <t>16/09/2022 11:49</t>
  </si>
  <si>
    <t>Monique Ellen Fernandes Goncalves</t>
  </si>
  <si>
    <t>16/09/2022 11:25</t>
  </si>
  <si>
    <t xml:space="preserve">Marina de Andrade Calasans </t>
  </si>
  <si>
    <t>16/09/2022 11:32</t>
  </si>
  <si>
    <t>16/09/2022 11:24</t>
  </si>
  <si>
    <t>19/09/2022 14:10</t>
  </si>
  <si>
    <t>16/09/2022 11:22</t>
  </si>
  <si>
    <t>Iuri Honda Ferreira</t>
  </si>
  <si>
    <t>16/09/2022 11:21</t>
  </si>
  <si>
    <t>22/09/2022 11:16</t>
  </si>
  <si>
    <t>16/09/2022 11:18</t>
  </si>
  <si>
    <t>Ilan Sterenfeld Crohmal</t>
  </si>
  <si>
    <t>16/09/2022 11:16</t>
  </si>
  <si>
    <t>Henrique Luiz Lessa Rocha</t>
  </si>
  <si>
    <t>22/09/2022 14:29</t>
  </si>
  <si>
    <t>16/09/2022 11:14</t>
  </si>
  <si>
    <t>Geovane Henrique Salgado do Carmo</t>
  </si>
  <si>
    <t>16/09/2022 15:40</t>
  </si>
  <si>
    <t>16/09/2022 11:13</t>
  </si>
  <si>
    <t>Fillipe de Andrade Gomes</t>
  </si>
  <si>
    <t>19/09/2022 14:13</t>
  </si>
  <si>
    <t>16/09/2022 11:12</t>
  </si>
  <si>
    <t>16/09/2022 11:11</t>
  </si>
  <si>
    <t>Débora Knopman Ferreira da Silva</t>
  </si>
  <si>
    <t>16/09/2022 13:59</t>
  </si>
  <si>
    <t>16/09/2022 11:09</t>
  </si>
  <si>
    <t>David Pinto Medeiros</t>
  </si>
  <si>
    <t>22/09/2022 11:18</t>
  </si>
  <si>
    <t>16/09/2022 11:07</t>
  </si>
  <si>
    <t>22/09/2022 11:15</t>
  </si>
  <si>
    <t>16/09/2022 11:06</t>
  </si>
  <si>
    <t>Breno Andrade de Aguiar</t>
  </si>
  <si>
    <t>16/09/2022 14:02</t>
  </si>
  <si>
    <t>16/09/2022 11:03</t>
  </si>
  <si>
    <t>15/09/2022 15:10</t>
  </si>
  <si>
    <t>19/09/2022 17:24</t>
  </si>
  <si>
    <t>17/08/2022 17:42</t>
  </si>
  <si>
    <t>Hugo de Andrade Tavares</t>
  </si>
  <si>
    <t>18/08/2022 10:45</t>
  </si>
  <si>
    <t>17/08/2022 11:03</t>
  </si>
  <si>
    <t>Pedro Santos Fontinha Land</t>
  </si>
  <si>
    <t>17/08/2022 14:20</t>
  </si>
  <si>
    <t>Termos de Adesão Colaborador 2022.2 - Pedro Santos</t>
  </si>
  <si>
    <t>Termos de Adesão Colaborador 2022.2 - André Salgado</t>
  </si>
  <si>
    <t>Pacote</t>
  </si>
  <si>
    <t>Composição</t>
  </si>
  <si>
    <t>Termos de Adesão Colaborador 2022.2</t>
  </si>
  <si>
    <t>Termos de Adesão Colaborador 2022.2 - Hugo Tavares</t>
  </si>
  <si>
    <t>Base</t>
  </si>
  <si>
    <t>Termo de Adesão ao Manual de Compliance</t>
  </si>
  <si>
    <t>Termo de Responsabilidade e Confidencialidade</t>
  </si>
  <si>
    <t>Autorização para Verificação de Histórico Profissional e Acadêmico</t>
  </si>
  <si>
    <t>Termo de Adesão à Política de Segurança das Informações</t>
  </si>
  <si>
    <t>Termo de Consentimento para Uso de Dados Pessoais</t>
  </si>
  <si>
    <t>Termo de Adesão à Política De Investimento Pessoal</t>
  </si>
  <si>
    <t>Testar o serviço de conexão à internet (bloomberg, envio de e-mail e site no Google Chrome)</t>
  </si>
  <si>
    <t>Endev mandou confirmação do backup manual por e-mail (e-mail Rodrigo)</t>
  </si>
  <si>
    <t>Endev mandou confirmação do backup manual por e-mail (e-mail Wellington)</t>
  </si>
  <si>
    <t>Obervação</t>
  </si>
  <si>
    <t>26/09/2022 9:49</t>
  </si>
  <si>
    <t>Foi utilizado o código "NET USE" no CMD</t>
  </si>
  <si>
    <t>Foi utilizado o código "Set logonserver" no CMD</t>
  </si>
  <si>
    <t>Funciona somente após reiniciar o PC. (correto)</t>
  </si>
  <si>
    <t>Testar o envio de e-mail nos 2 servidores.</t>
  </si>
  <si>
    <r>
      <t xml:space="preserve">Verificar se com a indisponibilidade do servidor </t>
    </r>
    <r>
      <rPr>
        <i/>
        <sz val="11"/>
        <color theme="1"/>
        <rFont val="Calibri"/>
        <family val="2"/>
        <scheme val="minor"/>
      </rPr>
      <t xml:space="preserve">default, </t>
    </r>
    <r>
      <rPr>
        <sz val="11"/>
        <color theme="1"/>
        <rFont val="Calibri"/>
        <family val="2"/>
        <scheme val="minor"/>
      </rPr>
      <t>a máquina foi</t>
    </r>
    <r>
      <rPr>
        <i/>
        <sz val="11"/>
        <color theme="1"/>
        <rFont val="Calibri"/>
        <family val="2"/>
        <scheme val="minor"/>
      </rPr>
      <t xml:space="preserve"> </t>
    </r>
    <r>
      <rPr>
        <sz val="11"/>
        <color theme="1"/>
        <rFont val="Calibri"/>
        <family val="2"/>
        <scheme val="minor"/>
      </rPr>
      <t>direcionada para o</t>
    </r>
    <r>
      <rPr>
        <i/>
        <sz val="11"/>
        <color theme="1"/>
        <rFont val="Calibri"/>
        <family val="2"/>
        <scheme val="minor"/>
      </rPr>
      <t xml:space="preserve"> </t>
    </r>
    <r>
      <rPr>
        <sz val="11"/>
        <color theme="1"/>
        <rFont val="Calibri"/>
        <family val="2"/>
        <scheme val="minor"/>
      </rPr>
      <t>servidor secundário (1) (atividade manual pela ENDEV)</t>
    </r>
  </si>
  <si>
    <r>
      <t xml:space="preserve">Verificar se com a indisponibilidade do servidor </t>
    </r>
    <r>
      <rPr>
        <i/>
        <sz val="11"/>
        <color theme="1"/>
        <rFont val="Calibri"/>
        <family val="2"/>
        <scheme val="minor"/>
      </rPr>
      <t xml:space="preserve">default, </t>
    </r>
    <r>
      <rPr>
        <sz val="11"/>
        <color theme="1"/>
        <rFont val="Calibri"/>
        <family val="2"/>
        <scheme val="minor"/>
      </rPr>
      <t>a máquina foi</t>
    </r>
    <r>
      <rPr>
        <i/>
        <sz val="11"/>
        <color theme="1"/>
        <rFont val="Calibri"/>
        <family val="2"/>
        <scheme val="minor"/>
      </rPr>
      <t xml:space="preserve"> </t>
    </r>
    <r>
      <rPr>
        <sz val="11"/>
        <color theme="1"/>
        <rFont val="Calibri"/>
        <family val="2"/>
        <scheme val="minor"/>
      </rPr>
      <t>direcionada para o</t>
    </r>
    <r>
      <rPr>
        <i/>
        <sz val="11"/>
        <color theme="1"/>
        <rFont val="Calibri"/>
        <family val="2"/>
        <scheme val="minor"/>
      </rPr>
      <t xml:space="preserve"> </t>
    </r>
    <r>
      <rPr>
        <sz val="11"/>
        <color theme="1"/>
        <rFont val="Calibri"/>
        <family val="2"/>
        <scheme val="minor"/>
      </rPr>
      <t>servidor secundário (2) (atividade manual pela ENDEV)</t>
    </r>
  </si>
  <si>
    <t>Eric</t>
  </si>
  <si>
    <t>Ainda que a ENDEV tenha feito a troca do apontamento de forma manual, não funcionou. Foi preciso ajustar essa passagem de forma individual em cada máquina (força bruta). O que não é o adequado, portanto, o teste falhou.</t>
  </si>
  <si>
    <t xml:space="preserve">Ainda que a troca de servidor tenha sido na "força bruta", testamos o DFS e funcionou. Salvamos arquivos e enviamos e-mails" </t>
  </si>
  <si>
    <t xml:space="preserve">Ainda que a troca de servidor tenha sido na "força bruta", testamos o acesso às pastas e funcionou. </t>
  </si>
  <si>
    <t xml:space="preserve">Funcionou e estava direcionado para os servidores adequados no site “RMar”. </t>
  </si>
  <si>
    <t>1. Fraude na utilização dos recursos disponibilizados
2. Superfaturamento de notas fiscais
3. Não reportar compras às áreas de controle</t>
  </si>
  <si>
    <t>29/09/2022 15:54</t>
  </si>
  <si>
    <t>Servidor 1</t>
  </si>
  <si>
    <t>Servidor 2</t>
  </si>
  <si>
    <t>Servidor 3</t>
  </si>
  <si>
    <t>Servidor 4</t>
  </si>
  <si>
    <t>Quesitos técnicos</t>
  </si>
  <si>
    <t>Especificação</t>
  </si>
  <si>
    <t>Secundário - ADAM</t>
  </si>
  <si>
    <t>Default - Adam</t>
  </si>
  <si>
    <t>Default - Rmar</t>
  </si>
  <si>
    <t>Secundário - Rmar</t>
  </si>
  <si>
    <t>@D@MC4pital!</t>
  </si>
  <si>
    <t>Senha default .PCN</t>
  </si>
  <si>
    <t>Adam@2022!</t>
  </si>
  <si>
    <t>Senha WiFi (Rmar)</t>
  </si>
  <si>
    <t>Senha WiFi (Adam)</t>
  </si>
  <si>
    <t>Key@4d4mC4p1t@l</t>
  </si>
  <si>
    <t>Baixar lote 45</t>
  </si>
  <si>
    <t>https://downloads.lote45.com.br/downloads/publish.htm</t>
  </si>
  <si>
    <t>Local da Sede</t>
  </si>
  <si>
    <t>Servidores Instalados no Local da Sede</t>
  </si>
  <si>
    <t>Internet no Local da Sede</t>
  </si>
  <si>
    <t>Informações sobre os Ativos Financeiros</t>
  </si>
  <si>
    <t>Site de Contingência</t>
  </si>
  <si>
    <t>Quadro de Colaboradores</t>
  </si>
  <si>
    <t>Ação</t>
  </si>
  <si>
    <t>Evento 1</t>
  </si>
  <si>
    <t>Indisponível</t>
  </si>
  <si>
    <t>Disponíveis</t>
  </si>
  <si>
    <t>Disponível</t>
  </si>
  <si>
    <t>-Colaboradores utilizam VPN remotamente;
-Colaboradores utilizam usuário .PCN no site de contingência</t>
  </si>
  <si>
    <t>Evento 2</t>
  </si>
  <si>
    <t>Indisponíveis</t>
  </si>
  <si>
    <t>-Colaboradores utilizam usuário .PCN na própria sede
-Caso servidor principal falhe, ENDEV altera manualmente o apontamento para o servidor secundário</t>
  </si>
  <si>
    <t>Evento 3</t>
  </si>
  <si>
    <t>-Colaboradores utilizam VPN remotamente;
-Colaboradores utilizam usuário .PCN no site de contingência
-Caso servidor principal falhe, ENDEV altera manualmente o apontamento para o servidor secundário</t>
  </si>
  <si>
    <t>Evento 4</t>
  </si>
  <si>
    <t>Disponível ou Indisponível</t>
  </si>
  <si>
    <t>Disponível ou Redução</t>
  </si>
  <si>
    <t xml:space="preserve">-Colaboradores utilizam VPN remotamente;
</t>
  </si>
  <si>
    <t>Evento 5</t>
  </si>
  <si>
    <t xml:space="preserve">Indisponível </t>
  </si>
  <si>
    <t>-Colaboradores utilizam usuário .PCN no site de contingência
-Caso servidor principal do site de contingência falhe, ENDEV altera manualmente o apontamento para o servidor secundário</t>
  </si>
  <si>
    <t>17/10/2022 11:33</t>
  </si>
  <si>
    <t>Teste de VPN enviado por whatsapp (grupo Endev)</t>
  </si>
  <si>
    <t>Já foi corrigido com a atualização da Bloomberg e do sistema operacional.</t>
  </si>
  <si>
    <t>Já foi corrigido e o WI-FI já está funcional.</t>
  </si>
  <si>
    <t>Data base</t>
  </si>
  <si>
    <t>Demandante</t>
  </si>
  <si>
    <t>Link dos materiais enviados</t>
  </si>
  <si>
    <t>Brasil Prev</t>
  </si>
  <si>
    <t>Tema</t>
  </si>
  <si>
    <t>Questionário ASG</t>
  </si>
  <si>
    <t>Z:\Sales\Due Diligence Distribuidores\Due Diligence e Questionários\2022\BB - fev22</t>
  </si>
  <si>
    <t>Z:\Sales\Due Diligence Distribuidores\Due Diligence e Questionários\2022\BNY - KYC</t>
  </si>
  <si>
    <t>KYC</t>
  </si>
  <si>
    <t>NuBank</t>
  </si>
  <si>
    <t xml:space="preserve">Due Diligence Ativa </t>
  </si>
  <si>
    <t>Z:\Sales\Due Diligence Distribuidores\Due Diligence e Questionários\2022\Nubank - set30</t>
  </si>
  <si>
    <t>Z:\Sales\Due Diligence Distribuidores\Due Diligence e Questionários\2022\Bernstein - set22</t>
  </si>
  <si>
    <t>Santander Seguradora</t>
  </si>
  <si>
    <t>Renovação da Due Diligence</t>
  </si>
  <si>
    <t>Z:\Sales\Due Diligence Distribuidores\Due Diligence e Questionários\2022\Santander Seguradora - Ago22</t>
  </si>
  <si>
    <t>Z:\Sales\Due Diligence Distribuidores\Due Diligence e Questionários\2022\Manchester - set22</t>
  </si>
  <si>
    <t>Manchester</t>
  </si>
  <si>
    <t>Santander Compliance</t>
  </si>
  <si>
    <t>Questionário de aproximação</t>
  </si>
  <si>
    <t>Z:\Sales\Due Diligence Distribuidores\Due Diligence e Questionários\2022\Santander Compliance - Jul22</t>
  </si>
  <si>
    <t>Goldman sachs</t>
  </si>
  <si>
    <t>Santander Investimentos</t>
  </si>
  <si>
    <t>Banco do Brasil</t>
  </si>
  <si>
    <t>Itaú</t>
  </si>
  <si>
    <t>JPM</t>
  </si>
  <si>
    <t>Z:\Sales\Due Diligence Distribuidores\Due Diligence e Questionários\2022\Morgan Stanley - jun22</t>
  </si>
  <si>
    <t>Counterparty Credit Risk Client</t>
  </si>
  <si>
    <t>Z:\Sales\Due Diligence Distribuidores\Due Diligence e Questionários\2022\Goldman sachs - Jul22</t>
  </si>
  <si>
    <t>Z:\Sales\Due Diligence Distribuidores\Due Diligence e Questionários\2022\Santander Investimentos - Jul22</t>
  </si>
  <si>
    <t>Z:\Sales\Due Diligence Distribuidores\Due Diligence e Questionários\2022\BB - jul22</t>
  </si>
  <si>
    <t>Questionário ESG</t>
  </si>
  <si>
    <t>Z:\Sales\Due Diligence Distribuidores\Due Diligence e Questionários\2022\Itau - jan22</t>
  </si>
  <si>
    <t>Questionário Controles Internos</t>
  </si>
  <si>
    <t>AML/Sanctions Program Questionnaire</t>
  </si>
  <si>
    <t>Z:\Sales\Due Diligence Distribuidores\Due Diligence e Questionários\2022\JPM - jan22</t>
  </si>
  <si>
    <t>Z:\Sales\Due Diligence Distribuidores\Due Diligence e Questionários\2022\XP - mai22</t>
  </si>
  <si>
    <t>LFT01092027</t>
  </si>
  <si>
    <t>No dia 09/11/22 esse gap foi corrigido junto à ENDEV de modo que o apontamento  manual com a queda do servidor default foi refletido em todas as estações de trabalho.</t>
  </si>
  <si>
    <t>Adriana Costa</t>
  </si>
  <si>
    <t>Termos de Adesão Colaborador 2022.2 - Adriana Costa</t>
  </si>
  <si>
    <t>Z:\Sales\Due Diligence Distribuidores\Due Diligence e Questionários\2022\Bradesco Risco - nov22</t>
  </si>
  <si>
    <t>Endev não enviou.</t>
  </si>
  <si>
    <t>Teste de link de internet apresentou velocidade baixa - endev irá fazer novo teste dia 9/12. Endev não realizou teste de acesso a VPN porque ainda não tem duplo fator de autenticação.</t>
  </si>
  <si>
    <t>n</t>
  </si>
  <si>
    <t>Verificar de qual servidor a máquina está recebendo as políticas de configuração de rede. (deve ser do servidor default).</t>
  </si>
  <si>
    <t>Wi-Fi está funcionando para as pessoas que já estavam conectadas. para novas conexões, com o servidor 03 desligado, ele não obtia endereço de IP.</t>
  </si>
  <si>
    <t>Adriano Fontes</t>
  </si>
  <si>
    <t>Atividade Fim</t>
  </si>
  <si>
    <t>Saúde Financeira</t>
  </si>
  <si>
    <t>Agência de avaliação</t>
  </si>
  <si>
    <t>Nossa avaliação</t>
  </si>
  <si>
    <t>n/a</t>
  </si>
  <si>
    <t>Grau de risco</t>
  </si>
  <si>
    <t>Seguro</t>
  </si>
  <si>
    <t>Situação Equilibrada</t>
  </si>
  <si>
    <t>Situação potencialmente periogosa</t>
  </si>
  <si>
    <t>Situação de Risco</t>
  </si>
  <si>
    <t xml:space="preserve">Lucca Daher </t>
  </si>
  <si>
    <t>Lucca Daher</t>
  </si>
  <si>
    <t>Questionamento</t>
  </si>
  <si>
    <t>LGPN</t>
  </si>
  <si>
    <t>PCN</t>
  </si>
  <si>
    <t>Risco Operacional</t>
  </si>
  <si>
    <t>Documentos Internos</t>
  </si>
  <si>
    <t>Rotina de compliance</t>
  </si>
  <si>
    <t>Passagens de ativos</t>
  </si>
  <si>
    <t>Contratos e Fornecedores</t>
  </si>
  <si>
    <t>Corretagem</t>
  </si>
  <si>
    <t>Rentabilidade</t>
  </si>
  <si>
    <t>P&amp;L</t>
  </si>
  <si>
    <t>Macroalocação</t>
  </si>
  <si>
    <t>Enquadramento</t>
  </si>
  <si>
    <t>Risco Diário</t>
  </si>
  <si>
    <t>RH - Férias</t>
  </si>
  <si>
    <t>Termos de Adesão Colaborador 2023 - Adriana Costa</t>
  </si>
  <si>
    <t>20/01/2023 10:54</t>
  </si>
  <si>
    <t>20/01/2023 11:14</t>
  </si>
  <si>
    <t>Termos de Adesão Colaborador 2023 - Adriano Fontes</t>
  </si>
  <si>
    <t>20/01/2023 10:04</t>
  </si>
  <si>
    <t>20/01/2023 13:31</t>
  </si>
  <si>
    <t>Termos de Adesão Colaborador 2023 - Andre Salgado</t>
  </si>
  <si>
    <t>20/01/2023 09:54</t>
  </si>
  <si>
    <t>Termos de Adesão Colaborador 2023 - Camila Souza</t>
  </si>
  <si>
    <t>20/01/2023 10:14</t>
  </si>
  <si>
    <t>20/01/2023 11:11</t>
  </si>
  <si>
    <t>Termos de Adesão Colaborador 2023 - David Medeiros</t>
  </si>
  <si>
    <t>20/01/2023 10:50</t>
  </si>
  <si>
    <t>Termos de Adesão Colaborador 2023 - Debora Knopman</t>
  </si>
  <si>
    <t>20/01/2023 14:59</t>
  </si>
  <si>
    <t>20/01/2023 16:48</t>
  </si>
  <si>
    <t>Termos de Adesão Colaborador 2023 - Eric Willemsens</t>
  </si>
  <si>
    <t>20/01/2023 15:06</t>
  </si>
  <si>
    <t>20/01/2023 15:16</t>
  </si>
  <si>
    <t>Termos de Adesão Colaborador 2023 - Fabio Landi</t>
  </si>
  <si>
    <t>20/01/2023 09:56</t>
  </si>
  <si>
    <t>Termos de Adesão Colaborador 2023 - Fillipe Gomes</t>
  </si>
  <si>
    <t>20/01/2023 15:07</t>
  </si>
  <si>
    <t>20/01/2023 15:11</t>
  </si>
  <si>
    <t>Termos de Adesão Colaborador 2023 - Geovane Salgado</t>
  </si>
  <si>
    <t>20/01/2023 15:10</t>
  </si>
  <si>
    <t>20/01/2023 15:35</t>
  </si>
  <si>
    <t>Termos de Adesão Colaborador 2023 - Ilan Crohmal</t>
  </si>
  <si>
    <t>20/01/2023 15:05</t>
  </si>
  <si>
    <t>Termos de Adesão Colaborador 2023 - Isadora Salles</t>
  </si>
  <si>
    <t>20/01/2023 15:01</t>
  </si>
  <si>
    <t>20/01/2023 15:13</t>
  </si>
  <si>
    <t>Termos de Adesão Colaborador 2023 - Iuri Honda</t>
  </si>
  <si>
    <t>20/01/2023 15:09</t>
  </si>
  <si>
    <t>Termos de Adesão Colaborador 2023 - Lucca Daher</t>
  </si>
  <si>
    <t>20/01/2023 10:51</t>
  </si>
  <si>
    <t>20/01/2023 10:55</t>
  </si>
  <si>
    <t>Termos de Adesão Colaborador 2023 - Marcio Appel</t>
  </si>
  <si>
    <t>20/01/2023 11:12</t>
  </si>
  <si>
    <t>Termos de Adesão Colaborador 2023 - Marina Calasans</t>
  </si>
  <si>
    <t>20/01/2023 15:04</t>
  </si>
  <si>
    <t>Termos de Adesão Colaborador 2023 - Monique Gonçalves</t>
  </si>
  <si>
    <t>20/01/2023 10:44</t>
  </si>
  <si>
    <t>Termos de Adesão Colaborador 2023 - Pedro Santos</t>
  </si>
  <si>
    <t>20/01/2023 10:47</t>
  </si>
  <si>
    <t>20/01/2023 15:14</t>
  </si>
  <si>
    <t>Termos de Adesão Colaborador 2023 - Raphael Lino</t>
  </si>
  <si>
    <t>20/01/2023 10:43</t>
  </si>
  <si>
    <t>20/01/2023 10:46</t>
  </si>
  <si>
    <t>Termos de Adesão Colaborador 2023 - Sagra Bruni</t>
  </si>
  <si>
    <t>20/01/2023 10:28</t>
  </si>
  <si>
    <t>Termos de Adesão Colaborador 2023 - Sergio Dias</t>
  </si>
  <si>
    <t>20/01/2023 09:58</t>
  </si>
  <si>
    <t>20/01/2023 15:15</t>
  </si>
  <si>
    <t>Termos de Adesão Colaborador 2023 - Tiago Araujo</t>
  </si>
  <si>
    <t>20/01/2023 10:53</t>
  </si>
  <si>
    <t>20/01/2023 11:00</t>
  </si>
  <si>
    <t>Termos de Adesão Colaborador 2023</t>
  </si>
  <si>
    <t>Não teve comitê</t>
  </si>
  <si>
    <t>Terceiros</t>
  </si>
  <si>
    <t>Instituição</t>
  </si>
  <si>
    <t>BofA</t>
  </si>
  <si>
    <t>BTG</t>
  </si>
  <si>
    <t>Citi</t>
  </si>
  <si>
    <t>CM Capital Markets</t>
  </si>
  <si>
    <t>Genial Investimentos</t>
  </si>
  <si>
    <t>Itaú Corretora</t>
  </si>
  <si>
    <t>Tullet Prebon</t>
  </si>
  <si>
    <t>Due Diligence Anual de Corretoras</t>
  </si>
  <si>
    <t>Adam</t>
  </si>
  <si>
    <t>C6 Corretora</t>
  </si>
  <si>
    <t>Z:\Riscos\Documentos Internos\DD Administradores e Corretoras\2022 para 2023\DD Corretoras</t>
  </si>
  <si>
    <t>UBS Brasil</t>
  </si>
  <si>
    <t>XP Corretora</t>
  </si>
  <si>
    <t>Não conforme</t>
  </si>
  <si>
    <t>Due Diligence Anual de Administradores</t>
  </si>
  <si>
    <t>Intrag</t>
  </si>
  <si>
    <t>BNY Melllon</t>
  </si>
  <si>
    <t>S3 Caceis</t>
  </si>
  <si>
    <t>Z:\Riscos\Documentos Internos\DD Administradores e Corretoras\2022 para 2023\DD Administradores</t>
  </si>
  <si>
    <t>Não responderam</t>
  </si>
  <si>
    <t>Não responderam tudo</t>
  </si>
  <si>
    <t>YANA</t>
  </si>
  <si>
    <t>Link de internet 2</t>
  </si>
  <si>
    <t>Link de internet 1</t>
  </si>
  <si>
    <t>Link de internet 3</t>
  </si>
  <si>
    <t>Mundivox</t>
  </si>
  <si>
    <t>Claro</t>
  </si>
  <si>
    <t>Arquivos de gravação referentes a este dia somente foram salvos no diretório no dia 24/02.</t>
  </si>
  <si>
    <t>Sabrina Bueno</t>
  </si>
  <si>
    <t>#</t>
  </si>
  <si>
    <t>NOME</t>
  </si>
  <si>
    <t>CPF</t>
  </si>
  <si>
    <t>RG</t>
  </si>
  <si>
    <t>Emite ordem?</t>
  </si>
  <si>
    <t>081.286.588-08</t>
  </si>
  <si>
    <t>09.081.989-7</t>
  </si>
  <si>
    <t>sim</t>
  </si>
  <si>
    <t>Fábio Landi Strutzel</t>
  </si>
  <si>
    <t>127.963.188-00</t>
  </si>
  <si>
    <t>14.412.583-3</t>
  </si>
  <si>
    <t>Sérgio Santos de Andrade Dias</t>
  </si>
  <si>
    <t>810.769.247-00</t>
  </si>
  <si>
    <t>03.693.931-2</t>
  </si>
  <si>
    <t>Adriano Fontes Alves dos Santos</t>
  </si>
  <si>
    <t>545.267.795-04</t>
  </si>
  <si>
    <t>03.328.034-73</t>
  </si>
  <si>
    <t>Camila Rossi Vianna de Souza</t>
  </si>
  <si>
    <t>016.388.597-44</t>
  </si>
  <si>
    <t>08.987.648-6</t>
  </si>
  <si>
    <t>167.522.597-47</t>
  </si>
  <si>
    <t>26.784.043-7</t>
  </si>
  <si>
    <t>134.438.457-97</t>
  </si>
  <si>
    <t>27.608.332-6</t>
  </si>
  <si>
    <t>Lucca Daher Menezes</t>
  </si>
  <si>
    <t>192.475.887-31</t>
  </si>
  <si>
    <t>31.680.558-9</t>
  </si>
  <si>
    <t>139.720.427-36</t>
  </si>
  <si>
    <t>26.470.309-1</t>
  </si>
  <si>
    <t>Corretora</t>
  </si>
  <si>
    <t>Local</t>
  </si>
  <si>
    <t>Contato:</t>
  </si>
  <si>
    <t>Informações enviadas</t>
  </si>
  <si>
    <t>BGC Brokers L.P.;</t>
  </si>
  <si>
    <t>fpcarvalho@bgcpartners.com; Andre.Accioly@bgcpartners.com; Liquidez-Compliance@bgcpartners.com; Liquidez-Register@bgcpartners.com; BGomes@bgcpartners.com; Cristhine.Pessoa@bgcpartners.com</t>
  </si>
  <si>
    <t>BGC Derivatives Markets L.P.; e</t>
  </si>
  <si>
    <t>BGC Financial L.P.;</t>
  </si>
  <si>
    <t>BGC Liquidez Distribuidora de Títulos e Valores Mobiliários Ltda;</t>
  </si>
  <si>
    <t>Bradesco S.A. Corretora de Títulos e Valores Mobiliários;</t>
  </si>
  <si>
    <t>Brasil Plural Corretora de Câmbio, Títulos e Valores Mobiliários S.A.;</t>
  </si>
  <si>
    <t>emmanuelle.monteiro@genial.com.vc; compliance@genialinvestimentos.com.br; Marcio.Siqueira@genial.com.vc</t>
  </si>
  <si>
    <t>BTG Pactual CTVM S.A.</t>
  </si>
  <si>
    <t>Dayane.Pereira@btgpactual.com; OL-compliance-duediligence@btgpactual.com; OL-ExternalEntities@btgpactual.com; Daniel.Sadi@btgpactual.com; Karem.Carvalho@btgpactual.com</t>
  </si>
  <si>
    <t>C6 Corretora de Títulos e Valores Mobiliários S.A.</t>
  </si>
  <si>
    <t>Credit Suisse (Brasil) S.A. CTVM</t>
  </si>
  <si>
    <t>ingrid.desouza@credit-suisse.com; list.tsb@credit-suisse.com</t>
  </si>
  <si>
    <t>Goldman Sachs do Brasil C.T.V.M. S.A;</t>
  </si>
  <si>
    <t>Goldman, Sachs &amp; Co.;</t>
  </si>
  <si>
    <t>Itaú Corretora de Valores S.A.;</t>
  </si>
  <si>
    <t>danilo.takano@itaubba.com; eduardo.borro@itaubba.com; fabio.herdeiro@itaubba.com; chris.lemos@itaubba.com; ITAUCORCADASTROPJ@itau-unibanco.com.br; elenir.barcarollo@itaubba.com</t>
  </si>
  <si>
    <t>Itaú Unibanco S.A.;</t>
  </si>
  <si>
    <t>Merrill Lynch S.A. C.T.V.M.;</t>
  </si>
  <si>
    <t>Morgan Stanley Capital Services LLC;</t>
  </si>
  <si>
    <t>Bruno.Maurer@morganstanley.com; Renata.Alves@morganstanley.com; compliancebrazil@morganstanley.com; spsalestrading@morganstanley.com</t>
  </si>
  <si>
    <t>Morgan Stanley Corretora de Títulos e Valores Mobiliários S.A.;</t>
  </si>
  <si>
    <t>Necton Investimentos S.A. Corretora de Valores Mobiliários e Commodities</t>
  </si>
  <si>
    <t>Fatima.Guerra@necton.com.br; compliance@necton.com.br; cadastro@necton.com.br; ralf.berger@necton.com.br</t>
  </si>
  <si>
    <t>Renascença Distribuidora de Títulos e Valores Mobiliários Ltda.;</t>
  </si>
  <si>
    <t>luis.paiva@dtvm.com.br; fernanda@dtvm.com.br; compliance@dtvm.com.br</t>
  </si>
  <si>
    <t>Sanford C. Bernstein &amp; Co., LLC;</t>
  </si>
  <si>
    <t>david.patafio@bernstein.com; edelis.fernandez@bernstein.com</t>
  </si>
  <si>
    <t>Sanford C. Bernstein Limited;</t>
  </si>
  <si>
    <t>Santander Corretora de Câmbio e Valores Mobiliários S.A.;</t>
  </si>
  <si>
    <t>cpgarcia@santander.com.br; alexandre.praxedes@santander.com.br; lgoncalves@santander.com.br; corretoragovernanca@santander.com.br</t>
  </si>
  <si>
    <t>Santander Investment Securities Inc;</t>
  </si>
  <si>
    <t>Santander Investment Securities LLC;</t>
  </si>
  <si>
    <t>Tullett Prebon Brasil S.A. Corretora de Valores e Câmbio;</t>
  </si>
  <si>
    <t>froveri@tpicap.com; departamentocompliance@tullettprebon.com.br</t>
  </si>
  <si>
    <t>UBS Brasil Corretora de Câmbio, Títulos e Valores Mobiliários S.A.;</t>
  </si>
  <si>
    <t>luis.leite@ubs.com</t>
  </si>
  <si>
    <t>XP Investimentos Corretora de Câmbio, Títulos e Valores Mobiliários S.A;</t>
  </si>
  <si>
    <t>XP Securities LLC;</t>
  </si>
  <si>
    <t>Onshore</t>
  </si>
  <si>
    <t>Offshore</t>
  </si>
  <si>
    <t>Domicílio</t>
  </si>
  <si>
    <t>Brasil</t>
  </si>
  <si>
    <t>e-mail</t>
  </si>
  <si>
    <t>appel@adamcapital.com.br</t>
  </si>
  <si>
    <t>landi@adamcapital.com.br</t>
  </si>
  <si>
    <t>dias@adamcapital.com.br</t>
  </si>
  <si>
    <t>fontes@adamcapital.com.br</t>
  </si>
  <si>
    <t>souza@adamcapital.com.br</t>
  </si>
  <si>
    <t>lino@adamcapital.com.br</t>
  </si>
  <si>
    <t>santos@adamcapital.com.br</t>
  </si>
  <si>
    <t>daher@adamcapital.com.br</t>
  </si>
  <si>
    <t>willemsens@adamcapital.com.br</t>
  </si>
  <si>
    <t>Cirion</t>
  </si>
  <si>
    <t>Dt Base</t>
  </si>
  <si>
    <t>Costa</t>
  </si>
  <si>
    <t>fontes</t>
  </si>
  <si>
    <t>ldaher</t>
  </si>
  <si>
    <t>27/01/2023 11:11</t>
  </si>
  <si>
    <t>João Paulo</t>
  </si>
  <si>
    <t>No Break</t>
  </si>
  <si>
    <t>Capacidade 1 hora | Atende parcialmente o escritório</t>
  </si>
  <si>
    <t>jpadilha</t>
  </si>
  <si>
    <t>jpadilha.pcn</t>
  </si>
  <si>
    <t>Lucas Andrade</t>
  </si>
  <si>
    <t>Não realizado</t>
  </si>
  <si>
    <t>Realizado</t>
  </si>
  <si>
    <t>Natureza do Evento</t>
  </si>
  <si>
    <t>Ocorrido em</t>
  </si>
  <si>
    <t>Descrição</t>
  </si>
  <si>
    <t>Relacionados</t>
  </si>
  <si>
    <t>Responsáveis</t>
  </si>
  <si>
    <t>Prazo</t>
  </si>
  <si>
    <t>Situação</t>
  </si>
  <si>
    <t>Comentário Por E-mail</t>
  </si>
  <si>
    <t>Treinamento Compliance 2023</t>
  </si>
  <si>
    <t>Treinamento de Colaborador</t>
  </si>
  <si>
    <t>Treinamento anual de compliance sobre os documentos internos da Adam - 2023.</t>
  </si>
  <si>
    <t>Marie Georgiana Joséphine Valentine Vidal</t>
  </si>
  <si>
    <t>Concluido</t>
  </si>
  <si>
    <t>RXZlbnQtMTM2Mzc0@comments.compliasset.com</t>
  </si>
  <si>
    <t>Sabrina da Silva Bueno</t>
  </si>
  <si>
    <t>RXZlbnQtMTM1NTk5@comments.compliasset.com</t>
  </si>
  <si>
    <t>RXZlbnQtMTI4Njgy@comments.compliasset.com</t>
  </si>
  <si>
    <t>RXZlbnQtMTI4Njgz@comments.compliasset.com</t>
  </si>
  <si>
    <t>RXZlbnQtMTI4Njg0@comments.compliasset.com</t>
  </si>
  <si>
    <t>RXZlbnQtMTI4Njg1@comments.compliasset.com</t>
  </si>
  <si>
    <t>RXZlbnQtMTI4Njg2@comments.compliasset.com</t>
  </si>
  <si>
    <t>RXZlbnQtMTI4Njg3@comments.compliasset.com</t>
  </si>
  <si>
    <t>RXZlbnQtMTI4Njg4@comments.compliasset.com</t>
  </si>
  <si>
    <t>RXZlbnQtMTI4Njkw@comments.compliasset.com</t>
  </si>
  <si>
    <t>RXZlbnQtMTI4Njkx@comments.compliasset.com</t>
  </si>
  <si>
    <t>RXZlbnQtMTI4Njky@comments.compliasset.com</t>
  </si>
  <si>
    <t>RXZlbnQtMTI4Njkz@comments.compliasset.com</t>
  </si>
  <si>
    <t>RXZlbnQtMTI4Njk0@comments.compliasset.com</t>
  </si>
  <si>
    <t>RXZlbnQtMTI4Njk1@comments.compliasset.com</t>
  </si>
  <si>
    <t>RXZlbnQtMTI4Njk2@comments.compliasset.com</t>
  </si>
  <si>
    <t>RXZlbnQtMTI4Njk3@comments.compliasset.com</t>
  </si>
  <si>
    <t>RXZlbnQtMTI4Njk4@comments.compliasset.com</t>
  </si>
  <si>
    <t>RXZlbnQtMTI4Njk5@comments.compliasset.com</t>
  </si>
  <si>
    <t>RXZlbnQtMTI4NzAw@comments.compliasset.com</t>
  </si>
  <si>
    <t>RXZlbnQtMTI4NzAx@comments.compliasset.com</t>
  </si>
  <si>
    <t>RXZlbnQtMTI4NzAy@comments.compliasset.com</t>
  </si>
  <si>
    <t>RXZlbnQtMTI4NzAz@comments.compliasset.com</t>
  </si>
  <si>
    <t>Conube</t>
  </si>
  <si>
    <t>Fornecedor</t>
  </si>
  <si>
    <t>Treinamentos</t>
  </si>
  <si>
    <t>Envio de e-mail indicando a necessidade de informar sobre a realização de investimentos pessoais.</t>
  </si>
  <si>
    <t xml:space="preserve">Envio de e-mail questionando sobre a ocorrência de descumprimento de determinações regulatórias, ou sobre a constatação de incidentes ou recebimentos de reclamações. </t>
  </si>
  <si>
    <t>Realização das reuniões do Comitê de Gestão de Riscos e de Compliance (Aprovação de Corretoras).</t>
  </si>
  <si>
    <t>Realização dos procedimentos de backtesting.</t>
  </si>
  <si>
    <t>Verificação da disponibilização das últimas versões dos documentos internos no site da Sociedade.</t>
  </si>
  <si>
    <t>Verificação do status de armazenamento das atas dos comitês de gestão de riscos e de compliance.</t>
  </si>
  <si>
    <t>Verificação do status de armazenamento das comunicações de atividades externas e investimentos privados (próprio e pessoas ligadas).</t>
  </si>
  <si>
    <t>Verificação do status de armazenamento do formulário de solicitação de realização de investimentos pessoais.</t>
  </si>
  <si>
    <t>Verificação do status de armazenamento do termo de adesão à política de compra e venda de valores mobiliários e pela própria empresa.</t>
  </si>
  <si>
    <t>Verificação do status de armazenamento do termo de responsabilidade e confidencialidade.</t>
  </si>
  <si>
    <t>Verificação do status de armazenamento dos termos de adesão ao Manual de Compliance (inicial e alterações).</t>
  </si>
  <si>
    <t>Verificação do status de armazenamento dos termos de monitoramento de gravações telefônicas.</t>
  </si>
  <si>
    <t>Verificação do status de armazenamento dos termos de treinamento.</t>
  </si>
  <si>
    <t>Verificação do status de envio de Documentos Internos para a ANBIMA</t>
  </si>
  <si>
    <t>Verificação do status de realização dos backups.</t>
  </si>
  <si>
    <t>Envio de e-mail questionando sobre o recebimento de presentes e de entretenimento.</t>
  </si>
  <si>
    <t>Verificação da versão do DDQ ANBIMA.</t>
  </si>
  <si>
    <t>Realização do Treinamento anual dos funcionários sobre os documentos internos.</t>
  </si>
  <si>
    <t>Verificação do status do link de Internet secundário.</t>
  </si>
  <si>
    <t>Verificação do status de armazenamento das atas do comitê de investimentos.</t>
  </si>
  <si>
    <t>Comunicação ao COAF/CVM, art 7-A da Inst CVM 301/99.</t>
  </si>
  <si>
    <t>Entrega do Relatório de Controles Internos, de acordo com o art. 21 da Inst CVM 558/2015.</t>
  </si>
  <si>
    <t>Entrega do Formulário de Referência, de acordo com o art. 15 da Inst CVM 558/2015.</t>
  </si>
  <si>
    <t>Atualização dos dados cadastrais da gestora, de acordo com o art. 1da Inst CVM 510/2011.</t>
  </si>
  <si>
    <t>Pagar o fee anual da CIMA para registro dos fundos sediados em Cayman.</t>
  </si>
  <si>
    <t>Cayman</t>
  </si>
  <si>
    <t>Pagar o fee anual da CIMA para registro de diretor dos fundos sediados em Cayman.</t>
  </si>
  <si>
    <t>Pagar fee anual do registro de companhia, para cada um dos fundos sediados em Cayman.</t>
  </si>
  <si>
    <t>Arquivar o annual return de cada um dos fundos sediados em Cayman.</t>
  </si>
  <si>
    <t>Data limite para aprovação das demonstrações contábeis pelo board de cada um dos fundos sediados em Cayman (Strategy e Alpha).</t>
  </si>
  <si>
    <t>Data limite para CRS e FATCA de cada um dos fundos sediados em Cayman.</t>
  </si>
  <si>
    <t>CRS COMPLIANCE FORM</t>
  </si>
  <si>
    <t>Data limite para aquivar FAR de cada um dos fundos sediados em Cayman.</t>
  </si>
  <si>
    <t>Data limite para arquivar as demonstrações contábeis do ano anterior de cada um dos fundos sediados em Cayman.</t>
  </si>
  <si>
    <t>Data limite para submeter os formuários 13F na SEC, via sistema EDGAR.</t>
  </si>
  <si>
    <t>EUA</t>
  </si>
  <si>
    <t>Data limite para submeter os formuários 13H na SEC, via sistema EDGAR.</t>
  </si>
  <si>
    <t>Data Limite para Aprovação do Acordo de PLR com o Sindicato.</t>
  </si>
  <si>
    <t>Data limite para desistir do registro de diretor ou autorização na CIMA</t>
  </si>
  <si>
    <t>Monitoramento e Supervisão de Fornecedores</t>
  </si>
  <si>
    <t>Verificação no meio do ano de aspectos regulatórios e de compliance</t>
  </si>
  <si>
    <t>Data limite para arquivar notifcação de substância econômica</t>
  </si>
  <si>
    <t>Relatório anual de Prevenção a Lavagem de Dinheiro e Financiamento do Terrorismo, conforme Inst CVM 617</t>
  </si>
  <si>
    <t>Data limite para FATCA/CRS de cada um dos fundos sediados em Cayman.</t>
  </si>
  <si>
    <t>Data Limite para Arquivar na CIMA a declaração da SIBL para Excluded Persons.</t>
  </si>
  <si>
    <t>Verificação do status de armazenamento das autorizações para verificação de histórico profissional, acadêmico e obtenção de informações em geral</t>
  </si>
  <si>
    <t>Bimestral</t>
  </si>
  <si>
    <t>Data Determinada</t>
  </si>
  <si>
    <t>Escopo</t>
  </si>
  <si>
    <t>Política de Prevenção à Lavagem de Dinheiro e ao Financiamento do Terrorismo</t>
  </si>
  <si>
    <t>Política de Segurança das Informações, Proteção de Dados Pessoais e de Segurança Cibernética (Ótica de Segurança das Informações)</t>
  </si>
  <si>
    <t>Política de Segurança das Informações, Proteção de Dados Pessoais e de Segurança Cibernética (Ótica de Proteção de Dados Pessoais)</t>
  </si>
  <si>
    <t>Política de Compra e Venda de Valores Mobiliários por Colaboradores e pela Própria Gestora</t>
  </si>
  <si>
    <t>Prazo legal é diário, mas a rotina em si já segue esse periodicidade</t>
  </si>
  <si>
    <t>Jurisprudência</t>
  </si>
  <si>
    <t>Jurisprudência - Ajustado</t>
  </si>
  <si>
    <t>Jéssica Padilha</t>
  </si>
  <si>
    <t>RESOLUÇÃO ICVM 175 - Live</t>
  </si>
  <si>
    <t>RESOLUÇÃO ICVM 175 - Envio de Dúvidas</t>
  </si>
  <si>
    <t>RESOLUÇÃO ICVM 175 - Alinhamento de Minutas</t>
  </si>
  <si>
    <t>Assunto</t>
  </si>
  <si>
    <t>Z:\Sales\Due Diligence Distribuidores\Due Diligence e Questionários\2023\Abr23 - Goldman sachs - Credit Risk</t>
  </si>
  <si>
    <t>Safra</t>
  </si>
  <si>
    <t>Z:\Sales\Due Diligence Distribuidores\Due Diligence e Questionários\2023\Abr23 - Safra - Renovação</t>
  </si>
  <si>
    <t>Auditoria</t>
  </si>
  <si>
    <t xml:space="preserve">CRS Self Certification Request </t>
  </si>
  <si>
    <t>Z:\Sales\Due Diligence Distribuidores\Due Diligence e Questionários\2023\Ago.23 - Goldman Sachs - CRS Certification</t>
  </si>
  <si>
    <t>Z:\Sales\Due Diligence Distribuidores\Due Diligence e Questionários\2023\Ago.23 - BNY</t>
  </si>
  <si>
    <t>Z:\Sales\Due Diligence Distribuidores\Due Diligence e Questionários\2023\Ago.23 - Morgan Stanley</t>
  </si>
  <si>
    <t>Z:\Sales\Due Diligence Distribuidores\Due Diligence e Questionários\2023\Ago.23 - Santander - Renovação</t>
  </si>
  <si>
    <t>Z:\Sales\Due Diligence Distribuidores\Due Diligence e Questionários\2023\Fev23 - Santander Caceis</t>
  </si>
  <si>
    <t>EY</t>
  </si>
  <si>
    <t>Solicitação de Carteira</t>
  </si>
  <si>
    <t>Z:\Sales\Due Diligence Distribuidores\Due Diligence e Questionários\2023\Jul.23.10 - EY Offshore omega</t>
  </si>
  <si>
    <t>Bradesco Asset</t>
  </si>
  <si>
    <t>BRAM</t>
  </si>
  <si>
    <t>Z:\Sales\Due Diligence Distribuidores\Due Diligence e Questionários\2023\Jul23 - BRAM</t>
  </si>
  <si>
    <t>Santander Asset Management</t>
  </si>
  <si>
    <t>Clusterização Fundos MM</t>
  </si>
  <si>
    <t>Z:\Sales\Due Diligence Distribuidores\Due Diligence e Questionários\2023\Jul23 - Bradesco Asset</t>
  </si>
  <si>
    <t>Z:\Sales\Due Diligence Distribuidores\Due Diligence e Questionários\2023\Jul23 - Santander Asset Management</t>
  </si>
  <si>
    <t>BB Asset</t>
  </si>
  <si>
    <t>Z:\Sales\Due Diligence Distribuidores\Due Diligence e Questionários\2023\Jun.23 - BB Asset</t>
  </si>
  <si>
    <t>Z:\Sales\Due Diligence Distribuidores\Due Diligence e Questionários\2023\Jun23 - BTG</t>
  </si>
  <si>
    <t>Z:\Sales\Due Diligence Distribuidores\Due Diligence e Questionários\2023\Jun23.2 - BB Asset</t>
  </si>
  <si>
    <t>Z:\Sales\Due Diligence Distribuidores\Due Diligence e Questionários\2023\Mai23 - Goldman sachs - Credit Risk</t>
  </si>
  <si>
    <t>Z:\Sales\Due Diligence Distribuidores\Due Diligence e Questionários\2023\Mai23 - Goldman sachs - KYC</t>
  </si>
  <si>
    <t>Z:\Sales\Due Diligence Distribuidores\Due Diligence e Questionários\2023\Mai23.2 - Goldman sachs - Credit Risk</t>
  </si>
  <si>
    <t>Z:\Sales\Due Diligence Distribuidores\Due Diligence e Questionários\2023\Mai23.3 - Goldman sachs - Credit Risk</t>
  </si>
  <si>
    <t>Z:\Sales\Due Diligence Distribuidores\Due Diligence e Questionários\2023\Mar23 - Goldman sachs - Credit Risk</t>
  </si>
  <si>
    <t>Z:\Sales\Due Diligence Distribuidores\Due Diligence e Questionários\2023\Ago23 - BB Asset  - ESG</t>
  </si>
  <si>
    <t>Z:\Sales\Due Diligence Distribuidores\Due Diligence e Questionários\2023\Ago23 - Goldman sachs - Credit Risk\08312023</t>
  </si>
  <si>
    <t>Limite_Advanced</t>
  </si>
  <si>
    <t>Resumo_Advanced</t>
  </si>
  <si>
    <t>Limite_Macro</t>
  </si>
  <si>
    <t>Resumo_Macro</t>
  </si>
  <si>
    <t>Limite_Strategy</t>
  </si>
  <si>
    <t>Resumo_Strategy</t>
  </si>
  <si>
    <t>Limite_Icatu</t>
  </si>
  <si>
    <t>Resumo_Icatu</t>
  </si>
  <si>
    <t>Limite_Intrag</t>
  </si>
  <si>
    <t>Resumo_Intrag</t>
  </si>
  <si>
    <t>Limite_Santander</t>
  </si>
  <si>
    <t>Resumo_Santander</t>
  </si>
  <si>
    <t>Limite_BB</t>
  </si>
  <si>
    <t>Resumo_BB</t>
  </si>
  <si>
    <t>Limite_IG20</t>
  </si>
  <si>
    <t>Resumo_IG20</t>
  </si>
  <si>
    <t>Limite_IQ</t>
  </si>
  <si>
    <t>Resumo_IQ</t>
  </si>
  <si>
    <t>Limite_Caixa</t>
  </si>
  <si>
    <t>Resumo_Caixa</t>
  </si>
  <si>
    <t>Versao</t>
  </si>
  <si>
    <t>Observacao</t>
  </si>
  <si>
    <t>Compliance - Rel. Risco</t>
  </si>
  <si>
    <t>TI - Diario</t>
  </si>
  <si>
    <t>TI - Semanal</t>
  </si>
  <si>
    <t>TI - Matriz SoD</t>
  </si>
  <si>
    <t>TI - Acessos Sistemas</t>
  </si>
  <si>
    <t>Flag</t>
  </si>
  <si>
    <t>Local - Santander PREV Master</t>
  </si>
  <si>
    <t>testeGER.16 - Boleta executada sem pré-boleta</t>
  </si>
  <si>
    <t>GERENCIAL</t>
  </si>
  <si>
    <t>REMOVER REGRA OU COMEÇAR A REALIZAR PRE-TRADE PARA IDENTIFICAR</t>
  </si>
  <si>
    <t>GER.31 - Margem &lt; 15%</t>
  </si>
  <si>
    <t>Ajuste necessário para identificar defasagem na margem (Cash)</t>
  </si>
  <si>
    <t>ANB000-Produto sem parâmetros de liquidez configurados pelo usuário</t>
  </si>
  <si>
    <t>ANBIMA LIQUIDEZ</t>
  </si>
  <si>
    <t>Cadastrar Parametro (Equity Options não entrar em liquidez)</t>
  </si>
  <si>
    <t>GER.63 - Derivativos de balcão sem contraparte definida</t>
  </si>
  <si>
    <t>Cadastrar Parametro (Ativos de balcão, ou seja, sem contraparte)</t>
  </si>
  <si>
    <t>Ajuste necessário para identificar defasagem na margem (LFT com o dobro da % permitida)</t>
  </si>
  <si>
    <t>GER.30 - Posição no book Margem = 0%</t>
  </si>
  <si>
    <t>Cadastrar Parametro (Arredondar)</t>
  </si>
  <si>
    <t>REG050-Proibida posição direta em ativos no exterior</t>
  </si>
  <si>
    <t>REGULAMENTO</t>
  </si>
  <si>
    <t>Cadastrar Parametro ( Identificar quais ativos estão apenas no Acesso e Offshore)</t>
  </si>
  <si>
    <t>GER.44C - Exposição contábil de derivativos de JUROS - Intrag</t>
  </si>
  <si>
    <t>Cadastrar Parametro ( Regra exige &gt;=0% e deve ser ignorado o Notional Negativo)</t>
  </si>
  <si>
    <t>GER.42C - Notional de futuros e swap de JUROS - Intrag</t>
  </si>
  <si>
    <t>Identificar variação da moeda BRL(MARGEM)</t>
  </si>
  <si>
    <t>Ajuste necessário para identificar defasagem na margem ( Remover Provision)</t>
  </si>
  <si>
    <t>212-Patrimônio líquido &gt; 1.000.000</t>
  </si>
  <si>
    <t>CVM 555</t>
  </si>
  <si>
    <t>Remover regra para esse fundo em questão</t>
  </si>
  <si>
    <t>GER.12.01 – Valor Depositado em Margem onshore é menor do que 100%</t>
  </si>
  <si>
    <t>Regra</t>
  </si>
  <si>
    <t>Ajuste</t>
  </si>
  <si>
    <t>PREV002a - Exposição cambial ajustada &lt; 10%</t>
  </si>
  <si>
    <t>ADAM MACRO STRATEGY II FIC FIM</t>
  </si>
  <si>
    <t>CNPJ</t>
  </si>
  <si>
    <t xml:space="preserve"> 24.029.438/0001-60</t>
  </si>
  <si>
    <t xml:space="preserve"> 24.018.977/0001-02</t>
  </si>
  <si>
    <t xml:space="preserve"> 23.951.048/0001-80</t>
  </si>
  <si>
    <t>25.681.955/0001-82</t>
  </si>
  <si>
    <t xml:space="preserve"> 35.649.679/0001-29</t>
  </si>
  <si>
    <t>Modificar para 20%</t>
  </si>
  <si>
    <t>Site</t>
  </si>
  <si>
    <t>Cancelado</t>
  </si>
  <si>
    <t>Termos de Adesão Colaborador 2023 - Pedro Bastos</t>
  </si>
  <si>
    <t>Pedro Bastos</t>
  </si>
  <si>
    <t>Termos de Adesão Colaborador 2023 - Lucas Andrade</t>
  </si>
  <si>
    <t>11/08/2023 15:05</t>
  </si>
  <si>
    <t>16/08/2023 16:14</t>
  </si>
  <si>
    <t>Termos de Adesão Colaborador 2023 - Jessica Padilha</t>
  </si>
  <si>
    <t>16/08/2023 11:39</t>
  </si>
  <si>
    <t>16/08/2023 16:25</t>
  </si>
  <si>
    <t>001-Posição em ativos no exterior &lt;= 40%</t>
  </si>
  <si>
    <t>074-Posição em créditos privados &lt;= 50%</t>
  </si>
  <si>
    <t>210-Alerta de fundo sem FundClass</t>
  </si>
  <si>
    <t>211-Alerta de fundo sem CNPJ</t>
  </si>
  <si>
    <t>500-RENDA FIXA - Total Artigo 13 &lt;  100%</t>
  </si>
  <si>
    <t>501-Títulos da Dívida Pública Mobiliária Federal &lt;  100%</t>
  </si>
  <si>
    <t>502-Créditos securitizados pelo Tesouro Nacional &lt;  100%</t>
  </si>
  <si>
    <t>503-FIEs que invistam em Títulos Públicos &lt;  100%</t>
  </si>
  <si>
    <t>504-ETFs que invistam em Títulos Públicos &lt;  100%</t>
  </si>
  <si>
    <t>505-Total do Art. 8º Inciso I &lt;  100%</t>
  </si>
  <si>
    <t>506-Valores mobiliários de RF emitidos por empresas abertas registradas na CVM &lt;  75%</t>
  </si>
  <si>
    <t>507-Debêntures de Infraestrutura da Lei 12.431 &lt;  75%</t>
  </si>
  <si>
    <t>508-Total do Art. 8º Inciso II &lt;  75%</t>
  </si>
  <si>
    <t>509-Obrigações ou coobrigações de instituições financeiras &lt;  50%</t>
  </si>
  <si>
    <t>510-Fundos de Renda Fixa ou Fundos de cotas destes &lt;  50%</t>
  </si>
  <si>
    <t>511-ETFs de Índice de Renda Fixa &lt;  50%</t>
  </si>
  <si>
    <t>512-Total do Art. 8º Inciso III &lt;  50%</t>
  </si>
  <si>
    <t>513-Valores mobiliários emitidos por SPEs registradas na CVM exceto deb. de Infra &lt;  25%</t>
  </si>
  <si>
    <t>514-Certificados de recebíveis emitidos por securitizadoras registradas na CVM &lt;  25%</t>
  </si>
  <si>
    <t>515-Obrigações de organizações financeiras internacionais que o Brasil participe &lt;  25%</t>
  </si>
  <si>
    <t>516-Cotas sênior de FIDC e cotas destes &lt;  25%</t>
  </si>
  <si>
    <t>517-Outros TVMs de renda fixa com cobertura de seguro &lt;  25%</t>
  </si>
  <si>
    <t>518-Total do Art. 8º Inciso IV &lt;  25%</t>
  </si>
  <si>
    <t>519-Proibidos FIDCs de Projetos de Interesse Social e  Não Padronizados</t>
  </si>
  <si>
    <t>520-Alerta de ação sem o campo do capital social</t>
  </si>
  <si>
    <t>521/I-RENDA VARIÁVEL - Artigo 13 &lt;  70%</t>
  </si>
  <si>
    <t>522/I-Ações e semelhantes com 25% no free float e somente ON &lt;  70%</t>
  </si>
  <si>
    <t>523/I-Fundos abertos que invistam em ações com 25% no free float e somente ON &lt;  70%</t>
  </si>
  <si>
    <t>524/I-Total Art. 9º Inciso I &lt;  70%</t>
  </si>
  <si>
    <t>525/I-Ações e semelhantes com ON e PN e 5 membros no Conselho &lt;  52.5%</t>
  </si>
  <si>
    <t>526/I-Fundos abertos que invistam em ações com ON e PN e 5 membros no Conselho &lt;  52.5%</t>
  </si>
  <si>
    <t>527/I-Total Art. 9º Inciso II &lt;  52.5%</t>
  </si>
  <si>
    <t>528/I-Ações e semelhantes com ON e PN e 3 membros no Conselho &lt;  35%</t>
  </si>
  <si>
    <t>529/I-Fundos abertos que invistam em ações com ON e PN e 3 membros no Conselho &lt;  35%</t>
  </si>
  <si>
    <t>530/I-Fundos replicadores de Índice de Renda Variável negociados em Bolsa &lt;  35%</t>
  </si>
  <si>
    <t>531/I-Fundos replicadores de Índice de Renda Variável não negociados em Bolsa &lt;  35%</t>
  </si>
  <si>
    <t>532/I-Total Art. 9º Inciso III &lt;  35%</t>
  </si>
  <si>
    <t>533/I-Ações e semelhantes sem mínimo de free float &lt;  17.5%</t>
  </si>
  <si>
    <t>534/I-Fundo aberto que invista em ações sem mínimo de free float &lt;  17.5%</t>
  </si>
  <si>
    <t>535/I-Debêntures com participação no lucro ou conversíveis com registro na CVM &lt;  17.5%</t>
  </si>
  <si>
    <t>536/I-Total Art. 9º Inciso IV &lt;  17.5%</t>
  </si>
  <si>
    <t>537/I-Fundos imobiliários e cotas de Fundos destes &lt;  20%</t>
  </si>
  <si>
    <t>538/I-VARIAÇÃO CAMBIAL - Total Artigo 13 &lt;  20%</t>
  </si>
  <si>
    <t>539/I-Títulos públicos indexados à variação de moedas estrangeiras &lt;  20%</t>
  </si>
  <si>
    <t>540/I-Fundos com pelo menos 80% de ativos cambiais ou cupom e cotas destes &lt;  20%</t>
  </si>
  <si>
    <t>541/I-Fundos de Renda Fixa - Dívida Externa &lt;  20%</t>
  </si>
  <si>
    <t>542/I-Fundos com sufixo "Investimento no Exterior" &lt;  20%</t>
  </si>
  <si>
    <t>543/I-ETFs de Índice em Investimento no Exterior &lt;  20%</t>
  </si>
  <si>
    <t>544/I-Fundos Multimercado com ativos de risco cambial &lt;  20%</t>
  </si>
  <si>
    <t>545/I-COE com proteção e ativo risco cambial &lt;  20%</t>
  </si>
  <si>
    <t>546/I-Total Art. 11 Inciso I &lt;  20%</t>
  </si>
  <si>
    <t>547/I-BDRs &lt;  15%</t>
  </si>
  <si>
    <t>548/I-FIAs com sufixo Ações - BDR Nível 1 &lt;  15%</t>
  </si>
  <si>
    <t>549/I-Total Art. 11 Inciso II &lt;  15%</t>
  </si>
  <si>
    <t>550/I-Títulos de dívida de empresas brasileiras abertas emitidos no exterior &lt;  10%</t>
  </si>
  <si>
    <t>551/I-Depósitos a prazo fixo no exterior até 6 meses em moeda estrangeira &lt;  5%</t>
  </si>
  <si>
    <t>552/I-Certificados de depósito no exterior em moeda estrangeira &lt;  5%</t>
  </si>
  <si>
    <t>553/I-Total do Art. 11 Inciso IV &lt;  5%</t>
  </si>
  <si>
    <t>554/I-OUTROS - Total Artigo 13 &lt;  20%</t>
  </si>
  <si>
    <t>555/I-Fundos Multimercado aberto ou cotas destes &lt;  20%</t>
  </si>
  <si>
    <t>556/I-COE com valor nominal protegido &lt;  20%</t>
  </si>
  <si>
    <t>557/I-Total Art. 12 Inciso I &lt;  20%</t>
  </si>
  <si>
    <t>558/I-Total do Art. 12 Inciso II &lt;  15%</t>
  </si>
  <si>
    <t>559/I-COE com valor nominal em risco &lt;  5%</t>
  </si>
  <si>
    <t>560/I-Reduções Certificadas de Emissão e créditos de carbono &lt;  5%</t>
  </si>
  <si>
    <t>561-Posição em determinado FIA de mercado de acesso &lt;  10%</t>
  </si>
  <si>
    <t>562/I-Total Art. 12 Inciso III &lt;  5%</t>
  </si>
  <si>
    <t>564-Posição em títulos emitidos pela União Federal &lt;  100%</t>
  </si>
  <si>
    <t>565-Posição em determinado Fundo não FIE e não Índice &lt;  49%</t>
  </si>
  <si>
    <t>566-Posição em determinado Fundo de Índice não FIE &lt;  49%</t>
  </si>
  <si>
    <t>567-Posição em valores mobiliários emitidos por determinada IF &lt;  25%</t>
  </si>
  <si>
    <t>568-Posição em valores mobiliários emitidos por determinada Cia Aberta &lt;  15%</t>
  </si>
  <si>
    <t>569-Posição em determinada SPE para debentures de infraestrutura &lt;  15%</t>
  </si>
  <si>
    <t>570-Posição em valores mobiliários emitidos por determinada OI &lt;  10%</t>
  </si>
  <si>
    <t>571-Posição em valores mobiliários emitidos por determinada securitizadora &lt;  10%</t>
  </si>
  <si>
    <t>572-Posição em valores mobiliários emitidos por determinado FIDC ou FICFIDC &lt;  10%</t>
  </si>
  <si>
    <t>573-Posição em determinado Fundo Imobiliário &lt;  10%</t>
  </si>
  <si>
    <t>574-Posição em valores mobiliários emitidos por determinada SPE &lt;  10%</t>
  </si>
  <si>
    <t>575-Posição em valores mobiliários emitidos por determinado outro emissor &lt;  5%</t>
  </si>
  <si>
    <t>579/I-FIAs de Mercado de Acesso &lt;  15%</t>
  </si>
  <si>
    <t>581-Posição no capital total de uma mesma cia. aberta &lt;  20%</t>
  </si>
  <si>
    <t>582-Posição no capital votante de uma mesma cia. aberta &lt;  20%</t>
  </si>
  <si>
    <t>585-Posição em um mesmo COE com valor nominal em risco &lt; 5%</t>
  </si>
  <si>
    <t>587-Posição em determinado FIP &lt;  10%</t>
  </si>
  <si>
    <t>593/I-Títulos emitidos por governos centrais de baixo risco &lt;  5%</t>
  </si>
  <si>
    <t>596/I-Fundos de participação - FIP &lt;  15%</t>
  </si>
  <si>
    <t>ANB461-Resgate Multimercados EFPC 1 dia &gt; 0.11%</t>
  </si>
  <si>
    <t>ANB462-Resgate Multimercados EFPC 2 dias &gt; 0.22%</t>
  </si>
  <si>
    <t>ANB463-Resgate Multimercados EFPC 3 dias &gt; 0.33%</t>
  </si>
  <si>
    <t>ANB464-Resgate Multimercados EFPC 4 dias &gt; 0.44%</t>
  </si>
  <si>
    <t>ANB465-Resgate Multimercados EFPC 5 dias &gt; 0.55%</t>
  </si>
  <si>
    <t>ANB466-Resgate Multimercados EFPC 10 dias &gt; 1.14%</t>
  </si>
  <si>
    <t>ANB467-Resgate Multimercados EFPC 21 dias &gt; 2.29%</t>
  </si>
  <si>
    <t>ANB468-Resgate Multimercados EFPC 42 dias &gt; 4.69%</t>
  </si>
  <si>
    <t>ANB469-Resgate Multimercados EFPC 63 dias &gt; 6.54%</t>
  </si>
  <si>
    <t>ANB470-Resgate Multimercados EFPC 126 dias &gt; 14.88%</t>
  </si>
  <si>
    <t>GER.01.02 - Verificação do Valor do Indicador de Risco Teste de Estresse (Stress Testing) em [35]% dia do NAV do fundo</t>
  </si>
  <si>
    <t>GER.02.02 - Verificação do Valor do Indicador de Risco VaR Parametrico em [4.74]% dia do NAV do fundo</t>
  </si>
  <si>
    <t>GER.03.02 – Verificação do Valor do Primeiro Drawdown de [7.906]% do Controle de Stop Loss</t>
  </si>
  <si>
    <t>GER.04.02 – Verificação do Valor do Segundo Drawdown de [11.068]% do Controle de Stop Loss</t>
  </si>
  <si>
    <t>GER.05.02 – Verificação do Valor do Terceiro Drawdown de [15.812]% do Controle de Stop Loss</t>
  </si>
  <si>
    <t>GER.07.01 – Verificação do Indicador de Risco Ativos Liquidáveis nos próximos [30] dias se é maior do que [50]% do NAV do fundo</t>
  </si>
  <si>
    <t>GER.07.02 – Verificação do Indicador de Risco  Ativos Liquidáveis nos próximos [60] dias se é maior do que [50]% do NAV do fundo</t>
  </si>
  <si>
    <t>GER.08.01 - Disponibilidade de Caixa em Reais &lt; 25%</t>
  </si>
  <si>
    <t>GER.09.01 - Trade de Bolsa operado fora de 80% da oscilação da BOVESPA de D-1</t>
  </si>
  <si>
    <t>GER.10.01 - Verificação das posições em ações com direito a voto de uma mesma companhia aberta &lt; [10]% do NAV do fundo</t>
  </si>
  <si>
    <t>GER.10.02 - Participação total em ações com direito a voto de uma mesma companhia aberta &lt; [5]% do total emitido</t>
  </si>
  <si>
    <t>GER.10.03 - Memória de cálculo da regra GER.10.02</t>
  </si>
  <si>
    <t>GER.11.01 – Verificação do preço registrado do título público se é menor do que o Preço Indicativo Máximo ANBIMA</t>
  </si>
  <si>
    <t>GER.11.02 – Verificação do preço registrado do título público se é maior do que o Preço Indicativo Mínimo ANBIMA</t>
  </si>
  <si>
    <t>GER.12.02 – Valor Depositado em Margem offshore menor do que 100%</t>
  </si>
  <si>
    <t>GER.14.01 - Verificação do valor da prévia dos ajustes na BM&amp;F</t>
  </si>
  <si>
    <t>GER.14.02 - Verificação do valor da prévia dos ajustes na BM&amp;F como % do NAV</t>
  </si>
  <si>
    <t>GER.15.01 - Verificação da alavancagem por valor nocional de contratos futuros na BM&amp;F com relação ao NAV</t>
  </si>
  <si>
    <t>GER.16 - Boleta executada sem pré-boleta</t>
  </si>
  <si>
    <t>GER.20 - Operações de derivativos em corretoras</t>
  </si>
  <si>
    <t>GER.21 - Operações de títulos públicos em corretoras</t>
  </si>
  <si>
    <t>GER.22 - Operações offshore em corretoras</t>
  </si>
  <si>
    <t>GER.23 - Operações Compromissadas e Cash &lt; 25%</t>
  </si>
  <si>
    <t>GER.24 - Posição em Títulos Públicos sem compromissada &lt; 100%</t>
  </si>
  <si>
    <t>GER.25 - Prévia do valor das operações compromissadas &lt; 100%</t>
  </si>
  <si>
    <t>GER.29 - Média Móvel de 63 dias dos Prazos Médios Remanescentes &gt; 1095 dias</t>
  </si>
  <si>
    <t>GER.32 - Exposição ao SPX</t>
  </si>
  <si>
    <t>GER.33a - Exposição cambial com derivativos</t>
  </si>
  <si>
    <t>GER.33c - Exposição Cambial Gerencial com ativos e derivativos &lt; 10%</t>
  </si>
  <si>
    <t>GER.34 - Posição em Futuros de SPX BMF &lt; 20%</t>
  </si>
  <si>
    <t>GER.35 - OUTROS - Artigo 13 com Futuro de SPX &lt; 20%</t>
  </si>
  <si>
    <t>GER.36.1 - Outstanding Derivativos CME exceto balcão &lt; 20%</t>
  </si>
  <si>
    <t>GER.36.2 - Outstanding Derivativos CMX exceto balcão &lt; 20%</t>
  </si>
  <si>
    <t>GER.36.3 - Outstanding Derivativos BMF exceto balcão &lt; 20%</t>
  </si>
  <si>
    <t>GER.36.4 - Outstanding Derivativos ICE exceto balcão &lt; 20%</t>
  </si>
  <si>
    <t>GER.37 - Outstanding de TRY balcão &lt; 500 MM</t>
  </si>
  <si>
    <t>GER.40A - Posição em derivativos CME &lt; 50% do ADTV de 20 DU</t>
  </si>
  <si>
    <t>GER.40B - Posição em derivativos BMF &lt; 50% do ADTV de 20 DU</t>
  </si>
  <si>
    <t>GER.40C - Posição em ações no Brasil &lt; 50% do ADTV de 20 DU</t>
  </si>
  <si>
    <t>GER.41A - Dias para liquidar derivativos CME &lt; 5 dias</t>
  </si>
  <si>
    <t>GER.41B - Dias para liquidar em derivativos BMF &lt; 5 dias</t>
  </si>
  <si>
    <t>GER.41C - Dias para liquidar ações no Brasil &lt; 5 dias</t>
  </si>
  <si>
    <t>GER.42A - Notional de futuros e swap de RV - Intrag</t>
  </si>
  <si>
    <t>GER.42B - Notional de futuros e swap de USD - Intrag</t>
  </si>
  <si>
    <t>GER.42D - Notional de futuros e swap de IGPM - Intrag</t>
  </si>
  <si>
    <t>GER.42E - Notional de futuros e swap de IPCA - Intrag</t>
  </si>
  <si>
    <t>GER.42F - Notional de futuros e swap de CUPOM DE DÓLAR - Intrag</t>
  </si>
  <si>
    <t>GER.42G - Notional de futuros e swap de AUD - Intrag</t>
  </si>
  <si>
    <t>GER.42H - Notional de futuros e swap de GBP - Intrag</t>
  </si>
  <si>
    <t>GER.42I - Notional de futuros e swap de CAD - Intrag</t>
  </si>
  <si>
    <t>GER.42J - Notional de futuros e swap de JPY - Intrag</t>
  </si>
  <si>
    <t>GER.42K - Notional de futuros e swap de MXN - Intrag</t>
  </si>
  <si>
    <t>GER.42L - Notional de futuros e swap de CHF - Intrag</t>
  </si>
  <si>
    <t>GER.42M - Notional de futuros e swap de CLP - Intrag</t>
  </si>
  <si>
    <t>GER.42N - Notional de futuros e swap de NZD - Intrag</t>
  </si>
  <si>
    <t>GER.42O - Notional de futuros e swap de TRY - Intrag</t>
  </si>
  <si>
    <t>GER.42P - Notional de futuros e swap de CNY - Intrag</t>
  </si>
  <si>
    <t>GER.42Q - Notional de futuros e swap de ZAR - Intrag</t>
  </si>
  <si>
    <t>GER.42R - Notional de futuros e swap de EUR - Intrag</t>
  </si>
  <si>
    <t>GER.43A - Prêmios de opções de RV - Intrag</t>
  </si>
  <si>
    <t>GER.43B - Prêmios de opções de USD - Intrag</t>
  </si>
  <si>
    <t>GER.43C - Prêmios de opções de JUROS - Intrag</t>
  </si>
  <si>
    <t>GER.44A - Exposição contábil de derivativos de RV - Intrag</t>
  </si>
  <si>
    <t>GER.44B - Exposição contábil de derivativos de USD e CUPOM - Intrag</t>
  </si>
  <si>
    <t>GER.44D - Exposição contábil de derivativos de IGPM - Intrag</t>
  </si>
  <si>
    <t>GER.44E - Exposição contábil de derivativos de IPCA - Intrag</t>
  </si>
  <si>
    <t>GER.44G - Exposição contábil de derivativos de AUD - Intrag</t>
  </si>
  <si>
    <t>GER.44H - Exposição contábil de derivativos de GBP - Intrag</t>
  </si>
  <si>
    <t>GER.44I - Exposição contábil de derivativos de CAD - Intrag</t>
  </si>
  <si>
    <t>GER.44J - Exposição contábil de derivativos de JPY - Intrag</t>
  </si>
  <si>
    <t>GER.44K - Exposição contábil de derivativos de MXN - Intrag</t>
  </si>
  <si>
    <t>GER.44L - Exposição contábil de derivativos de CHF - Intrag</t>
  </si>
  <si>
    <t>GER.44M - Exposição contábil de derivativos de CLP - Intrag</t>
  </si>
  <si>
    <t>GER.44N - Exposição contábil de derivativos de NZD - Intrag</t>
  </si>
  <si>
    <t>GER.44O - Exposição contábil de derivativos de TRY - Intrag</t>
  </si>
  <si>
    <t>GER.44P - Exposição contábil de derivativos de CNY - Intrag</t>
  </si>
  <si>
    <t>GER.44Q - Exposição contábil de derivativos de ZAR - Intrag</t>
  </si>
  <si>
    <t>GER.44R - Exposição contábil de derivativos de EUR - Intrag</t>
  </si>
  <si>
    <t>GER.45 - Exposição contábil de derivativos - Intrag</t>
  </si>
  <si>
    <t>GER.46 - Exposição líquida pré-fixada</t>
  </si>
  <si>
    <t>GER.47 - Exposição líquida de cupom de inflação &lt;100%</t>
  </si>
  <si>
    <t>GER.48 - Exposição líquida de renda variável &lt; 100%</t>
  </si>
  <si>
    <t>GER.51 - Valores de ADTV por produto</t>
  </si>
  <si>
    <t>GER.52A - Exposição a TRY &lt; R$ 8 bi</t>
  </si>
  <si>
    <t>GER.52C - Dias para liquidar TRY onshore &lt; 5</t>
  </si>
  <si>
    <t>GER.53A - Exposição a PHP &lt; R$ 4 bi</t>
  </si>
  <si>
    <t>GER.53C - Dias para liquidar PHP onshore &lt; 5</t>
  </si>
  <si>
    <t>GER.54A - Exposição a ZAR &lt; R$ 9 bi</t>
  </si>
  <si>
    <t>GER.54C - Dias para liquidar ZAR onshore &lt; 5</t>
  </si>
  <si>
    <t>GER.55A - Exposição a SEK &lt; R$ 24 bi</t>
  </si>
  <si>
    <t>GER.55C - Dias para liquidar SEK onshore &lt; 5</t>
  </si>
  <si>
    <t>GER.56A - Exposição a KRW &lt; R$ 6 bi</t>
  </si>
  <si>
    <t>GER.56C - Dias para liquidar KRW onshore &lt; 5</t>
  </si>
  <si>
    <t>GER.57 - Valores a pagar por compra de Títulos Públicos</t>
  </si>
  <si>
    <t>GER.61 - Produto sem Grupo Econômico</t>
  </si>
  <si>
    <t>GER.62A - Posição em Currencies Forward por contraparte</t>
  </si>
  <si>
    <t>GER.62B - Posição em Currencies NDF por contraparte</t>
  </si>
  <si>
    <t>MET001-Resgate médio de 3 dias e janela de 12 meses</t>
  </si>
  <si>
    <t>PREV001b - Posição em renda variável &lt; 70%</t>
  </si>
  <si>
    <t>PREV002b - Exposição cambial ajustada &lt; 20%</t>
  </si>
  <si>
    <t>PREV003b - Posição em BDRs &lt;15%</t>
  </si>
  <si>
    <t>PREV004a - Posição em operações compromissadas &lt; 25%</t>
  </si>
  <si>
    <t>PREV005a - Posição em títulos públicos &lt; 100%</t>
  </si>
  <si>
    <t>PREV006a - Posição em renda fixa &lt; 100%</t>
  </si>
  <si>
    <t>PREV7a - Posição em ativos no exterior &lt; 20%</t>
  </si>
  <si>
    <t>PREVaux1 - Exposição em derivativos com ajuste em USD</t>
  </si>
  <si>
    <t>PREVaux2 - Posição em ativos no exterior</t>
  </si>
  <si>
    <t>PREVaux3 - Exposição com futuro de dólar</t>
  </si>
  <si>
    <t>PREVaux4 - Posição em BDRs</t>
  </si>
  <si>
    <t>REG057-Proibida posição em FIPs</t>
  </si>
  <si>
    <t>REG060-Proibida posição em Títulos de emissão do Administrador ou Gestor</t>
  </si>
  <si>
    <t>REG066c-Proibida operação com administrador como contraparte</t>
  </si>
  <si>
    <t>REG070-Vedada posição em FIIs</t>
  </si>
  <si>
    <t>REG071-Vedada posição em qualquer tipo de COE</t>
  </si>
  <si>
    <t>REG074-Vedada posição em ítulos de empresas brasileiras abertas emitidos no exterior</t>
  </si>
  <si>
    <t>REG077-Vedada posição em um grupo de ativos</t>
  </si>
  <si>
    <t>REG078-Proibida posição em Fundos Especialmente Constituídos</t>
  </si>
  <si>
    <t>REG079-Vedada posição em depósitos a prazo fixo no exterior até 6 meses em moeda estrangeira</t>
  </si>
  <si>
    <t>REG080-Vedada posição em FIAs de Mercado de Acesso</t>
  </si>
  <si>
    <t>003-Posição em valores mobiliários emitidos por determinada IF &lt;= 20%</t>
  </si>
  <si>
    <t>004-Posição em valores mobiliários emitidos por determinada companhia aberta &lt;= 10%</t>
  </si>
  <si>
    <t>006-Posição em cotas emitidas por um mesmo Fundo &lt;= 10%</t>
  </si>
  <si>
    <t>007-Posição em valores mobiliários emitidos por empresas fechadas e PF &lt;= 5%</t>
  </si>
  <si>
    <t>008-Posição em valores mobiliários de emissão do Administrador ou Gestor &lt;= 20%</t>
  </si>
  <si>
    <t>053-Posição em investimentos restritos &lt;=40%</t>
  </si>
  <si>
    <t>054-Posição em investimentos especiais &lt;=10%</t>
  </si>
  <si>
    <t>078-Posição em cotas emitidas por um mesmo Fundo exceto cotas de Div. Externa e Fundos no exterior &lt;= 10%</t>
  </si>
  <si>
    <t>521/II-RENDA VARIÁVEL - Artigo 13 &lt;  100%</t>
  </si>
  <si>
    <t>522/II-Ações e semelhantes com 25% no free float e somente ON &lt;  100%</t>
  </si>
  <si>
    <t>523/II-Fundos abertos que invistam em ações com 25% no free float e somente ON &lt;  100%</t>
  </si>
  <si>
    <t>524/II-Total Art. 9º Inciso I &lt;  100%</t>
  </si>
  <si>
    <t>525/II-Ações e semelhantes com ON e PN e 5 membros no Conselho &lt;  75%</t>
  </si>
  <si>
    <t>526/II-Fundos abertos que invistam em ações com ON e PN e 5 membros no Conselho &lt;  75%</t>
  </si>
  <si>
    <t>527/II-Total Art. 9º Inciso II &lt;  75%</t>
  </si>
  <si>
    <t>528/II-Ações e semelhantes com ON e PN e 3 membros no Conselho &lt;  50%</t>
  </si>
  <si>
    <t>529/II-Fundos abertos que invistam em ações com ON e PN e 3 membros no Conselho &lt;  50%</t>
  </si>
  <si>
    <t>530/II-Fundos replicadores de Índice de Renda Variável negociados em Bolsa &lt;  50%</t>
  </si>
  <si>
    <t>531/II-Fundos replicadores de Índice de Renda Variável não negociados em Bolsa &lt;  50%</t>
  </si>
  <si>
    <t>532/II-Total Art. 9º Inciso III &lt;  50%</t>
  </si>
  <si>
    <t>533/II-Ações e semelhantes sem mínimo de free float &lt;  25%</t>
  </si>
  <si>
    <t>534/II-Fundo aberto que invista em ações sem mínimo de free float &lt;  25%</t>
  </si>
  <si>
    <t>535/II-Debêntures com participação no lucro ou conversíveis com registro na CVM &lt;  25%</t>
  </si>
  <si>
    <t>536/II-Total Art. 9º Inciso IV &lt;  25%</t>
  </si>
  <si>
    <t>537/II-Fundos imobiliários e cotas de Fundos destes &lt;  40%</t>
  </si>
  <si>
    <t>538/II-VARIAÇÃO CAMBIAL - Total Artigo 13 &lt;  40%</t>
  </si>
  <si>
    <t>539/II-Títulos públicos indexados à variação de moedas estrangeiras &lt;  40%</t>
  </si>
  <si>
    <t>540/II-Fundos com pelo menos 80% de ativos cambiais ou cupom e cotas destes &lt;  40%</t>
  </si>
  <si>
    <t>541/II-Fundos de Renda Fixa - Dívida Externa &lt;  40%</t>
  </si>
  <si>
    <t>542/II-Fundos com sufixo "Investimento no Exterior" &lt;  40%</t>
  </si>
  <si>
    <t>543/II-ETFs de Índice em Investimento no Exterior &lt;  40%</t>
  </si>
  <si>
    <t>544/II-Fundos Multimercado com ativos de risco cambial &lt;  40%</t>
  </si>
  <si>
    <t>545/II-COE com proteção e ativo risco cambial &lt;  40%</t>
  </si>
  <si>
    <t>546/II-Total Art. 11 Inciso I &lt;  40%</t>
  </si>
  <si>
    <t>547/II-BDRs &lt;  15%</t>
  </si>
  <si>
    <t>548/II-FIAs com sufixo Ações - BDR Nível 1 &lt;  30%</t>
  </si>
  <si>
    <t>549/II-Total Art. 11 Inciso II &lt;  30%</t>
  </si>
  <si>
    <t>550/II-Títulos de dívida de empresas brasileiras abertas emitidos no exterior &lt;  20%</t>
  </si>
  <si>
    <t>551/II-Depósitos a prazo fixo no exterior até 6 meses em moeda estrangeira &lt;  10%</t>
  </si>
  <si>
    <t>552/II-Certificados de depósito no exterior em moeda estrangeira &lt;  10%</t>
  </si>
  <si>
    <t>553/II-Total do Art. 11 Inciso IV &lt;  10%</t>
  </si>
  <si>
    <t>554/II-OUTROS - Total Artigo 13 &lt;  40%</t>
  </si>
  <si>
    <t>555/II-Fundos Multimercado aberto ou cotas destes &lt;  40%</t>
  </si>
  <si>
    <t>556/II-COE com valor nominal protegido &lt;  40%</t>
  </si>
  <si>
    <t>557/II-Total Art. 12 Inciso I &lt;  40%</t>
  </si>
  <si>
    <t>558/II-Total do Art. 12 Inciso II &lt;  30%</t>
  </si>
  <si>
    <t>559/II-COE com valor nominal em risco &lt;  10%</t>
  </si>
  <si>
    <t>560/II-Reduções Certificadas de Emissão e créditos de carbono &lt;  10%</t>
  </si>
  <si>
    <t>562/II-Total Art. 12 Inciso III &lt;  10%</t>
  </si>
  <si>
    <t>579/II-FIAs de Mercado de Acesso &lt;  30%</t>
  </si>
  <si>
    <t>593/II-Títulos emitidos por governos centrais de baixo risco &lt;  10%</t>
  </si>
  <si>
    <t>596/II-Fundos de participação - FIP &lt;  30%</t>
  </si>
  <si>
    <t>PREV001c - Posição em renda variável &lt; 100%</t>
  </si>
  <si>
    <t>PREV002c - Exposição cambial ajustada &lt; 40%</t>
  </si>
  <si>
    <t>PREV003c - Posição em BDRs &lt; 30%</t>
  </si>
  <si>
    <t>PREV7c - Posição em ativos no exterior &lt; 40%</t>
  </si>
  <si>
    <t>REG001-Operações compromissadas com Títulos Públicos &lt; 25%</t>
  </si>
  <si>
    <t>REG081-Vedada posição em cotas de fundos de condomínio aberto</t>
  </si>
  <si>
    <t>REG082-Posição em debentures de infraestrutura &lt; 75%</t>
  </si>
  <si>
    <t>REG083-Posição em debentures part. nos lucros e conversíveis  &lt; 25%</t>
  </si>
  <si>
    <t>REG084-Proibida posição em ativos financeiros de renda fixa de emissão do Administrador ou Gestor</t>
  </si>
  <si>
    <t>REG085-Vedada Reduções Certificadas de Emissão e créditos de carbono</t>
  </si>
  <si>
    <t>REG086-Vedado depósitos a prazo fixo no exterior até 6 meses em moeda estrangeira</t>
  </si>
  <si>
    <t>REG087-Vedado títulos de dívida de empresas brasileiras abertas emitidos no exterior</t>
  </si>
  <si>
    <t>REG088-Posição em cotas de fundos</t>
  </si>
  <si>
    <t>146-Prazo médio da carteira &gt; 365 dias</t>
  </si>
  <si>
    <t>150-Média móvel de 40 dias da posição em cotas de Fundos de FIAs &lt; 95%</t>
  </si>
  <si>
    <t>ANB471-Resgate Multimercados INSTITUCIONAIS 1 dia &gt; 0.22%</t>
  </si>
  <si>
    <t>ANB472-Resgate Multimercados INSTITUCIONAIS 2 dias &gt; 0.41%</t>
  </si>
  <si>
    <t>ANB473-Resgate Multimercados INSTITUCIONAIS 3 dias &gt; 0.61%</t>
  </si>
  <si>
    <t>ANB474-Resgate Multimercados INSTITUCIONAIS 4 dias &gt; 0.82%</t>
  </si>
  <si>
    <t>ANB475-Resgate Multimercados INSTITUCIONAIS 5 dias &gt; 1.02%</t>
  </si>
  <si>
    <t>ANB476-Resgate Multimercados INSTITUCIONAIS 10 dias &gt; 2.04%</t>
  </si>
  <si>
    <t>ANB477-Resgate Multimercados INSTITUCIONAIS 21 dias &gt; 4.39%</t>
  </si>
  <si>
    <t>ANB478-Resgate Multimercados INSTITUCIONAIS 42 dias &gt; 9.08%</t>
  </si>
  <si>
    <t>ANB479-Resgate Multimercados INSTITUCIONAIS 63 dias &gt; 13.07%</t>
  </si>
  <si>
    <t>ANB480-Resgate Multimercados INSTITUCIONAIS 126 dias &gt; 29.49%</t>
  </si>
  <si>
    <t>GER.01.03 - Verificação do Valor do Indicador de Risco Teste de Estresse (Stress Testing) em [50]% dia do NAV do fundo</t>
  </si>
  <si>
    <t>GER.02.03 - Verificação do Valor do Indicador de Risco VaR Parametrico em [7.50]% dia do NAV do fundo</t>
  </si>
  <si>
    <t>GER.03.04 – Verificação do Valor do Primeiro Drawdown de [12.5]% do Controle de Stop Loss</t>
  </si>
  <si>
    <t>GER.04.04 – Verificação do Valor do Segundo Drawdown de [17.5]% do Controle de Stop Loss</t>
  </si>
  <si>
    <t>GER.05.04 – Verificação do Valor do Terceiro Drawdown de [25.0]% do Controle de Stop Loss</t>
  </si>
  <si>
    <t>GER.06.01 – Verificação do Indicador de Risco Índice de Liquidez para os próximos [60] dias para situação ordinária de acordo com a CVM para menos de 20 cotistas</t>
  </si>
  <si>
    <t>GER.06.02 – Verificação do Indicador de Risco  Índice de Liquidez para os próximos [60] dias para situação de estresse de acordo com a CVM para menos de 20 cotistas</t>
  </si>
  <si>
    <t>GER.13.01 – Verificação do preço registrado do ativo [X] é 5% inferior ao preço de mercado [BAIXA]</t>
  </si>
  <si>
    <t>GER.13.02 – Verificação do preço registrado do ativo [X] é 5% superior ao preço de mercado [ALTA]</t>
  </si>
  <si>
    <t>GER.18C - Posição em BRL cash</t>
  </si>
  <si>
    <t>GER.18D - Posição em GBP cash</t>
  </si>
  <si>
    <t>GER.18E - Posição em EUR cash</t>
  </si>
  <si>
    <t>GER.18F - Posição em USD cash</t>
  </si>
  <si>
    <t>GER.19 - Posição total em cash overnight costs</t>
  </si>
  <si>
    <t>GER.26 - Trades distribuidos entre fundos devem respeitar percentual cadastrado para rateio.</t>
  </si>
  <si>
    <t>GER.50-Prazo médio da carteira sem cash offshore &gt; 365 dias</t>
  </si>
  <si>
    <t>GER.58 - Valor em caixa BRL e compromissada</t>
  </si>
  <si>
    <t>GER.TESTE2 - Posição em Currencies Forward por contraparte_</t>
  </si>
  <si>
    <t>LIQ0-Ativos liquidáveis em 1 dia</t>
  </si>
  <si>
    <t>PREV003d - Posição em BDRs &lt; 100%</t>
  </si>
  <si>
    <t>PREV004b - Posição em operações compromissadas &lt; 100%</t>
  </si>
  <si>
    <t>PREV006b - Posição em renda fixa &lt; 100%</t>
  </si>
  <si>
    <t>REG029-Posição em Títulos de emissão  do Administrador ou Gestor &lt; 100%</t>
  </si>
  <si>
    <t>teste liquidez</t>
  </si>
  <si>
    <t>GER.33b - Exposição Cambial Gerencial com ativos e derivativos &lt; 20%</t>
  </si>
  <si>
    <t>GER.49a-Exposição líquida pré-fixada derivativos</t>
  </si>
  <si>
    <t>GER.49b-Exposição líquida de cupom de inflação derivativos</t>
  </si>
  <si>
    <t>GER.49c-Exposição líquida de renda variável derivativos</t>
  </si>
  <si>
    <t>GER.49d-Exposição líquida cambial USDBRL derivativos</t>
  </si>
  <si>
    <t>GER.49e-Exposição líquida cambial AUDBRL derivativos</t>
  </si>
  <si>
    <t>GER.49-Exposição líquida com derivativos</t>
  </si>
  <si>
    <t>GER.49f-Exposição líquida cambial CADBRL derivativos</t>
  </si>
  <si>
    <t>GER.49g-Exposição líquida cambial CHFBRL derivativos</t>
  </si>
  <si>
    <t>GER.49h-Exposição líquida cambial CLPBRL derivativos</t>
  </si>
  <si>
    <t>GER.49i-Exposição líquida cambial CNYBRL derivativos</t>
  </si>
  <si>
    <t>GER.49j-Exposição líquida cambial GBPBRL derivativos</t>
  </si>
  <si>
    <t>GER.49k-Exposição líquida cambial JPYBRL derivativos</t>
  </si>
  <si>
    <t>GER.49l-Exposição líquida cambial MXNBRL derivativos</t>
  </si>
  <si>
    <t>GER.49m-Exposição líquida cambial NZDBRL derivativos</t>
  </si>
  <si>
    <t>GER.49n-Exposição líquida cambial TRYBRL derivativos</t>
  </si>
  <si>
    <t>GER.49o-Exposição líquida cambial ZARBRL derivativos</t>
  </si>
  <si>
    <t>GER.49p-Exposição líquida de cupom cambial derivativos</t>
  </si>
  <si>
    <t>GER.60C - Vedada operações com o grupo econômico BANCO DO BRASIL</t>
  </si>
  <si>
    <t>GER.64 - Vedada posição em empresas do Banco do Brasil</t>
  </si>
  <si>
    <t>REG052-Proibida posição em FIDCs</t>
  </si>
  <si>
    <t>REG068-Vedada posição em créditos privados</t>
  </si>
  <si>
    <t>REG069-Vedada posição em Certificados de Recebíveis Imobiliários - CRIs</t>
  </si>
  <si>
    <t>REG072-Vedada posição em fundos 555 exceto Omega Acesso FIM</t>
  </si>
  <si>
    <t>REG075-Vedada posição em títulos emitidos por sociedade de propósito específico</t>
  </si>
  <si>
    <t>REG076-Vedada operação compromissada com lastro privado</t>
  </si>
  <si>
    <t>002-Posição em ativos no exterior &lt;=20%</t>
  </si>
  <si>
    <t>005-Posição em valores mobiliários, exceto ações, emitidos por determinada companhia aberta &lt;= 10%</t>
  </si>
  <si>
    <t>009-Posição em valores mobiliários exceto ações emitidos por determinada IF &lt;= 20%</t>
  </si>
  <si>
    <t>010-Posição em valores mobiliários de emissão do Administrador ou Gestor exceto ações &lt;= 20%</t>
  </si>
  <si>
    <t>012-Posição em investimentos restritos &lt;=20%</t>
  </si>
  <si>
    <t>013-Posição em investimentos especiais &lt;=5%</t>
  </si>
  <si>
    <t>069-Posição em cotas de um mesmo Fundo, exceto FIA &lt;=10%</t>
  </si>
  <si>
    <t>070-Posição em valores mobiliarios exceto ações emitidos por empresas fechadas e PF &lt;=5%</t>
  </si>
  <si>
    <t>213-Posição em cotas emitidas por um mesmo Fundo exceto cotas de FIA, Div. Externa e Fundos no exterior &lt;= 10%</t>
  </si>
  <si>
    <t>GER.01.04 - Verificação do Valor do Indicador de Risco Teste de Estresse (Stress Testing) em [15.25]% dia do NAV do fundo</t>
  </si>
  <si>
    <t>GER.02.04 - Verificação do Valor do Indicador de Risco VaR Parametrico em [1.83]% dia do NAV do fundo</t>
  </si>
  <si>
    <t>GER.03.01 – Verificação do Valor do Primeiro Drawdown de [3.05]% do Controle de Stop Loss</t>
  </si>
  <si>
    <t>GER.04.01 – Verificação do Valor do Segundo Drawdown de [4.27]% do Controle de Stop Loss</t>
  </si>
  <si>
    <t>GER.05.01 – Verificação do Valor do Terceiro Drawdown de [6.10]% do Controle de Stop Loss</t>
  </si>
  <si>
    <t>REG039-Proibida posição em ações de emissão do Administrador</t>
  </si>
  <si>
    <t>REG040-Posição em Fundos do Administrador ou Gestor &lt; 100%</t>
  </si>
  <si>
    <t>PREV001a - Posição em renda variável &lt; 49%</t>
  </si>
  <si>
    <t>PREV003a - Posição em BDRs &lt; 7,5%</t>
  </si>
  <si>
    <t>PREV7b - Posição em ativos no exterior &lt; 10%</t>
  </si>
  <si>
    <t>REG002-Ativos financeiros de RF emitidos por cia. aberta &lt; 50%</t>
  </si>
  <si>
    <t>REG003-Ativos financeiros emitidos por outros emissores &lt; 25%</t>
  </si>
  <si>
    <t>REG004-Proibida posição em Fundos Imobiliários</t>
  </si>
  <si>
    <t>REG005-Proibida posição em FIDCs não padronizados</t>
  </si>
  <si>
    <t>REG006-Proibida posição em Fundos de Participação</t>
  </si>
  <si>
    <t>REG007-Posição em ações do Novo Mercado &lt; 49%</t>
  </si>
  <si>
    <t>REG008-Posição em ações do nível 2 &lt; 36%</t>
  </si>
  <si>
    <t>REG009-Posição em ações do nível 1 &lt; 24%</t>
  </si>
  <si>
    <t>REG010-Posição em ETF de índices de renda variável &lt; 24%</t>
  </si>
  <si>
    <t>REG011-Posição em Fundos de Ações &lt; 12%</t>
  </si>
  <si>
    <t>REG012-Posição em ações sem nível de governança &lt; 12%</t>
  </si>
  <si>
    <t>REG013-Posição em determinado FIDC &lt; 5%</t>
  </si>
  <si>
    <t>REG014-Posição em ativos financeiros emitidos pelo Administrador &lt; 50%</t>
  </si>
  <si>
    <t>REG015-Posição em ativos financeiros emitidos pelo Gestor &lt; 50%</t>
  </si>
  <si>
    <t>REG016-Proibida posições em ativos emitidos pelas Instituidoras</t>
  </si>
  <si>
    <t>REG017-Proibida posições em ouro</t>
  </si>
  <si>
    <t>REG018-Posição em ativos financeiros emitidos pelo Administrador ou Gestor &lt; 50%</t>
  </si>
  <si>
    <t>REG019-Soma de Limites por Ativos 5 e 6 &lt; 50%</t>
  </si>
  <si>
    <t>REG020-Soma de Limites por Ativos 8, 9 e 10  &lt; 25%</t>
  </si>
  <si>
    <t>REG021-Soma de Limites por Ativos 24 e 25 &lt; 5%</t>
  </si>
  <si>
    <t>REG022-Soma de Limites por Ativos 26 e 27 &lt; 20%</t>
  </si>
  <si>
    <t>REG023-Soma de Limites por Ativos 24, 25, 26 e 27  &lt; 20%</t>
  </si>
  <si>
    <t>REG024-Soma de Limites por Ativos 30 e 31  &lt; 24%</t>
  </si>
  <si>
    <t>REG025-Soma de Limites por Ativos 32 e 33  &lt; 12%</t>
  </si>
  <si>
    <t>REG026-Posição em determinado Fundo de Investimento, exceto FIE &lt; 49%</t>
  </si>
  <si>
    <t>REG027-Posição em crédito privado &lt; 50%</t>
  </si>
  <si>
    <t>REG028-Soma de Limites por Ativos 28, 29, 30, 31, 32 e 33  &lt; 49%</t>
  </si>
  <si>
    <t>REG061- RENDA VARIÁVEL - Artigo 13 &lt; 49%</t>
  </si>
  <si>
    <t>REG061b- RENDA VARIÁVEL - Artigo 13 &gt; 0%</t>
  </si>
  <si>
    <t>REG062-Proibida posição em Fundos RF com prazo &gt; 180 dias</t>
  </si>
  <si>
    <t>REG063-Proibida posição em Fundos Multimercado com exposição cambial</t>
  </si>
  <si>
    <t>REG064-Proibida posição em Fundos Multimercado com alavancagem</t>
  </si>
  <si>
    <t>REG065-Proibida posição em Debêntures</t>
  </si>
  <si>
    <t>REG067-Exposição de renda variável com derivativos</t>
  </si>
  <si>
    <t>REG051-Vedada posição em valores mobiliários de emissão do Cotista e controladores</t>
  </si>
  <si>
    <t>GER.01.01 - Verificação do Valor do Indicador de Risco Teste de Estresse (Stress Testing) em [25]% dia do NAV do fundo</t>
  </si>
  <si>
    <t>GER.02.01 - Verificação do Valor do Indicador de Risco VaR Parametrico em [3]% dia do NAV do fundo</t>
  </si>
  <si>
    <t>GER.03.03 - Verificação do Valor do Primeiro Drawdown de [5.0]% do Controle de Stop Loss</t>
  </si>
  <si>
    <t>GER.04.03 – Verificação do Valor do Segundo Drawdown de [7.0]% do Controle de Stop Loss</t>
  </si>
  <si>
    <t>GER.05.03 – Verificação do Valor do Terceiro Drawdown de [10.0]% do Controle de Stop Loss</t>
  </si>
  <si>
    <t>PREV003e - Posição em BDRs &lt; 20%</t>
  </si>
  <si>
    <t>ANB511-Resgate Multimercados VAREJO 1 dia &gt; 0.41%</t>
  </si>
  <si>
    <t>ANB512-Resgate Multimercados VAREJO 2 dias &gt; 0.67%</t>
  </si>
  <si>
    <t>ANB513-Resgate Multimercados VAREJO 3 dias &gt; 0.93%</t>
  </si>
  <si>
    <t>ANB514-Resgate Multimercados VAREJO 4 dias &gt; 1.17%</t>
  </si>
  <si>
    <t>ANB515-Resgate Multimercados VAREJO 5 dias &gt; 1.41%</t>
  </si>
  <si>
    <t>ANB516-Resgate Multimercados VAREJO 10 dias &gt; 2.67%</t>
  </si>
  <si>
    <t>ANB517-Resgate Multimercados VAREJO 21 dias &gt; 5.24%</t>
  </si>
  <si>
    <t>ANB518-Resgate Multimercados VAREJO 42 dias &gt; 10.45%</t>
  </si>
  <si>
    <t>ANB519-Resgate Multimercados VAREJO 63 dias &gt; 14.90%</t>
  </si>
  <si>
    <t>ANB520-Resgate Multimercados VAREJO 126 dias &gt; 28.13%</t>
  </si>
  <si>
    <t>GER.01.06- Verificação do Valor do Indicador de Risco Teste de Estresse (Stress Testing) em [32.50]% dia do NAV do fundo</t>
  </si>
  <si>
    <t>GER.02.06 - Verificação do Valor do Indicador de Risco VaR Parametrico em [3.9]% dia do NAV do fundo</t>
  </si>
  <si>
    <t>GER.03.06 – Verificação do Valor do Primeiro Drawdown de [6.5]% do Controle de Stop Loss</t>
  </si>
  <si>
    <t>GER.04.06 – Verificação do Valor do Segundo Drawdown de [9.1]% do Controle de Stop Loss</t>
  </si>
  <si>
    <t>GER.05.06 – Verificação do Valor do Terceiro Drawdown de [13.0]% do Controle de Stop Loss</t>
  </si>
  <si>
    <t>REG053-Proibida posição em ETFs</t>
  </si>
  <si>
    <t>REG054-Proibida posição em Fundos de RF Dívida Externa</t>
  </si>
  <si>
    <t>REG055-Proibida posição em Fundos Cambiais</t>
  </si>
  <si>
    <t>REG056-Proibida posição em FIAs BDR Nível I</t>
  </si>
  <si>
    <t>REG058-Proibida posição em produtos emitidos por pessoa física</t>
  </si>
  <si>
    <t>REG059-Proibida posição em Fundos para Investimento no Exterior</t>
  </si>
  <si>
    <t>REG066b-Proibida operação com administrador como contraparte</t>
  </si>
  <si>
    <t>OK - Regulamento</t>
  </si>
  <si>
    <t>40.943.999/0001-27</t>
  </si>
  <si>
    <t>NA - Manter</t>
  </si>
  <si>
    <t>VERIFICAR</t>
  </si>
  <si>
    <t>PARAMETROS DE ANBIMA LIQUIQUIDEZ DESATUALIZADOS</t>
  </si>
  <si>
    <t>OK - NA - NÃO MENCIONADO NO REGULAMENTO</t>
  </si>
  <si>
    <t>OK - APLICAÇÃO DIRETA É VEDADA</t>
  </si>
  <si>
    <t>AJUSTAR - DEVERIA SER 30</t>
  </si>
  <si>
    <t>OK - FUNDO LOCAL É PROIBIDO</t>
  </si>
  <si>
    <t>AJUSTAR - NA</t>
  </si>
  <si>
    <t>15/09/2023</t>
  </si>
  <si>
    <t>Treinamento Compliance 2022</t>
  </si>
  <si>
    <t>Manual de Compliance</t>
  </si>
  <si>
    <t>Pedro Palma</t>
  </si>
  <si>
    <t>Victor Vilanova</t>
  </si>
  <si>
    <t>Risco &amp; Compliance</t>
  </si>
  <si>
    <t>OK - CMN</t>
  </si>
  <si>
    <t>OK - CMN - VEDADO REGULAMENTO</t>
  </si>
  <si>
    <t>OK - VEDADO POSIÇÃO DIRETA</t>
  </si>
  <si>
    <t>OK - VEDADO COTA SUBORDINADA NO REGULAMENTO</t>
  </si>
  <si>
    <t>OK - Regulamento CONSIDERA 15%</t>
  </si>
  <si>
    <t>OK - VEDADO COTA SENIOR NO REGULAMENTO</t>
  </si>
  <si>
    <t>OK - CMN - Regulamento indica 5%</t>
  </si>
  <si>
    <t>OK - Regulamento - Emissor sendo o BB</t>
  </si>
  <si>
    <t>OK - VEDADA POSIÇÃO DIRETA</t>
  </si>
  <si>
    <t>OK - CMN - Regulamento define  15%</t>
  </si>
  <si>
    <t>OK - CMN - REGULAMENTO INDICA 75% SEM POSIÇÃO DIRETA</t>
  </si>
  <si>
    <t>OK - CMN - REGULAMENTO INDICA 15%</t>
  </si>
  <si>
    <t>OK - REGULAMENTO VEDADO</t>
  </si>
  <si>
    <t>OK - CMN - REGULAMENTO INDICA 49%</t>
  </si>
  <si>
    <t>OK - CMN - REGULAMENTO INDICA 50%</t>
  </si>
  <si>
    <t>OK - CMN - REGULAMENTO INDICA 25%</t>
  </si>
  <si>
    <t>OK - REGULAMENTO</t>
  </si>
  <si>
    <t>OK - REGULAMENTO - VEDADO QUANDO LASTRO EM TITULOS PRIVADOS</t>
  </si>
  <si>
    <t>AJUSTAR - PERMITIDO ATÉ 7.5</t>
  </si>
  <si>
    <t>AJUSTAR - REGULAMENTO PERMITE</t>
  </si>
  <si>
    <t>AJUSTAR - REGULAMENTO POSSUI A REGRA</t>
  </si>
  <si>
    <t>AJUSTAR - REMOVER REGRA</t>
  </si>
  <si>
    <t>AJUSTAR - PROBIDO APENAS EM FUNDOS LOCAIS</t>
  </si>
  <si>
    <t>AJUSTAR - REGULAMENTO INDICA 75%</t>
  </si>
  <si>
    <t>OK - CMN - REGULAMENTO VEDADO</t>
  </si>
  <si>
    <t>NÃO ENTENDI</t>
  </si>
  <si>
    <t>OK - GERENCIAL - PERMITIDO FUNDOS CAMBIAIS 100%</t>
  </si>
  <si>
    <t xml:space="preserve">OK - GERENCIAL - REGULAMENTO PERMITE ATÉ 15% </t>
  </si>
  <si>
    <t xml:space="preserve">OK - NA, tendo em vista que deve ser superior </t>
  </si>
  <si>
    <t>OK - CVM 555</t>
  </si>
  <si>
    <t>AJUSTAR - GERENCIAL - PERMITIDO FUNDOS CAMBIAIS 100%</t>
  </si>
  <si>
    <t>OK - Gerencial não entende o módulo</t>
  </si>
  <si>
    <t>OK - REGULAMENTO 35%</t>
  </si>
  <si>
    <t>AJUSTAR - REGULAMENTO INDICA 50%</t>
  </si>
  <si>
    <t>AJUSTAR - REGULAMENTO INDICA 25%</t>
  </si>
  <si>
    <t>AJUSTAR - REGULAMENTO INDICA 7.5%</t>
  </si>
  <si>
    <t>AJUSTAR - REGULAMENTO INDICA 70%</t>
  </si>
  <si>
    <t xml:space="preserve">OK - VERIFICAR ADERÊNCIA DAS REGRAS DE LIQUIDEZ </t>
  </si>
  <si>
    <t>AJUSTAR - VEDADA APENAS POSIÇÃO DIRETA</t>
  </si>
  <si>
    <t>AJUSTAR - VEDADA APENAS POSIÇÃO DIRETA - LIMITE DE 25% INDIRETAMENTE</t>
  </si>
  <si>
    <t>AJUSTAR - VEDADA APENAS POSIÇÃO DIRETA - LIMITE DE 20% INDIRETAMENTE</t>
  </si>
  <si>
    <t>AJUSTAR E ADERIA A GER.16</t>
  </si>
  <si>
    <t>AJUSTAR</t>
  </si>
  <si>
    <t>AJUSTAR - PARAMETRO DE FORMA QUE SEJA ENTENDIDO POR MÓDULO</t>
  </si>
  <si>
    <t>AJUSTAR - O REGULAMENTO INDICA QUE PE POSSICEL INDIRETAMENTE 15%</t>
  </si>
  <si>
    <t>AJUSTAR - REGULAMENTO NÃO INDICA LIMITE</t>
  </si>
  <si>
    <t>AJUSTAR - REGULAMENTO INDICA 15%</t>
  </si>
  <si>
    <t>OK - REGULAMENTO É MAS RESTRISTO - 49%</t>
  </si>
  <si>
    <t>AJUSTAR - CRIAR PARAMETROS</t>
  </si>
  <si>
    <t>AJUSTAR - VEDADA POSIÇÃO DIRETA</t>
  </si>
  <si>
    <t>OK - REGULAMENTO É MAIS RESTRITIVO</t>
  </si>
  <si>
    <t>OK - CMN - REGULAMENTO É MAIS RESTRITO</t>
  </si>
  <si>
    <t>AJUSTAR - REGULAMENTO INDICA 100%</t>
  </si>
  <si>
    <t>AJUSTAR - REGULAMENTO NÃO INDICA MÍNIMO</t>
  </si>
  <si>
    <t>OK - GERENCIAL</t>
  </si>
  <si>
    <t>OK - REGULAMENTO É MAIS RESTRITO</t>
  </si>
  <si>
    <t xml:space="preserve">Leblon Corporate </t>
  </si>
  <si>
    <t>Termos de Adesão Colaborador 2023 - Victor Vilanova</t>
  </si>
  <si>
    <t>Verificação do status de envio de Regulamentos para CVM</t>
  </si>
  <si>
    <t>RAZÃO SOCIAL</t>
  </si>
  <si>
    <t>Última verificação</t>
  </si>
  <si>
    <t>Próxima Verificação</t>
  </si>
  <si>
    <t>ADAM STB FIC FIM</t>
  </si>
  <si>
    <t>ADAM STB FUNDO DE INVESTIMENTO EM COTAS DE FUNDOS DE INVESTIMENTO MULTIMERCADO</t>
  </si>
  <si>
    <t>28.747.144/0001-25</t>
  </si>
  <si>
    <t>AMS FIC FIM</t>
  </si>
  <si>
    <t>AMS FUNDO DE INVESTIMENTO EM COTAS DE FUNDOS DE INVESTIMENTO MULTIMERCADO</t>
  </si>
  <si>
    <t>28.747.157/0001-02</t>
  </si>
  <si>
    <t>ADAM ADVANCED ADVISORY FIC FIM CRED PRIV IE</t>
  </si>
  <si>
    <t>ADAM ADVANCED ADVISORY FI EM COTAS DE FI MULTIMERCADO CREDITO PRIVADO INVESTIMENTO NO EXTERIOR</t>
  </si>
  <si>
    <t>31.392.865/0001-74</t>
  </si>
  <si>
    <t>ADAM ADVANCED II FIC FIM CRED PRIV IE</t>
  </si>
  <si>
    <t>ADAM ADVANCED II FI EM COTAS DE FI MULTIMERCADO CRÉDITO PRIVADO INVESTIMENTO NO EXTERIOR</t>
  </si>
  <si>
    <t>24.018.977/0001-02</t>
  </si>
  <si>
    <t>ADAM MACRO BB FIC FIM</t>
  </si>
  <si>
    <t>ADAM MACRO BB FUNDO DE INVESTIMENTO EM COTAS DE FUNDOS DE INVESTIMENTO MULTIMERCADO</t>
  </si>
  <si>
    <t>31.533.667/0001-83</t>
  </si>
  <si>
    <t>ADAM MACRO II FIC FIM</t>
  </si>
  <si>
    <t>ADAM MACRO II FUNDO DE INVESTIMENTO EM COTAS DE FUNDOS DE INVESTIMENTO MULTIMERCADO</t>
  </si>
  <si>
    <t>24.029.438/0001-60</t>
  </si>
  <si>
    <t>ADAM MACRO II R FIC FIM</t>
  </si>
  <si>
    <t>ADAM MACRO II R FUNDO DE INVESTIMENTO EM COTAS DE FUNDOS DE INVESTIMENTO MULTIMERCADO</t>
  </si>
  <si>
    <t>34.508.229/0001-53</t>
  </si>
  <si>
    <t>ADAM MACRO STRATEGY II FUNDO DE INVESTIMENTO EM COTAS DE FUNDOS DE INVESTIMENTO MULTIMERCADO</t>
  </si>
  <si>
    <t>23.951.048/0001-80</t>
  </si>
  <si>
    <t>ADAM XP MACRO ADVISORY FIC FIM</t>
  </si>
  <si>
    <t>ADAM MACRO ADVISORY FUNDO DE INVESTIMENTO EM COTAS DE FUNDOS DE INVESTIMENTO MULTIMERCADO</t>
  </si>
  <si>
    <t>24.078.037/0001-09</t>
  </si>
  <si>
    <t>ADAM XP MACRO STRATEGY ADVISORY FIC FIM</t>
  </si>
  <si>
    <t>ADAM MACRO STRATEGY ADVISORY FUNDO DE INVESTIMENTO EM COTAS DE FUNDOS DE INVESTIMENTO MULTIMERCADO</t>
  </si>
  <si>
    <t>23.979.285/0001-50</t>
  </si>
  <si>
    <t>CSHG ADAM FIC FIM CP</t>
  </si>
  <si>
    <t>CSHG ADAM FUNDO DE INVESTIMENTO EM COTAS DE FUNDOS DE INVESTIMENTO MULTIMERCADO - CRED PRIV IE</t>
  </si>
  <si>
    <t>18.168.470/0001-24</t>
  </si>
  <si>
    <t>ADAM ADVANCED CSHG FIC FIM CP IE</t>
  </si>
  <si>
    <t>ADAM ADVANCED CSHG FUNDO DE INVESTIMENTO EM COTAS DE FUNDOS DE INVESTIMENTO MULT CRED PRIV IE</t>
  </si>
  <si>
    <t>23.884.619/0001-01</t>
  </si>
  <si>
    <t>ADVANCED Benedicto FIC FIM</t>
  </si>
  <si>
    <t>CSHG BENEDICTO FUNDO DE INVESTIMENTO EM COTAS DE FUNDOS DE INVESTIMENTO MULTIMERCADO CRED PRIV - IE</t>
  </si>
  <si>
    <t>25.247.265/0001-10</t>
  </si>
  <si>
    <t>ADVANCED Octavio FIC FIM</t>
  </si>
  <si>
    <t>CSHG OCTAVIO FUNDO DE INVESTIMENTO EM COTAS DE FUNDOS DE INVESTIMENTO MULTIMERCADO - CRED PRIV IE</t>
  </si>
  <si>
    <t>28.364.567/0001-66</t>
  </si>
  <si>
    <t>ADAM MACRO CSHG FIC FIM</t>
  </si>
  <si>
    <t>ADAM MACRO CSHG FUNDO DE INVESTIMENTO EM COTAS DE FUNDO DE INVESTIMENTO MULTIMERCADO</t>
  </si>
  <si>
    <t>23.884.627/0001-58</t>
  </si>
  <si>
    <t>ADAM MACRO STRATEGY CSHG FIC FIM</t>
  </si>
  <si>
    <t>ADAM MACRO STRATEGY CSHG FUNDO DE INVESTIMENTO EM COTAS DE FUNDO DE INVESTIMENTO MULTIMERCADO</t>
  </si>
  <si>
    <t>26.744.850/0001-98</t>
  </si>
  <si>
    <t>CSHG ADAM PREVIDENCIARIO II FIM</t>
  </si>
  <si>
    <t>CSHG ADAM ICATU PREVIDENCIÁRIO II FIC DE FUNDOS DE INVESTIMENTO MULTIMERCADO</t>
  </si>
  <si>
    <t>26.343.746/0001-91</t>
  </si>
  <si>
    <t>PREV ICATU ZALMAN</t>
  </si>
  <si>
    <t>ZALMAN PREVIDENCIÁRIO ICATU FUNDO DE INVESTIMENTO EM COTAS DE FUNDOS DE INVESTIMENTO MULTIMERCADO</t>
  </si>
  <si>
    <t>25.036.563/0001-60</t>
  </si>
  <si>
    <t>ADAM EXCLUSIVO FIC FIM</t>
  </si>
  <si>
    <t>ADAM EXCLUSIVO FUNDO DE INVESTIMENTO EM COTAS DE FUNDOS DE INVESTIMENTO MULTIMERCADO</t>
  </si>
  <si>
    <t>26.218.508/0001-54</t>
  </si>
  <si>
    <t>ADAM ADVANCED MASTER FIM CP IE</t>
  </si>
  <si>
    <t>ADAM ADVANCED MASTER FUNDO DE INVESTIMENTO MULTIMERCADO CREDITO PRIVADO INVESTIMENTO NO EXTERIOR</t>
  </si>
  <si>
    <t>23.884.625/0001-69</t>
  </si>
  <si>
    <t>ADAM ADVANCED 1 FIC FIM</t>
  </si>
  <si>
    <t>ADAM ADVANCED 1 FICFI MM CRÉDITO PRIVADO IE</t>
  </si>
  <si>
    <t>24.119.462/0001-90</t>
  </si>
  <si>
    <t>ADAM CAIXA MASTER FIM</t>
  </si>
  <si>
    <t>ADAM CAIXA MASTER FUNDO DE INVESTIMENTO MULTIMERCADO</t>
  </si>
  <si>
    <t>26.695.435/0001-91</t>
  </si>
  <si>
    <t>ADAM MACRO MASTER FIM</t>
  </si>
  <si>
    <t>ADAM MACRO MASTER FUNDO DE INVESTIMENTO MULTIMERCADO</t>
  </si>
  <si>
    <t>23.884.632/0001-60</t>
  </si>
  <si>
    <t>ADAM MACRO 1 FIC FIM</t>
  </si>
  <si>
    <t>ADAM MACRO 1 FUNDO DE INVESTIMENTO EM COTAS DE FUNDOS DE INVESTIMENTO MULTIMERCADO</t>
  </si>
  <si>
    <t>24.119.419/0001-25</t>
  </si>
  <si>
    <t>ADAM MACRO STRATEGY 1 FIC FIM</t>
  </si>
  <si>
    <t>ADAM MACRO STRATEGY 1 FUNDO DE INVESTIMENTO EM COTAS DE FUNDOS DE INVESTIMENTO MULTIMERCADO</t>
  </si>
  <si>
    <t>26.491.329/0001-96</t>
  </si>
  <si>
    <t>ADAM MACRO STRATEGY MASTER FIM</t>
  </si>
  <si>
    <t>ADAM MACRO STRATEGY MASTER FUNDO DE INVESTIMENTO MULTIMERCADO</t>
  </si>
  <si>
    <t>26.744.792/0001-00</t>
  </si>
  <si>
    <t>ADAM MACRO STRATEGY 1 D60 FIC FIM</t>
  </si>
  <si>
    <t>ADAM MACRO STRATEGY 1 D60 FUNDO DE INVESTIMENTO EM COTAS DE FUNDOS DE INVESTIMENTO MULTIMERCADO</t>
  </si>
  <si>
    <t>28.581.096/0001-48</t>
  </si>
  <si>
    <t>OMEGA ACESSO FIM IE</t>
  </si>
  <si>
    <t>OMEGA ACESSO FUNDO DE INVESTIMENTO MULTIMERCADO INVESTIMENTO NO EXTERIOR</t>
  </si>
  <si>
    <t>35.190.506/0001-95</t>
  </si>
  <si>
    <t>ADAM BP PREVIDENCIA FIC FIM</t>
  </si>
  <si>
    <t>ADAM BP PREVIDÊNCIA FUNDO DE INVESTIMENTO EM COTAS DE FUNDOS DE INVESTIMENTO MULTIMERCADO</t>
  </si>
  <si>
    <t>24.751.504/0001-01</t>
  </si>
  <si>
    <t>ADAM PREV ICATU MASTER FIM</t>
  </si>
  <si>
    <t>ADAM PREV ICATU MASTER FUNDO DE INVESTIMENTO MULTIMERCADO</t>
  </si>
  <si>
    <t>25.036.699/0001-70</t>
  </si>
  <si>
    <t>ADAM PREVIDENCIARIO ICATU FIC FIM</t>
  </si>
  <si>
    <t>ADAM ICATU PREVIDENCIÁRIO FUNDO DE INVESTIMENTO EM COTAS DE FUNDOS DE INVESTIMENTO MULTIMERCADO</t>
  </si>
  <si>
    <t>ADAM PREV I MASTER FIM</t>
  </si>
  <si>
    <t>ADAM PREV I MASTER FUNDO DE INVESTIMENTO MULTIMERCADO</t>
  </si>
  <si>
    <t>28.078.776/0001-43</t>
  </si>
  <si>
    <t>ADAM PREV 1 FIC FIM</t>
  </si>
  <si>
    <t>ADAM PREV I FUNDO DE INVESTIMENTO EM COTAS DE FUNDOS DE INVESTIMENTO MULTIMERCADO</t>
  </si>
  <si>
    <t>28.080.450/0001-50</t>
  </si>
  <si>
    <t>ADAM ICATU PREV 1 FIC FIM</t>
  </si>
  <si>
    <t>ADAM ICATU PREV 1 FUNDO DE INVESTIMENTO EM COTAS DE FUNDOS DE INVESTIMENTO MULTIMERCADO</t>
  </si>
  <si>
    <t>30.593.337/0001-10</t>
  </si>
  <si>
    <t>ADAM XP SEGUROS PREV FIC FIM</t>
  </si>
  <si>
    <t>ADAM XP SEGUROS PREV FUNDO DE INVESTIMENTO EM COTAS DE FUNDOS DE INVESTIMENTO MULTIMERCADO</t>
  </si>
  <si>
    <t>30.994.150/0001-29</t>
  </si>
  <si>
    <t>ADAM SVP PREV FIC FIM</t>
  </si>
  <si>
    <t>ADAM SVP PREV FICFI MULTIMERCADO</t>
  </si>
  <si>
    <t>34.781.204/0001-29</t>
  </si>
  <si>
    <t>PORTO SEGURO ADAM PREV FIC FIM</t>
  </si>
  <si>
    <t>PORTO SEGURO ADAM PREVIDENCIA FUNDO DE INVESTIMENTO EM COTAS DE FUNDO DE INVESTIMENTO MULTIMERCADO</t>
  </si>
  <si>
    <t>35.502.474/0001-16</t>
  </si>
  <si>
    <t>ADAM PREV BRASILPREV MASTER FIM</t>
  </si>
  <si>
    <t>ADAM PREVIDENCIÁRIO BRASILPREV MASTER FUNDO DE INVESTIMENTO MULTIMERCADO</t>
  </si>
  <si>
    <t>35.649.679/0001-29</t>
  </si>
  <si>
    <t>ADAM SULAMERICA PREV FIC FI MM</t>
  </si>
  <si>
    <t>ADAM SULAMERICA PREV FIC FIM</t>
  </si>
  <si>
    <t>39.990.594/0001-60</t>
  </si>
  <si>
    <t>ADAM BP PREV IQ FICFI MULTIMERCADO</t>
  </si>
  <si>
    <t>ADAM BP PREV IQ FUNDO DE INVESTIMENTO EM COTAS DE FUNDOS DE INVESTIMENTO MULTIMERCADO</t>
  </si>
  <si>
    <t>41.557.167/0001-35</t>
  </si>
  <si>
    <t>ADAM PREV IG20 MASTER FI MULTIMERCADO</t>
  </si>
  <si>
    <t>ADAM PREV IG20 MASTER FUNDO DE INVESTIMENTO MULTIMERCADO</t>
  </si>
  <si>
    <t>40.944.028/0001-00</t>
  </si>
  <si>
    <t>ADAM PREV IQ MASTER FI MULTIMERCADO</t>
  </si>
  <si>
    <t>ADAM PREV IQ MASTER FUNDO DE INVESTIMENTO MULTIMERCADO</t>
  </si>
  <si>
    <t>ADAM XP GLOBAL PREV 2 FIC FI MULTIMERCADO</t>
  </si>
  <si>
    <t>ADAM XP GLOBAL PREV 2 FUNDO DE INVESTIMENTO EM COTAS DE FUNDOS DE INVESTIMENTO MULTIMERCADO</t>
  </si>
  <si>
    <t>41.681.218/0001-36</t>
  </si>
  <si>
    <t>ADAM XP GLOBAL PREV IQ FICFI MULTIMERCADO</t>
  </si>
  <si>
    <t>ADAM XP GLOBAL PREV IQ FUNDO DE INVESTIMENTO EM COTAS DE FUNDOS DE INVESTIMENTO MULTIMERCADO</t>
  </si>
  <si>
    <t>41.710.332/0001-47</t>
  </si>
  <si>
    <t>ADAM SANTANDER MASTER FIM</t>
  </si>
  <si>
    <t>SANTANDER ADAM PREV FUNDO DE INVESTIMENTO MULTIMERCADO</t>
  </si>
  <si>
    <t>27.389.572/0001-60</t>
  </si>
  <si>
    <t>ADAM MACRO STRATEGY ADVISORY D60 FIC FIM</t>
  </si>
  <si>
    <t>ADAM MACRO STRATEGY ADVISORY D60 FI EM COTAS DE FUNDOS DE INVESTIMENTO MULTIMERCADO</t>
  </si>
  <si>
    <t>29.298.529/0001-15</t>
  </si>
  <si>
    <t>ADAM MACRO STRATEGY C6 FIC FIM</t>
  </si>
  <si>
    <t xml:space="preserve">ADAM MACRO STRATEGY C6 FUNDO DE INVESTIMENTO EM COTAS DE FUNDOS DE INVESTIMENTO MULTIMERCADO </t>
  </si>
  <si>
    <t>35.504.260/0001-89</t>
  </si>
  <si>
    <t>ADAM MACRO STRATEGY II D60 FIC FIM</t>
  </si>
  <si>
    <t>ADAM MACRO STRATEGY II D60 FUNDO DE INVESTIMENTO EM COTAS DE FUNDOS DE INVESTIMENTO MULTIMERCADO</t>
  </si>
  <si>
    <t>29.286.406/0001-64</t>
  </si>
  <si>
    <t>ADAM ADVANCED WHG FIC FIM</t>
  </si>
  <si>
    <t>ADAM ADV WHG ADAM ADVANCED WHG FIC FIM CRED PRIV IE</t>
  </si>
  <si>
    <t>41.215.228/0001-86</t>
  </si>
  <si>
    <t>ADAM MACRO WHG FIC FIM</t>
  </si>
  <si>
    <t>VTR AD MACRO STRATEGY FIC FIM</t>
  </si>
  <si>
    <t>VTR AD MACRO STRATEGY FUNDO DE INVESTIMENTO EM COTAS DE FUNDO DE INVESTIMENTO MULTIMERCADO</t>
  </si>
  <si>
    <t>32.893.196/0001-87</t>
  </si>
  <si>
    <t>ADAM MACRO P FIC FIM</t>
  </si>
  <si>
    <t>ADAM MACRO P FUNDO DE INVESTIMENTOS EM COTAS DE FUNDOS DE INVESTIMENTO MULTIMERCADO</t>
  </si>
  <si>
    <t>38.281.343/0001-44</t>
  </si>
  <si>
    <t>ADAM MACRO STRATEGY P 30 FIC FIM</t>
  </si>
  <si>
    <t>ADAM MACRO STRATEGY P 30 FUNDO DE INVESTIMENTOS EM COTAS DE FUNDOS DE INVESTIMENTO MULTIMERCADO</t>
  </si>
  <si>
    <t>38.281.201/0001-87</t>
  </si>
  <si>
    <t>ADAM ADVANCED CSHG II FIC FIM CP IE</t>
  </si>
  <si>
    <t>ADAM ADVANCED CSHG II FIC DE FUNDOS DE INVESTIMENTO MULTIMERCADO - CRED PRIV IE</t>
  </si>
  <si>
    <t>26.649.157/0001-36</t>
  </si>
  <si>
    <t>ADAM MACRO CSHG II FIC FIM</t>
  </si>
  <si>
    <t>ADAM MACRO CSHG II FUNDO DE INVESTIMENTO EM COTAS DE FUNDO DE INVESTIMENTO MULTIMERCADO</t>
  </si>
  <si>
    <t>26.649.140/0001-89</t>
  </si>
  <si>
    <t>ADAM MACRO STRATEGY CSHG 60 FIC FIM</t>
  </si>
  <si>
    <t>ADAM MACRO STRATEGY CSHG 60 FUNDO DE INVESTIMENTO EM COTAS DE FUNDO DE INVESTIMENTO MULTIMERCADO</t>
  </si>
  <si>
    <t>28.951.272/0001-96 </t>
  </si>
  <si>
    <t>ADAM MACRO STRATEGY CSHG II FIC FIM</t>
  </si>
  <si>
    <t>CSHG GOLD ATIVO II FUNDO DE INVESTIMENTO EM COTAS DE FUNDOS DE INVESTIMENTO MULTIMfRCADO</t>
  </si>
  <si>
    <t>26.744.838/0001-83</t>
  </si>
  <si>
    <t>CSHG ADAM PREVIDENCIARIO FIM</t>
  </si>
  <si>
    <t>CSHG ADAM PREVIDENCIÁRIO FUNDO DE INVESTIMENTO MULTIMERCADO</t>
  </si>
  <si>
    <t>25.307.239/0001-30</t>
  </si>
  <si>
    <t>ADAM S PREVIDENCIARIO FIC FIM</t>
  </si>
  <si>
    <t>ADAM S PREVIDENCIÁRIO FUNDO DE INVESTIMENTO EM COTAS DE FUNDOS DE INVESTIMENTO MULTIMERCADO</t>
  </si>
  <si>
    <t>31.457.406/0001-21</t>
  </si>
  <si>
    <t>ADAM BP II PREVIDENCIA FIC FIM</t>
  </si>
  <si>
    <t>ADAM BP II PREVIDÊNCIA FUNDO DE INVESTIMENTO EM COTAS DE FUNDOS DE INVESTIMENTO MULTIMERCADO</t>
  </si>
  <si>
    <t>37.828.141/0001-07</t>
  </si>
  <si>
    <t>ADAM PREV II FICFI MULTIMERCADO</t>
  </si>
  <si>
    <t>ADAM PREV II FUNDO DE INVESTIMENTO EM COTAS DE FUNDOS DE INVESTIMENTO MULTIMERCADO</t>
  </si>
  <si>
    <t>39.794.823/0001-71</t>
  </si>
  <si>
    <t>OMEGA ACESSO FI MULTIMERCADO IE</t>
  </si>
  <si>
    <t>ADAM A PREV IQ FICFI MULTIMERCADO</t>
  </si>
  <si>
    <t>ADAM A PREV IQ FUNDO DE INVESTIMENTO EM COTAS DE FUNDOS DE INVESTIMENTO MULTIMERCADO</t>
  </si>
  <si>
    <t>41.055.270/0001-87</t>
  </si>
  <si>
    <t>ADAM FOF PREV 2 FICFI MULTIMERCADO</t>
  </si>
  <si>
    <t>AM FOF PREV 2 FUNDO DE INVESTIMENTO EM COTAS DE FUNDOS DE INVESTIMENTO MULTIMERCADO</t>
  </si>
  <si>
    <t>41.326.058/0001-07</t>
  </si>
  <si>
    <t>ADAM FOF PREV IQ FICFI MULTIMERCADO</t>
  </si>
  <si>
    <t>ADAM FOF PREV IQ FUNDO DE INVESTIMENTO EM COTAS DE FUNDOS DE INVESTIMENTO MULTIMERCADO</t>
  </si>
  <si>
    <t>41.342.373/0001-28</t>
  </si>
  <si>
    <t>ADAM WE ADVANCED FIC FIM</t>
  </si>
  <si>
    <t>ADAM WE ADVANCED FI EM COTAS DE FI MULTIMERCADO CRÉDITO PRIVADO INVESTIMENTO NO EXTERIOR</t>
  </si>
  <si>
    <t>42870.932/0001-35</t>
  </si>
  <si>
    <t>AMS D60 FIC FIM</t>
  </si>
  <si>
    <t>AMS D60 FUNDO DE INVESTIMENTO EM COTAS DE FUNDOS DE INVESTIMENTO MULTIMERCADO</t>
  </si>
  <si>
    <t>28.982.425/0001-62</t>
  </si>
  <si>
    <t>n/i</t>
  </si>
  <si>
    <t>Atualização cvm</t>
  </si>
  <si>
    <t>Atualização Interno</t>
  </si>
  <si>
    <t>Deve ser atualizado</t>
  </si>
  <si>
    <t xml:space="preserve"> 25.681.955/0001-82</t>
  </si>
  <si>
    <t>nok</t>
  </si>
  <si>
    <t>Póxima revisão DePara</t>
  </si>
  <si>
    <t>Suporte Endev</t>
  </si>
  <si>
    <t>SYSTEM</t>
  </si>
  <si>
    <t>OFICIAL</t>
  </si>
  <si>
    <t>Z:\Administrativo\Contabilidade e RH\Receita</t>
  </si>
  <si>
    <t>Geovane</t>
  </si>
  <si>
    <t xml:space="preserve">Essa regra está correta, realmente estamos desenquadrados </t>
  </si>
  <si>
    <t xml:space="preserve">Verificar com a lote se tem alguma forma de cadastro automático dos ativos </t>
  </si>
  <si>
    <t>Liquidez</t>
  </si>
  <si>
    <t>Rolagem</t>
  </si>
  <si>
    <t>Carteiras Lote 45</t>
  </si>
  <si>
    <t>Prazo Médio</t>
  </si>
  <si>
    <t>Periódicas</t>
  </si>
  <si>
    <t>DD - Onshore</t>
  </si>
  <si>
    <t>DD - Offshore</t>
  </si>
  <si>
    <t>Frequência</t>
  </si>
  <si>
    <t>Rotina</t>
  </si>
  <si>
    <t>Power BI</t>
  </si>
  <si>
    <t>Pasta</t>
  </si>
  <si>
    <t>Responsável</t>
  </si>
  <si>
    <t>Trigger</t>
  </si>
  <si>
    <t>P:\Liquidez</t>
  </si>
  <si>
    <t>Controle de Limites de Risco</t>
  </si>
  <si>
    <t>Resumo de Posição</t>
  </si>
  <si>
    <t>Z:\Riscos\PHP_Files\PHP_Files_Resumo</t>
  </si>
  <si>
    <t>Z:\Riscos\PHP_Files\PHP_Files_Limites</t>
  </si>
  <si>
    <t>Z:\Riscos\PHP_Files\PHP_Files_Liquidez</t>
  </si>
  <si>
    <t>Resumo de Liquidez</t>
  </si>
  <si>
    <t>E-mail referente aos Fundos inclusos na rotina</t>
  </si>
  <si>
    <t>Relatório de Riscos: 1° Prévia de drawdown</t>
  </si>
  <si>
    <t>Relatório de Riscos: 2° Prévia de drawdown</t>
  </si>
  <si>
    <t>Relatório Final de Risco</t>
  </si>
  <si>
    <t>Rotinas de TI - Diário</t>
  </si>
  <si>
    <t>Rotinas de TI - Semanal</t>
  </si>
  <si>
    <t>Inputar Rateio de Ordem</t>
  </si>
  <si>
    <t>Geovane &amp; Jéssica</t>
  </si>
  <si>
    <t>Jéssica</t>
  </si>
  <si>
    <t>Material é Verificado pela prórpia Endev</t>
  </si>
  <si>
    <t>Arquivos de gravações telefônicas e e de Vídeo são arquivadas pela Endev</t>
  </si>
  <si>
    <t>Pendências são agendadas ou enviadas para a area de Compliance</t>
  </si>
  <si>
    <t>Essa regra não é tão eficaz no sentido de que observa margem depositada e não requerida. Alem disse tem um problema relacionado às boletas relativas. (Cash, Cupom...)</t>
  </si>
  <si>
    <t>é para checar se há descasamento entre book margem e passivo de garantia</t>
  </si>
  <si>
    <r>
      <t xml:space="preserve">Verificação do Material Publicitário                                                                                                                                                                                                                                                                                                                                                                                                                                                                                       </t>
    </r>
    <r>
      <rPr>
        <sz val="3"/>
        <color theme="1"/>
        <rFont val="Calibri"/>
        <family val="2"/>
        <scheme val="minor"/>
      </rPr>
      <t>(i) conter informações alinhadas com o prospecto, lâmina de informações essenciais, regulamento e demais documentos dos fundos de investimento; (ii) abster-se de assegurar, prometer ou sugerir a existência de garantia de resultados futuros ou isenção de risco para o investidor; (iii) abster-se de estabelecer qualificações injustificadas, superlativos não comprovados, opiniões ou previsões para as quais não exista uma base técnica; (iv) conter o selo ANBIMA na forma exigida pelas Regras e Procedimentos para o uso dos Selos ANBIMA; (v) conter os disclaimers aplicáveis às informações ; Para fundos 555: (i) regulamento atualizado, (ii) a lâmina de informações essenciais atualizada, quando houver; (iii) a demonstração de desempenho conforme o Anexo 56 da Instrução CVM 55/14; (iv) a política de voto e a (v) descrição da tributação aplicável. Material Técnico: (i) a descrição da classificação do Fundo de acordo com a ANBIMA; (ii) a descrição do objetivo e/ou estratégia; (iii) o público alvo, quando destinado a investidores específicos; (iv) a carência para o resgate e o prazo de operação; (v) a tributação aplicável e (vi) as informações sobre os canais de atendimento.</t>
    </r>
  </si>
  <si>
    <t xml:space="preserve">LFT01032023 </t>
  </si>
  <si>
    <t xml:space="preserve"> Renascença </t>
  </si>
  <si>
    <t xml:space="preserve">LFT01032024 </t>
  </si>
  <si>
    <t xml:space="preserve">NTNB 15/05/2055 </t>
  </si>
  <si>
    <t xml:space="preserve"> Necton </t>
  </si>
  <si>
    <t xml:space="preserve">LFT01032026 </t>
  </si>
  <si>
    <t xml:space="preserve">LFT01032027 </t>
  </si>
  <si>
    <t xml:space="preserve">LFT01092026 </t>
  </si>
  <si>
    <t> Renascença</t>
  </si>
  <si>
    <t xml:space="preserve">Local - SANTANDER PREV Master </t>
  </si>
  <si>
    <t xml:space="preserve"> Local - INTRAG PREVIDENCIARIO Master </t>
  </si>
  <si>
    <t xml:space="preserve"> Local - MACRO Master </t>
  </si>
  <si>
    <t xml:space="preserve"> Local - MACRO STRATEGY Master </t>
  </si>
  <si>
    <t xml:space="preserve"> NTNB 15/05/2055 </t>
  </si>
  <si>
    <t xml:space="preserve"> Local - ADAM PREV IG20 Master </t>
  </si>
  <si>
    <t xml:space="preserve"> Local - ADVANCED Master </t>
  </si>
  <si>
    <t xml:space="preserve"> LFT01032027 </t>
  </si>
  <si>
    <t xml:space="preserve"> Local - ICATU PREVIDENCIARIO Master </t>
  </si>
  <si>
    <t xml:space="preserve">Local - MACRO STRATEGY Master </t>
  </si>
  <si>
    <t xml:space="preserve"> Local - SANTANDER PREV Master </t>
  </si>
  <si>
    <t> Local - ADAM PREV IQ Master</t>
  </si>
  <si>
    <t> Local - BB PREVIDENCIARIO Master</t>
  </si>
  <si>
    <t> Local - MACRO STRATEGY Master</t>
  </si>
  <si>
    <t> LFT01092026</t>
  </si>
  <si>
    <t xml:space="preserve">Local - ICATU PREVIDENCIARIO Master </t>
  </si>
  <si>
    <t xml:space="preserve"> LFT01092026 </t>
  </si>
  <si>
    <t> Local - ICATU PREVIDENCIARIO Master</t>
  </si>
  <si>
    <t> Local - MACRO Master</t>
  </si>
  <si>
    <t> Local - SANTANDER PREV Master</t>
  </si>
  <si>
    <t> LFT01032026</t>
  </si>
  <si>
    <t> XP</t>
  </si>
  <si>
    <t xml:space="preserve">Local - ADVANCED Master </t>
  </si>
  <si>
    <t xml:space="preserve"> Local - ADAM PREV IQ Master </t>
  </si>
  <si>
    <t xml:space="preserve"> Local - BB PREVIDENCIARIO Master </t>
  </si>
  <si>
    <t xml:space="preserve"> NTNB 15/08/2028 </t>
  </si>
  <si>
    <t xml:space="preserve">NTNB 15/08/2028 </t>
  </si>
  <si>
    <t xml:space="preserve">Local - ADAM PREV IQ Master </t>
  </si>
  <si>
    <t xml:space="preserve"> LFT01032026 </t>
  </si>
  <si>
    <t xml:space="preserve"> LFT01092027 </t>
  </si>
  <si>
    <t xml:space="preserve">                     300 </t>
  </si>
  <si>
    <t>                     200</t>
  </si>
  <si>
    <t xml:space="preserve">Local - ADAM PREV IG20 Master </t>
  </si>
  <si>
    <t xml:space="preserve">Local - INTRAG PREVIDENCIARIO Master </t>
  </si>
  <si>
    <t>Z:\Sales\Due Diligence Distribuidores\Due Diligence e Questionários</t>
  </si>
  <si>
    <t>Z:\Administrativo\OFFSHORE</t>
  </si>
  <si>
    <t xml:space="preserve"> </t>
  </si>
  <si>
    <t xml:space="preserve"> LFT01092027 </t>
  </si>
  <si>
    <t xml:space="preserve"> Local - MACRO Master </t>
  </si>
  <si>
    <t xml:space="preserve"> Local - MACRO STRATEGY Master </t>
  </si>
  <si>
    <t xml:space="preserve"> Local - ADAM RF PREVIDENCIARIO Master </t>
  </si>
  <si>
    <t>Termo de Adesão aos Manuais, Políticas e Procedimentos Internos</t>
  </si>
  <si>
    <t>02/10/2023 15:41</t>
  </si>
  <si>
    <t>Termos de adesão às políticas do colaborador Monique Gonçalves.</t>
  </si>
  <si>
    <t>02/10/2023 16:03</t>
  </si>
  <si>
    <t xml:space="preserve"> Local - ADAM RF Master </t>
  </si>
  <si>
    <t>Ramal</t>
  </si>
  <si>
    <t>Distribuidor</t>
  </si>
  <si>
    <t>Data do 1º contrato</t>
  </si>
  <si>
    <t>Data do ultimo aditivo</t>
  </si>
  <si>
    <t>ATIVA SA CTCV</t>
  </si>
  <si>
    <t>BNY MELLON</t>
  </si>
  <si>
    <t>Guarda-chuva</t>
  </si>
  <si>
    <t>AZIMUT BRASIL DTVM LTDA</t>
  </si>
  <si>
    <t>BANCO ALFA DE INVESTIMENTO SA</t>
  </si>
  <si>
    <t>BANCO ANDBANK BRASIL SA</t>
  </si>
  <si>
    <t>BANCO BNP PARIBAS BRASIL SA</t>
  </si>
  <si>
    <t>BANCO BOCOM BBM SA</t>
  </si>
  <si>
    <t>BANCO BRADESCO SA</t>
  </si>
  <si>
    <t>Exclusivo</t>
  </si>
  <si>
    <t>banco btg pactual sa</t>
  </si>
  <si>
    <t>BANCO C6 SA</t>
  </si>
  <si>
    <t>BANCO DAYCOVAL SA</t>
  </si>
  <si>
    <t>BANCO J SAFRA SA</t>
  </si>
  <si>
    <t>em assinatura</t>
  </si>
  <si>
    <t>BANCO ORIGINAL SA</t>
  </si>
  <si>
    <t>BANCO SANTANDER BRASIL SA</t>
  </si>
  <si>
    <t>BANCO SANTANDER BRASIL SA (2)</t>
  </si>
  <si>
    <t>BANCO SOFISA SA</t>
  </si>
  <si>
    <t>BB GESTAO DE RECURSOS DTVM SA</t>
  </si>
  <si>
    <t>BETA AGENTE AUTONOMO DE INVESTIMENTO LTDA</t>
  </si>
  <si>
    <t>BNY MELLON SF DTVM DISTRIBUTION</t>
  </si>
  <si>
    <t>BNY MELLON SF DTVM DISTRIBUTION OFF</t>
  </si>
  <si>
    <t>BNY MELLON SF DTVM SA</t>
  </si>
  <si>
    <t>BNY MELLON SF DTVM SA DESCREDENCIADO</t>
  </si>
  <si>
    <t>BRE AAI LTDA</t>
  </si>
  <si>
    <t>Exclusivo e Guarda-chuva</t>
  </si>
  <si>
    <t>BS2 DTVM SA</t>
  </si>
  <si>
    <t>BV DISTRIBUIDORA DE TITULOS E VALORES MOBILIARIOS</t>
  </si>
  <si>
    <t>Sem contrato dtb</t>
  </si>
  <si>
    <t>CA INDOSUEZ WEALTH BRAZIL SA DTVM</t>
  </si>
  <si>
    <t>CP FRIZZO DTVM LTDA</t>
  </si>
  <si>
    <t>CREDIT SUISSE HG CORRETORA DE VALORES SA</t>
  </si>
  <si>
    <t>FRAM CAPITAL DISTRIBUIDORA DE TITULOS E VALORES MO</t>
  </si>
  <si>
    <t>GENIAL INVESTIMENTOS CORRETORA DE VALORES MOBILIÁR</t>
  </si>
  <si>
    <t>GUELT AGENTE AUTONOMO DE INVESTIMENTOS LTDA</t>
  </si>
  <si>
    <t>GUIDE INVESTIMENTOS SA CORRETORA DE VALORES</t>
  </si>
  <si>
    <t>INTER DISTRIBUIDORA DE TITULOS E VALORES MOBILIARI</t>
  </si>
  <si>
    <t>MIRAE ASSET WEALTH MANAGEMENT BRAZIL CORRETORA D</t>
  </si>
  <si>
    <t>MODAL DTVM LTDA</t>
  </si>
  <si>
    <t>NECTON INVESTIMENTOS SA CVM E COMMODITIES</t>
  </si>
  <si>
    <t>NU INVEST CORRETORA DE VALORES SA</t>
  </si>
  <si>
    <t>ORAMA DISTRIBUIDORA DE TITULOS E VALORES MOBILIARI</t>
  </si>
  <si>
    <t>PLANNER CV SA</t>
  </si>
  <si>
    <t>Descredenciado</t>
  </si>
  <si>
    <t>PORTOPAR DTVM LTDA</t>
  </si>
  <si>
    <t>RB INVESTIMENTOS DTVM LTDA</t>
  </si>
  <si>
    <t>SINGULARE CORRETORA DE TITULOS E VALORES MOBILIAR</t>
  </si>
  <si>
    <t>SUL AMERICA INVESTIMENTOS DTVM SA</t>
  </si>
  <si>
    <t>TAGGART CAPITAL AAI LTDA</t>
  </si>
  <si>
    <t>TERRA INVESTIMENTOS DTVM LTDA</t>
  </si>
  <si>
    <t>UNIFINANCE AGENTE AUTONOMO DE INVESTIMENTOS LTDA</t>
  </si>
  <si>
    <t>VITREO DISTRIBUIDORA DE TITULOS E VALORES MOBILIAR</t>
  </si>
  <si>
    <t>WARREN CORRETORA DE VALORES MOBILIARIOS E CAMBIO L</t>
  </si>
  <si>
    <t>XP INVESTIMENTOS CCTVM S.A</t>
  </si>
  <si>
    <t>XP INVESTIMENTOS CCTVM SA FILIAL RICO</t>
  </si>
  <si>
    <t>*</t>
  </si>
  <si>
    <t>INTRAG/ITAU</t>
  </si>
  <si>
    <t>Confidencialidade</t>
  </si>
  <si>
    <t>Área</t>
  </si>
  <si>
    <t>Tipo</t>
  </si>
  <si>
    <t>Tamanho de Amostra</t>
  </si>
  <si>
    <t>Detalhes</t>
  </si>
  <si>
    <t>Resultado</t>
  </si>
  <si>
    <t>Resumo</t>
  </si>
  <si>
    <t>Boletagem</t>
  </si>
  <si>
    <t>Total</t>
  </si>
  <si>
    <t>Trimestal</t>
  </si>
  <si>
    <t>Verificar Boletagem</t>
  </si>
  <si>
    <t>Trades do dia</t>
  </si>
  <si>
    <t>Verificar Trades do dia - Onshore e Offshore</t>
  </si>
  <si>
    <t>Alocação</t>
  </si>
  <si>
    <t>Onshore e Offshore</t>
  </si>
  <si>
    <t>Evidências dos Desequadramentos</t>
  </si>
  <si>
    <t>Verificar se macros estão adaptadas à fundos novos e encerrados - Alocação</t>
  </si>
  <si>
    <t>Middle</t>
  </si>
  <si>
    <t>Negativa de identificam BO</t>
  </si>
  <si>
    <t>Verificar erros de boletagem</t>
  </si>
  <si>
    <t>Verificar PnL</t>
  </si>
  <si>
    <t>Amostral</t>
  </si>
  <si>
    <t>Verificar Books - AS IS &amp; TO BE MAIN</t>
  </si>
  <si>
    <t>Verificar Regulamento dos Fundos</t>
  </si>
  <si>
    <t xml:space="preserve"> Local - ADAM RF PREVIDENCIARIO Master </t>
  </si>
  <si>
    <t>Próximo</t>
  </si>
  <si>
    <t>Inputar Carteira D-1 - BI Investimentos</t>
  </si>
  <si>
    <t>Rotinas de Report frente às Contrapartes e Reguladores</t>
  </si>
  <si>
    <t>Indefinido</t>
  </si>
  <si>
    <t>Investimentos</t>
  </si>
  <si>
    <t>Tx de Adm e pfee</t>
  </si>
  <si>
    <t>Verificar amostralmente se as taxas foram calculadas de forma correta</t>
  </si>
  <si>
    <t>Foi identificado um erro que foi ajustado logo em seguida</t>
  </si>
  <si>
    <t>Texto</t>
  </si>
  <si>
    <t xml:space="preserve">"Prezados clientes,
O mês de dezembro fechou com resultados positivos para os fundos Macro e Strategy e negativos para o Advanced e fundos de previdência. A performance foi impactada negativamente pela posição em Bolsa Brasil, enquanto o Caixa gerou retornos positivos. O orçamento de risco continua abaixo do usual, em compasso de espera de melhor definição política e econômica no Brasil. No lado internacional, esperamos a temporada de resultados de fechamento do ano para melhor avaliação do cenário. De maneira geral, o ano de 2023 deve apresentar boas oportunidades, dado o cenário de preços descontados e normalização de valuations, porém, dependemos do controle de inflação e de retomada da atividade global para aumento de posições.
Na esfera institucional, iniciamos um processo completo de restruturação, com ampliação do time de gestão, reformulação do time de economia e redistribuição do livro de riscos. Acreditamos que as mudanças serão importantes para o incremento de geração de alpha e aprimoramento do processo de gestão. Todo esse processo será melhor detalhado em nosso call aberto no dia 10/01.
Forte abraço a todos e um 2023 repleto de sucesso!"
</t>
  </si>
  <si>
    <t xml:space="preserve">Prezados clientes,
O primeiro mês do ano apresentou contrastes nos mercados locais e internacionais. Enquanto o cenário externo começa a apresentar sinais de arrefecimento inflacionário, no Brasil, seguimos em contexto de preços atrativos (para Bolsa, Moeda e Juros Reais), porém ainda não imunes a volatilidade no ambiente interno.
Em linhas gerais, seguimos otimistas com Brasil, mas com posições ainda reduzidas, esperando maior clareza no cenário econômico e político. A carteira está montada com pequena posição short no dólar (contra o Euro e contra Real), comprado em Ibovespa e posição equilibrada em Juros (tomada nos juros nominais e aplicada em juros reais). Nosso time de gestão, apresenta uma análise mais detalhada em nossos relatórios gerenciais anexados.
Os fundos de previdência apresentam posições bastante similares aos multimercados, com as posições internacionais concentradas em moedas. 
Como sempre, estamos à disposição para quaisquer esclarecimentos adicionais que se façam necessários.
</t>
  </si>
  <si>
    <t xml:space="preserve">Prezados clientes,
O mês de fevereiro apresentou volatilidade, tanto no mercado local, quanto no exterior. Os fundos multimercados apresentaram ganhos moderados, enquanto os fundos de previdência obtiveram resultados negativos por conta de exposição maior em bolsa Brasil e menor em moedas globais. No relatório gerencial em anexo, o time de gestão detalha nosso posicionamento atual, com reversão da exposição comprada em bolsa brasileira, aumento nas posições relativas de juros (Global e Brasil) e moedas. O cenário atual está mais favorável aos trades de valor relativo. Adicionalmente, estamos atentos a sinais mais claros no campo político, econômico e corporativo, para retomar as posições mais direcionais.
Como sempre, estamos a disposição para qualquer esclarecimento adicional que se faça necessário.
</t>
  </si>
  <si>
    <t xml:space="preserve">O mês de março se encerra com bons resultados para os fundos da Adam, e destaque para os fundos de Previdencia que renderam aproximadamente 2,27%, equivalente a 193% do CDI no mês. Em nosso relatório gerencial anexo, detalhamos as posições que mais contribuíram para a geração de alpha no portfólio e também o bom funcionamento da dinâmica de descentralização de riscos.
Gostaríamos de informar que a partir de abril de 2023, os fundos da Família ADAM Macro Strategy não terão mais a restrição de investimentos no mercado de juros no Brasil. Esta mudança tem como objetivo fazer com que o produto fique igual aos fundos da família ADAM Macro.
É importante ressaltar que a mudança ocorre apenas no âmbito da estratégia de investimentos, com a retirada da restrição ao mercado de juros brasileiros. Não há qualquer mudança no regulamento, no objetivo ou na política de investimentos do produto. 
Da mesma forma, não há mudança nos limites de risco que já eram iguais para ambos os produtos.
Nosso compromisso com o processo de investimentos baseado em cenários macroeconômicos de médio e longo prazo, melhores práticas de controle e gestão de riscos, sem conflitos de interesses e com estrita observância do dever fiduciário, continua inalterado. 
Acreditamos que a retirada das restrições deixará o produto mais livre, uma vez que as restrições para este produto definidas no passado já não fazem mais sentido no atual cenário macroeconômico. 
Continuamos comprometidos em buscar retornos consistentes e de longo prazo para nossos investidores, seguindo nossa filosofia de investimento e melhores práticas de gestão.
Em nosso call aberto, comentaremos a mudança dos produtos com mais detalhes. Grande abraço a todos.
</t>
  </si>
  <si>
    <t xml:space="preserve">Prezados clientes,
O mês de abril apresentou bons resultados para todos os produtos da Adam Capital. Os fundos multimercado Macro e Strategy, agora com posições iguais, renderam 1,58% aproximadamente, equivalente 168% do CDI do período. O Advanced fechou positivo em 2,16%, demonstrando que estamos melhorando a relação de volatilidade entre Advanced e os multimercados. Esta proporção que era de 50% foi ampliada para 66% e poderá ser aumentada progressivamente até 75%.
Os produtos de previdência também apresentaram excelentes resultados, rendendo 1,71% neste mês , equivalentes a 186% do CDI.
Em nosso relatório gerencial anexo, o time de gestão apresenta com mais detalhes nossas teses de investimento e perspectivas para os cenários local e internacional. Como sempre, estamos a disposição de vocês para qualquer esclarecimento adicional que se faça necessário.
</t>
  </si>
  <si>
    <t xml:space="preserve">No mês de maio os fundos apresentaram rendimentos levemente negativos em quase todos os produtos. Adicionalmente, destacamos um portfólio mais equilibrado e o uso de operações táticas diante do recente cenário de incertezas. 
Em nossa carta anexa, o time de gestão entra em detalhes de como o cenário internacional oscila em incertezas importantes, principalmente com relação às expectativas de inflação e consequente atuação do FED. O cenário local também sugere precauções, porém, com preços mais atrativos para as classes de ativo Juros, Bolsa e Moeda.
Gostaríamos de informar que estamos reestruturando os relatórios mensais, com a segregação da Carta Mensal e do Relatório Gerencial, visando melhorar o fluxo de informações com distribuidores e clientes.
Como sempre, estamos à disposição de todos para qualquer esclarecimento adicional.
</t>
  </si>
  <si>
    <t xml:space="preserve">Prezados clientes, 
No mês de junho, os fundos da ADAM|Capital apresentaram resultados positivos. Em nossas posições, o destaque vai para Bolsa Brasileira (IBOV), que favoreceu a geração de alpha em nosso portfólio. 
Os fundos multimercado Adam Macro II e Adam Strategy II, renderam 1,60% aproximadamente, equivalente a 150% do CDI no período. O Adam Advanced II apresentou resultado positivo de 1,86%, equivalente a 173% do CDI no período.
Ressaltamos o bom desempenho do nosso produto de previdência, Adam Icatu Prev,, rendendo 2,35% neste mês, equivalentes a 219% do CDI.
Em nossa carta anexa, o time de gestão oferece mais detalhes sobre o cenário local e internacional, bem como nossas perspectivas em relação às taxas de juros, considerando as recentes sinalizações relacionadas ao tema.
Estamos satisfeitos em informar que houve melhora na performance dos nossos produtos ao longo do semestre em relação ao semestre passado, o que, por ora, indica que estamos no caminho certo quanto aos esforços institucionais realizados. 
Agradecemos a parceria e confiança ao longo deste semestre e reiteramos nosso compromisso em buscar resultados positivos para nosso portfólio.
Nos colocamos à disposição para eventual esclarecimento adicional que se faça necessário. Contem com o time ADAM|Capital.
</t>
  </si>
  <si>
    <t xml:space="preserve">Prezados clientes, 
O fechamento do mês de Julho foi marcado por valorização moderada de todos os fundos da casa. O Adam Advanced apresentou valorização de 95% do CDI, enquanto Strategy e Macro fecharam com 91% do CDI no mês. Os fundos de previdência também apresentaram resultados positivos porém levemente abaixo dos multimercados, por conta de uma menor exposição em moedas dada a restrição regulamentar das previdências.
Estamos a disposição para qualquer esclarecimento adicional que se faça necessário.
Forte abraço!
</t>
  </si>
  <si>
    <t xml:space="preserve">Prezados clientes,
Os resultados do mês de Agosto foram impactados pela piora no cenário local, principalmente pela preocupação relativa ao aumento do déficit das contas públicas. Em linhas gerais fomos impactados negativamente tanto na posição comprada no Real quanto na abertura das taxas de juros. No relatório gerencial anexo, nosso time de gestão comenta com maiores detalhes nossa posição, bem como as perspectivas para o final de ano.
No lado institucional, como parte do processo de simplificação dos produtos, após a união das estratégias dos fundos Adam Macro e Adam Strategy que ocorreu em abril deste ano, ajustamos a relação de volatilidade entre Advanced e Macro / Strategy subindo de 50% para 75%. Este movimento foi considerado necessário para melhor adequar os fundos ao atual cenário de menor volatilidade de mercado. 
Como sempre, estamos a disposição para maiores esclarecimentos.
</t>
  </si>
  <si>
    <t>Prezados clientes,
O mês de setembro termina com os fundos da ADAM CAPITAL com rendimentos positivos mesmo em cenário bastante desafiador. Os mercados globais continuam elevando o grau de aversão a riscos, com bolsas em queda e juros em alta. Em linhas gerais, os fundos se beneficiaram de alpha positivo nas quedas da bolsa americana, porém devolvendo parte dos ganhos com a desvalorização do Real e com a abertura das taxas de juros americanas. Nosso cenário segue mais detalhado pelo time de gestão nos relatórios gerenciais em anexo.
Ressaltamos ainda, que a partir de outubro, teremos o lançamento de novos produtos com a estratégia Renda Fixa Ativa, sendo um deles fundo de previdência. Os fundos terão como objetivo de rentabilidade 110% do CDI, com volatilidade aproximada de 3% ao ano, liquidez D+5 e fará uso de ativos de juros brasileiros e globais principalmente, porém sem alocação em crédito privado. A estratégia já está disponível nas plataformas XP e Icatu (Previdência) e em breve, nos demais bancos e plataformas. Qualquer dúvida com relação a este produto estamos a inteira disposição.
Forte abraço!</t>
  </si>
  <si>
    <t xml:space="preserve"> Local - CAIXA Master </t>
  </si>
  <si>
    <t xml:space="preserve">Local - ADAM RF PREVIDENCIARIO Master </t>
  </si>
  <si>
    <t> LFT01092027</t>
  </si>
  <si>
    <t>Verifição do status de amarzenamento das demonstrações contábeis dos fundos sediados em Cayman</t>
  </si>
  <si>
    <t>Arquivos de gravação referentes a este dia somente foram salvos no diretório na semana seguinte.</t>
  </si>
  <si>
    <t>Gravacoes_telefonicas</t>
  </si>
  <si>
    <t>confirmacao_backup</t>
  </si>
  <si>
    <t>Gravacoes_video</t>
  </si>
  <si>
    <t xml:space="preserve">Local - MACRO Master </t>
  </si>
  <si>
    <t xml:space="preserve">Local - ADAM RF Master </t>
  </si>
  <si>
    <t>4.111V069711</t>
  </si>
  <si>
    <t> 4.111V069711</t>
  </si>
  <si>
    <t> 4.110V919711</t>
  </si>
  <si>
    <t> 4.054V524898</t>
  </si>
  <si>
    <t> 4.054V374898</t>
  </si>
  <si>
    <t>11.746V895911</t>
  </si>
  <si>
    <t>11.746V795911</t>
  </si>
  <si>
    <t> 4.046V576819</t>
  </si>
  <si>
    <t> 4.046V426819</t>
  </si>
  <si>
    <t> 4.101V978872</t>
  </si>
  <si>
    <t> 4.101V828872</t>
  </si>
  <si>
    <t> 4.149V447821</t>
  </si>
  <si>
    <t> 4.149V297821</t>
  </si>
  <si>
    <t>11.798V009503</t>
  </si>
  <si>
    <t>11.797V909503</t>
  </si>
  <si>
    <t> 4.041V690904</t>
  </si>
  <si>
    <t> 4.041V540904</t>
  </si>
  <si>
    <t> 4.099V932002</t>
  </si>
  <si>
    <t> 4.099V782002</t>
  </si>
  <si>
    <t>11.730V460832</t>
  </si>
  <si>
    <t>11.730V360832</t>
  </si>
  <si>
    <t>11.850V203377</t>
  </si>
  <si>
    <t>11.850V303377</t>
  </si>
  <si>
    <t>11.868V725459</t>
  </si>
  <si>
    <t xml:space="preserve">Passagem para cobrir exigência de garantia do fundoV uma vez que tiveram vendas de NTN-Bs que eram garantias. </t>
  </si>
  <si>
    <t>11.868V625459</t>
  </si>
  <si>
    <t>11.874V238555</t>
  </si>
  <si>
    <t>11.874V338555</t>
  </si>
  <si>
    <t>11.920V127090</t>
  </si>
  <si>
    <t>11.920V227090</t>
  </si>
  <si>
    <t>11.986V023331</t>
  </si>
  <si>
    <t>11.985V923331</t>
  </si>
  <si>
    <t>11.948V192847</t>
  </si>
  <si>
    <t>11.948V292847</t>
  </si>
  <si>
    <t>12.087V873446</t>
  </si>
  <si>
    <t>12.087V973446</t>
  </si>
  <si>
    <t>12.043V060494</t>
  </si>
  <si>
    <t>12.042V960494</t>
  </si>
  <si>
    <t> 4.090V887110</t>
  </si>
  <si>
    <t> 4.091V037110</t>
  </si>
  <si>
    <t> 4.096V373204</t>
  </si>
  <si>
    <t> 4.096V523204</t>
  </si>
  <si>
    <t>12.211V447878</t>
  </si>
  <si>
    <t>12.211V547878</t>
  </si>
  <si>
    <t>12.217V674318</t>
  </si>
  <si>
    <t>12.217V774318</t>
  </si>
  <si>
    <t>12.227V634097</t>
  </si>
  <si>
    <t>12.227V534097</t>
  </si>
  <si>
    <t>12.436V368030</t>
  </si>
  <si>
    <t>12.436V268030</t>
  </si>
  <si>
    <t>12.512V699667</t>
  </si>
  <si>
    <t>12.512V599667</t>
  </si>
  <si>
    <t>12.563V517164</t>
  </si>
  <si>
    <t>12.563V617164</t>
  </si>
  <si>
    <t>12.641V476829</t>
  </si>
  <si>
    <t>12.641V576829</t>
  </si>
  <si>
    <t> 3.883V356968</t>
  </si>
  <si>
    <t> 3.883V206968</t>
  </si>
  <si>
    <t xml:space="preserve">               12.635V159679 </t>
  </si>
  <si>
    <t xml:space="preserve">               12.635V059679 </t>
  </si>
  <si>
    <t> 3.836V477249</t>
  </si>
  <si>
    <t> 3.836V627249</t>
  </si>
  <si>
    <t>12.661V178299</t>
  </si>
  <si>
    <t>12.661V278299</t>
  </si>
  <si>
    <t>12.635V804922</t>
  </si>
  <si>
    <t>12.588V568912</t>
  </si>
  <si>
    <t>12.635V904922</t>
  </si>
  <si>
    <t>12.588V668912</t>
  </si>
  <si>
    <t> 3.903V154288</t>
  </si>
  <si>
    <t> 3.903V304288</t>
  </si>
  <si>
    <t>12.607V070718</t>
  </si>
  <si>
    <t>12.606V970718</t>
  </si>
  <si>
    <t> 3.967V793304</t>
  </si>
  <si>
    <t> 3.967V943304</t>
  </si>
  <si>
    <t>12.705V052720</t>
  </si>
  <si>
    <t>12.705V152720</t>
  </si>
  <si>
    <t>12.606V427040</t>
  </si>
  <si>
    <t>12.606V527040</t>
  </si>
  <si>
    <t xml:space="preserve">         12.770V646828 </t>
  </si>
  <si>
    <t xml:space="preserve">         12.770V746828 </t>
  </si>
  <si>
    <t xml:space="preserve">         12.769V816719 </t>
  </si>
  <si>
    <t xml:space="preserve">         12.769V916719 </t>
  </si>
  <si>
    <t xml:space="preserve">            3.851V842363 </t>
  </si>
  <si>
    <t xml:space="preserve">            3.851V992363 </t>
  </si>
  <si>
    <t>12.751V80757900</t>
  </si>
  <si>
    <t>12.751V90757900</t>
  </si>
  <si>
    <t>12.710V50748000</t>
  </si>
  <si>
    <t>12.710V60748000</t>
  </si>
  <si>
    <t xml:space="preserve">         12.785V133108 </t>
  </si>
  <si>
    <t xml:space="preserve">         12.785V233108 </t>
  </si>
  <si>
    <t xml:space="preserve">         12.831V762664 </t>
  </si>
  <si>
    <t xml:space="preserve">         12.831V862664 </t>
  </si>
  <si>
    <t xml:space="preserve">         12.796V747372 </t>
  </si>
  <si>
    <t xml:space="preserve">         12.796V847372 </t>
  </si>
  <si>
    <t xml:space="preserve">         12.839V399619 </t>
  </si>
  <si>
    <t xml:space="preserve">         12.839V299619 </t>
  </si>
  <si>
    <t>         12.848V859168</t>
  </si>
  <si>
    <t>         12.848V959168</t>
  </si>
  <si>
    <t xml:space="preserve">         12.946V066986 </t>
  </si>
  <si>
    <t xml:space="preserve">         12.945V966986 </t>
  </si>
  <si>
    <t xml:space="preserve">         12.951V486329 </t>
  </si>
  <si>
    <t xml:space="preserve">         12.951V586329 </t>
  </si>
  <si>
    <t xml:space="preserve">         4.059V6442560 </t>
  </si>
  <si>
    <t xml:space="preserve">         4.059V7942560 </t>
  </si>
  <si>
    <t xml:space="preserve">       12.981V6619400 </t>
  </si>
  <si>
    <t xml:space="preserve">       12.981V7619400 </t>
  </si>
  <si>
    <t xml:space="preserve">         4.281V6675070 </t>
  </si>
  <si>
    <t xml:space="preserve">         4.281V8175070 </t>
  </si>
  <si>
    <t xml:space="preserve">            4.260V234446 </t>
  </si>
  <si>
    <t xml:space="preserve">            4.260V384446 </t>
  </si>
  <si>
    <t>         13.225V504623</t>
  </si>
  <si>
    <t>         13.225V604623</t>
  </si>
  <si>
    <t xml:space="preserve">         13.286V276439 </t>
  </si>
  <si>
    <t xml:space="preserve">         13.286V376439 </t>
  </si>
  <si>
    <t>         13.340V394419</t>
  </si>
  <si>
    <t xml:space="preserve">            4.339V963471 </t>
  </si>
  <si>
    <t xml:space="preserve">            4.340V113471 </t>
  </si>
  <si>
    <t xml:space="preserve">         13.381V472413 </t>
  </si>
  <si>
    <t xml:space="preserve">         13.381V572413 </t>
  </si>
  <si>
    <t xml:space="preserve">         13.433V056230 </t>
  </si>
  <si>
    <t xml:space="preserve">         13.433V156230 </t>
  </si>
  <si>
    <t xml:space="preserve">         13.375V072705 </t>
  </si>
  <si>
    <t xml:space="preserve">         13.374V972705 </t>
  </si>
  <si>
    <t xml:space="preserve">         13.428V690571 </t>
  </si>
  <si>
    <t xml:space="preserve">         13.428V790571 </t>
  </si>
  <si>
    <t xml:space="preserve">         13.413V550234 </t>
  </si>
  <si>
    <t xml:space="preserve">         13.413V650234 </t>
  </si>
  <si>
    <t xml:space="preserve">            4.351V160554 </t>
  </si>
  <si>
    <t xml:space="preserve">            4.351V310554 </t>
  </si>
  <si>
    <t xml:space="preserve">         13.419V199498 </t>
  </si>
  <si>
    <t xml:space="preserve">         13.419V099498 </t>
  </si>
  <si>
    <t xml:space="preserve">         13.431V782330 </t>
  </si>
  <si>
    <t xml:space="preserve">         13.431V882330 </t>
  </si>
  <si>
    <t xml:space="preserve">            4.442V420203 </t>
  </si>
  <si>
    <t xml:space="preserve">            4.442V270203 </t>
  </si>
  <si>
    <t xml:space="preserve">            4.350V108426 </t>
  </si>
  <si>
    <t xml:space="preserve">            4.349V958426 </t>
  </si>
  <si>
    <t xml:space="preserve">         13.483V179007 </t>
  </si>
  <si>
    <t xml:space="preserve">         13.483V079007 </t>
  </si>
  <si>
    <t xml:space="preserve">            4.421V658015 </t>
  </si>
  <si>
    <t xml:space="preserve">            4.421V808015 </t>
  </si>
  <si>
    <t xml:space="preserve">            4.345V083009 </t>
  </si>
  <si>
    <t xml:space="preserve">            4.344V933009 </t>
  </si>
  <si>
    <t xml:space="preserve">         13.448V401476 </t>
  </si>
  <si>
    <t xml:space="preserve">         13.448V501476 </t>
  </si>
  <si>
    <t xml:space="preserve">            4.449V185449 </t>
  </si>
  <si>
    <t xml:space="preserve">            4.449V335449 </t>
  </si>
  <si>
    <t xml:space="preserve">            4.361V546186 </t>
  </si>
  <si>
    <t xml:space="preserve">            4.361V696186 </t>
  </si>
  <si>
    <t xml:space="preserve">         13.448V885647 </t>
  </si>
  <si>
    <t xml:space="preserve">         13.448V785647 </t>
  </si>
  <si>
    <t xml:space="preserve">         13.462V783316 </t>
  </si>
  <si>
    <t xml:space="preserve">         13.462V883316 </t>
  </si>
  <si>
    <t xml:space="preserve">            4.386V634155 </t>
  </si>
  <si>
    <t xml:space="preserve">            4.386V784155 </t>
  </si>
  <si>
    <t xml:space="preserve">            4.516V911264 </t>
  </si>
  <si>
    <t xml:space="preserve">            4.517V061264 </t>
  </si>
  <si>
    <t xml:space="preserve">         13.571V244269 </t>
  </si>
  <si>
    <t xml:space="preserve">         13.571V144269 </t>
  </si>
  <si>
    <t xml:space="preserve">         13.557V012283 </t>
  </si>
  <si>
    <t xml:space="preserve">         13.557V112283 </t>
  </si>
  <si>
    <t xml:space="preserve">            4.425V883502 </t>
  </si>
  <si>
    <t xml:space="preserve">            4.426V033502 </t>
  </si>
  <si>
    <t xml:space="preserve">            4.595V410242 </t>
  </si>
  <si>
    <t xml:space="preserve">            4.595V560242 </t>
  </si>
  <si>
    <t xml:space="preserve">         13.564V878308 </t>
  </si>
  <si>
    <t xml:space="preserve">         13.564V778308 </t>
  </si>
  <si>
    <t xml:space="preserve">         13.572V153098 </t>
  </si>
  <si>
    <t xml:space="preserve">         13.592V702000 </t>
  </si>
  <si>
    <t xml:space="preserve">         13.615V684923 </t>
  </si>
  <si>
    <t xml:space="preserve">         13.578V876762 </t>
  </si>
  <si>
    <t xml:space="preserve">         13.592V802000 </t>
  </si>
  <si>
    <t xml:space="preserve">         13.615V784923 </t>
  </si>
  <si>
    <t xml:space="preserve">         13.578V976762 </t>
  </si>
  <si>
    <t xml:space="preserve">         13.572V253098 </t>
  </si>
  <si>
    <t xml:space="preserve">         13.579V076762 </t>
  </si>
  <si>
    <t xml:space="preserve">            4.612V745978 </t>
  </si>
  <si>
    <t xml:space="preserve">            4.612V895978 </t>
  </si>
  <si>
    <t xml:space="preserve">            4.438V206474 </t>
  </si>
  <si>
    <t xml:space="preserve">            4.438V356474 </t>
  </si>
  <si>
    <t xml:space="preserve">         13.603V439036 </t>
  </si>
  <si>
    <t xml:space="preserve">         13.603V539036 </t>
  </si>
  <si>
    <t xml:space="preserve">            4.305V214708 </t>
  </si>
  <si>
    <t xml:space="preserve">            4.305V364708 </t>
  </si>
  <si>
    <t xml:space="preserve">            4.514V218451 </t>
  </si>
  <si>
    <t xml:space="preserve">            4.514V368451 </t>
  </si>
  <si>
    <t xml:space="preserve">         13.639V082831 </t>
  </si>
  <si>
    <t xml:space="preserve">         13.639V182831 </t>
  </si>
  <si>
    <t xml:space="preserve">         13.713V004218 </t>
  </si>
  <si>
    <t xml:space="preserve">         13.713V104218 </t>
  </si>
  <si>
    <t xml:space="preserve">         13.742V984597 </t>
  </si>
  <si>
    <t xml:space="preserve">         13.743V084597 </t>
  </si>
  <si>
    <t xml:space="preserve">            4.266V478360 </t>
  </si>
  <si>
    <t xml:space="preserve">            4.266V628360 </t>
  </si>
  <si>
    <t xml:space="preserve">            4.402V547766 </t>
  </si>
  <si>
    <t xml:space="preserve">            4.402V397766 </t>
  </si>
  <si>
    <t xml:space="preserve">         13.801V936584 </t>
  </si>
  <si>
    <t xml:space="preserve">         13.802V036584 </t>
  </si>
  <si>
    <t xml:space="preserve">            4.233V161323 </t>
  </si>
  <si>
    <t xml:space="preserve">            4.233V011323 </t>
  </si>
  <si>
    <t xml:space="preserve">            4.217V434269 </t>
  </si>
  <si>
    <t xml:space="preserve">            4.217V584269 </t>
  </si>
  <si>
    <t xml:space="preserve">         13.858V628586 </t>
  </si>
  <si>
    <t xml:space="preserve">         13.858V728586 </t>
  </si>
  <si>
    <t xml:space="preserve">         13.859V171534 </t>
  </si>
  <si>
    <t xml:space="preserve">         13.859V071534 </t>
  </si>
  <si>
    <t xml:space="preserve">         13.863V999402 </t>
  </si>
  <si>
    <t xml:space="preserve">         13.863V899402 </t>
  </si>
  <si>
    <t xml:space="preserve">         13.871V948756 </t>
  </si>
  <si>
    <t xml:space="preserve">         13.872V048756 </t>
  </si>
  <si>
    <t xml:space="preserve">            4.247V357806 </t>
  </si>
  <si>
    <t xml:space="preserve">            4.247V507806 </t>
  </si>
  <si>
    <t xml:space="preserve">         13.877V338046 </t>
  </si>
  <si>
    <t xml:space="preserve">            4.292V531144 </t>
  </si>
  <si>
    <t xml:space="preserve">         13.877V238046 </t>
  </si>
  <si>
    <t xml:space="preserve">            4.292V681144 </t>
  </si>
  <si>
    <t xml:space="preserve">            4.222V865446 </t>
  </si>
  <si>
    <t xml:space="preserve">            4.223V015446 </t>
  </si>
  <si>
    <t xml:space="preserve">         13.883V703747 </t>
  </si>
  <si>
    <t xml:space="preserve">         13.883V803747 </t>
  </si>
  <si>
    <t xml:space="preserve">            4.230V299717 </t>
  </si>
  <si>
    <t xml:space="preserve">            4.230V449717 </t>
  </si>
  <si>
    <t xml:space="preserve">         13.902V021844 </t>
  </si>
  <si>
    <t xml:space="preserve">         13.902V121844 </t>
  </si>
  <si>
    <t xml:space="preserve">         13.905V362789 </t>
  </si>
  <si>
    <t xml:space="preserve">         13.905V462789 </t>
  </si>
  <si>
    <t xml:space="preserve">13.904V551886 </t>
  </si>
  <si>
    <t xml:space="preserve">         13.904V651886 </t>
  </si>
  <si>
    <t xml:space="preserve">            4.222V306568 </t>
  </si>
  <si>
    <t xml:space="preserve">            4.222V456568 </t>
  </si>
  <si>
    <t xml:space="preserve">         13.911V944025 </t>
  </si>
  <si>
    <t xml:space="preserve">         13.910V044025 </t>
  </si>
  <si>
    <t xml:space="preserve">            4.222V210275 </t>
  </si>
  <si>
    <t xml:space="preserve">            4.222V360275 </t>
  </si>
  <si>
    <t xml:space="preserve">         13.924V621168 </t>
  </si>
  <si>
    <t xml:space="preserve">         13.924V721168 </t>
  </si>
  <si>
    <t xml:space="preserve">         13.946V916681 </t>
  </si>
  <si>
    <t xml:space="preserve">         13.947V016681 </t>
  </si>
  <si>
    <t>Chave</t>
  </si>
  <si>
    <t>2000/205/201</t>
  </si>
  <si>
    <t xml:space="preserve">  N/A</t>
  </si>
  <si>
    <t xml:space="preserve">         13.955,013434 </t>
  </si>
  <si>
    <t xml:space="preserve">13.954,913434 </t>
  </si>
  <si>
    <t xml:space="preserve">         13.867,204827 </t>
  </si>
  <si>
    <t xml:space="preserve">         13.867,304827 </t>
  </si>
  <si>
    <t xml:space="preserve">20,00 </t>
  </si>
  <si>
    <t>Z:\Sales\Due Diligence Distribuidores\Due Diligence e Questionários\2023\Out23 - Revisão BRAM</t>
  </si>
  <si>
    <t>Renovação Cadastral</t>
  </si>
  <si>
    <t>Z:\Administrativo\Operacional\Corretoras\XP\Renovação Cadastral 2023</t>
  </si>
  <si>
    <t xml:space="preserve">-                      30,00 </t>
  </si>
  <si>
    <t xml:space="preserve">-                      18,00 </t>
  </si>
  <si>
    <t xml:space="preserve">-                      17,00 </t>
  </si>
  <si>
    <t xml:space="preserve">                        51,00 </t>
  </si>
  <si>
    <t xml:space="preserve">                        14,00 </t>
  </si>
  <si>
    <t xml:space="preserve">            4.238,878123 </t>
  </si>
  <si>
    <t xml:space="preserve">            4.239,028123 </t>
  </si>
  <si>
    <t>Geovane, Jéssica</t>
  </si>
  <si>
    <t>Aqui identificamos que uma máquina da área de Gestão não estava sendo devidamente direcionada para o Servidor 4. Esse teste foi realizado de forma amostral. O ideal para os próximos testes é que seja possível realizar com pelo menos uma pessoa por área.</t>
  </si>
  <si>
    <t>Link_internet</t>
  </si>
  <si>
    <t>Teste_vpn</t>
  </si>
  <si>
    <t>Termos de Adesão Colaborador 2023 - Juliano Cecílio</t>
  </si>
  <si>
    <t>Juliano Cecílio</t>
  </si>
  <si>
    <t>Prezados clientes,
O mês de outubro termina com resultados positivos para os fundos da ADAM|Capital, com destaque para os fundos multimercados que atingiram rentabilidade aproximada de 120% do CDI. 
Os fundos de previdência também apresentaram resultados positivos, embora ligeiramente acima do CDI, uma vez que parte da performance positiva no mês foi decorrente de posições globais em índices e moedas e tais fundos possuem menor exposição aos referidos mercados.  
Cabe destacar a continuidade dos ajustes na relação de volatilidade entre as estratégias Advanced e Macro/Strategy com objetivo de maior convergência entre os fundos. Conforme salientado nos meses anteriores, tal iniciativa em curso foi considerada necessária para melhor adequar os fundos ao atual cenário de menor volatilidade de mercado.
Adicionalmente, ressaltamos o recém-lançado fundo de Renda Fixa Ativa (previdenciário e não previdenciário), que estreia como mais uma opção de fundos de investimentos da ADAM|Capital e disponível nos canais de distribuição*.
Convidamos a todos para a Edição Especial do Call ADAM|Capital, que será realizado excepcionalmente no próximo dia 08/11 às 11h00, com a participação do nosso CEO Marcio Appel &amp; o time de Gestão e Economia ADAM|Capital, com destaque para perspectivas da casa sobre cenário macroeconômico atual e apresentação de um novo membro na nossa equipe de gestão. 
Contamos com a participação de cada um de vocês.
Forte abraço!
*Consulte sua plataforma de investimentos para saber sobre a disponibilidade do produto.</t>
  </si>
  <si>
    <t>Broadcast</t>
  </si>
  <si>
    <t>Jcecilio</t>
  </si>
  <si>
    <t>Jcecilio.pcn</t>
  </si>
  <si>
    <t>sbueno</t>
  </si>
  <si>
    <t>sbueno.pcn</t>
  </si>
  <si>
    <t>ldaher.pcn</t>
  </si>
  <si>
    <t>fontes.pcn</t>
  </si>
  <si>
    <t>Costa.pcn</t>
  </si>
  <si>
    <t>pbastos</t>
  </si>
  <si>
    <t>pbastos.pcn</t>
  </si>
  <si>
    <t>Vvilanova</t>
  </si>
  <si>
    <t>Vvilanova.pcn</t>
  </si>
  <si>
    <t xml:space="preserve">         13.962,348909 </t>
  </si>
  <si>
    <t xml:space="preserve">         13.962,248909 </t>
  </si>
  <si>
    <t xml:space="preserve">            4.302,154764 </t>
  </si>
  <si>
    <t xml:space="preserve">            4.302,304764 </t>
  </si>
  <si>
    <t xml:space="preserve">-                      42,00 </t>
  </si>
  <si>
    <t xml:space="preserve">                          4,00 </t>
  </si>
  <si>
    <t xml:space="preserve">                        38,00 </t>
  </si>
  <si>
    <t xml:space="preserve">            4.242,848417 </t>
  </si>
  <si>
    <t xml:space="preserve">            4.242,998417 </t>
  </si>
  <si>
    <t xml:space="preserve"> NTNB 15/05/2027 </t>
  </si>
  <si>
    <t xml:space="preserve">            4.285,013894 </t>
  </si>
  <si>
    <t>Ata comitê de estratégias</t>
  </si>
  <si>
    <t>SALESFORCE</t>
  </si>
  <si>
    <t xml:space="preserve">         13.997,308703 </t>
  </si>
  <si>
    <t xml:space="preserve">         13.997,408703 </t>
  </si>
  <si>
    <t xml:space="preserve">         14.022,865058 </t>
  </si>
  <si>
    <t xml:space="preserve">         14.022,965058 </t>
  </si>
  <si>
    <t xml:space="preserve">            4.287,779029 </t>
  </si>
  <si>
    <t xml:space="preserve">            4.287,929029 </t>
  </si>
  <si>
    <t xml:space="preserve">         14.035,351542 </t>
  </si>
  <si>
    <t xml:space="preserve">         14.035,451542 </t>
  </si>
  <si>
    <t>22/11/2023</t>
  </si>
  <si>
    <t>Marie Georgiana Joséphine Valentine Vidal  </t>
  </si>
  <si>
    <t>Termos de Adesão Colaborador 2023 - Marie Vidal</t>
  </si>
  <si>
    <t>06/03/2023</t>
  </si>
  <si>
    <t>09/03/2023</t>
  </si>
  <si>
    <t xml:space="preserve">         14.040,933576 </t>
  </si>
  <si>
    <t xml:space="preserve">         14.041,033576 </t>
  </si>
  <si>
    <t xml:space="preserve">            4.302,422304 </t>
  </si>
  <si>
    <t xml:space="preserve">            4.302,572304 </t>
  </si>
  <si>
    <t>Z:\Sales\Due Diligence Distribuidores\Due Diligence e Questionários\2023\Out23 - CM Capital</t>
  </si>
  <si>
    <t>Pesquisa</t>
  </si>
  <si>
    <t>Z:\Sales\Due Diligence Distribuidores\Due Diligence e Questionários\2023\Out.23 - Pesquisa bradesco</t>
  </si>
  <si>
    <t>ESG</t>
  </si>
  <si>
    <t>Z:\Sales\Due Diligence Distribuidores\Due Diligence e Questionários\2023\Out23 - Itaú</t>
  </si>
  <si>
    <t>Z:\Sales\Due Diligence Distribuidores\Due Diligence e Questionários\2023\Ago23.3 - Goldman sachs - Credit Risk</t>
  </si>
  <si>
    <t>Due Diligence</t>
  </si>
  <si>
    <t>CONUBE</t>
  </si>
  <si>
    <t xml:space="preserve">         14.060,354108 </t>
  </si>
  <si>
    <t xml:space="preserve">         14.060,454108 </t>
  </si>
  <si>
    <t xml:space="preserve">            4.318,090341 </t>
  </si>
  <si>
    <t xml:space="preserve">            4.318,240341 </t>
  </si>
  <si>
    <t xml:space="preserve">Encerramos o mês de novembro com resultados abaixo do esperado nas classes de investimentos Multimercados e Previdência. As posições vendidas em bolsa brasileira se apresentaram como principal detrator de performance, influenciadas basicamente pelo aumento do apetite global por risco. Mesmo com ganhos nas posições compradas em moeda brasileira, o resultado não foi suficiente para compensar totalmente as outras perdas.
Na nossa carta deste mês, apresentaremos duas perspectivas destacadas: uma vinda diretamente do time de gestão, focada em mercados e posições, e outra sob a ótica do time de economia, abordando os cenários esperados para o Brasil e países desenvolvidos.
No campo positivo, ganha destaque a nova estratégia de Renda Fixa Ativa (fundo de previdência aberta e o tradicional) lançada no final de Setembro.
Permanecemos à disposição para esclarecer quaisquer dúvidas, fornecer informações adicionais e ajudar no que for necessário.
</t>
  </si>
  <si>
    <t>Z:\Sales\Due Diligence Distribuidores\Due Diligence e Questionários\2023\Nov23 - Goldman sachs - Credit Risk 2</t>
  </si>
  <si>
    <t xml:space="preserve">         14.096,715495 </t>
  </si>
  <si>
    <t xml:space="preserve">         14.096,815495 </t>
  </si>
  <si>
    <t xml:space="preserve">Local - BB PREVIDENCIARIO Master </t>
  </si>
  <si>
    <t xml:space="preserve">         14,089.707722 </t>
  </si>
  <si>
    <t xml:space="preserve">         14,089.807722 </t>
  </si>
  <si>
    <t xml:space="preserve">            4,319.204590 </t>
  </si>
  <si>
    <t xml:space="preserve">            4,319.354590 </t>
  </si>
  <si>
    <t xml:space="preserve">            4.281,144324 </t>
  </si>
  <si>
    <t xml:space="preserve">            4.281,294324 </t>
  </si>
  <si>
    <t xml:space="preserve">            4.370,487955 </t>
  </si>
  <si>
    <t xml:space="preserve">            4.370,337955 </t>
  </si>
  <si>
    <t xml:space="preserve">         14.161,808990 </t>
  </si>
  <si>
    <t xml:space="preserve">         14.161,908990 </t>
  </si>
  <si>
    <t xml:space="preserve">40,00 </t>
  </si>
  <si>
    <t xml:space="preserve">         14.194,562026 </t>
  </si>
  <si>
    <t xml:space="preserve">         14.194,662026 </t>
  </si>
  <si>
    <t xml:space="preserve">            4.409,514657 </t>
  </si>
  <si>
    <t xml:space="preserve">            4.409,364657 </t>
  </si>
  <si>
    <t xml:space="preserve">            4.561,344610 </t>
  </si>
  <si>
    <t xml:space="preserve">            4.561,494610 </t>
  </si>
  <si>
    <t xml:space="preserve">Prezados clientes, 
Feliz 2024! Que este ano seja repleto de realizações e de muito sucesso nos investimentos. 
O mês de dezembro se encerra com bons resultados para os fundos da ADAM|CAPITAL. Os fundos multimercados apresentaram rentabilidade de 1,60% (ou 178% do CDI) e os fundos de previdência também fecharam com resultados positivos, rendendo aproximadamente 1,45% ou 162% do CDI. 
Os resultados foram bem distribuídos entre as classes de ativos, com destaque positivo para os livros de moedas, em especial a posição comprada de Real/Dólar, e Juros Local com posição tomada em juros nominais e aplicadas em juros reais. As posições em índices de bolsas também contribuíram positivamente para o desempenho dos fundos, se beneficiando do sentimento de risk-on nos mercados. 
Mantemos um cenário construtivo, e nossas perspectivas para o ano de 2024 serão detalhadas na Carta de Gestão em anexo. 
Forte abraço e um excelente começo de ano!
</t>
  </si>
  <si>
    <t>Data limite para arquivar notificação de substância econômica</t>
  </si>
  <si>
    <t>Atualização dos dados cadastrais da gestora, de acordo com o art. 1da Inst CVM 510/2011 -  ICVM 51 - PLDF art 2</t>
  </si>
  <si>
    <t>Ogier</t>
  </si>
  <si>
    <t>Ogier e Adam</t>
  </si>
  <si>
    <t>LOCAL</t>
  </si>
  <si>
    <t>Ext</t>
  </si>
  <si>
    <t>BR</t>
  </si>
  <si>
    <t>Credit Suisse Hedging-Griffo Corretora de Valores S.A.;</t>
  </si>
  <si>
    <t>Atualização</t>
  </si>
  <si>
    <t>15/01/2024</t>
  </si>
  <si>
    <t>DD ANBIMA</t>
  </si>
  <si>
    <t>Demonstrativo Financeiro</t>
  </si>
  <si>
    <t>Registro da corretora</t>
  </si>
  <si>
    <t>DD ADAMCAPITAL</t>
  </si>
  <si>
    <t>Políticas</t>
  </si>
  <si>
    <t>Documentos Societários</t>
  </si>
  <si>
    <t>AGUARDANDO RETORNO</t>
  </si>
  <si>
    <t>Admnistradora</t>
  </si>
  <si>
    <t>BNY Mellon Serviços Financeiros DTVM S.A.</t>
  </si>
  <si>
    <t>Intrag Distribuidora de Títulos e Valores Mobiliários Ltda.</t>
  </si>
  <si>
    <t>S3 Caceis Investor Services</t>
  </si>
  <si>
    <t>Credit Suisse Hedging-Griffo</t>
  </si>
  <si>
    <t>139.886.767-56</t>
  </si>
  <si>
    <t>26.996.107-4</t>
  </si>
  <si>
    <t>carmo@adamcapital.com.br</t>
  </si>
  <si>
    <t>Verificar se há documentos para vencer ou vencidos; Foi verificada as pastas dos sócios</t>
  </si>
  <si>
    <t>Contratos</t>
  </si>
  <si>
    <t>obs</t>
  </si>
  <si>
    <t>Nº</t>
  </si>
  <si>
    <t>o GESTOR está devidamente autorizado e habilitado pela CVM para gerir carteiras de fundos de investimento, nos termos da legislação vigente, sendo que o GESTOR é o administrador da carteira dos FUNDOS;</t>
  </si>
  <si>
    <t>BNY</t>
  </si>
  <si>
    <t>Distribução</t>
  </si>
  <si>
    <t>(iv)</t>
  </si>
  <si>
    <t>(vi)</t>
  </si>
  <si>
    <t>(v)</t>
  </si>
  <si>
    <t>(vii)</t>
  </si>
  <si>
    <t>o DISTRIBUIDOR é uma instituição integrante do sistema de distribuição de valores mobiliários, regularmente constituída e em funcionamento no país, devidamente autorizada e habilitada pela CVM para realizar a distribuição de cotas de fundos de investimento;</t>
  </si>
  <si>
    <t>Tipo3</t>
  </si>
  <si>
    <t xml:space="preserve">O objeto do presente Contrato é estabelecer as condições pelas quais o DISTRIBUIDOR realizará a distribuição de cotas dos FUNDOS. </t>
  </si>
  <si>
    <t>O DISTRIBUIDOR prestará serviços de distribuição de cotas dos FUNDOS, consistindo no agenciamento de clientes ou potenciais clientes, pessoas jurídicas ou físicas, domiciliadas no país ou no exterior, inclusive outros fundos de investimento administrados e/ou geridos pelo próprio DISTRIBUIDOR ou por partes a ele relacionadas, sendo, para fins deste Contrato, considerados em conjunto “Clientes” e individualmente “Cliente” todos os quotistas investidores diretos dos FUNDOS cujo investimento tenha sido intermediado pelo DISTRIBUIDOR, respeitado o disposto nas cláusulas 1.3.1 a 1.3.3 abaixo, para aplicação direta de recursos nos FUNDOS.</t>
  </si>
  <si>
    <t xml:space="preserve">O DISTRIBUIDOR declara conhecer o inteiro teor dos regulamentos e demais documentos públicos dos FUNDOS, incluindo, sem limitação, a política de investimentos, as regras atinentes à aplicação e resgate de cotas, os riscos envolvidos e as taxas de administração e de performance, bem como as demais taxas e despesas praticadas pelos FUNDOS, obrigando-se ainda a informá-las com total clareza aos Clientes. </t>
  </si>
  <si>
    <t>Pela prestação dos serviços de distribuição das cotas, o DISTRIBUIDOR será remunerado diretamente por cada FUNDO, conforme disposto no Anexo I e/ou no Termo de Adesão.</t>
  </si>
  <si>
    <t>Básico</t>
  </si>
  <si>
    <t>A fim de atender às exigências do Código ANBIMA, o DISTRIBUIDOR declara ter ciência de que o ADMINISTRADOR submeterá o DISTRIBUIDOR à avaliação periódica através de um processo de “due diligence”.</t>
  </si>
  <si>
    <t>Ágora</t>
  </si>
  <si>
    <t>O DISTRIBUIDOR responderá perante o ADMINISTRADOR, o GESTOR, os FUNDOS e os Clientes pelos eventuais prejuízos decorrentes de comprovada culpa ou dolo na prestação de serviços de distribuição das cotas dos FUNDOS, responsabilizando-se, ademais, pelos honorários advocatícios, custas e despesas judiciais, multas, atualizações monetárias e juros daí decorrentes e que venham a ser cobrados do ADMINISTRADOR, do GESTOR, dos FUNDOS e/ou dos Clientes.</t>
  </si>
  <si>
    <t>Do mesmo modo responderá o ADMINISTRADOR perante o DISTRIBUIDOR, os FUNDOS e os Clientes pelos eventuais prejuízos decorrentes de comprovado dolo ou culpa nas obrigações descritas neste Contrato, responsabilizando-se, ademais, pelas multas, atualizações monetárias e juros daí decorrentes e que venham a ser cobrados do DISTRIBUIDOR, dos FUNDOS e/ou dos Clientes.</t>
  </si>
  <si>
    <t>O DISTRIBUIDOR deverá obter, junto ao Cliente investidor final, o preenchimento dos formulários, declarações e contratos fornecidos pelo ADMINISTRADOR, representando os FUNDOS, para atendimento da legislação brasileira e acordos intergovernamentais relacionados ao FATCA, bem como para identificação da qualificação FATCA do investidor, se aplicável.</t>
  </si>
  <si>
    <t xml:space="preserve">O DISTRIBUIDOR deverá atuar com diligência zelando pelo preenchimento correto e completo dessas informações. </t>
  </si>
  <si>
    <t>Caso o DISTRIBUIDOR tenha razões para acreditar que as declarações fornecidas em tais formulários ou contratos são incorretas ou incompletas, ou se tornaram incorretas ou incompletas em razão de alteração nas circunstâncias de fato, ou ainda tenha razões para acreditar que tal(tais) investidor(es) é(são) Pessoa dos EUA ou pessoa com indícios de Pessoa dos EUA, deverá notificar o ADMINISTRADOR, por escrito, a respeito dessas razões, em até 10 (dez) dias da data em que tomar conhecimento de qualquer informação que torne as declarações prestadas incorretas, incompletas ou da data em que tomar conhecimento de dados relativos a Pessoa dos EUA ou respectivo indício, requerendo simultaneamente ao investidor a atualização dos formulários e contratos fornecidos, para endereçar tais informações, em até 30 (trinta) dias, conforme oportuno.</t>
  </si>
  <si>
    <t>O DISTRIBUIDOR declara, para todos os fins legais no Brasil e no exterior, sob as penas da lei, que desde 06 de Agosto de 2011 o DISTRIBUIDOR e nenhum de seus prepostos ou agentes auxiliaram quaisquer investidores a evitar a aplicação do FATCA ou a evitar a identificação de contas ou investimentos para fins de FATCA.</t>
  </si>
  <si>
    <t>As Partes devem estar em conformidade e devem adotar todos os procedimentos necessários visando a certificar-se de que seus gerentes, superintendentes, diretores, funcionários, agentes, subcontratados, e outros prestadores de serviço atuando em seu nome estejam em total conformidade com a Lei Anticorrupção do Brasil (Lei nº 12.846, de 1º de agosto de 2013, a Lei da Empresa Limpa) e respectivo Decreto Regulamentar (Decreto nº 8.420, de 18 de março de 2015), bem como todas as outras leis, regulamentações e exigências oficiais aplicáveis relacionadas a questões antissuborno e anticorrupção, já que estas podem ser decretadas ou alteradas ocasionalmente (conjuntamente, “Leis Anticorrupção”).</t>
  </si>
  <si>
    <t>As Partes declaram que estabeleceram e que manterão em vigor durante o prazo deste Contrato, um programa de compliance que inclui políticas, procedimentos e controles adequados para buscar garantir a conformidade com as obrigações de anticorrupção estabelecidas nas Leis Anticorrupção e neste Contrato, bem como para buscar prevenir e detectar violações a quaisquer dessas obrigações, incluindo, sem limitações, violações às Leis Anticorrupção ou qualquer política, procedimento ou controle relacionado mantido pelas Partes.</t>
  </si>
  <si>
    <t>Conforme solicitação de uma das Partes, a outra concorda em fornecer à Parte solicitante toda e qualquer informação e detalhe solicitados de forma razoável com relação ao seu programa de compliance para anticorrupção e políticas, procedimentos e controles relacionados.  As Partes concordam ainda em reportar prontamente à outra Parte qualquer violação, real ou suposta, ou tentativa de violação, de qualquer obrigação aqui estabelecida, incluindo e sem limitações, das Leis Anticorrupção que surjam com relação a este Contrato, e em cooperar com a investigação e com a resposta a tal violação, real ou suposta, ou tentativa de violação.</t>
  </si>
  <si>
    <t xml:space="preserve">Sem impor limitações à generalidade das cláusulas acima mencionadas, as Partes concordam e comprometem-se a empregar seus melhores esforços para: (i) nunca receber ou propor, pagar ou prometer pagar, seja direta ou indiretamente, por qualquer benefício indevido a um funcionário/agente público, a um terceiro ligado a ele, ou a qualquer prestador de serviço com relação ao assunto deste Contrato como propósito de (a) influenciar qualquer ação ou decisão de um funcionário público ou terceiro, ou (b) induzir tal funcionário público ou terceiro a fazer uso de sua influência para favorecer indevidamente o ADMINISTRADOR, o GESTOR, o DISTRIBUIDOR ou os FUNDOS; (ii) não defraudar, manipular ou impedir qualquer licitação relacionada a este Contrato ou a execução de algum contrato administrativo dele decorrente; (iii) nunca solicitar ou obter vantagem ilícita ao negociar alterações ou prorrogações a contratos públicos eventualmente relacionados com este Contrato; e (iv) nunca impedir investigações ou inspeções feitas por funcionários/agentes públicos.  Adicionalmente, as Partes concordam em notificar a outra Parte imediatamente por escrito caso tome conhecimento de que algum de seus gerentes, superintendentes, diretores, funcionários, agentes, subcontratados ou prestadores de serviços, que estejam atuando em seu nome,  receberam solicitação de algum funcionário público ou terceiro pedindo ou propondo pagamentos ilícitos, comprometendo-se, nesse caso, a enviar todas as informações e documentos relacionados, se solicitado pela outra Parte. </t>
  </si>
  <si>
    <t>Os termos “funcionário” e “agente público”, descritos acima, devem ser compreendidos como: (i) qualquer indivíduo que, mesmo que temporariamente e sem compensação, esteja a serviço, empregado ou mantendo uma função pública em entidade governamental, entidade controlada pelo governo, ou entidade de propriedade do governo (indivíduos empregados por fundos de pensão públicos devem ser considerados “funcionários/agentes públicos” para o propósito deste Contrato), nacional ou estrangeira, ou em organizações públicas internacionais, como as Nações Unidas ou a Organização Mundial de Saúde; (ii) qualquer indivíduo que seja candidato ou esteja ocupando um cargo publico; (iii) qualquer partido político ou representante de partido político. As mesmas exigências e restrições também se aplicam aos familiares de funcionários públicos até o segundo grau (cônjuges, filhos e enteados, pais, avós, irmãos, tios e sobrinhos).</t>
  </si>
  <si>
    <t>9.4.1</t>
  </si>
  <si>
    <t xml:space="preserve">Os serviços prestados na presente contratação não geram vínculo de exclusividade para qualquer das PARTES e/ou INTERVENIENTES. </t>
  </si>
  <si>
    <t>A utilização, por qualquer uma das PARTES e/ou INTERVENIENTES, do nome, marcas e logomarcas das outras PARTES e INTERVENIENTES depende de prévia aprovação, por escrito, da PARTE ou INTERVENIENTE detentor da marca.</t>
  </si>
  <si>
    <t>Todas as notificações e intimações entre as PARTES e INTERVENIENTES deverão ser feitas por escrito, para os endereços constantes do preâmbulo ou outros que, por escrito, forem comunicados por uma PARTE ou INTERVENIENTE às demais.</t>
  </si>
  <si>
    <t>Ressalvadas as autorizações expressas previstas nesse Contrato, os serviços prestados pelo DISTRIBUIDOR aos FUNDOS, nos termos deste Contrato não podem ser cedidos, subcontratados ou repassados, nem integral, nem parcialmente, a terceiros.</t>
  </si>
  <si>
    <t>Se qualquer das PARTES e/ou INTERVENIENTES, em qualquer tempo ou período, não fizer valer qualquer um ou mais dos termos ou condições deste Contrato, isso não será considerado novação ou renúncia dos referidos termos ou condições ou do direito de, em qualquer tempo posterior, fazer valer todos os termos e condições deste Contrato. A renúncia e novação serão sempre feitas por escrito.</t>
  </si>
  <si>
    <t>O presente Contrato constitui o acordo integral entre as PARTES e os INTERVENIENTES, superando quaisquer entendimentos orais ou escritos anteriores, não caracterizando qualquer forma de associação ou joint-venture entre as PARTES e os INTERVENIENTES.</t>
  </si>
  <si>
    <t>Não existe vínculo empregatício entre os funcionários de cada uma das PARTES e/ou INTERVENIENTES, nem se estabelecerá entre cada uma das PARTES e/ou INTERVENIENTES qualquer forma de associação, solidariedade ou vínculo societário, competindo, portanto, a cada uma delas, particularmente e com exclusividade, o cumprimento das suas respectivas obrigações trabalhistas, sociais, previdenciárias, fiscais e tributárias, na forma da legislação em vigor.</t>
  </si>
  <si>
    <t>Fica ajustado entre as Partes que o presente Contrato, bem como seus eventuais instrumentos aditivos, poderão ser assinados digitalmente, desde que presentes os requisitos legais para essa modalidade de assinatura.</t>
  </si>
  <si>
    <t>10.8.1.</t>
  </si>
  <si>
    <t>O DISTRIBUIDOR declara perante o BNY MELLON, para todos e quaisquer fins de direito, que está ciente e de acordo em firmar eletronicamente o presente contrato e seus eventuais aditivos por meio da utilização de assinatura digital.</t>
  </si>
  <si>
    <t>A fim de garantir a validade e a veracidade do presente Contrato e seus eventuais aditivos firmados por meio de assinatura digital, o DISTRIBUIDOR se responsabiliza por todas e quaisquer informações prestadas ao BNY MELLON, se comprometendo, ainda, a informar e enviar ao BNY MELLON toda a sua documentação devidamente atualizada, sempre que houver qualquer alteração e/ou atualização, incluindo, mas não se limitando à lista de procuradores e/ou representantes legais do DISTRIBUIDOR com poderes para firmar contratos digitalmente.</t>
  </si>
  <si>
    <t>10.10.</t>
  </si>
  <si>
    <t>Caso o ADMINISTRADOR ou o GESTOR venham a sofrer qualquer prejuízo ou punição decorrente do comprovado descumprimento das disposições das Cláusulas 1.3.1 a 1.3.3 acima, o DISTRIBUIDOR deverá indenizá-los em relação aos respectivos prejuízos comprovadamente incorridos.</t>
  </si>
  <si>
    <t>(i)</t>
  </si>
  <si>
    <t>status</t>
  </si>
  <si>
    <t>o GESTOR DO FUNDO INVESTIDOR pretende, dentro de uma estrutura de fundos de investimento aplicando em fundos de investimento, aplicar recursos do FUNDO INVESTIDOR no FUNDO INVESTIDO;</t>
  </si>
  <si>
    <t>o GESTOR DO FUNDO INVESTIDO admite, caso o FUNDO INVESTIDO venha a receber investimentos do FUNDO INVESTIDOR, que o FUNDO INVESTIDO transfira ao FUNDO INVESTIDOR os valores correspondentes a uma parcela da taxa de administração e/ou de performance do FUNDO INVESTIDO, doravante designado como "Rebate", que será deduzido da remuneração que o GESTOR DO FUNDO INVESTIDO recebe do FUNDO INVESTIDO;</t>
  </si>
  <si>
    <t>(ii)</t>
  </si>
  <si>
    <t>as PARTES declaram estar cientes e de acordo com todas as cláusulas e condições dispostas no Código ANBIMA de Regulação e Melhores Práticas para Administração de Recursos de Terceiros, elaborado pela ANBIMA – Associação Brasileira das Entidades dos Mercados Financeiro e de Capitais, comprometendo-se entre si a cumprir todos preceitos nele contidos;</t>
  </si>
  <si>
    <t>(iii)</t>
  </si>
  <si>
    <t>as PARTES entendem que a adoção dessa sistemática não ofende ao que dispõe o artigo 8º do Código ANBIMA de Regulação e Melhores Práticas para Administração de Recursos de Terceiros, tendo em vista que não se trata de desconto, abatimento ou redução artificial de taxa de administração e/ou de performance, mas de pagamento de Rebate pela alocação de ativos de um fundo em outro fundo.</t>
  </si>
  <si>
    <t>1.1.</t>
  </si>
  <si>
    <t>O objeto do presente Acordo é estabelecer as condições para operacionalização e pagamento do Rebate ao FUNDO INVESTIDOR, proveniente da alocação de recursos do FUNDO INVESTIDOR que o GESTOR DO FUNDO INVESTIDOR realizará no FUNDO INVESTIDO.</t>
  </si>
  <si>
    <t>Do Objeto</t>
  </si>
  <si>
    <t>DA ALOCAÇÃO DE RECURSOS</t>
  </si>
  <si>
    <t>2.1.</t>
  </si>
  <si>
    <t>O GESTOR DO FUNDO INVESTIDOR, em decorrência de sua responsabilidade pela gestão dos ativos que compõem a carteira do FUNDO INVESTIDOR, poderá direcionar uma parcela de recursos do FUNDO INVESTIDOR para aquisição de cotas do FUNDO INVESTIDO.</t>
  </si>
  <si>
    <t>2.2.</t>
  </si>
  <si>
    <t>O GESTOR DO FUNDO INVESTIDOR declara ter recebido do GESTOR DO FUNDO INVESTIDO todos os dados, informações e documentos que julgou necessários e suficientes para elaborar seu próprio juízo de valor a propósito do FUNDO INVESTIDO, inclusive o regulamento do FUNDO INVESTIDO, tendo o FUNDO INVESTIDO sido selecionado pelo GESTOR DO FUNDO INVESTIDOR para aplicação, considerando suas características próprias, política de investimento e demais peculiaridades que atendem aos interesses dos cotistas do FUNDO INVESTIDOR.</t>
  </si>
  <si>
    <t>DAS APLICAÇÕES E RESGATES DE COTAS</t>
  </si>
  <si>
    <t>3.1.</t>
  </si>
  <si>
    <t>As aplicações e resgates de cotas serão efetivadas na forma estabelecida no regulamento do FUNDO INVESTIDO, observados, ainda, os critérios e condições descritos neste Acordo.</t>
  </si>
  <si>
    <t>3.2.</t>
  </si>
  <si>
    <t>As ordens de crédito para aplicação no FUNDO INVESTIDO serão feitas pela B3 – Brasil, Bolsa e Balcão (antiga CETIP) ou transferência eletrônica disponível (“TED”), diretamente da conta de titularidade do FUNDO INVESTIDOR para a conta do FUNDO INVESTIDO.</t>
  </si>
  <si>
    <t>3.3.</t>
  </si>
  <si>
    <t xml:space="preserve">O ADMINISTRADOR DO FUNDO INVESTIDO se obriga a informar ao GESTOR DO FUNDO INVESTIDO sobre o enquadramento tributário do FUNDO INVESTIDO, sendo certo que o GESTOR DO FUNDO INVESTIDO repassará a informação ao ADMINISTRADOR DO FUNDO INVESTIDOR e ao GESTOR DO FUNDO INVESTIDOR. </t>
  </si>
  <si>
    <t>O ADMINISTRADOR DO FUNDO INVESTIDO poderá fechar o FUNDO INVESTIDO para novas aplicações, sendo certo que o GESTOR DO FUNDO INVESTIDO notificará imediatamente o GESTOR DO FUNDO INVESTIDOR.</t>
  </si>
  <si>
    <t>3.4.</t>
  </si>
  <si>
    <t>No caso de fechamento dos mercados e/ou em casos excepcionais de iliquidez dos ativos financeiros componentes da carteira de algum dos FUNDOS, inclusive em decorrência de pedidos de resgates incompatíveis com a liquidez existente, ou que possam implicar alteração do tratamento tributário do respectivo FUNDO ou do conjunto dos cotistas, em prejuízo destes últimos, o ADMINISTRADOR DO FUNDO INVESTIDO, nos termos da legislação vigente, pode declarar o fechamento do FUNDO para a realização de resgates, devendo o FUNDO permanecer fechado para aplicações enquanto perdurar o período de suspensão de resgates.</t>
  </si>
  <si>
    <t>3.4.1.</t>
  </si>
  <si>
    <t>Os recursos provenientes dos resgates serão remetidos para a conta corrente de titularidade do FUNDO INVESTIDOR, previamente cadastrada pelo ADMINISTRADOR DO FUNDO INVESTIDOR junto ao ADMINISTRADOR DO FUNDO INVESTIDO, sendo certo que, em nenhuma hipótese os recursos serão remetidos para conta corrente de outra titularidade e que não tenha sido previamente cadastrada.</t>
  </si>
  <si>
    <t>3.5.</t>
  </si>
  <si>
    <t>DO REBATE</t>
  </si>
  <si>
    <t>4.1.</t>
  </si>
  <si>
    <t>O FUNDO INVESTIDOR receberá, mensalmente, do FUNDO INVESTIDO, o valor do Rebate correspondente a uma parcela da taxa de administração e/ou da taxa de performance do FUNDO INVESTIDO, que será deduzida da remuneração a ser paga ao GESTOR DO FUNDO INVESTIDO.</t>
  </si>
  <si>
    <t>4.1.1.</t>
  </si>
  <si>
    <t>As PARTES acordam que, nos casos em que o FUNDO INVESTIDOR invista mais de 95% (noventa e cinco por cento) de seu patrimônio em um único FUNDO INVESTIDO, o montante mensal pago a título de Rebate está limitado ao valor da taxa de administração mensal estipulada para o FUNDO INVESTIDOR.</t>
  </si>
  <si>
    <t>4.2.</t>
  </si>
  <si>
    <t>O Rebate ajustado entre as PARTES está descrito no Anexo II. (RELAÇÃO DE FUNDOS INVESTIDOS E PERCENTUAL DE REBATE ATRIBUÍVEL AOS FUNDOS INVESTIDORES)</t>
  </si>
  <si>
    <t>VIGÊNCIA E RESCISÃO</t>
  </si>
  <si>
    <t>5.1.</t>
  </si>
  <si>
    <t>O presente Acordo vigorará por tempo indeterminado podendo, entretanto, ser resilido a qualquer momento, por quaisquer das PARTES, sem direito a compensações ou indenizações, mediante denúncia escrita e sob protocolo com, no mínimo, 30 (trinta) dias de antecedência, contados do recebimento do comunicado pela outra PARTE.</t>
  </si>
  <si>
    <t>5.2.</t>
  </si>
  <si>
    <t xml:space="preserve">A denúncia deste Acordo não gerará qualquer prejuízo para o FUNDO INVESTIDOR, que poderá permanecer com suas aplicações no FUNDO INVESTIDO, permanecendo o FUNDO INVESTIDO obrigado ao pagamento do Rebate ao FUNDO INVESTIDOR, nas mesmas condições ora pactuadas pelo período de 3 (três) meses a contar da data da denúncia, desde que o FUNDO INVESTIDOR permaneça como cotista do FUNDO INVESTIDO, salvo nos casos previstos no item 5.3 e 5.4. abaixo. </t>
  </si>
  <si>
    <t>5.2.1.</t>
  </si>
  <si>
    <t>Para o cálculo do valor de Rebate devido após a denúncia, será considerado o valor aplicado pelo FUNDO INVESTIDOR no FUNDO INVESTIDO nos 30 (trinta) dias anteriores.</t>
  </si>
  <si>
    <t>5.3.</t>
  </si>
  <si>
    <t xml:space="preserve">Além das disposições previstas em lei, este Acordo poderá ser rescindido de imediato e sem qualquer aviso, nas seguintes hipóteses: a) na superveniência de qualquer normativo ou instrução das autoridades competentes, notadamente do Banco Central do Brasil e da Comissão de Valores Mobiliários, que impeça a execução do objeto deste Acordo;
b) na hipótese de liquidação do FUNDO INVESTIDO ou do FUNDO INVESTIDOR.
c) se qualquer uma das PARTES falir, requerer recuperação judicial ou iniciar procedimentos de recuperação extrajudicial, tiver sua falência, intervenção ou liquidação requerida;
d)  se qualquer das PARTES suspender suas atividades por qualquer período de tempo; e
e) se for constatada a ocorrência de práticas irregulares por qualquer uma das PARTES.
</t>
  </si>
  <si>
    <t>5.4.</t>
  </si>
  <si>
    <t xml:space="preserve">A infração de quaisquer das cláusulas ou condições aqui estipuladas ensejará a rescisão deste Acordo, caso a PARTE infratora não venha sanar a falta em até 10 (dez) dias úteis contados do recebimento da notificação por escrito da outra PARTE. </t>
  </si>
  <si>
    <t>5.4.1.</t>
  </si>
  <si>
    <t>Decorrido o prazo acima descrito e, não tendo sido sanada a falta, este Acordo será considerado rescindido de pleno direito, respondendo, ainda, a PARTE infratora pelas perdas e danos decorrentes do ato da rescisão, que serão apuradas na forma prevista na legislação vigente, quanto à culpa, o dolo, a imprudência ou a imperícia praticada.</t>
  </si>
  <si>
    <t>DO SIGILO</t>
  </si>
  <si>
    <t>6.1.</t>
  </si>
  <si>
    <t>6.1.1</t>
  </si>
  <si>
    <t>As PARTES obrigam-se, por este Acordo, por si, seus diretores e demais representantes, prepostos e empregados, agentes, consultores e empresas contratadas a manter o mais absoluto sigilo sobre todas as informações, dados, materiais e documentos do FUNDO INVESTIDOR e do FUNDO INVESTIDO, assim como sobre todas as informações que tomar conhecimento relativamente às atividades e à operação das outras PARTES.</t>
  </si>
  <si>
    <t xml:space="preserve">O ADMINISTRADOR DO FUNDO INVESTIDOR e o GESTOR DO FUNDO INVESTIDOR se obrigam de maneira individual a manter sigilo e confidencialidade sobre todos os dados, informações, materiais, documentos, dentre outros que venham a ser reveladas pelo GESTOR DO FUNDO INVESTIDO e pelo ADMINISTRADOR DO FUNDO INVESTIDO, independentemente da mídia, forma ou do meio em que os receberem, em especial sobre a composição e diversificação da carteira e do passivo do FUNDO INVESTIDO, doravante denominadas em conjunto as INFORMAÇÕES SIGILOSAS. Da mesma maneira, o ADMINISTRADOR DO FUNDO INVESTIDOR e o GESTOR DO FUNDO INVESTIDOR se obrigam de maneira individual a não permitir acesso às INFORMAÇÕES SIGILOSAS por terceiros sem prévio e expresso consentimento do GESTOR DO FUNDO INVESTIDO, e, também, a não usar, duplicar, modificar, adulterar, adicionar, subtrair ou dispor das INFORMAÇÕES SIGILODAS e a não permitir que terceiros usem, dupliquem, modifiquem, adulterem, adicionem, subtraiam ou disponham das INFORMAÇÕES SIGILOSAS, bem como a não discutir sobre as INFORMAÇÕES SIGILOSAS perante ou com terceiros, observado o disposto no item 6.5. </t>
  </si>
  <si>
    <t>6.1.2</t>
  </si>
  <si>
    <t>É vedado ao ADMINISTRADOR DO FUNDO INVESTIDOR e ao GESTOR DO FUNDO INVESTIDOR autorizar que seja dado conhecimento das INFORMAÇÕES SIGILOSAS a outras áreas em que atuem, tais como aquelas de gestão própria de recursos (tesouraria), gestão de recursos de terceiros e/ou de clientes (asset management), assim como às suas áreas comerciais não diretamente relacionadas com a alocação de recursos em fundos de investimento, e a terceiros não autorizados previamente pelo GESTOR DO FUNDO INVESTIDO, observado o disposto no item 6.5.</t>
  </si>
  <si>
    <t>6.2.</t>
  </si>
  <si>
    <t>Em decorrência da obrigação de confidencialidade que ora, voluntariamente, assume, as PARTES obrigam-se a não divulgar, comunicar e nem fazer uso de quaisquer ddas Informações Sigilosas, para finalidade diversa da prevista no presente Acordo, sob pena de arcar com as perdas e danos decorrentes desses atos e de responder perante terceiros e perante os poderes públicos competentes pela infringência às disposições desta cláusula.</t>
  </si>
  <si>
    <t>6.3.</t>
  </si>
  <si>
    <t xml:space="preserve">As PARTES, por si e por seus representantes, prepostos, empregados, agentes ou consultores e empresas contratadas, se obrigam, com referência às INFORMAÇÕES SIGILOSAS relativas ao FUNDO INVESTIDO:
a) não dar, nem autorizar ou permitir que seja dado conhecimento de quaisquer dados ou informações das carteiras do FUNDO INVESTIDO a outrem;
b) não usar em benefício próprio ou de terceiros, reter ou duplicar as Informações Sigilosas fornecidas pelo ADMINISTRADOR DO FUNDO INVESTIDO, para a criação de qualquer arquivo, lista ou banco de dados de utilização particular do própria ou de terceiros;
c) não modificar ou adulterar, de qualquer forma as Informações Sigilosas pelo ADMINISTRADOR DO FUNDO INVESTIDO ou pelo GESTOR DO FUNDO INVESTIDO, bem como não subtrair ou adicionar qualquer elemento a essas;
d) manter sob sigilo e total discrição as Informações Sigilosas a que venha ter acesso por qualquer meio ou forma, inclusive se chegarem ao seu conhecimento por terceiros, salvo se as mesmas forem isentas de restrições;
e) não dar, nem autorizar que seja dado, conhecimento de quaisquer Informações Sigilosas relativas a carteira do FUNDO INVESTIDO a outras áreas em que ele, GESTOR DO FUNDO INVESTIDOR, atue, assim como às suas áreas não diretamente relacionadas com a alocação de ativos em fundos de investimento, e a terceiros não autorizados previamente pelo ADMINISTRADOR DO FUNDO INVESTIDO.
</t>
  </si>
  <si>
    <t>6.4.</t>
  </si>
  <si>
    <t>As obrigações de sigilo previstas neste Acordo são recíprocas e se aplicam, no que forem compatíveis, às informações que o ADMINISTRADOR DO FUNDO INVESTIDO e o GESTOR DO FUNDO INVESTIDO tiverem acesso em decorrência da relação existente entre as PARTES, inclusive no que se refere ao ADMINISTRADOR DO FUNDO INVESTIDOR e GESTOR DO FUNDO INVESTIDOR, especialmente as relacionadas a segredos de negócio, programas de computador e outras tecnologias e métodos utilizados pelo ADMINISTRADOR DO FUNDO INVESTIDOR, bem como pelo GESTOR DO FUNDO INVESTIDOR na prestação de seus serviços.</t>
  </si>
  <si>
    <t>6.5.</t>
  </si>
  <si>
    <t>Se qualquer das PARTES, por determinação legal ou em decorrência de ordem judicial ou de autoridade fiscalizadora, tiver que revelar INFORMAÇÕES SIGILOSAS decorrente deste Acordo, imediatamente dará notícia desse fato à outra PARTE e lhe prestará as informações e subsídios que possam ser necessários para que a seu critério, possa defender-se contra a divulgação de qualquer das INFORMAÇÕES SIGILOSAS, salvo se houver restrição legal, regulamentar, ou ainda, expedida por autoridade judicial ou fiscalizadora.</t>
  </si>
  <si>
    <t>6.6.</t>
  </si>
  <si>
    <t>Excluem-se do escopo desta cláusula as informações: (i) de domínio público; (ii) as que já eram do conhecimento da PARTE receptora; e (iii) as informações cuja revelação seja autorizada, por escrito, prévia e expressamente, pela PARTE de que hajam provindo..</t>
  </si>
  <si>
    <t>6.7.</t>
  </si>
  <si>
    <t>A obrigação em manter sigilo e confidencialidade, prevista nesta cláusula, subsistirá à rescisão ou ao término do presente Acordo, pelo prazo de 2 (dois) anos.</t>
  </si>
  <si>
    <t>RESPONSABILIDADES E COMPROMISSOS</t>
  </si>
  <si>
    <t>Cada uma das PARTES responderá isoladamente perante a CVM pelos atos que praticar no exercício de suas funções decorrentes deste Acordo.</t>
  </si>
  <si>
    <t>7.1.</t>
  </si>
  <si>
    <t>7.2.</t>
  </si>
  <si>
    <t>7.3.</t>
  </si>
  <si>
    <t>Cada uma das PARTES responderá perante as demais PARTES pelos eventuais prejuízos decorrentes de sua comprovada culpa ou dolo, responsabilizando-se, ademais, pelas multas, atualizações monetárias e juros daí decorrentes e que venham a ser cobrados das outras PARTES e/ou do FUNDO INVESTIDOR e/ou do FUNDO INVESTIDO.</t>
  </si>
  <si>
    <t xml:space="preserve">Cada uma das PARTES assegura às demais PARTES que envidará seus maiores e melhores esforços para operacionalizar o que foi pactuado neste Acordo. </t>
  </si>
  <si>
    <t>DAS DISPOSIÇÕES GERAIS</t>
  </si>
  <si>
    <t>8.1.</t>
  </si>
  <si>
    <t>As PARTES nas esferas de suas respectivas responsabilidades previstas nas normas aplicáveis, deverão, a todo tempo, tomar todas as providências necessárias visando atender ao disposto na Lei 9.613/98 e suas alterações, Circular 3.978/2020 do Banco Central do Brasil, Instrução CVM nº 617/2019 e demais normativos editados ou que venham a ser editados com relação à prevenção aos crimes de lavagem de dinheiro, financiamento ao terrorismoou ocultação de bens, direitos e valores.</t>
  </si>
  <si>
    <t xml:space="preserve">8.2. </t>
  </si>
  <si>
    <t>As PARTES, por si e por suas Afiliadas, declaram, garantem e certificam que: (i) atuam em conformidade e se comprometem a cumprir, na realização de suas atividades, as disposições da Lei 12.846 (Lei Anticorrupção), do Foreign Corrupt Practices Act (FCPA) e do UK Bribery Act (UKBA); (ii) procuram adotar programas de integridade, nos termos do Decreto nº 8.420, de 18 de março de 2015, com padrões de conduta, controles internos, código de ética, políticas e procedimentos de integridade, aplicáveis a todos os empregados, diretores, demais administradores e partes relacionadas, representantes legais e procuradores, independentemente de cargo ou função exercidos, estendidos, quando necessário, a terceiros, tais como fornecedores, prestadores de serviço, agentes intermediários e associados, visando garantir o fiel cumprimento das leis indicadas no item “i”; (ii) seus funcionários, executivos, diretores, representantes e procuradores, no melhor do seu conhecimento, não estão sofrendo investigação criminal e não estiveram sujeitos a quaisquer ações legais civis ou criminais, no país ou no exterior, por conduta inadequada relacionada a suborno, corrupção ou outros atos ilícitos relacionados às leis indicadas no item “i””; (v) procuram adotar as diligências apropriadas para contratação e, conforme o caso, supervisão, de terceiros, tais como, fornecedores, prestadores de serviço, agentes intermediários e associados, de forma a verificar que estes não tenham praticado ou venham a praticar qualquer conduta relacionada à violação das leis referidas nos itens “i” a “ii”.</t>
  </si>
  <si>
    <t>8.3.</t>
  </si>
  <si>
    <t>O GESTOR DO FUNDO INVESTIDOR e o ADMINISTRADOR DO FUNDO INVESTIDOR se obrigam a não distribuir ou permitir que sejam realizados direta ou indiretamente investimentos no FUNDO INVESTIDO que sejam provenientes de U.S Person, devendo empregar a diligência necessária para identificar, dentre os seus clientes e investidores do FUNDO INVESTIDOR, aqueles que sejam US Person, ou que venham a se tornar U.S Person durante a vigência deste Acordo. Entende-se como U.S Person a pessoa nascida nos E.U.A.; a quem foi concedida cidadania norte-americana; com cidadania derivada; que possua Green Card; com presença substancial nos E.U.A.; e as que optaram por serem tratadas como residentes nos E.U.A.; a empresa limitada ou participada que seja constituída de acordo com as leis dos E.U.A. ou do Distrito de Columbia; a sociedade constituída de acordo com as leis de qualquer Estado norte-americano ou do Distrito de Columbia; qualquer fundação, associação ou entidade que seja americana; e qualquer trust ou fundo fiduciário norte-americano.</t>
  </si>
  <si>
    <t>8.3.1.</t>
  </si>
  <si>
    <t xml:space="preserve">O GESTOR DO FUNDO INVESTIDOR e o ADMINISTRADOR DO FUNDO INVESTIDOR, de maneira individual e, também, solidariamente declaram e garantem ao ADMINISTRADOR DO FUNDO INVESTIDO e ao GESTOR DO FUNDO INVESTIDO que, nesta data, o FUNDO INVESTIDOR não possui investidores que possam ser considerados U.S. Person. </t>
  </si>
  <si>
    <t>DAS DISPOSIÇÕES GERAIS - PLD</t>
  </si>
  <si>
    <t>DAS DISPOSIÇÕES GERAIS - US PERSON</t>
  </si>
  <si>
    <t>8.3.2.</t>
  </si>
  <si>
    <t>O GESTOR DO FUNDO INVESTIDOR e o ADMINISTRADOR DO FUNDO INVESTIDOR deverão, conforme o caso, informar ao ADMINISTRADOR DO FUNDO INVESTIDO e ao GESTOR DO FUNDO INVESTIDO em até 10 (dez) dias da data em que tomar conhecimento, quando identificar investimentos provenientes de U.S Person no FUNDO INVESTIDOR, ou na hipótese de existirem indícios de que investimentos no FUNDO INVESTIDOR possam ser considerados como provenientes de U.S. Person ou, ainda quando investidor do FUNDO INVESTIDOR possa vir a ser considerado U.S Person.</t>
  </si>
  <si>
    <t>8.4.</t>
  </si>
  <si>
    <t>A utilização, por qualquer das PARTES, do nome, marcas e logomarcas da outra PARTE depende de prévia aprovação, por escrito, da PARTE detentora da marca.</t>
  </si>
  <si>
    <t>8.5.</t>
  </si>
  <si>
    <t>Eventuais inclusões de outras cláusulas, exclusões ou alterações das já existentes, serão consignadas em aditivo devidamente assinado pelas Partes, que passará a fazer parte integrante deste Acordo.</t>
  </si>
  <si>
    <t>8.6.</t>
  </si>
  <si>
    <t>Todas as notificações e intimações entre as PARTES deverão ser feitas por escrito eletronicamente ou para os endereços constantes do preâmbulo ou outros que, por escrito, forem comunicados por uma PARTE à outra.</t>
  </si>
  <si>
    <t>8.7.</t>
  </si>
  <si>
    <t>O presente Acordo obriga as PARTES, bem como seus sucessores, a qualquer título.</t>
  </si>
  <si>
    <t>8.8.</t>
  </si>
  <si>
    <t>Nenhuma das PARTES poderá ceder ou transferir, total ou parcialmente a terceiros os direitos e obrigações decorrentes deste Acordo, sem o prévio e expresso consentimento por escrito das outras PARTES.</t>
  </si>
  <si>
    <t>8.9.</t>
  </si>
  <si>
    <t>8.10.</t>
  </si>
  <si>
    <t>Se qualquer das PARTES, em qualquer tempo ou período, não fizer valer qualquer um ou mais dos termos ou condições deste Acordo, isso não será considerado novação ou renúncia dos referidos termos ou condições ou do direito de, em qualquer tempo posterior, fazer valer todos os termos e condições deste Acordo. A renúncia e novação serão sempre feitas por escrito.</t>
  </si>
  <si>
    <t>8.11.</t>
  </si>
  <si>
    <t>O presente Acordo constitui o acordo integral entre as PARTES, superando quaisquer entendimentos orais ou escritos anteriores, não caracterizando qualquer forma de associação ou joint-venture entre as PARTES.</t>
  </si>
  <si>
    <t>8.12.</t>
  </si>
  <si>
    <t>As PARTES declaram expressamente que leram atentamente o presente Acordo, que entenderam perfeitamente todas as suas condições, e concordam que os seus termos expressam fielmente tudo o que foi ajustado entre elas.</t>
  </si>
  <si>
    <t>8.13.</t>
  </si>
  <si>
    <t>As PARTES contratantes elegem o Foro da Comarca do Rio de Janeiro, Estado do Rio de Janeiro, com renúncia de quaisquer outros, por mais privilegiados que sejam ou venham a ser, como competente para dirimir eventuais questões oriundas deste Acordo.</t>
  </si>
  <si>
    <t>RELAÇÃO DE FUNDOS INVESTIDOS E PERCENTUAL DE REBATE ATRIBUÍVEL
AOS FUNDOS INVESTIDORES</t>
  </si>
  <si>
    <t>O percentual de Rebate a ser pago será apurado sobre os montantes de recursos do FUNDO INVESTIDOR mantidos sob aplicação, respectivamente, em cada FUNDO INVESTIDO.</t>
  </si>
  <si>
    <t>O percentual de Rebate atribuível ao será (i) calculado sobre a taxa de administração líquida e a taxa de performance (se aplicável) e (ii) reduzido da base de remuneração do GESTOR DO FUNDO INVESTIDO, mantida íntegra a parcela de remuneração devida pelo FUNDO INVESTIDO ao BNY MELLON.</t>
  </si>
  <si>
    <t>A receita gerada pelos Clientes nos FUNDOS a título de taxa de administração bruta equivale ao montante total gerado pela taxa de administração apurada pelo FUNDO, antes do desconto da remuneração devida pelos FUNDOS ao BNY MELLON.</t>
  </si>
  <si>
    <t>O Rebate da taxa de administração será pago pelo FUNDO INVESTIDO deverá ocorrer no mês subsequente à apuração da taxa mencionada, até o 5º (quinto) dia útil posterior à confirmação da ordem de pagamento por parte do GESTOR DO INVESTIDO.</t>
  </si>
  <si>
    <t>O Rebate da taxa de performance, caso haja, será pago pelo FUNDO INVESTIDO e deverá ocorrer no mês subsequente ao término do período de apuração da taxa mencionada, até o 5º (quinto) dia útil posterior à confirmação da ordem de pagamento por parte do GESTOR DO INVESTIDO.</t>
  </si>
  <si>
    <t>O GESTOR DO FUNDO INVESTIDO compromete-se a encaminhar ao ADMINISTRADOR DO FUNDO INVESTIDO a planilha indicando os valores a serem pagos até às 12 (doze) horas da data para o pagamento do Rebate. Caso este prazo não seja cumprido, os prazos previstos nos itens 3 e 4 supra serão automaticamente transferidos para o primeiro dia útil subsequente.</t>
  </si>
  <si>
    <t>O pagamento do Rebate fica condicionado ao recebimento, pelo ADMINISTRADOR DO FUNDO INVESTIDO, da confirmação da ordem de pagamento por parte do GESTOR DO FUNDO INVESTIDO.</t>
  </si>
  <si>
    <t>Após o término do Contrato, não será devido qualquer remuneração ao FUNDO INVESTIDOR.</t>
  </si>
  <si>
    <t>a Instrução nº 555, da Comissão de Valores Mobiliários (“CVM”), de 17 de dezembro de 2014 e alterações posteriores (“Instrução CVM 555”), estabelece que os administradores de fundos de investimento podem contratar, em nome dos fundos, prestadores de serviço para, dentre outras finalidades, realizar a distribuição de suas respectivas cotas no mercado;</t>
  </si>
  <si>
    <t>a contratação deve ser feita pelo fundo de investimento com a instituição que realizará a distribuição, com a interveniência do administrador fiduciário de tais fundos de investimento, no caso, o BNY MELLON, a quem cabe a análise e seleção do contratado;</t>
  </si>
  <si>
    <t>o BNY MELLON é uma pessoa jurídica regularmente constituída e em funcionamento no país, devidamente autorizada e habilitada pela CVM para administrar fundos de investimento, sendo que o BNY MELLON é o administrador fiduciário dos FUNDOS;</t>
  </si>
  <si>
    <t>o DISTRIBUIDOR declara ser e manter-se como Instituição Participante sujeita ao Código ANBIMA de Regulação e Melhores Práticas para Distribuição de Produtos de Investimento (“Código ANBIMA para Distribuição”)</t>
  </si>
  <si>
    <t>o BNY MELLON selecionou o DISTRIBUIDOR para realizar a distribuição de cotas dos FUNDOS, estando o DISTRIBUIDOR de acordo com a indicação</t>
  </si>
  <si>
    <t>1.2.</t>
  </si>
  <si>
    <t>No âmbito do serviço de distribuição, o DISTRIBUIDOR distribuirá cotas dos FUNDOS de acordo com as disposições estabelecidas neste Contrato e na legislação aplicável.</t>
  </si>
  <si>
    <t>1.3.</t>
  </si>
  <si>
    <t>1.3.1.</t>
  </si>
  <si>
    <t>Na hipótese dos Clientes serem fundos de investimento administrados e/ou geridos pelo próprio DISTRIBUIDOR ou por parte a ele relacionada, deverão ser observadas as restrições previstas na regulamentação em vigor, incluindo, mas não se limitando ao disposto no §2º do art. 92 da Instrução CVM 555.</t>
  </si>
  <si>
    <t>1.3.2.</t>
  </si>
  <si>
    <t>O DISTRIBUIDOR declara ainda, para os devidos fins, que a remuneração a que faz jus pelos serviços de distribuição de cotas dos FUNDOS não se enquadra na vedação prevista no art. 92, §2º da Instrução CVM 555, observadas as exceções previstas no §3º do referido art. 92.</t>
  </si>
  <si>
    <t>1.3.3.</t>
  </si>
  <si>
    <t>Tendo em vista o disposto na Cláusula 1.3.2 acima,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prevista neste Contrato não incidirá sobre os investimentos dos referidos Clientes nos FUNDOS.</t>
  </si>
  <si>
    <t>1.3.4.</t>
  </si>
  <si>
    <t>1.4.</t>
  </si>
  <si>
    <t xml:space="preserve">Exceto se de outra forma disposto no Anexo I ao presente Contrato e/ou no Termo de Adesão, a atividade do DISTRIBUIDOR, poderá ser realizada por meio de assessores de investimento eventualmente contratados pelo próprio DISTRIBUIDOR, que atuarão como seus prepostos e sob sua responsabilidade para realizar, exclusivamente, as seguintes atividades:
(i)  prospecção e captação de clientes;
(ii)  recepção e registro de ordens e transmissão dessas ordens para os sistemas de negociação ou de registro cabíveis, na forma da regulamentação em vigor; e
(iii)  prestação de informações sobre os FUNDOS e sobre os serviços prestados pelo DISTRIBUIDOR.
</t>
  </si>
  <si>
    <t>RESPONSABILIDADES, OBRIGAÇÕES E DECLARAÇÕES DAS PARTES</t>
  </si>
  <si>
    <t>Cada uma das PARTES e INTERVENIENTES obriga-se e compromete-se a manter este Contrato disponível à Comissão de Valores Mobiliários – CVM, à Associação Nacional das Entidades dos Mercados Financeiros e de Capitais ("ANBIMA"), ao Banco Central do Brasil (“Bacen”), à Receita Federal do Brasil (“RFB”), bem como a quaisquer outros órgãos fiscalizadores, devendo encaminhar cópia do mesmo às referidas entidades na forma e prazo por elas determinadas, caso assim lhe seja requisitado. Nessa hipótese, a PARTE ou INTERVENIENTE a quem tenha sido solicitado o envio de cópia do Contrato deverá comunicar prontamente tal fato às demais PARTES e INTERVENIENTES, exceto se houver restrição expressa nesse sentido por parte dos órgãos fiscalizadores.</t>
  </si>
  <si>
    <t xml:space="preserve">O DISTRIBUIDOR obriga-se a:
a)  Responder pela distribuição de cotas dos FUNDOS perante seus Clientes e a CVM, nos termos deste Contrato e da legislação vigente;
b) Realizar a distribuição de cotas dos FUNDOS de forma identificada ou por meio do mecanismo de Subscrição por Conta e Ordem, ao qual aplicam-se as disposições estabelecidas no Anexo III ao presente Contrato;
c) Dar conhecimento aos Clientes, na forma que julgar pertinente, desde que acessível a estes, dos seguintes teores, conforme o caso e respeitadas as restrições relativas ao recebimento de remuneração, conforme previstas na regulamentação em vigor e mencionadas no presente Contrato, em especial nas Cláusulas 1.3 a 1.3.3 acima:
(i) que o DISTRIBUIDOR pode receber remuneração a título de prestação de serviços de distribuição das cotas dos FUNDOS em que os Clientes aplicarão seus recursos;
(ii) que o administrador, gestor, ou partes a eles relacionadas, podem receber remuneração pela alocação dos recursos dos FUNDOS nos fundos investidos; e
(iii) que, em ambos os casos, esta remuneração pode ser diferenciada em função dos diversos fundos de investimento recebendo aplicações.
d) A obter e enviar imediatamente ao ADMINISTRADOR todos os documentos cadastrais dos Clientes exigidos por lei ou regulamentação em vigor, incluindo, mas não se limitando, a ficha cadastral, termo de adesão ao regulamento dos FUNDOS, termo de ciência nos termos do Anexo 92 à Instrução CVM 555, se aplicável, e formulário de suitability, todos devidamente preenchidos e assinados, sempre anteriormente à primeira captação de recursos para os FUNDOS ou quando forem atualizados, conforme modelos fornecidos pelo ADMINISTRADOR;
e)  A cumprir todas as regras e determinações da CVM no que se refere à identidade dos potenciais Clientes que indicar para as aplicações nos FUNDOS, atuando com a máxima probidade e diligência na sua seleção dos Clientes, declarando, neste ato, conhecer e atender a íntegra da legislação sobre fundos de investimento, em especial:
(i)  as regras de adequação dos investimentos ofertados aos seus Clientes (suitability), adotando procedimentos formais que possibilitem verificar a adequação dos FUNDOS ao perfil de investimentos de seus Clientes, coletando informações dos clientes que demonstrem sua situação financeira, experiência em matéria de investimento e os objetivos de investimento, visando definir o perfil de investimento de cada um de seus clientes;
(ii)  as regras de prevenção e combate ao crime de lavagem de dinheiro, inclusive no que se refere aos normativos editados pela CVM, empregando toda a diligência necessária para verificar a origem e natureza dos recursos dos Clientes, em consonância com a legislação aplicável, ressarcindo os FUNDOS e/ou ADMINISTRADOR  de prejuízos daí decorrentes, inclusive perdas e danos e sanções administrativas;
f) a entregar ao ADMINISTRADOR cópias e documentos estabelecidos neste Contrato, assumindo integral e exclusiva responsabilidade pela obtenção, regularidade e guarda da documentação cadastral dos Clientes, conforme legislação vigente, mantendo tais informações atualizadas e comunicando ao ADMINISTRADOR eventuais alterações que tiver conhecimento.
g)  Responder pelas consequências das informações que fornecer ou procedimentos que adotar em desacordo com as disposições deste Contrato e regulamentos dos FUNDOS;
h) Comunicar ao ADMINISTRADOR, por escrito, reclamação de qualquer natureza, judicial ou extrajudicial, apresentada por autoridade judicial ou fiscalizadora, terceiro, entidade de proteção de consumidores ou, ainda, alguém do público destinatário da publicidade relativa aos FUNDOS, que possa, direta ou indiretamente, prejudicar a imagem ou os interesses dos FUNDOS, do ADMINISTRADOR ou do GESTOR, observado que:
(i)  a comunicação deverá ser feita imediatamente após o DISTRIBUIDOR tomar conhecimento da reclamação, sobretudo quando estiverem sujeitas a prazos decadenciais, prescricionais ou preclusivos;
(ii)  o DISTRIBUIDOR, nos limites de sua competência, fornecerá ao ADMINISTRADOR todos os subsídios necessários à defesa dos interesses dos FUNDOS, do ADMINISTRADOR ou do GESTOR relacionados com a reclamação ou ação acima referidas.
i) Utilizar corretamente todas e quaisquer informações que lhe forem fornecidas pelo ADMINISTRADOR, assegurando que não haverá distorção ou modificação de conceitos apresentados na documentação dos FUNDOS, declarando, ademais, que não modificará nem fará qualquer alteração, de qualquer espécie, nos documentos, eletrônicos ou não, que lhe forem encaminhados pelo ADMINISTRADOR, incluindo, mas não se limitando, os padrões de regulamento, lâmina de informações essenciais (quando aplicável) e demais documentos dos FUNDOS.
</t>
  </si>
  <si>
    <t>2.3.</t>
  </si>
  <si>
    <t>2.4.</t>
  </si>
  <si>
    <t xml:space="preserve">O ADMINISTRADOR obriga-se a fornecer ao DISTRIBUIDOR toda a documentação relativa aos FUNDOS que deva ser disponibilizada aos Clientes por ocasião da distribuição das cotas, incluindo regulamento, formulário de informações complementares, termo de adesão, lâmina de informações essenciais, se aplicável, bem como materiais de divulgação e outros documentos exigidos pela regulamentação em vigor, obrigando-se o ADMINISTRADOR, ainda, a informar prontamente ao DISTRIBUIDOR qualquer alteração em tais documentos e enviar, assim que possível, as novas versões destes. </t>
  </si>
  <si>
    <t>2.5.</t>
  </si>
  <si>
    <t>O ADMINISTRADOR obriga-se a informar ao DISTRIBUIDOR sobre o enquadramento tributário dos FUNDOS.</t>
  </si>
  <si>
    <t>2.6.</t>
  </si>
  <si>
    <t>Cada uma das PARTES e INTERVENIENTES responderá isoladamente perante a CVM pelos atos que praticar no exercício de suas funções decorrentes deste Contrato.</t>
  </si>
  <si>
    <t>2.7.</t>
  </si>
  <si>
    <t>2.8.</t>
  </si>
  <si>
    <t>2.9.</t>
  </si>
  <si>
    <t>O GESTOR obriga-se a manter saldo suficiente nos FUNDOS para pagamento da remuneração do DISTRIBUIDOR, conforme detalhado no Anexo I e/ou no Termo de Adesão. Na hipótese de insuficiência de saldo causada pelo GESTOR, independentemente de culpa ou dolo, que não permita ao ADMINISTRADOR, em nome dos FUNDOS, realizar o pagamento da remuneração do DISTRIBUIDOR ora estabelecida, o GESTOR obriga-se a assumir imediatamente o pagamento da referida remuneração, podendo o principal ser reembolsado pelo FUNDO futuramente, porém respondendo por qualquer multa e/ou valor que venha a ser cobrado ou gerado, não importando a natureza deste, em razão de atraso no referido pagamento.</t>
  </si>
  <si>
    <t>2.9.1.</t>
  </si>
  <si>
    <t>Caso o GESTOR venha a descumprir o disposto na cláusula acima e o ADMINISTRADOR venha a realizar o pagamento da referida remuneração e/ou da multa e/ou valores anteriormente mencionados, o ADMINISTRADOR, em nome dos FUNDOS, fica desde já autorizado pelo GESTOR, em caráter irrevogável e irretratável, a descontar os valores relativos ao pagamento da referida remuneração e/ou multa e/ou demais valores cobrados ou gerados em razão de possíveis atrasos, no todo ou em parte, da parcela da taxa de administração devida pelos FUNDOS e atribuível ao GESTOR, sem qualquer prejuízo do direito de cobrança direta a ser exercido pelo ADMINISTRADOR em face do GESTOR.</t>
  </si>
  <si>
    <t>2.10.</t>
  </si>
  <si>
    <t>As aplicações e resgates de cotas serão efetivadas na forma estabelecida no regulamento do FUNDO INVESTIDO, observados, ainda, os critérios e condições descritos neste Contrato.</t>
  </si>
  <si>
    <t>As ordens de crédito para aplicação nos FUNDOS serão feitas por Documento de Ordem de Crédito ("DOC"), Transferência Eletrônica Disponível ("TED") ou através da pela B3 – Brasil, Bolsa e Balcão (antiga CETIP), diretamente da conta de titularidade do Cliente para as contas dos FUNDOS, a qual deverá ser informada pelo DISTRIBUIDOR.</t>
  </si>
  <si>
    <t>O ADMINISTRADOR poderá fechar os FUNDOS para novas aplicações, devendo informar imediatamente o DISTRIBUIDOR acerca do referido fechamento.</t>
  </si>
  <si>
    <t>DAS APLICAÇÕES E RESGATES</t>
  </si>
  <si>
    <t>No caso de fechamento dos mercados e/ou em casos excepcionais de iliquidez dos ativos financeiros componentes da carteira de algum dos FUNDOS, inclusive em decorrência de pedidos de resgates incompatíveis com a liquidez existente, ou que possam implicar alteração do tratamento tributário do respectivo FUNDO ou do conjunto dos cotistas, em prejuízo destes últimos, o ADMINISTRADOR, nos termos da legislação vigente, pode declarar o fechamento do FUNDO para a realização de resgates, devendo o FUNDO permanecer fechado para aplicações enquanto perdurar o período de suspensão de resgates. Nesse caso o DISTRIBUIDOR deve ser imediatamente informado pelo ADMINISTRADOR.</t>
  </si>
  <si>
    <t>As movimentações dos FUNDOS (aplicação e resgate) poderão ser repassadas pelo DISTRIBUIDOR, conforme prévia solicitação do Cliente, hipótese em que o DISTRIBUIDOR deverá manter procedimentos internos adequados para verificar a origem e a veracidade da emissão da ordem dada pelo Cliente, mantendo consigo os comprovantes pertinentes.</t>
  </si>
  <si>
    <t>3.6.</t>
  </si>
  <si>
    <t>Os recursos provenientes dos resgates serão remetidos para conta(s) corrente(s) de titularidade do Cliente, previamente cadastrada(s) no ADMINISTRADOR. A remessa de recursos para contas correntes que não tenham sido previamente cadastradas somente poderá ser realizada mediante o recebimento, pelo ADMINISTRADOR, de solicitação, por escrito, em via original, assinada pelo Cliente.</t>
  </si>
  <si>
    <t>A remuneração será calculada conforme detalhado no Anexo I e/ou no Termo de Adesão, tomando-se como base o saldo diário de aplicações mantido nos FUNDOS pelos Clientes e obedecerá aos mesmos critérios de apropriação e pagamento previstos nos regulamentos dos FUNDOS para o pagamento da taxa de administração e da performance aos prestadores de serviços do FUNDO, devendo ser paga ao DISTRIBUIDOR por meio de transferência de recursos para conta corrente de titularidade do DISTRIBUIDOR a ser devidamente informada ao ADMINISTRADOR.</t>
  </si>
  <si>
    <t>4.3.</t>
  </si>
  <si>
    <t>É de inteira responsabilidade exclusiva do DISTRIBUIDOR o recolhimento e pagamento de toda e qualquer taxa, tributo ou contribuição, devida a qualquer esfera da administração pública, que incida ou venha a incidir sobre a remuneração decorrente da prestação de serviços ora contratados.</t>
  </si>
  <si>
    <t>O presente Contrato é celebrado por prazo indeterminado, a partir da data de sua assinatura, ratificados todos os atos de distribuição relativos aos Fundos que porventura tenham sido praticados pelo DISTRIBUIDOR até a presente data, hipótese de eficácia retroativa deste Contrato, anuindo as Partes, expressamente, que já se sujeitavam a todos os termos, cláusulas, condições, deveres e obrigações ora pactuados.</t>
  </si>
  <si>
    <t xml:space="preserve">Qualquer das PARTES e INTERVENIENTES que firma o presente Contrato poderá denunciá-lo, a qualquer momento, sem qualquer ônus, mediante aviso prévio, por escrito e sob protocolo, com no mínimo 30 (trinta) dias de antecedência, devendo todas as obrigações serem saldadas neste prazo. </t>
  </si>
  <si>
    <t>A denúncia deste contrato (cláusula 5.2.) ou a denúncia isolada de um FUNDO (cláusula 5.3.), não gerará qualquer prejuízo para os Clientes, que poderão permanecer como investidores, permanecendo o respectivo FUNDO obrigado ao pagamento da remuneração do DISTRIBUIDOR, nas mesmas condições, inclusive no que se refere à manutenção desse pagamento, previstas no Anexo I e/ou no Termo de Adesão, salvo nos casos das cláusulas 5.5 e 5.6 abaixo, quando o DISTRIBUIDOR for a parte que der causa à rescisão, hipóteses em que sua remuneração não será mais devida.</t>
  </si>
  <si>
    <t>5.5.</t>
  </si>
  <si>
    <t xml:space="preserve">Não obstante o disposto nas cláusulas anteriores, este Contrato será considerado automaticamente rescindido, de pleno direito, e independentemente de qualquer notificação judicial ou extrajudicial, na ocorrência das hipóteses abaixo mencionadas:
(i)  decretação de falência, recuperação extrajudicial, recuperação judicial, intervenção, liquidação extrajudicial ou regime de administração especial temporária de qualquer das PARTES e/ou INTERVENIENTES;
(ii)  liquidação de todos os FUNDOS por deliberação de assembleia geral de cotistas e/ou por resgate total de cotas;
(iii)  se o DISTRIBUIDOR perder a qualificação técnica que o habilita para prestar os serviços objeto deste Contrato; ou
(iv)  superveniência de qualquer normativo ou instrução das autoridades competentes, que proíba ou imponha restrições que inviabilizem o objeto do presente Contrato.
</t>
  </si>
  <si>
    <t>5.6.</t>
  </si>
  <si>
    <t>O inadimplemento de qualquer das cláusulas deste Contrato, não sanado satisfatoriamente pela PARTE e/ou INTERVENIENTE no prazo de 15 (quinze) dias, contado da notificação da violação que lhe for feita por qualquer das demais PARTES e/ou INTERVENIENTES, facultará às PARTES e/ou INTERVENIENTES inocentes o direito de denunciar o presente Contrato após a ocorrência do fato, sem necessidade de observância do prazo de 30 (trinta) dias indicado na cláusula 5.2 acima, mediante simples notificação às PARTES e INTERVENIENTES.</t>
  </si>
  <si>
    <t>Em caso de término do presente CONTRATO, continuarão a ser devidos as taxas de distribuição sobre as taxas de administração e da taxa de performance, conforme aqui definidos, pelo prazo máximo de 6 (seis) meses após a data de término deste CONTRATO, enquanto houver recursos dos Clientes nos FUNDOS.</t>
  </si>
  <si>
    <t>5.7.</t>
  </si>
  <si>
    <t>SIGILO E  PROTEÇÃO DE DADOS</t>
  </si>
  <si>
    <t>DO ACESSO A INFORMAÇÕES</t>
  </si>
  <si>
    <t>Na qualidade de prestador de serviço aos FUNDOS, o DISTRIBUIDOR terá acesso a informações a eles relativas que nem sempre estarão disponíveis a Clientes ou terceiros, na forma da regulamentação em vigor, devendo utilizar tais informações estritamente para a execução de suas funções nos termos deste Contrato.</t>
  </si>
  <si>
    <t>A rotina específica sobre as informações que serão passadas pelos FUNDOS, por meio do GESTOR, ao DISTRIBUIDOR, assim como sua periodicidade estarão determinadas no Anexo I ou no Termo de Adesão respectivo.</t>
  </si>
  <si>
    <t>As pessoas autorizadas pelo ADMINISTRADOR e DISTRIBUIDOR a transmitir e receber informações e se relacionar com as demais PARTES e INTERVENIENTES deste Contrato serão comunicadas periodicamente.</t>
  </si>
  <si>
    <t>As PARTES e os INTERVENIENTES, por si, seus sócios, administradores, empregados e prepostos, sob as penas da lei, manterão o mais completo e absoluto sigilo sobre quaisquer dados, materiais, documentos, especificações técnicas e comerciais de produtos e de informações das demais PARTES e INTERVENIENTES, ou de terceiros, de que venham a ter conhecimento ou acesso, ou que lhes venham a ser confiados, em decorrência deste Contrato. A inobservância do disposto nesta cláusula poderá acarretar sanções legais, respondendo, a PARTE ou o INTERVENIENTE que der causa à comprovada violação, no âmbito civil, salvo quando a divulgação for imposta por lei, por ordem judicial, pelo poder público competente ou por órgão autorregulador.</t>
  </si>
  <si>
    <t xml:space="preserve">Adicionalmente, o DISTRIBUIDOR se obriga a manter sigilo e confidencialidade sobre todos os dados, informações, materiais, documentos, dentre outros que sejam relativas aos FUNDOS ou que venham a ser reveladas pelo GESTOR e/ou pelo ADMINISTRADOR, independentemente da mídia, forma ou do meio em que os receberem, em especial sobre a composição e diversificação das carteiras (ativos) e dos passivos dos FUNDOS, doravante denominadas em conjunto as INFORMAÇÕES. </t>
  </si>
  <si>
    <t>Da mesma maneira, o DISTRIBUIDOR se obriga a não permitir acesso às INFORMAÇÕES por terceiros sem o prévio e expresso consentimento do GESTOR, e, também, a não usar, duplicar, modificar, adulterar, adicionar, subtrair ou dispor das INFORMAÇÕES e a não permitir que terceiros usem, dupliquem, modifiquem, adulterem, adicionem, subtraiam ou disponham das INFORMAÇÕES, bem como a não discutir sobre as INFORMAÇÕES perante ou com terceiros.</t>
  </si>
  <si>
    <t>7.4.</t>
  </si>
  <si>
    <t>É vedado ao DISTRIBUIDOR autorizar que seja dado conhecimento das INFORMAÇÕES a outras áreas em que atuem, tais como aquelas de gestão própria de recursos (tesouraria), gestão de recursos de terceiros e/ou de clientes (asset management), assim como às suas áreas comerciais não diretamente relacionadas com a alocação de recursos em fundos de investimento, e a terceiros não autorizados previamente pelo GESTOR.</t>
  </si>
  <si>
    <t>7.5.</t>
  </si>
  <si>
    <t>Excluem-se do escopo desta cláusula as informações: (i) de domínio público; (ii) as que já eram do conhecimento da PARTE receptora; e (iii) as informações cuja revelação seja autorizada, por escrito, prévia e expressamente, pela PARTE de que hajam provindo.</t>
  </si>
  <si>
    <t>7.6.</t>
  </si>
  <si>
    <t>A obrigação em manter sigilo e confidencialidade, prevista nesta cláusula, subsistirá à rescisão ou ao término do presente Contrato, pelo prazo de 2 (dois) anos.</t>
  </si>
  <si>
    <t>7.7.</t>
  </si>
  <si>
    <t>As PARTES e INTERVENIENTES se comprometem a cumprir toda a legislação aplicável sobre segurança da informação, privacidade e proteção de dados, inclusive a Constituição Federal, o Código de Defesa do Consumidor, o Código Civil, o Marco Civil da Internet (Lei Federal n. 12.965/2014), seu decreto regulamentador (Decreto 8.771/2016), a Lei Geral de Proteção de Dados (Lei Federal n. 13.709/2018), e demais normas setoriais ou gerais sobre o tema, conforme aplicável, devendo tratar os dados mencionados nas formas dispostas neste instrumento, se comprometendo a não transferi-los a terceiros, exceto na forma da lei.</t>
  </si>
  <si>
    <t>RESPONSABILIDADES PARA FINS DE FATCA</t>
  </si>
  <si>
    <t xml:space="preserve">As partes declaram estar adequadas à legislação do Foreign Account Tax Compliance Act (FATCA), conforme o conteúdo a seguir, o qual dispõe sobre algumas responsabilidades atribuíveis ao DISTRIBUIDOR.
Definições:
• FATCA: Foreign Account Tax Compliance Act, legislação dos E.U.A. objeto do Capítulo 4, do Internal Revenue Code e convenções internacionais ocasionalmente firmadas pelo Brasil relativas ao reporte automático de informações sobre contas financeiras, bem como legislação correlata;
• GIIN: Número de Identificação de Intermediário Global, Global Intermediary Identification Number, fornecido pelas autoridades fiscais dos E.U.A. mediante registro no portal FATCA;
• Pessoa dos EUA: pessoa física residente para fins fiscais nos E.U.A., cidadã ou nacional dos E.U.A. bem como entidade com controladores ou titulares substanciais que são pessoa física residente para fins fiscais nos E.U.A., cidadã ou nacional dos E.U.A.;
• Controladores: pessoas físicas que controlam, direta ou indiretamente, a entidade, nos termos da legislação brasileira;
• Titulares substanciais: pessoas físicas que detêm individualmente 10% ou mais de participação direta ou indireta, societária ou contratual, no lucro ou no capital de uma entidade;
• PFFI: instituição financeira participante do FATCA que cumpre integralmente as obrigações de diligência e reporte.
</t>
  </si>
  <si>
    <t>Pendente</t>
  </si>
  <si>
    <t>8.2.</t>
  </si>
  <si>
    <t>DAS DISPOSIÇÕES ANTICORRUPÇÃO</t>
  </si>
  <si>
    <t>9.1.</t>
  </si>
  <si>
    <t>9.2 .</t>
  </si>
  <si>
    <t>9.3 .</t>
  </si>
  <si>
    <t>9.4 .</t>
  </si>
  <si>
    <t xml:space="preserve"> Os termos “benefício indevido” e ”vantagem ilícita”, descritos acima, devem ser compreendidos como qualquer oferta, presente/brinde, pagamento, promessa de pagamento ou autorização de pagamento de qualquer valor ou qualquer coisa de valor (incluindo, mas não limitando-se a, refeições, entretenimento, despesas de viagens), direta ou indiretamente, para o uso ou benefício de qualquer funcionário/agente público, terceiro relacionado a tal funcionário público, ou a qualquer outro terceiro com o propósito de influenciar qualquer ação, decisão ou omissão por parte de um funcionário público ou terceiro para obter, reter ou direcionar negócios, ou garantir algum tipo de benefício ou vantagem imprópria às partes, seus clientes, afiliadas, ou qualquer outra pessoa.</t>
  </si>
  <si>
    <t xml:space="preserve">9.4.2 </t>
  </si>
  <si>
    <t>10.1.</t>
  </si>
  <si>
    <t>10.2.</t>
  </si>
  <si>
    <t>10.3.</t>
  </si>
  <si>
    <t>10.4.</t>
  </si>
  <si>
    <t>10.5.</t>
  </si>
  <si>
    <t>10.6.</t>
  </si>
  <si>
    <t>10.7.</t>
  </si>
  <si>
    <t>10.8.</t>
  </si>
  <si>
    <t>10.8.2.</t>
  </si>
  <si>
    <t>10.9.</t>
  </si>
  <si>
    <t>O presente contrato obriga as PARTES e INTERVENIENTES e seus sucessores a qualquer título.</t>
  </si>
  <si>
    <t>Fica eleito o foro de situação de cada FUNDO, previsto no respectivo regulamento, para dirimir eventuais dúvidas entre as PARTES e INTERVENIENTES, relativamente àquele FUNDO.</t>
  </si>
  <si>
    <t xml:space="preserve">Anexo 1 -AO CONTRATO DE DISTRIBUIÇÃO DE COTAS DE FUNDOS DE INVESTIMENTOS 
</t>
  </si>
  <si>
    <t>Relação dos FUNDOS</t>
  </si>
  <si>
    <t xml:space="preserve">Os FUNDOS relacionados na cláusula 1 deste anexo, conforme acima, pagarão ao DISTRIBUIDOR a título de remuneração o valor equivalente a uma percentagem, conforme definido na tabela abaixo, de acordo com os parâmetros nela estabelecidos e desde que os termos e condições precedentes sejam implementadas e estejam em vigor. </t>
  </si>
  <si>
    <t>O valor a ser pago ao DISTRIBUIDOR a título de remuneração levará em conta unicamente os montantes mantidos sob aplicação pelos Clientes do DISTRIBUIDOR em cada um dos FUNDOS, e será calculado sobre os montantes pagos pelos FUNDOS ao GESTOR a título de taxa de administração líquida e de taxa de performance, de acordo com o estabelecido nos regulamentos dos FUNDOS.</t>
  </si>
  <si>
    <t>Para a determinação do montante, serão deduzidos os custos e as despesas relacionados com administração da carteira. A taxa de administração e a taxa de performance serão calculadas e pagas ao DISTRIBUIDOR em estrita observância ao previsto nos regulamentos de cada um dos FUNDOS e neste Contrato. O percentual a ser aplicado na taxa de administração e na taxa de performance será determinado em função das tabelas abaixo:</t>
  </si>
  <si>
    <t xml:space="preserve">A Remuneração ajustada na cláusula anterior será paga mensalmente até o 5º (quinto) dia útil de cada mês subsequente ao vencido, observado o previsto nos regulamentos dos Fundos e neste Contrato, sendo pago enquanto os recursos captados pelo DISTRIBUIDOR estiverem aplicados nos Fundos Investidos e este Contrato estiver em vigor.
a) Sem prejuízo das demais obrigações do DISTRIBUIDOR previstas no Contrato,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aqui prevista não incidirá sobre os investimentos dos referidos Clientes nos FUNDOS.
b) o DISTRIBUIDOR continuará a receber a remuneração prevista nesta cláusula durante o prazo de 6 (seis) meses contados do término do Contrato e enquanto houver recursos dos Clientes nos FUNDOS. Na ocorrência das hipóteses de rescisão relacionadas nas cláusulas 5.5 e 5.6 do Contrato, quando o DISTRIBUIDOR for a parte que der causa à rescisão, não será mais devida qualquer remuneração ao DISTRIBUIDOR após o término do Contrato.
</t>
  </si>
  <si>
    <t xml:space="preserve"> ANEXO II - AO CONTRATO DE DISTRIBUIÇÃO DE COTAS DE FUNDOS DE INVESTIMENTO</t>
  </si>
  <si>
    <t xml:space="preserve">REMUNERAÇÃO DO DISTRIBUIDOR:
a) A remuneração devida ao DISTRIBUIDOR pelos serviços de distribuição será descontada da taxa de administração e da taxa de performance, se aplicável,  devidas pelo FUNDO ADERENTE ao GESTOR, de acordo com o ANEXO I.
b) Sem prejuízo das demais obrigações do DISTRIBUIDOR previstas no Contrato,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aqui prevista não incidirá sobre os investimentos dos referidos Clientes nos FUNDOS.
c) o DISTRIBUIDOR continuará a receber a remuneração prevista nesta cláusula durante o prazo de 6  (seis) meses a contar do término do Contrato. Na ocorrência das hipóteses de rescisão relacionadas nas cláusulas 5.5 e 5.6 do Contrato, quando o DISTRIBUIDOR for a parte que der causa à rescisão, não será mais devida qualquer remuneração ao DISTRIBUIDOR após o término do Contrato.
</t>
  </si>
  <si>
    <t>AGENTE AUTÔNOMO: O DISTRIBUIDOR não poderá se utilizar de agentes autônomos na distribuição de que trata o Contrato, ficando como único responsável por todos os atos por estes praticados.</t>
  </si>
  <si>
    <t xml:space="preserve">OUTRAS CONDIÇÕES: A adesão do Fundo ao Contrato é feita, ademais, obedecendo às seguintes condições estabelecidas entre as PARTES e INTERVENIENTES: [determinar, se for o caso, ou eliminar]
Nestas condições, assina a presente, juntamente com o seu ADMINISTRADOR, GESTOR e o DISTRIBUIDOR, que anuem expressamente com o que aqui está determinado, para todos os fins de direito.
</t>
  </si>
  <si>
    <t>BB</t>
  </si>
  <si>
    <t>O DISTRIBUIDOR obriga-se a responder pela distribuição de cotas dos FUNDOS perante seus Clientes e a CVM, nos termos deste Contrato e da legislação vigente.</t>
  </si>
  <si>
    <r>
      <t xml:space="preserve">O DISTRIBUIDOR obriga-se a somente realizar a distribuição de cotas dos FUNDOS de forma identificada, sendo </t>
    </r>
    <r>
      <rPr>
        <u/>
        <sz val="10"/>
        <color theme="1"/>
        <rFont val="Arial Narrow"/>
        <family val="2"/>
      </rPr>
      <t>vedada</t>
    </r>
    <r>
      <rPr>
        <sz val="10"/>
        <color theme="1"/>
        <rFont val="Arial Narrow"/>
        <family val="2"/>
      </rPr>
      <t xml:space="preserve"> a utilização do mecanismo de Subscrição por Conta e Ordem, nos termos da Instrução CVM 555, </t>
    </r>
    <r>
      <rPr>
        <u/>
        <sz val="10"/>
        <color theme="1"/>
        <rFont val="Arial Narrow"/>
        <family val="2"/>
      </rPr>
      <t>exceto</t>
    </r>
    <r>
      <rPr>
        <sz val="10"/>
        <color theme="1"/>
        <rFont val="Arial Narrow"/>
        <family val="2"/>
      </rPr>
      <t xml:space="preserve"> se tal forma de distribuição for formalizada por meio de termo aditivo ao presente Contrato.</t>
    </r>
  </si>
  <si>
    <t xml:space="preserve">O DISTRIBUIDOR, em atendimento ao que dispõe o Código de Regulação e Melhores Práticas para os Fundos de Investimento da Associação Brasileira das Entidades dos Mercados Financeiro e de Capitais (ANBIMA), obriga-se a dar conhecimento aos Clientes, na forma que julgar pertinente, desde que acessível a estes, dos seguintes teores, conforme o caso e respeitadas as restrições relativas ao recebimento de remuneração, conforme previstas na regulamentação em vigor e mencionadas no presente Contrato, em especial nas Cláusulas 1.3 a 1.3.3 acima:
(i) que o DISTRIBUIDOR pode receber remuneração a título de prestação de serviços de distribuição das cotas dos FUNDOS em que os Clientes aplicarão seus recursos;
(ii) que o administrador, gestor, ou partes a eles relacionadas, podem receber remuneração pela alocação dos recursos dos FUNDOS nos fundos investidos; e
(iii) que, em ambos os casos, esta remuneração pode ser diferenciada em função dos diversos fundos de investimento recebendo aplicações.
</t>
  </si>
  <si>
    <t>O DISTRIBUIDOR obriga-se a obter e enviar imediatamente ao ADMINISTRADOR todos os documentos cadastrais dos Clientes exigidos por lei ou regulamentação em vigor, incluindo, mas não se limitando, a ficha cadastral, termo de adesão ao regulamento dos FUNDOS, termo de ciência nos termos do Anexo 92 à Instrução CVM 555, se aplicável, e formulário de suitability, todos devidamente preenchidos e assinados, sempre anteriormente à primeira captação de recursos para os FUNDOS ou quando forem atualizados, conforme modelos fornecidos pelo ADMINISTRADOR.</t>
  </si>
  <si>
    <t xml:space="preserve">O DISTRIBUIDOR obriga-se a cumprir todas as regras e determinações da CVM no que se refere à identidade dos potenciais Clientes que indicar para as aplicações nos FUNDOS, atuando com a máxima probidade e diligência na sua seleção dos Clientes, declarando, neste ato, conhecer e atender a íntegra da legislação sobre fundos de investimento, em especial:
(i)  as regras de adequação dos investimentos ofertados aos seus Clientes (suitability), adotando procedimentos formais que possibilitem verificar a adequação dos FUNDOS ao perfil de investimentos de seus Clientes, coletando informações dos clientes que demonstrem sua situação financeira, experiência em matéria de investimento e os objetivos de investimento, visando definir o perfil de investimento de cada um de seus clientes;
(ii)  as regras de prevenção e combate ao crime de lavagem de dinheiro, inclusive no que se refere aos normativos editados pela CVM, empregando toda a diligência necessária para verificar a origem e natureza dos recursos dos Clientes, em consonância com a legislação aplicável, ressarcindo os FUNDOS e/ou ADMINISTRADOR  de prejuízos daí decorrentes, inclusive perdas e danos e sanções administrativas.
</t>
  </si>
  <si>
    <t>O DISTRIBUIDOR obriga-se a entregar ao ADMINISTRADOR cópias e documentos estabelecidos neste Contrato, assumindo integral e exclusiva responsabilidade pela obtenção, regularidade e guarda da documentação cadastral dos Clientes, conforme legislação vigente, mantendo tais informações atualizadas e comunicando ao ADMINISTRADOR eventuais alterações que tiver conhecimento.</t>
  </si>
  <si>
    <t>2.11.</t>
  </si>
  <si>
    <t>O DISTRIBUIDOR obriga-se a responder pelas consequências das informações que fornecer ou procedimentos que adotar em desacordo com as disposições deste Contrato e regulamentos dos FUNDOS;</t>
  </si>
  <si>
    <t>2.12.</t>
  </si>
  <si>
    <t xml:space="preserve">O DISTRIBUIDOR obriga-se a comunicar ao ADMINISTRADOR, por escrito, reclamação de qualquer natureza, judicial ou extrajudicial, apresentada por autoridade judicial ou fiscalizadora, terceiro, entidade de proteção de consumidores ou, ainda, alguém do público destinatário da publicidade relativa aos FUNDOS, que possa, direta ou indiretamente, prejudicar a imagem ou os interesses dos FUNDOS, do ADMINISTRADOR ou do GESTOR, observado que:
(i)  a comunicação deverá ser feita imediatamente após o DISTRIBUIDOR tomar conhecimento da reclamação, sobretudo quando estiverem sujeitas a prazos decadenciais, prescricionais ou preclusivos;
(ii)  o DISTRIBUIDOR, nos limites de sua competência, fornecerá ao ADMINISTRADOR todos os subsídios necessários à defesa dos interesses dos FUNDOS, do ADMINISTRADOR ou do GESTOR relacionados com a reclamação ou ação acima referidas.
</t>
  </si>
  <si>
    <t>2.13.</t>
  </si>
  <si>
    <t xml:space="preserve">Cada uma das PARTES e INTERVENIENTES responderá isoladamente perante as autoridades fiscalizadoras, reguladoras, autorreguladoras e judiciais, nos limites da legislação e normas vigentes e aplicáveis, pelos atos que praticar noexercírcio de suas funções decorretnes deste intrumento. </t>
  </si>
  <si>
    <t>2.14.</t>
  </si>
  <si>
    <t>2.15.</t>
  </si>
  <si>
    <t>2.16.</t>
  </si>
  <si>
    <t xml:space="preserve">O GESTOR obriga-se a manter saldo suficiente nos FUNDOS para pagamento da remuneração do DISTRIBUIDOR, conforme detalhado no Anexo I e/ou no Termo de Adesão. Na hipótese de insuficiência de saldo causada pelo GESTOR, independentemente de culpa ou dolo, que não permita ao ADMINISTRADOR, em nome dos FUNDOS, realizar o pagamento da remuneração do DISTRIBUIDOR ora estabelecida, o GESTOR obriga-se a assumir imediatamente o pagamento da referida remuneração, podendo o principal ser reembolsado pelo FUNDO futuramente, porém respondendo por qualquer multa e/ou valor que venha a ser cobrado ou gerado, não importando a natureza deste, em razão de atraso no referido pagamento. </t>
  </si>
  <si>
    <t>2.17.</t>
  </si>
  <si>
    <t>2.16.1</t>
  </si>
  <si>
    <t>O DISTRIBUIDOR obriga-se a utilizar corretamente todas e quaisquer informações que lhe forem fornecidas pelo ADMINISTRADOR, assegurando que não haverá distorção ou modificação de conceitos apresentados na documentação dos FUNDOS, declarando, ademais, que não modificará nem fará qualquer alteração, de qualquer espécie, nos documentos, eletrônicos ou não, que lhe forem encaminhados pelo ADMINISTRADOR, incluindo, mas não se limitando, os padrões de regulamento, lâmina de informações essenciais (quando aplicável) e demais documentos dos FUNDOS.</t>
  </si>
  <si>
    <t>O resgate de cotas dos FUNDOS poderá ser solicitado pelo DISTRIBUIDOR, em favor do Cliente, mantendo consigo os comprovantes pertinentes.</t>
  </si>
  <si>
    <t>3.7.</t>
  </si>
  <si>
    <t>As intruções relativas às movimentações diárias - aplicações e resgates - dosrecursos dos Clientes serão encaminhados por meio eletrônico pelo DISTRIBUIDOR ao GESTOR e/ou o ADMNISTRADOR, que, após serem comunicados pelo DISTRIBUIDOR, acessará o site  www18bb.com.br/appbb/portal/cq/indexe.jsp, para confirmação das movimentações, desde que observados os horários máximos estipulados nos Regulamentos e/ou Prospectos de cada FUNDO.</t>
  </si>
  <si>
    <t>3.7.1.</t>
  </si>
  <si>
    <t>Caso haja discrepância nas ordens dadas, as mesmas poderão ser esclarecidas e confirmadas por correio eletrônico a ser enviado pelo DISTRIBUIDOR. Caso o DISTRIBUIDOR não envie ao ADMNISTRADOR este correio eletrônico, o ADMNISTRADOR ficará desobrigado de executar a ordem objeto da discrepância.</t>
  </si>
  <si>
    <t>3.9.</t>
  </si>
  <si>
    <t>As PARTES estão cientes e concordam que as comunicações verbais sejam gravadas e utilizadas para dirimir dúvidas.</t>
  </si>
  <si>
    <t>O pagamento da remuneração ocorrerá no 5º(quinto) dia útil do mês subsequente de cada período vencido.</t>
  </si>
  <si>
    <t>4.4.1.</t>
  </si>
  <si>
    <t>Em caso de atraso no pagamento dos valores referentes a remuneração acima descritas, tais valores serão atualizados monetariamente pela variação do IPCA(Índice de Preço ao Consumidor do Atacado), desde a data do vencimento até o dia do efetivo pagamento, e acrescido de juros mortórios de 1%(um por cento) ao mês, e de multa contratual de 2%(dois por cento), indicente sobre os valores atualizados, computados os juros. Quando a responsabilidade pelo atraso no pagamento da remuneração for, comprovadamentem por ato ou omissão do GESTOR, ou ainda por insuficiência de saldo nos FUNDOS, a responsabilidade por estes acréscimos será do GESTOR.</t>
  </si>
  <si>
    <t>4.4.2</t>
  </si>
  <si>
    <t>Caso haja divergência entre o valor apurado pelo ADMNISTRADOR como devido pelos FUNDOS, e aquele estimadopelo DISTRIBUIDOR, a parte incontroversas deverá ser honrada no prazo estipulado no item 4.4, supra. Após a apuração do correto valor da remuneração - o que deverá ocorrer em até 30  dias do questionamento formulado pelo DISTRIBUIDOR, eventual diferença, se houver, deverá ser liquida, com acréscimos referidos no subitem  4.4.1, acima.</t>
  </si>
  <si>
    <t>4.5.</t>
  </si>
  <si>
    <t>O ADMNISTRADOR enviará para o DISTRIBUIDOR uma memória de cálculo detalhada sobre os valores a seem apagos previamente à data da realização do efetivo apagamento. Por sua vez, o DISTRIBUIDOR deverá emitir reibo comprobatório do pagaento efetuado a cada mês e enviá-lo ao ADMNISTRADOR.</t>
  </si>
  <si>
    <t>DA REMUNERAÇÃO</t>
  </si>
  <si>
    <t xml:space="preserve">Fica estabelecido, ademais, que qualquer FUNDO que aderir a este Contrato poderá, isoladamente, denunciar sua adesão da mesma forma prevista na cláusula 5.2. anterior, sem prejuízo da manutenção do Contrato entre as PARTES e os INTERVENIENTES ora signatários, em benefício de outros FUNDOS.
b) na hipótese de liquidação do FUNDO INVESTIDO ou do FUNDO INVESTIDOR.
c) se qualquer uma das PARTES falir, requerer recuperação judicial ou iniciar procedimentos de recuperação extrajudicial, tiver sua falência, intervenção ou liquidação requerida;
d)  se qualquer das PARTES suspender suas atividades por qualquer período de tempo; e
e) se for constatada a ocorrência de práticas irregulares por qualquer uma das PARTES.
</t>
  </si>
  <si>
    <t xml:space="preserve">O DISTRIBUIDOR, por si e por seus representantes, prepostos, empregados, agentes ou consultores e empresas contratadas, se obriga, sob pena de responsabilização civil e criminal, com referência às informações sigilosas relativas aos FUNDOS, ao ADMINISTRADOR e ao GESTOR:
a) não dar, nem autorizar ou permitir que seja dado conhecimento de quaisquer dados ou informações das carteiras dos FUNDOS a outrem;
b) não usar em benefício próprio, reter ou duplicar as informações ou dados fornecidos pelo ADMINISTRADOR e/ou pelo GESTOR, para a criação de qualquer arquivo, lista ou banco de dados de utilização particular do próprio DISTRIBUIDOR ou de terceiros;
c) não modificar ou adulterar, de qualquer forma as informações e os dados fornecidos pelo ADMINISTRADOR e/ou pelo GESTOR, bem como não subtrair ou adicionar qualquer elemento a esses dados;
d) manter sob sigilo e total discrição os dados e informações a que venha ter acesso por qualquer meio ou forma, inclusive se as informações ou dados que chegarem ao seu conhecimento por terceiros, salvo se as mesmas forem isentas de restrições.
e) não dar, nem autorizar que seja dado, conhecimento de quaisquer dados ou informações das carteiras dos FUNDOS a outras áreas em que ele, DISTRIBUIDOR, atue, tais como aquelas de gestão própria de recursos (tesouraria), gestão de recursos de terceiros e/ou de clientes (asset management - fundos e carteiras geridos ou administrados pelo DISTRIBUIDOR), assim como às suas áreas comerciais não diretamente relacionadas com a distribuição de cotas de fundos de investimento, e a terceiros não autorizados previamente pelo ADMINISTRADOR.
</t>
  </si>
  <si>
    <t>As obrigações de sigilo previstas neste Contrato são recíprocas e se aplicam, no que forem compatíveis, às informações do DISTRIBUIDOR ou aquelas por ele detidas que o ADMINISTRADOR ou o GESTOR tiverem acesso em decorrência da relação contratual existente entre as PARTES e os INTERVENIENTES, especialmente as relacionadas a segredos de negócio, programas de computador e outras tecnologias e métodos utilizados pelo DISTRIBUIDOR na prestação de seus serviços.</t>
  </si>
  <si>
    <t>Se qualquer das PARTES e/ou INTERVENIENTES, por determinação legal ou em decorrência de ordem judicial ou de autoridade fiscalizadora, tiver que revelar informação sigilosa decorrente da prestação de serviços objeto deste Contrato, imediatamente dará notícia desse fato às outras PARTES e/ou INTERVENIENTES e lhes prestará as informações e subsídios que possam ser necessários para que a PARTE interpelada, a seu critério, possa defender-se contra a divulgação de qualquer das informações sigilosas, salvo se houver restrição legal, regulamentar, ou ainda, expedida por autoridade judicial ou fiscalizadora.</t>
  </si>
  <si>
    <t xml:space="preserve">Para fins de aplicação da norma FATCA ao presente Contrato, as palavras a seguir, quando utilizadas neste instrumento, terão as definições abaixo:
Definições:
• FATCA: Foreign Account Tax Compliance Act, legislação dos E.U.A. objeto do Capítulo 4, do Internal Revenue Code e convenções internacionais ocasionalmente firmadas pelo Brasil relativas ao reporte automático de informações sobre contas financeiras de pessoas físicas e jurídicas classificadas como US PERSON, bem como legislação correlata;
• GIIN: Número de Identificação de Intermediário Global, Global Intermediary Identification Number, fornecido pelas autoridades fiscais dos E.U.A.  ao participante do FATCA;
• US PERSON”: Pessoa, nascida nos E.U.A.; a quem foi concedida cidadania norte-americana; com cidadania derivada; que possua Green Card; com presença substancial nos E.U.A.; e as que optaram por serem tratadas como residentes nos E.U.A.; a empresa limitada ou participada que seja constituída de acordo com as leis dos E.U.A. ou do Distrito de Columbia; a sociedade constituída de acordo com as leis de qualquer Estado norte-americano ou do Distrito de Columbia; qualquer fundação, associação ou entidade que seja americana; e qualquer trust ou fundo fiduciário norte-americano
• Controladores: pessoas físicas que controlam, direta ou indiretamente, a entidade, nos termos da legislação brasileira;
</t>
  </si>
  <si>
    <t>O ADMINISTRADOR é instituição integrante do sistema de distribuição de valores mobiliários participante ou presumidamente aderente ao FATCA, sendo registrado perante o IRS sob o GIIN R0XTKG.00182.ME.076.</t>
  </si>
  <si>
    <t>O DISTRIBUIDOR é instituição integrante do sistema de distribuição de valores mobiliários participante ou presumidamente aderente ao FATCA, sendo registrado perante o IRS sob o GIIN VWEPS1.00008.ME.076.</t>
  </si>
  <si>
    <t xml:space="preserve">O Distribuidor e o Administrador obrigam-se a:
(i) empregar toda a diligência necessária para identificar, dentre os seus usuários/clientes, aqueles que sejam US PERSON ou que venham a se tornar US PERSON durante a vigência deste Contrato;
(ii) fazer todos os reportes em relação aos seus usuários/clientes classificados como US PERSON ou com indícios de US PERSON exigidos pelo FATCA aos órgãos e autoridades competentes americanos ou brasileiros, nos termos da referida regulamentação e dentro dos limites de eventuais acordos ou tratados internacionais a respeito do assunto, celebrados pelo Brasil;
(iii) avisar previamente às outras Partes caso tenha, por qualquer motivo, intenção de rescindir a adesão ao FATCA;
(iv) informar imediatamente às outras PARTES caso descumpra de forma material as disposições do FATCA, deixe de ser participante ou presumidamente aderente ao FATCA ou, por qualquer outro motivo, deixe de possuir GIIN válido; e
(v) notificar imediatamente às outras PARTES se, por qualquer motivo, tiver conhecimento de processo instaurado contra si por autoridade fiscalizadora competente que possa acarretar a rescisão da adesão à FATCA.
</t>
  </si>
  <si>
    <t>Caso o DISTRIBUIDOR tenha razões para acreditar que as declarações fornecidas em tais formulários ou contratos são incorretas ou incompletas, ou se tornaram incorretas ou incompletas em razão de alteração nas circunstâncias de fato, ou ainda tenha razões para acreditar que tal(tais) investidor(es) é(são) US PERSON ou pessoa com indícios de US PERSON, deverá notificar o ADMINISTRADOR, por escrito, a respeito dessas razões, em até 10 (dez) dias da data em que tomar conhecimento de qualquer informação que torne as declarações prestadas incorretas, incompletas ou da data em que tomar conhecimento de dados relativos a US PERSON ou respectivo indício, requerendo simultaneamente ao investidor a atualização dos formulários e contratos fornecidos, para endereçar tais informações, em até 30 (trinta) dias, conforme oportuno.</t>
  </si>
  <si>
    <t>O DISTRIBUIDOR declara, para todos os fins legais no Brasil e no exterior, sob as penas da lei, ele, nenhum de, seus prepostos ou agentes auxiliaram quaisquer investidores a evitar a aplicação do FATCA ou a evitar a identificação de contas ou investimentos para fins de FATCA.</t>
  </si>
  <si>
    <t>Caso o Administrador possua contato com o(s) cotista(s) do FUNDO e tenha razões para acreditar que tal(tais) cotista(s) é (são) USPERSON ou pessoa co indícios de US PERSON, deverá notificar o DISTRIBUIDOR, por escrito, a respeito dessas razões em até 10(dez) dias da data em que tomar conhecimento de qualquer informação relativa a US PERSON ou respectivo indício.</t>
  </si>
  <si>
    <t>Sem prejuízo das obrigações dispostas nas cláusula anteriores, não cabem ao DISTRIBUIDOR as demais obrigações relativas ao FATCA. O Administrador exime o DISTRIBUIDOR, para todos os fins legais, no Brasil ou exterior, das responsabilidades que, por este Contrato, não recaiam sobre o DISTRIBUIDOR.</t>
  </si>
  <si>
    <t>As PARTES e os INTERVENIENTES obrigam-se, no que lhes couber, a cumprir todos os procedimentos e determinações contidas na Circular n.º 3.461/09, e nas Cartas Circulares n.º 3.542/12 e 3.342/08, todas do BACEN, Instrução CVM n.º 301/99 e alterações posteriores e quaisquer outras normas, resoluções, instruções, circulares e ofícios vigentes, ainda que aqui não expressamente mencionados, expedidos ou que venham a ser expedidos pelos referidos órgãos fiscalizadores, pelo COAF (Conselho de Controle de Atividades Financeiras), ou pelos órgãos fiscalizadores setoriais, fazendo as comunicações determinadas nas referidas normas à CVM e/ou BACEN, conforme o caso, através dos meios disponíveis para tal fim, de todas as operações cujas características, no que se refere aos envolvidos, valores, formas de realização e instrumentos utilizados, ou que, por falta de fundamento econômico ou legal, possam indicar a existência do crime previsto na Lei nº 9.613, de 3 de março de 1998, e alterações que lhe forem posteriores.</t>
  </si>
  <si>
    <t>A alteração, substituição, revogação ou eventual omissão de qualquer das normas ou instruções mencionadas no item anterior não afasta a responsabilidade do DISTRIBUIDOR no que diz respeito às comunicações às quais possa estar obrigado, valendo para tal a lei ou norma vigente à época da comunicação ou do fato.</t>
  </si>
  <si>
    <t>O ADMINISTRADOR declara conhecer a legislação pertinente ao crime de lavagem de dinheiro, bem como as orientações normativas emanadas dos órgãos fiscalizadores ou reguladores dos Mercados Financeiro e de Capitais, bem como declara que adota ou adotará, no que lhe couber, mecanismos e práticas que coíbam o crime previsto na Lei 9.613/98.</t>
  </si>
  <si>
    <t>DA PREVENÇÃO À LAVAGEM DE DINHEIRO</t>
  </si>
  <si>
    <t>PUBLICIDADE E DIVULGAÇÃO</t>
  </si>
  <si>
    <t>11.1.</t>
  </si>
  <si>
    <t>11.2.</t>
  </si>
  <si>
    <t>11.3.</t>
  </si>
  <si>
    <t>Todo material técnico, publicitário e de propaganda institucional, tais como folders, apresentações, propagandas em qualquer veículo de mídia, inclusive redes de televisão aberta ou a cabo, publicações em periódicos, divulgação via internet, ou quaisquer outros, serão elaborados pelo DISTRIBUIDOR dentro dos limites de sua competência e, sempre que não puderem ser considerados como encargo dos FUNDOS, serão custeados pelo DISTRIBUIDOR.</t>
  </si>
  <si>
    <t>A elaboração pelo DISTRIBUIDOR de qualquer material técnico, publicitário e de propaganda institucional deve respeitar o disposto nas normas da CVM, no Código Anbima e nas Diretrizes para Publicidade e Divulgação de Material Técnico de Fundos de Investimento estabelecidas pelo Conselho de Regulação e Melhores Práticas ANBIMA.</t>
  </si>
  <si>
    <t>11.2.1</t>
  </si>
  <si>
    <t>Todo o material publicitário, material técnico ou propaganda institucional dos FUNDOS é de responsabilidade de quem o divulga, em conformidade com o estabelecido no Código Anbima.</t>
  </si>
  <si>
    <t>As PARTES somente poderão utilizar as marcas de propriedade da outra parte mediante autorização expressa e nos limites por ela estabelecidos, sem prejuízo da possibilidade de inclusão, por qualquer das partes, da denominação da outra parte nos materiais em que tal inclusão seja requerida pela legislação e regulamentação em vigor.</t>
  </si>
  <si>
    <t>11.4.</t>
  </si>
  <si>
    <t xml:space="preserve"> É vedada a utilização da denominação social no todo ou em parte do BNY MELLON nos nomes dos FUNDOS, salvo se autorizado expressamente por esta.</t>
  </si>
  <si>
    <t>11.5.</t>
  </si>
  <si>
    <t>É vedado ao DISTRIBUIDOR realizar a publicidade, divulgação, veiculação, anúncio e/ou a inserção de material técnico, publicitário, de propaganda ou outro preparado para fins de marketing sem o prévio e expresso conhecimento e autorização do GESTOR.</t>
  </si>
  <si>
    <t>12.1.</t>
  </si>
  <si>
    <t>12.2.</t>
  </si>
  <si>
    <t>12.3.</t>
  </si>
  <si>
    <t>12.4.</t>
  </si>
  <si>
    <t>12.5.</t>
  </si>
  <si>
    <t>12.6.</t>
  </si>
  <si>
    <t>12.7.</t>
  </si>
  <si>
    <t>12.8.</t>
  </si>
  <si>
    <t>12.9.</t>
  </si>
  <si>
    <t>12.10.</t>
  </si>
  <si>
    <t>Fica ajustado entre as PARTES e os INTERVENIENTES que o presente Contrato, bem como seus eventuais instrumentos aditivos, poderão ser assinados digitalmente, desde que presentes os requisitos legais para essa modalidade de assinatura, condicionado a que as PARTES e os INTERVENIENTES estejam de acordo em fazer uso dessa prerrogativa..</t>
  </si>
  <si>
    <t>12.8.1.</t>
  </si>
  <si>
    <t>A fim de garantir a validade e a veracidade do presente Contrato e seus eventuais aditivos, no caso de serem firmados por meio de assinatura digital, as PARTES se responsabilizam por todas e quaisquer informações prestadas a outra PARTE, se comprometendo, ainda, a informar e enviar a outra Parte toda a sua documentação devidamente atualizada, sempre que houver qualquer alteração e/ou atualização, incluindo, mas não se limitando à lista de procuradores e/ou representantes legais com poderes para firmar contratos digitalmente.</t>
  </si>
  <si>
    <t xml:space="preserve">Fica eleito o foro de situação de cada FUNDO, previsto no respectivo regulamento, para dirimir eventuais dúvidas entre as PARTES e INTERVENIENTES, relativamente àquele FUNDO.
</t>
  </si>
  <si>
    <t>Introdução</t>
  </si>
  <si>
    <t>BBM</t>
  </si>
  <si>
    <t>Remuneração</t>
  </si>
  <si>
    <t xml:space="preserve">Os FUNDOS relacionados na cláusula 1 deste anexo, conforme acima, pagarão ao DISTRIBUIDOR a título de remuneração o valor equivalente a uma percentagem, conforme definido nas tabelas abaixo, de acordo com os parâmetros nelas estabelecidos e desde que os termos e condições precedentes sejam implementadas e estejam em vigor. </t>
  </si>
  <si>
    <t xml:space="preserve">O valor a ser pago ao DISTRIBUIDOR a título de remuneração levará em conta unicamente os montantes mantidos sob aplicação pelos Clientes do DISTRIBUIDOR em cada um dos FUNDOS, e será calculado sobre os montantes pagos pelos FUNDOS ao GESTOR a título de taxa de administração e de taxa de performance, de acordo com o estabelecido nos regulamentos dos FUNDOS. </t>
  </si>
  <si>
    <t xml:space="preserve">Relação dos FUNDOS ADAM MACRO II FIC FI MULT
ADAM MACRO STRATEGY II FIC FI MULT
ADAM MACRO STRATEGY II D60 FIC FI MULT
</t>
  </si>
  <si>
    <t xml:space="preserve">A Remuneração ajustada na cláusula anterior será paga mensalmente até o 5º (quinto) dia útil de cada mês subsequente ao vencido, observado o previsto nos regulamentos dos Fundos e neste Contrato, sendo pago enquanto os recursos captados pelo DISTRIBUIDOR estiverem aplicados nos Fundos Investidos e este Contrato estiver em vigor, observado item “b” abaixo.
a) Sem prejuízo das demais obrigações do DISTRIBUIDOR previstas no Contrato,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aqui prevista não incidirá sobre os investimentos dos referidos Clientes nos FUNDOS.
b) o DISTRIBUIDOR continuará a receber a remuneração prevista nesta cláusula durante o prazo de 3 (três) meses contados do término do Contrato e enquanto houver recursos dos Clientes nos FUNDOS. Na ocorrência das hipóteses de rescisão relacionadas nas cláusulas 5.5 e 5.6 do Contrato, quando o DISTRIBUIDOR for a parte que der causa à rescisão, não será mais devida qualquer remuneração ao DISTRIBUIDOR após o término do Contrato.
</t>
  </si>
  <si>
    <t xml:space="preserve">O DISTRIBUIDOR terá acesso à informações dos FUNDOS, por meios publicamente disponíveis para esta finalidade ou mediante solicitação prévia e expressa ao ADMINISTRADOR ou ao GESTOR, conforme o caso, nos termos da regulamentação aplicável e de acordo com a política de divulgação de informações a terceiros prevista nos respectivos Regulamentos e desde que sejam observadas as práticas adotadas pelo GESTOR para a divulgação de documentos e informações:
(i)  diariamente, serão disponibilizadas as informações sobre o valor das cotas e o valor do patrimônio líquido dos FUNDOS;
(ii)  mensalmente, até o 15º (décimo quinto) dia do mês, ou dia útil seguinte, será disponibilizado no formato XML, com defasagem de 60 (sessenta) dias contados do encerramento do mês de referência, o arquivo com a composição e diversificação da carteira de investimentos dos FUNDOS, cuja confidencialidade das informações será regulada em instrumento apropriado; e  
(iv) mensalmente, até o 15º (décimo quinto) dia após o encerramento do mês a que se referirem, serão disponibilizados:
I. o extrato mensal contendo informações sobre os investimentos dos FUNDOS, conforme descrito nos Regulamentos; e
II. outras informações disponibilizadas nessa mesma periodicidade à CVM; 
III. no prazo de 15 (quinze) dias contados de eventual alteração dos Regulamentos, serão disponibilizadas as informações referentes à alteração dos Regulamentos que forem enviadas nessa mesma periodicidade à CVM;
IV. anualmente, no prazo de 90 (noventa) dias, contados a partir do encerramento do exercício a que se referirem, serão disponibilizadas as demonstrações financeiras dos FUNDOS, acompanhadas do parecer do auditor independente.
</t>
  </si>
  <si>
    <t xml:space="preserve">As informações dos FUNDOS indicadas acima, quando solicitadas expressamente, serão enviadas ao DISTRIBUIDOR por meio de correio eletrônico para bbdtvm.alocacao@bb.com.br. </t>
  </si>
  <si>
    <t>O acesso do DISTRIBUIDOR à informações não públicas referentes aos FUNDOS, em especial as carteiras, será regulado por instrumento específico a ser celebrado com o GESTOR para este propósito.</t>
  </si>
  <si>
    <r>
      <t xml:space="preserve">AGENTE AUTÔNOMO: O DISTRIBUIDOR </t>
    </r>
    <r>
      <rPr>
        <b/>
        <u/>
        <sz val="12"/>
        <color rgb="FF000000"/>
        <rFont val="Arial Narrow"/>
        <family val="2"/>
      </rPr>
      <t>não</t>
    </r>
    <r>
      <rPr>
        <sz val="12"/>
        <color rgb="FF000000"/>
        <rFont val="Arial Narrow"/>
        <family val="2"/>
      </rPr>
      <t xml:space="preserve"> poderá se utilizar de agentes autônomos na distribuição de que trata o Contrato.</t>
    </r>
  </si>
  <si>
    <t>Anexo 2 - AO CONTRATO DE DISTRIBUIÇÃO DE COTAS DE FUNDOS DE INVESTIMENTO</t>
  </si>
  <si>
    <t xml:space="preserve">O DISTRIBUIDOR, em atendimento ao que dispõe o Código de Regulação e Melhores Práticas para os Fundos de Investimento da Associação Brasileira das Entidades dos Mercados Financeiro e de Capitais (ANBIMA), obriga-se a dar conhecimento aos Clientes, na forma que julgar pertinente, desde que acessível a estes, dos seguintes teores, conforme o caso e respeitadas as restrições relativas ao recebimento de remuneração, conforme previstas na regulamentação em vigor e mencionadas no presente Contrato, em especial nas Cláusulas 1.3 a 1.3.3 acima:
a) que o DISTRIBUIDOR pode receber remuneração a título de prestação de serviços de distribuição das cotas dos FUNDOS em que os Clientes aplicarão seus recursos;
b) que o administrador, gestor, ou partes a eles relacionadas, podem receber remuneração pela alocação dos recursos dos FUNDOS nos fundos investidos; e
c) que, em ambos os casos, esta remuneração pode ser diferenciada em função dos diversos fundos de investimento recebendo aplicações.
</t>
  </si>
  <si>
    <t xml:space="preserve">O DISTRIBUIDOR obriga-se a comunicar ao ADMINISTRADOR, por escrito, reclamação de qualquer natureza, judicial ou extrajudicial, apresentada por autoridade judicial ou fiscalizadora, terceiro, entidade de proteção de consumidores ou, ainda, alguém do público destinatário da publicidade relativa aos FUNDOS, que possa, direta ou indiretamente, prejudicar a imagem ou os interesses dos FUNDOS, do ADMINISTRADOR ou do GESTOR, observado que:
a)  a comunicação deverá ser feita imediatamente após o DISTRIBUIDOR tomar conhecimento da reclamação, sobretudo quando estiverem sujeitas a prazos decadenciais, prescricionais ou preclusivos;
b)  o DISTRIBUIDOR, nos limites de sua competência, fornecerá ao ADMINISTRADOR todos os subsídios necessários à defesa dos interesses dos FUNDOS, do ADMINISTRADOR ou do GESTOR relacionados com a reclamação ou ação acima referidas.
</t>
  </si>
  <si>
    <t>Na qualidade de prestador de serviço aos FUNDOS, o DISTRIBUIDOR terá acesso a informações a eles relativas que nem sempre estarão disponíveis a Clientes ou terceiros, na forma da regulamentação em vigor.</t>
  </si>
  <si>
    <t xml:space="preserve">SIGILO </t>
  </si>
  <si>
    <t>SIGILO</t>
  </si>
  <si>
    <t>As PARTES e os INTERVENIENTES obrigam-se, por este Contrato, por si, seus diretores e demais representantes, prepostos e empregados, agentes, consultores e empresas contratadas a manter o mais absoluto sigilo sobre todas as informações dados, materiais e documentos dos FUNDOS, assim como sobre todas as informações que tomar conhecimento relativamente às atividades e à operação das outras PARTES e INTERVENIENTES.</t>
  </si>
  <si>
    <t>Em decorrência da obrigação de confidencialidade que ora, voluntariamente, assume, o DISTRIBUIDOR obriga-se a não divulgar, comunicar e nem fazer uso de quaisquer dessas informações, dados, materiais e documentos, para finalidade diversa da prevista no presente Contrato, sob pena de arcar com as perdas e danos decorrentes desses atos e de responder perante terceiros e perante os poderes públicos competentes pela infringência às disposições desta cláusula.</t>
  </si>
  <si>
    <t xml:space="preserve">As PARTES declaram estar adequadas à legislação do Foreign Account Tax Compliance Act (FATCA), conforme o conteúdo a seguir, o qual dispõe sobre algumas responsabilidades atribuíveis ao DISTRIBUIDOR.
Definições:
• FATCA: Foreign Account Tax Compliance Act, legislação dos E.U.A. objeto do Capítulo 4, do Internal Revenue Code e convenções internacionais ocasionalmente firmadas pelo Brasil relativas ao reporte automático de informações sobre contas financeiras, bem como legislação correlata;
• GIIN: Número de Identificação de Intermediário Global, Global Intermediary Identification Number, fornecido pelas autoridades fiscais dos E.U.A. mediante registro no portal FATCA;
• Pessoa dos EUA: pessoa física residente para fins fiscais nos E.U.A., cidadã ou nacional dos E.U.A. bem como entidade com controladores ou titulares substanciais que são pessoa física residente para fins fiscais nos E.U.A., cidadã ou nacional dos E.U.A.;
• Controladores: pessoas físicas que controlam, direta ou indiretamente, a entidade, nos termos da legislação brasileira;
• Titulares substanciais: pessoas físicas que detêm individualmente 10% ou mais de participação direta ou indireta, societária ou contratual, no lucro ou no capital de uma entidade;
• PFFI: instituição financeira participante do FATCA que cumpre integralmente as obrigações de diligência e reporte.
</t>
  </si>
  <si>
    <t>Caso o DISTRIBUIDOR tenha razões para acreditar que as declarações fornecidas em tais formulários ou contratos são incorretas ou incompletas, ou se tornaram incorretas ou incompletas em razão de alteração nas circunstâncias de fato, ou ainda tenha razões para acreditar que tal(tais) investidor(es) é(são) Pessoa dos EUA ou pessoa com indícios de Pessoa dos EUA, deverá notificar o ADMINISTRADOR, por escrito, a respeito dessas razões, em até 10 (dez) dias da data em que tomar conhecimento de qualquer informação que torne as declarações prestadas incorretas, incompletas ou da data em que tomar conhecimento de dados relativos à Pessoa dos EUA ou respectivo indício, requerendo simultaneamente ao investidor a atualização dos formulários e contratos fornecidos, para endereçar tais informações, em até 30 (trinta) dias, conforme oportuno.</t>
  </si>
  <si>
    <t>O DISTRIBUIDOR declara, para todos os fins legais no Brasil e no exterior, sob as penas da lei, que desde 06 de agosto de 2011 o DISTRIBUIDOR e nenhum de seus prepostos ou agentes auxiliaram quaisquer investidores a evitar a aplicação do FATCA ou a evitar a identificação de contas ou investimentos para fins de FATCA.</t>
  </si>
  <si>
    <t xml:space="preserve">A utilização, por qualquer uma das PARTES e/ou INTERVENIENTES, do nome, marcas e logomarcas das outras PARTES e INTERVENIENTES depende de prévia aprovação, por escrito, da PARTE ou INTERVENIENTE detentor da marca.
</t>
  </si>
  <si>
    <t>Fica ajustado entre as PARTES e os INTERVENIENTES que o presente Contrato, bem como seus eventuais instrumentos aditivos, poderão ser assinados digitalmente, desde que presentes os requisitos legais para essa modalidade de assinatura, condicionado a que as PARTES e os INTERVENIENTES estejam de acordo em fazer uso dessa prerrogativa.</t>
  </si>
  <si>
    <t xml:space="preserve">Relação dos FUNDOS: ADAM MACRO II FIC FI MULT
ADAM MACRO STRATEGY II FIC FI MULT
ADAM MACRO STRATEGY II D60 FIC FI MULT
</t>
  </si>
  <si>
    <t>A remuneração relativa à taxa de admnistraçaõ será apurada sobre o saldo total diário aplicado dos Clientes apresentados pelo DISTRIBUIDOR em cada um dos FUNDOS aplicando-se o percentual definido na tabela abaixo.</t>
  </si>
  <si>
    <t>A remuneração  relacionada à taxa de perfomance será apurada de acordo com o saldo total aplicado dos Clientes apresentador pelo DISTRIBUIDOR em cada um dos FUNDOS, no dia do término do período, aplicando-se o percentual definido na tablea abaixo sobe o valor de perfomance devidamente calculado de acordo o com o regulamento de cada FUNDO. Como término do período será utlizado a respectiva data-base para aferição da taxa de perfomance ou resgate das cotas, o que ocorrer primeiro.</t>
  </si>
  <si>
    <t>Os percentuais definidos na tabela abaixo aplicar-se-ão sobre a parcela da taxa de admnistração e também sobre as taxas de perfomance efetivamente provisionadas pelos FUNDOS contra o recebimento das aplicações dos Clientes, durante o período compreendido entre a emissão de tais e or resgate das mesmas.</t>
  </si>
  <si>
    <t>A Remuneração ajustada na cláusula anterior será paga mensalmente até o 5º (quinto) dia útil de cada mês subsequente ao vencido, observado o previsto nos regulamentos dos Fundos e neste Contrato, sendo pago enquanto os recursos captados pelo DISTRIBUIDOR estiverem aplicados nos Fundos Investidos e este Contrato estiver em vigor, observado item “b” abaixo.
I) O GESTOR encaminhará mensalmente ao DISTRIBUIDOR uma memória de cálculo detalhada sobre os valores a serem pagos a título de remuneração pela distribuição até a data do seu respectivo pagamento.
II) O pagamento da remuneração pela distribuição será realizado por meio de crédito em conta corrente em favor do DISTRIBUIDOR, na sua respectiva conta corrente, listada abaixo, valendo a compesação do crédito como prova de pagamento da remuneração descrita neste anexo. III) Sem prezuízo das demais obrigações do DISTRIBUIDOR previstas no Contrato, o DISTRIBUIDOR se compromete a informar ao ADMNISTRADOR, previamente, quaisquer Clientes em relação aos quais o recebimento de remuneração pelo DISTRIBUIDOR configuraria infração ao disposto art.92, 2º da Instrução CVM 555, de modo que a remuneração de distribuição aqui prevista não incidirá sobre os invetimentos dos referidod Clientes nos FUNDOS.</t>
  </si>
  <si>
    <t xml:space="preserve">O DISTRIBUIDOR terá acesso à informações dos FUNDOS, por meios publicamente disponíveis para esta finalidade ou mediante solicitação prévia e expressa ao ADMINISTRADOR ou ao GESTOR, conforme o caso, nos termos da regulamentação aplicável e de acordo com a política de divulgação de informações a terceiros prevista nos respectivos Regulamentos e desde que sejam observadas as práticas adotadas pelo GESTOR para a divulgação de documentos e informações:
(i)  diariamente, serão disponibilizadas as informações sobre o valor das cotas e o valor do patrimônio líquido dos FUNDOS; IV) o DISTRIBUIDOR continuará a receber a remuneração prevista neste item durante o prazo 6(seis) meses contados do término do Contrato e enquanto houver rcursos dos Clientes nos FUNDOS. Na ocorrência das hipóteses de rescisão relacionadas nos itens 5.5 e 5.6 do Contrato, quando o DISTRIBUIDOR for a parte que der causa à rescisão , não será mais devida qualquer remuneração ao DISTRIBUIDOR após o término do Contrato.
(ii)  mensalmente, até o 15º (décimo quinto) dia do mês, ou dia útil seguinte, será disponibilizado no formato XML, com defasagem de 60 (sessenta) dias contados do encerramento do mês de referência, o arquivo com a composição e diversificação da carteira de investimentos dos FUNDOS, cuja confidencialidade das informações será regulada em instrumento apropriado; e  
(iv) mensalmente, até o 15º (décimo quinto) dia após o encerramento do mês a que se referirem, serão disponibilizados:
I. o extrato mensal contendo informações sobre os investimentos dos FUNDOS, conforme descrito nos Regulamentos; e
II. outras informações disponibilizadas nessa mesma periodicidade à CVM; 
III. no prazo de 15 (quinze) dias contados de eventual alteração dos Regulamentos, serão disponibilizadas as informações referentes à alteração dos Regulamentos que forem enviadas nessa mesma periodicidade à CVM;
IV. anualmente, no prazo de 90 (noventa) dias, contados a partir do encerramento do exercício a que se referirem, serão disponibilizadas as demonstrações financeiras dos FUNDOS, acompanhadas do parecer do auditor independente.
</t>
  </si>
  <si>
    <t>AGENTE AUTÔNOMO: O DISTRIBUIDOR não poderá se utilizar de agentes autônomos na distribuição de que trata o Contrato.</t>
  </si>
  <si>
    <t>Os tributos que forem devidos em decorraência direta ou indreta do predente Contratom ou e sua execução, contrituem ônus de responsabilidade do contribuinte, conforme definido na klegisção tributária.</t>
  </si>
  <si>
    <t>Fica estabelecido, ademais, que qualquer FUNDO que aderir a este Contrato poderá, isoladamente, denunciar sua adesão da mesma forma prevista na cláusula 5.2. anterior, sem prejuízo da manutenção do Contrato entre as PARTES e os INTERVENIENTES ora signatários, em benefício de outros FUNDOS.</t>
  </si>
  <si>
    <t>A resilição deste Contrato por qualuqer das Partes e/ou dos Intervenientes Anuentes, não implicará em qualuqer alteração nas condições dos Investidores, os quais poderão manter sias aplicações nos Fundos.</t>
  </si>
  <si>
    <t>O presente instrumento constitui o acordo integral entre as PARTES e os INTERVENIENTES, superando quaisquer entendeimentos orais ou escritos anteriores, não caracterizando qualuqer forma de associação ou joint-venture entre as PARTES e os INTERVENIENTES.</t>
  </si>
  <si>
    <t xml:space="preserve">Relação dos FUNDOS: ADAM ADVANCED II FIC FIM CRED PRIV IE
ADAM MACRO II FIC FIM
</t>
  </si>
  <si>
    <t>A remuneração devida ao DISTRIBUIDOR será descontado da taxa de admnsitração e da taxa de perfmance considerando os percentuais abaixo indicados;</t>
  </si>
  <si>
    <t>Os FUNDOS pagarão ao DISTRIBUIR  o valor equivalente a uma porcentagem, conforme definido na tabela correspondente ao grupo a que o FUNDO pertença (definido no item 1 deste Anexo I), calculada sobre o montante pago pelo FUNDOS ao GESTOR dos FUNDOS a título de taxa de admnistração  e taxa de perfomance, de acordo com o estabelecido nos regulamentos dos FUNDOS.</t>
  </si>
  <si>
    <t>Para a determinação do montante, serão deduzidos os custos e as despesas relacionados com administração da carteira. A taxa de administração e a taxa de performance serão calculadas e pagas ao DISTRIBUIDOR em estrita observância ao previsto nos regulamentde cada um dos Fundos Investidos e neste Contrato. O percentual a ser aplicado na taxa de admnistração e na taxa de perfomance será determinado em função da tabela abaixo:</t>
  </si>
  <si>
    <t xml:space="preserve">O Pagamento ao DISTRIBUIDOR dar-se-á por Documento de Ordem  de Crédito (DOC), Tranferência Eletrônica Disponível(TED) ou Transferência Interna de Recursos a favor do DISTRIBUIDOR na conta mantida no Banco Bradesco S.A.(237), Agência nº4012, conta corrente  nº 001-9, até o 5º(quinto) dia útil do mês subsequente ao referido conforme o disposto nete Capítulo, valendo a compensação como prova de pagamento das quantias correspondetes. </t>
  </si>
  <si>
    <t>BRE AAI</t>
  </si>
  <si>
    <t>o BNY MELLON é uma pessoa jurídica regularmente constituída e em funcionamento no  país, devidamente autorizada e habilitada pela Comissão de Valores Mobiliários ("CVM") tanto  para administrar fundos de investimento, como para realizar a atividade de distribuição de cotas de fundos de investimento, sendo administrador dos FUNDOS e instituição integrante do sistema  de distribuição de valores mobiliários</t>
  </si>
  <si>
    <t>o GESTOR é uma instituição regularmente constituída e em funcionamento no país, 
devidamente autorizada e habilitada pela CVM para gerir carteiras de fundos de investimento, 
sendo este o gestor da carteira de investimentos dos FUNDOS, e tem interesse em aumentar a 
captação dos mesmos e incrementar o número de cotistas;</t>
  </si>
  <si>
    <t>a regulamentação em vigor estabelece que os administradores de fundos de investimento 
podem contratar, em nome dos fundos, prestadores de serviço para, dentre outras finalidades, 
realizar a distribuição de suas respectivas cotas no mercado, devendo a contratação ser feita pelos 
próprios fundos, com a interveniência do administrador, a quem cabe a análise e seleção do 
contratado;</t>
  </si>
  <si>
    <t>o AAI declara possuir todas as licenças e certificações necessárias para exercer, nos 
termos da regulação e autorregulação em vigor, as atividades relacionadas na Cláusula Primeira 
do presente Contrato, bem como atender a todos os requisitos inerentes ao exercício da atividade, 
estando livre de qualquer fato impeditivo ou ilegal que vede ou limite o exercício regular de suas 
atribuições; e</t>
  </si>
  <si>
    <t xml:space="preserve">o AAI celebrou contrato pelo qual se vinculou ao BNY MELLON para realizar a atividade 
de agente autônomo de investimento para os FUNDOS distribuídos pelo BNY MELLON, estando 
apto a prestar o serviço almejado pelo GESTOR para incrementar a captação dos FUNDOS;
</t>
  </si>
  <si>
    <t xml:space="preserve">O objeto deste Contrato é estabelecer as condições pelas quais o AAI fará a distribuição 
de cotas dos FUNDOS, como preposto e sob responsabilidade do BNY MELLON, para realizar, 
exclusivamente, as seguintes atividades: 
(i) prospecção e captação de clientes;
(ii) recepção e registro de ordens e transmissão dessas ordens para os sistemas de 
negociação ou de registro cabíveis, na forma da regulamentação em vigor; e
(iii) prestação de informações sobre os FUNDOS e sobre os serviços prestados pelo BNY 
MELLON. </t>
  </si>
  <si>
    <t>O AAI prestará serviços de distribuição de cotas dos FUNDOS para potenciais investidores, tais como, pessoas jurídicas ou físicas, domiciliadas no país ou no exterior, incluindo fundos de investimento (em conjunto "Clientes" e, individualmente, "Cliente"), observando-se o respectivo público alvo descrito no regulamento do FUNDO e respeitado o disposto nas Cláusulas 1.2.1 a 1.2.3 abaixo.</t>
  </si>
  <si>
    <t>1.2.1</t>
  </si>
  <si>
    <t>Na hipótese dos Clientes serem fundos de investimento administrados e/ou geridos por 
parte relacionada ao AAI, deverão ser observadas as restrições previstas na regulamentação em 
vigor, incluindo, mas não se limitando ao disposto no §2º do art. 92 da Instrução CVM 555.</t>
  </si>
  <si>
    <t>1.2.2</t>
  </si>
  <si>
    <t>O AAI declara ainda, para os devidos fins, que a remuneração a que faz jus pelos serviços 
descritos na Cláusula 1.1 acima não se enquadra na vedação prevista no art. 92, §2º da Instrução 
CVM 555, observadas as exceções previstas no §3º do referido art. 92</t>
  </si>
  <si>
    <t>1.2.3</t>
  </si>
  <si>
    <t>Tendo em vista o disposto na Cláusula 1.2.2 acima, o AAI compromete-se a informar ao 
BNY MELLON e ao GESTOR, previamente, quaisquer Clientes em relação aos quais o 
recebimento de remuneração pelo AAI configuraria infração ao disposto no art. 92, §2º da Instrução 
CVM 555, de modo que não será devida a remuneração de distribuição prevista neste Contrato 
em relação aos investimentos dos referidos Clientes nos FUNDOS.</t>
  </si>
  <si>
    <t>1.2.4</t>
  </si>
  <si>
    <t>Caso o BNY MELLON ou o GESTOR venham a sofrer qualquer prejuízo ou punição 
decorrente do comprovado descumprimento das disposições das Cláusulas 1.2.1 a 1.2.3 acima, o 
AAI deverá indenizá-los em relação aos respectivos prejuízos comprovadamente incorridos.</t>
  </si>
  <si>
    <t>O AAI obriga-se:
a) a somente realizar a distribuição de cotas de forma identificada, sendo expressamente 
vedada a utilização do mecanismo de Subscrição por Conta e Ordem, nos termos da Instrução 
CVM 555;
b) a obter de cada Cliente e enviar ao BNY MELLON todos os documentos cadastrais dos 
Clientes exigidos pela lei ou regulamentação em vigor, incluindo, mas não se limitando, a ficha 
cadastral, termo de adesão ao regulamento dos FUNDOS, termo de ciência nos termos do Anexo 
92 à Instrução CVM 555, se aplicável, formulário de suitability e Termo de Ciência de Atuação de 
Agente Autônomo de Investimento, todos devidamente preenchidos e assinados, sempre 
anteriormente à primeira captação de recursos para os FUNDOS ou quando forem atualizados, 
conforme modelos fornecidos pelo BNY MELLON;
c) utilizar corretamente todas e quaisquer informações que lhe forem fornecidas pelo BNY 
MELLON, assegurando que não haverá distorção ou modificação de conceitos apresentados na 
documentação dos FUNDOS, declarando, ademais, que não modificará nem fará qualquer 
alteração, de qualquer espécie, nos documentos, eletrônicos ou não, que lhe forem encaminhados 
pelo BNY MELLON, incluindo, mas não se limitando, os padrões de regulamento, lâmina de 
informações essenciais (quando aplicável) e demais documentos dos FUNDOS;
d) comunicar imediatamente ao BNY MELLON, por escrito, a suspensão ou o cancelamento 
do seu credenciamento para o exercício da atividade de AAI;
e) manter atualizado seu cadastro, licenças e certificações junto aos órgãos reguladores e 
autorreguladores;
f) zelar pela confidencialidade das informações as quais tenha acesso no exercício de sua 
atividade;
g) colocar à disposição do BNY MELLON todos os documentos e informações que se fizerem 
necessários para fins de supervisão e fiscalização, sempre que o BNY MELLON assim demandar, 
assim como permitir o acesso a suas dependências; 
h) cumprir os procedimentos estabelecidos pelo BNY MELLON e manter controles, registros 
e informações dos Clientes, de modo suficiente e adequado a permitir a análise da compatibilidade 
entre a capacidade patrimonial e as ordens deles recebidas, a movimentação de seus recursos e 
suas atividades econômicas, nos termos da Lei nº 9.613/98, conforme alterada, a Circular nº 
3.461/09 e a Carta-Circular nº 3.542/12, ambas editadas pelo Bacen;
i) cumprir todas as regras e determinações dos órgãos reguladores e autorreguladores no 
que se refere à identidade dos potenciais Clientes que indicar para as aplicações nos FUNDOS, 
atuando com a máxima diligência na seleção dos Clientes, declarando, neste ato, conhecer e 
atender a íntegra da legislação sobre fundos de investimento, em especial:
(i) as regras de adequação dos investimentos ofertados aos seus Clientes (suitability), 
adotando procedimentos formais que possibilitem verificar a adequação dos FUNDOS ao perfil de 
investimentos de seus Clientes, coletando informações dos clientes que demonstrem sua situação 
financeira, experiência em matéria de investimento e os objetivos de investimento, visando definir 
o perfil de investimento dos Clientes, devendo dedicar especial atenção aos que estejam sujeitos 
à regulamentação específica sobre a alocação de seus respectivos investimentos, empregando 
toda diligência e cuidado necessários para evitar que estes Clientes ingressem em fundos de 
investimento que não atendam aos requisitos regulatórios a eles aplicáveis;
(ii) as regras de prevenção e combate ao crime de lavagem de dinheiro e de financiamento 
ao terrorismo, empregando toda a diligência necessária para verificar a origem e natureza dos 
recursos dos Clientes, em consonância com a legislação aplicável.
j) dar conhecimento aos Clientes, na forma que julgar pertinente, desde que acessível a 
estes, conforme o caso e respeitadas as restrições relativas ao recebimento de remuneração, 
conforme previstas na regulamentação em vigor e mencionadas no presente Contrato, em especial 
nas Cláusulas 1.2 a 1.2.3 acima:
(i) que o AAI pode receber remuneração a título de prestação de serviços de distribuição das 
cotas dos FUNDOS em que os Clientes aplicarão seus recursos;
(ii) que o ADMINISTRADOR, GESTOR, AAI, ou partes a eles relacionadas, podem receber 
remuneração pela alocação dos recursos dos FUNDOS nos fundos investidos; e
(iii) que, em ambos os casos, esta remuneração pode ser diferenciada em função dos diversos 
fundos de investimento recebendo aplicações.</t>
  </si>
  <si>
    <t>O AAI declara conhecer o inteiro teor dos regulamentos e demais documentos dos 
FUNDOS incluindo, sem limitação, as respectivas políticas de investimento, regras atinentes à 
aplicação e resgate de cotas, riscos envolvidos e taxas de administração e performance, bem 
como as demais taxas e despesas praticadas pelos FUNDOS, obrigando-se ainda a informá-las 
com total clareza aos Clientes;</t>
  </si>
  <si>
    <t>O AAI concorda em sujeitar-se à fiscalização e ao monitoramento de suas atividades pelo 
BNY MELLON, obrigando-se, inclusive, a apresentar a este, a qualquer tempo, a documentação 
referente à execução dos serviços prestados de distribuição e mediação de valores mobiliários.</t>
  </si>
  <si>
    <t>É vedado ao AAI:
a) receber dos Clientes ou em nome destes, ou a eles entregar, por qualquer razão, inclusive 
a título de remuneração pela prestação de quaisquer serviços, numerário, títulos, valores 
mobiliários ou quaisquer outros ativos;
b) desenvolver qualquer atividade em desacordo com as políticas comerciais, operacionais 
e de negócios estabelecidas pelo BNY MELLON;
c) ser procurador ou representante, a qualquer título, dos Clientes.
d) usar senhas ou assinaturas eletrônicas de uso exclusivo dos Clientes para transmissão 
de ordens por meio de sistema eletrônico;
e) confeccionar e enviar para os Clientes extratos contendo informações sobre as operações 
realizadas ou posições em aberto;
f) contratar com os Clientes ou realizar, ainda que a título gratuito, serviços de gestão, 
consultoria ou análise de ativos financeiros;
g) utilizar indevidamente informações que possa vir a obter por meio da prestação dos 
Serviços aqui descritos para beneficiar-se;
h) delegar a terceiros, total ou parcialmente, a execução dos Serviços aqui descritos; e
i) agir em desconformidade com os controles internos do BNY MELLON, conforme regras, 
procedimentos e controles internos por ele disponibilizados.</t>
  </si>
  <si>
    <t>O BNY MELLON se obriga a:
a) fornecer ao AAI material escrito contendo as regras, procedimentos e controles internos 
adotados pelo BNY MELLON;
b) inscrever o AAI na página eletrônica da ANCORD, no prazo máximo de 5 (cinco) dias úteis 
a contar desta data, bem como retirar o AAI da referida página, quando da rescisão deste Contrato, 
em igual prazo;
c) fornecer ao AAI toda a documentação relativa aos FUNDOS que deva ser disponibilizada 
aos Clientes por ocasião da distribuição das cotas, incluindo regulamento, formulário de 
informações complementares, termo de adesão, lâmina de informações essenciais, se aplicável, 
bem como materiais de divulgação e outros documentos exigidos pela regulamentação em vigor, 
obrigando-se, ainda, a informar e disponibilizar ao AAI qualquer alteração da documentação dos 
FUNDOS até a data de sua entrada em vigor.</t>
  </si>
  <si>
    <t>As PARTES e INTERVENIENTES declaram:
a) conhecer o inteiro teor dos termos da regulação e da autorregulação aplicáveis ao 
presente Contrato e respeitá-los durante a vigência deste Contrato; e
b) ciência de que todo material de divulgação relativo aos FUNDOS deverá ser previamente 
disponibilizado pelo BNY MELLON ou submetido à aprovação prévia do GESTOR e, em seguida, 
à aprovação final do BNY MELLON.</t>
  </si>
  <si>
    <t>Cada uma das PARTES e INTERVENIENTES responderá isoladamente perante a CVM, 
ANBIMA, ANCORD ou outros órgãos reguladores competentes pelos atos que praticar no 
exercício de suas funções decorrentes deste instrumento.</t>
  </si>
  <si>
    <t>O BNY MELLON responde, perante os Clientes e perante quaisquer terceiros, pelos atos 
praticados pelo AAI, sendo resguardado, contudo, o direito do BNY MELLON de responsabilizar o 
AAI por eventuais prejuízos decorrentes de comprovada culpa ou dolo na prestação de serviços 
de distribuição de cotas dos FUNDOS realizados pelo AAI, devendo este último, nestes casos, 
responsabilizar-se pelas multas, atualizações monetárias e juros daí decorrentes e que venham a 
ser cobrados por Clientes, reguladores, autorreguladores e demais terceiros interessados.</t>
  </si>
  <si>
    <t>O GESTOR obriga-se a manter saldo suficiente nos FUNDOS para pagamento da 
remuneração do AAI, conforme detalhado no Anexo I e/ou no Termo de Adesão. Na hipótese de 
insuficiência de saldo que não permita ao FUNDO realizar o pagamento da remuneração do AAI, 
o GESTOR obriga-se a assumir imediatamente o pagamento da referida remuneração, podendo 
o principal ser reembolsado pelo FUNDO futuramente, devendo arcar, contudo, com qualquer 
multa e/ou valor que venha a ser cobrado ou gerado, não importando a natureza deste, em razão 
de atraso no referido pagamento.</t>
  </si>
  <si>
    <t>A fim de atender às exigências nos Códigos emitidos pela ANBIMA, o AAI declara ter 
ciência de que o BNY MELLON o submeterá à avaliação periódica através de um processo de 
“Due Diligence”.</t>
  </si>
  <si>
    <t xml:space="preserve">2.11. </t>
  </si>
  <si>
    <t>O AAI declara, ainda, que faz parte do seu procedimento de KNOW YOUR CLIENT/ANTI MONEY LAUNDRY a verificação da lista denominada Specially Designated Nationals (“SDN List”),
publicada pelo OFAC - Office of Foreign Assets Control (Escritório de Controle de Ativos 
Estrangeiros) do Departamento do Tesouro dos Estados Unidos da América, e da lista do 
Conselho de Segurança das Nações Unidas (“Lista CSNU”), conforme legislação e 
regulamentação em vigor, com o objetivo de verificar se os seus potenciais Clientes e Clientes 
efetivos encontram-se nestas listas. Caso seus potenciais Clientes sejam mencionados na referida 
SDN List e/ou da Lista CSNU, o AAI obriga-se a não os aprovar em seus processos internos, 
garantindo, portanto, que os mesmos não se tornem cotistas dos FUNDOS. Em relação aos 
Clientes efetivos, o AAI se responsabiliza a fazer as checagens devidas durante todo o 
relacionamento que mantenha com os mesmos e, caso verifique que tais Clientes passaram a 
fazer parte da SDN List e/ou da Lista CSNU, se compromete a adotar todas as medidas 
necessárias em relação aos referidos Clientes de acordo com as regras e requerimentos do OFAC 
e da legislação e regulamentação em vigor.</t>
  </si>
  <si>
    <t>As PARTES devem cumprir todas as medidas as medidas estabelecidas nas resoluções 
sancionatórias do CSNU ou as designações de seus comitês de sanções que determinem a 
indisponibilidade de ativos, de quaisquer valores, de titularidade, direta ou indireta, de pessoas 
naturais, de pessoas jurídicas ou de entidades, nos termos da legislação e da regulamentação em 
vigor, sem prejuízo do dever de cumprir determinações judiciais de indisponibilidade.</t>
  </si>
  <si>
    <t>As aplicações e resgates serão efetivadas na forma estabelecida no regulamento e demais 
documentos de cada FUNDO, observados, ainda, os critérios e condições descritos neste 
Contrato.</t>
  </si>
  <si>
    <t>As ordens de crédito para aplicação nos FUNDOS serão feitas por Documento de Ordem 
de Crédito ("DOC"), Transferência Eletrônica Disponível ("TED") ou através da B3 S.A. – Brasil, 
Bolsa e Balcão (antiga CETIP), diretamente da conta de titularidade do Cliente para as contas dos 
FUNDOS no banco custodiante, sem transitar por qualquer conta do AAI ou de terceiros.</t>
  </si>
  <si>
    <t>Nos termos da regulamentação em vigor, o ADMINISTRADOR poderá fechar os FUNDOS
para novas aplicações, devendo informar imediatamente o AAI acerca do referido fechamento.</t>
  </si>
  <si>
    <t>No caso de fechamento dos mercados e/ou em casos excepcionais de iliquidez dos ativos 
financeiros componentes da carteira de algum dos FUNDOS, inclusive em decorrência de pedidos 
de resgates incompatíveis com a liquidez existente, ou que possam implicar alteração do 
tratamento tributário do respectivo FUNDO ou do conjunto dos cotistas, em prejuízo destes  últimos, o ADMINISTRADOR, nos termos da legislação vigente, pode declarar o fechamento do 
FUNDO para a realização de resgates, devendo o FUNDO permanecer fechado para aplicações 
enquanto perdurar o período de suspensão de resgates. Nesse caso o AAI deve ser 
imediatamente informado pelo ADMINISTRADOR.</t>
  </si>
  <si>
    <t xml:space="preserve">Os recursos provenientes dos resgates dos FUNDOS serão remetidos única e 
exclusivamente para contas correntes de titularidade do Cliente previamente cadastradas no 
ADMINISTRADOR. </t>
  </si>
  <si>
    <t>As movimentações dos FUNDOS (aplicação e resgate) poderão ser repassadas pelo AAI, 
conforme prévia solicitação do Cliente, hipótese em que o AAI deverá manter procedimentos
internos adequados para verificar a origem e a veracidade da emissão da ordem dada pelo Cliente, 
mantendo consigo os comprovantes pertinentes.</t>
  </si>
  <si>
    <t xml:space="preserve">Excepcionalmente, a critério do ADMINISTRADOR, a remessa de recursos poderá ser 
realizada em favor de contas correntes que não tenham sido previamente cadastradas, o que 
dependerá de cumprimento estrito do procedimento estabelecido exclusivamente pelo 
ADMINISTRADOR para tal.
</t>
  </si>
  <si>
    <t>3.8.</t>
  </si>
  <si>
    <t>É vedada a distribuição de cotas para Clientes que se qualifiquem como RPPS – Regimes 
Próprios de Previdência Social.</t>
  </si>
  <si>
    <t xml:space="preserve">Pela prestação dos serviços de distribuição das cotas, o AAI fará jus à remuneração 
estabelecida no Anexo I e/ou no Termo de Adesão.
</t>
  </si>
  <si>
    <t>A remuneração será calculada conforme detalhado no Anexo I e/ou no Termo de Adesão, 
tomando-se como base o saldo diário de aplicações mantido nos FUNDOS pelos Clientes e 
obedecerá aos mesmos critérios de apropriação e pagamento previstos nos regulamentos dos 
FUNDOS para o pagamento da taxa de administração e da performance aos prestadores de 
serviços do FUNDO, devendo ser paga ao AAI por meio de transferência de recursos para conta 
corrente de titularidade do AAI a ser devidamente informado ao ADMINISTRADOR.</t>
  </si>
  <si>
    <t>4.2.1</t>
  </si>
  <si>
    <t>O GESTOR realizará o cálculo da remuneração devida pelos FUNDOS ao AAI, devendo 
enviar a memória de cálculo para que o ADMINISTRADOR processe o pagamento, 
responsabilizando-se, portanto, pelo referido cálculo perante as PARTES e o ADMINISTRADOR.</t>
  </si>
  <si>
    <t>O pagamento da remuneração devida ao AAI será feito diretamente pelos FUNDOS, de 
acordo com os termos e condições estabelecidos no Anexo I e/ou no Termo de Adesão, cabendo 
ao AAI, com exclusividade, a qualidade de contribuinte, para os fins fiscais, ressalvada a 
responsabilidade do ADMINISTRADOR pela retenção na fonte de quaisquer tributos sobre os 
valores pagos como remuneração.</t>
  </si>
  <si>
    <t>4.4.</t>
  </si>
  <si>
    <t>É de inteira responsabilidade do AAI o recolhimento de toda e qualquer taxa, tributo ou 
contribuição, devida a qualquer esfera da administração pública, que incida ou venha a incidir 
sobre a remuneração decorrente da prestação de serviços ora contratados.</t>
  </si>
  <si>
    <t xml:space="preserve">Nenhuma remuneração será devida ao AAI, seja a que título for, além daquelas definidas 
nos itens acima.
</t>
  </si>
  <si>
    <t>6.2.1</t>
  </si>
  <si>
    <t>6.2.2</t>
  </si>
  <si>
    <t>6.2.3</t>
  </si>
  <si>
    <t>CONFIDENCIALIDADE</t>
  </si>
  <si>
    <t xml:space="preserve">Adicionalmente, o AAI se obriga a manter sigilo e confidencialidade sobre todos os dados, 
informações, materiais, documentos, dentre outros que sejam relativas aos FUNDOS ou que 
venham a ser reveladas pelo GESTOR e/ou pelo ADMINISTRADOR, independentemente da mídia, forma ou do meio em que os receberem, em especial sobre a composição e diversificação 
das carteiras (ativos) e dos passivos dos FUNDOS, doravante denominadas em conjunto as 
INFORMAÇÕES. </t>
  </si>
  <si>
    <t xml:space="preserve">7.4. </t>
  </si>
  <si>
    <t xml:space="preserve">7.7. </t>
  </si>
  <si>
    <t>7.7.1.</t>
  </si>
  <si>
    <t xml:space="preserve">As partes declaram estar adequadas à legislação do Foreign Account Tax Compliance Act 
(FATCA), conforme o conteúdo a seguir, o qual dispõe sobre algumas responsabilidades 
atribuíveis às PARTES.
Definições:
 FATCA: Foreign Account Tax Compliance Act, legislação dos E.U.A. objeto do 
Capítulo 4, do Internal Revenue Code e convenções internacionais 
ocasionalmente firmadas pelo Brasil relativas ao reporte automático de 
informações sobre contas financeiras, bem como legislação correlata;
 GIIN: Número de Identificação de Intermediário Global, Global Intermediary 
Identification Number, fornecido pelas autoridades fiscais dos E.U.A. mediante 
registro no portal FATCA;
 Pessoa dos EUA: pessoa física residente para fins fiscais nos E.U.A., cidadã ou 
nacional dos E.U.A. bem como entidade com controladores ou titulares 
substanciais que são pessoa física residente para fins fiscais nos E.U.A., cidadã 
ou nacional dos E.U.A.;
 Controladores: pessoas físicas que controlam, direta ou indiretamente, a entidade, 
nos termos da legislação brasileira;
 Titulares substanciais: pessoas físicas que detêm individualmente 10% ou mais 
de participação direta ou indireta, societária ou contratual, no lucro ou no capital 
de uma entidade;
 PFFI: instituição financeira participante do FATCA que cumpre integralmente as 
obrigações de diligência e reporte.
</t>
  </si>
  <si>
    <t>O AAI deverá obter, junto ao Cliente investidor final, o preenchimento dos formulários, 
declarações e contratos fornecidos pelo ADMINISTRADOR, representando os FUNDOS, para 
atendimento da legislação brasileira e acordos intergovernamentais relacionados ao FATCA, bem 
como para identificação da qualificação FATCA do investidor, se aplicável.</t>
  </si>
  <si>
    <t xml:space="preserve">8.3. </t>
  </si>
  <si>
    <t xml:space="preserve">O AAI deverá atuar com diligência zelando pelo preenchimento correto e completo dessas 
informações. </t>
  </si>
  <si>
    <t xml:space="preserve">Caso o AAI tenha razões para acreditar que as declarações fornecidas em tais formulários 
ou contratos são incorretas ou incompletas, ou se tornaram incorretas ou incompletas em razão 
de alteração nas circunstâncias de fato, ou ainda tenha razões para acreditar que tal(tais) 
investidor(es) é(são) Pessoa dos EUA ou pessoa com indícios de Pessoa dos EUA, deverá 
notificar o ADMINISTRADOR, por escrito, a respeito dessas razões, em até 10 (dez) dias da data 
em que tomar conhecimento de qualquer informação que torne as declarações prestadas 
incorretas, incompletas ou da data em que tomar conhecimento de dados relativos a Pessoa dos 
EUA ou respectivo indício, requerendo simultaneamente ao investidor a atualização dos 
formulários e contratos fornecidos, para endereçar tais informações, em até 30 (trinta) dias, 
conforme oportuno.
</t>
  </si>
  <si>
    <t xml:space="preserve">O AAI declara, para todos os fins legais no Brasil e no exterior, sob as penas da lei, que 
desde 06 de Agosto de 2011 nem o AAI e nenhum de seus agentes auxiliaram quaisquer 
investidores a evitar a aplicação do FATCA ou a evitar a identificação de contas ou investimentos 
para fins de FATCA.
</t>
  </si>
  <si>
    <t xml:space="preserve">8.6. </t>
  </si>
  <si>
    <t>O AAI declara e garante ao GESTOR e ao ADMINISTRADOR que, (i) nesta data, nenhum 
Cliente pode ser considerado U.S. Person, e que (ii) não distribuiu cotas dos FUNDOS para 
Clientes que possam ser considerados U.S. Person. Além disso, se obriga a não distribuir ou 
permitir que seja realizado direta ou indiretamente investimento nos FUNDOS que sejam 
provenientes de U.S Person, devendo empregar a diligência necessária para identificar, dentre os 
seus clientes e investidores dos fundos investidores, aqueles que sejam US Person, ou que 
venham a se tornar U.S Person durante a vigência deste Contrato.</t>
  </si>
  <si>
    <t>8.6.1.</t>
  </si>
  <si>
    <t xml:space="preserve">Entende-se como U.S Person, para a finalidade desta cláusula, a pessoa nascida 
nos E.U.A.; a quem foi concedida cidadania norte-americana; com cidadania derivada; 
que possua Green Card; com presença substancial nos E.U.A.; e as que optaram por 
serem tratadas como residentes nos E.U.A.; a empresa limitada ou participada que seja 
constituída de acordo com as leis dos E.U.A. ou do Distrito de Columbia; a sociedade 
constituída de acordo com as leis de qualquer Estado norte-americano ou do Distrito de 
Columbia; qualquer fundação, associação ou entidade que seja americana; e qualquer 
trust ou fundo fiduciário norte-americano. </t>
  </si>
  <si>
    <t>8.6.2.</t>
  </si>
  <si>
    <t>O AAI deverá, conforme o caso, informar ao ADMINISTRADOR e ao GESTOR em 
até 10 (dez) dias da data em que tomar conhecimento, quando identificar investimentos 
que, direta ou indiretamente, possam ser provenientes de U.S Person nos FUNDOS, ou 
na hipótese de existirem indícios de que estes investimentos possam ser considerados 
como provenientes de U.S. Person.</t>
  </si>
  <si>
    <t>9.2.</t>
  </si>
  <si>
    <t>9.3.</t>
  </si>
  <si>
    <t>9.4.</t>
  </si>
  <si>
    <t>9.5.</t>
  </si>
  <si>
    <t>9.6.</t>
  </si>
  <si>
    <t>9.7.</t>
  </si>
  <si>
    <t>9.8.</t>
  </si>
  <si>
    <t>9.9.</t>
  </si>
  <si>
    <t>9.11.</t>
  </si>
  <si>
    <t>9.10.</t>
  </si>
  <si>
    <t xml:space="preserve">RELAÇÃO DOS FUNDOS E REMUNERAÇÃO DO AAI: ADAM WE ADVANCED FIC FIM </t>
  </si>
  <si>
    <t>1.1.1.</t>
  </si>
  <si>
    <t xml:space="preserve">A remuneração fixa mensal será reajustada anualmente com base na variação do Índice 
Geral de Preços - Mercado (IGP-M, divulgado pela Fundação Getúlio Vargas).
</t>
  </si>
  <si>
    <t xml:space="preserve">1.1.2. </t>
  </si>
  <si>
    <t>O AAI somente fará jus à remuneração caso realize a distribuição de cotas do FUNDO 
para ao menos um cotista.</t>
  </si>
  <si>
    <t>1.1.3.</t>
  </si>
  <si>
    <t xml:space="preserve">1.3. </t>
  </si>
  <si>
    <t>O AAI deverá emitir comprovante fiscal do pagamento efetuado a cada mês e enviá-lo ao 
ADMINISTRADOR.</t>
  </si>
  <si>
    <t>1.5.</t>
  </si>
  <si>
    <t>Após o término do Contrato, não será devida qualquer remuneração ao AAI</t>
  </si>
  <si>
    <t xml:space="preserve">ANEXO II - AO CONTRATO DE DISTRIBUIÇÃO DE COTAS DE FUNDOS DE INVESTIMENTO POR 
AGENTES AUTÔNOMOS DE INVESTIMENTO - MINUTA DE TERMO DE ADESÃO
</t>
  </si>
  <si>
    <t>I)</t>
  </si>
  <si>
    <t>de que o [___] (“AAI”) e certos fundos de investimento (“FUNDOS”), com anuência do ADMINISTRADOR e do GESTOR, firmaram Contrato de Distribuição de Cotas de Fundos de Investimento por Agente Autônomo de Investimento em [__] para fins específicos de distribuição, pelo AAI, de cotas dos FUNDOS (“Contrato”);</t>
  </si>
  <si>
    <t>de que os termos aqui destacados em letras maiúsculas seguem a mesma definição 
contida no Contrato;</t>
  </si>
  <si>
    <t xml:space="preserve">(iii) </t>
  </si>
  <si>
    <t>do inteiro teor do Contrato, cujo texto lhe foi entregue e devidamente lido, não havendo 
qualquer dúvida com relação a seus termos e condições.</t>
  </si>
  <si>
    <t>A remuneração do AAI será fixa e independente da receita gerada pelos Clientes nos 
FUNDOS, conforme o valor acima indicado, e será descontada das parcelas devidas pelos 
FUNDOS ao GESTOR a título de remuneração, mantendo íntegra a taxa de administração 
cobrada pelos FUNDOS dos cotistas e a remuneração devida pelos FUNDOS ao BNY MELLON:</t>
  </si>
  <si>
    <t>1.1.2.</t>
  </si>
  <si>
    <t xml:space="preserve">1.2. </t>
  </si>
  <si>
    <t xml:space="preserve">Caso a parcela da taxa de administração cabível ao GESTOR não seja suficiente para o 
pagamento total ou parcial da remuneração do AAI, o valor não será cobrado, no todo ou em parte.
</t>
  </si>
  <si>
    <t>Sem prejuízo das demais obrigações do AAI previstas no Contrato, o AAI se compromete 
a informar ao ADMINISTRADOR e ao GESTOR, previamente, quaisquer Clientes em relação aos 
quais o recebimento de remuneração pelo AAI configuraria infração ao disposto no art. 92, §2º da Instrução CVM 555, de modo que a remuneração de distribuição aqui prevista não incidirá sobre 
os investimentos dos referidos Clientes nos FUNDOS.</t>
  </si>
  <si>
    <t xml:space="preserve">Para recebimento de sua remuneração, o AAI indica a seguinte conta corrente de sua 
titularidade, em que o ADMINISTRADOR realizará os pagamentos, valendo os comprovantes de 
depósito realizados pelo BNY Mellon como prova de pagamento das quantias devidas:
</t>
  </si>
  <si>
    <t>Após o término do Contrato, não será devida qualquer remuneração ao AAI.</t>
  </si>
  <si>
    <t>Para fazer jus à remuneração acima, o DISTRIBUIDOR deverá alocar, até 29 de abril de 2016, ao menos R$ 100.000.000,00 (cem milhões de reais) nos Fundos Investidos. Caso o DISTRIBUIDOR não aloque R$ 100.000.000,00 (cem milhões de reais) até a referida data, o DISTRIBUIDOR fa´ra jus a remuneração de 20% (vinte por cento), ao invés da prevista na tabela acima, incidente sobre a taxa de admnistração e a taxa de perfomance atribuíveis ao GESTOR do fundo ADAM MACRO II FIC FI MULT, a ser calculado da mesma forma.</t>
  </si>
  <si>
    <t>Caso o DISTRIBUIDOR não aloque, até 29 de julho de 2016, ao menos R$ 200.000.000,00 (duzentos milhões de reais)  nos Fundos Investidos, o DISTRIBUIDOR farájus a remuneração, após 29de julho de 2016, de 20%(vinte por cento) do fundo ADAM MACRO II FIC FI MULT, a ser calculado da mesma forma, e incidente sobre a taxa de admnistração e a taxa de perfomance atribuiveis ao GESTOR. Resta estabelecido que o DISTRIBUIDOR continuará recebendo 30% (trinta por cento) sobre os valores alocados nos Fundos Investidos até 29 de julho de 2016, observada a considção do item 1.1 acima.</t>
  </si>
  <si>
    <t>Caso o DISTRIBUIDOR não aloque, até 31 de dezembro de 2016, ao menos R$ 300.000.000,00(trezentos milhões de reais)  nos Fundos Investidos, o DISTRIBUIDOR fará jus a remuneração, após 31 de dezembro de 2016, de 20% (vinte por cento) do fundo ADAM MACRO II FIC FI MULT, a ser calculado da mesma forma, e incidente sobre a tax de admnistração e a taxa de perfomance atribuíveis ao GESTOR. Resta estabelecido que o DISTRIBUIDOR continua´ra recebendo 30% (trinta por cento) sobre os valores alcados nos Fundos Investidos até 31 de dezembro de 2016, observadas as condições dos itens 1.1 e 1.2 acima.</t>
  </si>
  <si>
    <t>A Remuneração ajustada na cláusula anterior será paga mensalmente até o 5º (quinto) dia útil de cada mês subsequente ao vencido, observado o previsto nos regulamentos dos Fundos e neste Contrato, sendo pago enquanto os recursos captados pelo DISTRIBUIDOR estiverem aplicados nos Fundos Investidos e este Contrato estiver em vigor.
a) Sem prejuízo das demais obrigações do DISTRIBUIDOR previstas no Contrato,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aqui prevista não incidirá sobre os investimentos dos referidos Clientes nos FUNDOS.
b) o DISTRIBUIDOR continuará a receber a remuneração prevista nesta cláusula durante o prazo de 6 (seis) meses contados do término do Contrato e enquanto houver recursos dos Clientes nos FUNDOS. Na ocorrência das hipóteses de rescisão relacionadas nas cláusulas 5.5 e 5.6 do Contrato, quando o DISTRIBUIDOR for a parte que der causa à rescisão, não será mais devida qualquer remuneração ao DISTRIBUIDOR após o término do Contrato.</t>
  </si>
  <si>
    <t xml:space="preserve">O DISTRIBUIDOR, em atendimento ao que dispõe o Código de Regulação e Melhores Práticas para os Fundos de Investimento da Associação Brasileira das Entidades dos Mercados Financeiro e de Capitais (ANBIMA), obriga-se a dar conhecimento aos Clientes, na forma que julgar pertinente, desde que acessível a estes, dos seguintes teores, conforme o caso e respeitadas as restrições relativas ao recebimento de remuneração, conforme previstas na regulamentação em vigor e mencionadas no presente Contrato, em especial nas Cláusulas 1.3 a 1.3.3 acima:
i) que o DISTRIBUIDOR pode receber remuneração a título de prestação de serviços de distribuição das cotas dos FUNDOS em que os Clientes aplicarão seus recursos;
ii) que o administrador, gestor, ou partes a eles relacionadas, podem receber remuneração pela alocação dos recursos dos FUNDOS nos fundos investidos; e
iii) que, em ambos os casos, esta remuneração pode ser diferenciada em função dos diversos fundos de investimento recebendo aplicações.
</t>
  </si>
  <si>
    <t xml:space="preserve">O DISTRIBUIDOR obriga-se a comunicar ao ADMINISTRADOR, por escrito, reclamação de qualquer natureza, judicial ou extrajudicial, apresentada por autoridade judicial ou fiscalizadora, terceiro, entidade de proteção de consumidores ou, ainda, alguém do público destinatário da publicidade relativa aos FUNDOS, que possa, direta ou indiretamente, prejudicar a imagem ou os interesses dos FUNDOS, do ADMINISTRADOR ou do GESTOR, observado que:
i)  a comunicação deverá ser feita imediatamente após o DISTRIBUIDOR tomar conhecimento da reclamação, sobretudo quando estiverem sujeitas a prazos decadenciais, prescricionais ou preclusivos;
ii)  o DISTRIBUIDOR, nos limites de sua competência, fornecerá ao ADMINISTRADOR todos os subsídios necessários à defesa dos interesses dos FUNDOS, do ADMINISTRADOR ou do GESTOR relacionados com a reclamação ou ação acima referidas.
</t>
  </si>
  <si>
    <t>2.18.</t>
  </si>
  <si>
    <t>A fim de atender às exigências do Código ANBIMA, o DISTRIBUIDOR declara ter ciência de 
que o ADMINISTRADOR submeterá o DISTRIBUIDOR à avaliação periódica através de um 
processo de “due diligence”.</t>
  </si>
  <si>
    <t>DA VIGÊNCIA E RESCISÃO</t>
  </si>
  <si>
    <t xml:space="preserve">Em caso de término do presente CONTRATO, continuarão a ser devidos as taxas de  distribuição sobre as taxas de administração e da taxa de performance, conforme aqui definidos, pelo prazo máximo de 6 (seis) meses após a data de término deste CONTRATO, enquanto houver  recursos dos Clientes nos FUNDOS.
</t>
  </si>
  <si>
    <t>Da mesma maneira, o DISTRIBUIDOR se obriga a não permitir acesso às INFORMAÇÕES por 
terceiros sem o prévio e expresso consentimento do GESTOR, e, também, a não usar, duplicar, 
modificar, adulterar, adicionar, subtrair ou dispor das INFORMAÇÕES e a não permitir que terceiros 
usem, dupliquem, modifiquem, adulterem, adicionem, subtraiam ou disponham das 
INFORMAÇÕES, bem como a não discutir sobre as INFORMAÇÕES perante ou com terceiros.</t>
  </si>
  <si>
    <t>É vedado ao DISTRIBUIDOR autorizar que seja dado conhecimento das INFORMAÇÕES a 
outras áreas em que atuem, tais como aquelas de gestão própria de recursos (tesouraria), gestão 
de recursos de terceiros e/ou de clientes (asset management), assim como às suas áreas comerciais 
não diretamente relacionadas com a alocação de recursos em fundos de investimento, e a terceiros 
não autorizados previamente pelo GESTOR.</t>
  </si>
  <si>
    <t>Em decorrência da obrigação de confidencialidade que ora, voluntariamente assume, o 
DISTRIBUIDOR obriga-se a não divulgar, comunicar e nem fazer uso de quaisquer dessas 
informações, dados, materiais e documentos para finalidade diversa da prevista no presente 
Contrato, nem permitir que terceiros tenham acesso, divulguem, comuniquem ou façam uso de de 
quaisquer dessas informações, dados, materiais e documentos sob pena de arcar com as perdas e 
danos decorrentes desses atos e de responder perante terceiros e perante os poderes públicos 
competentes pela infringência às disposições desta cláusula.</t>
  </si>
  <si>
    <t>7.8.</t>
  </si>
  <si>
    <t xml:space="preserve">Se qualquer das PARTES e/ou INTERVENIENTES, por determinação legal ou em  decorrência de ordem judicial ou de autoridade fiscalizadora, tiver que revelar informação sigilosa 
decorrente da prestação de serviços objeto deste Contrato, imediatamente dará notícia desse fato  às outras PARTES e/ou INTERVENIENTES e lhes prestará as informações e subsídios que possam 
ser necessários para que a PARTE interpelada, a seu critério, possa defender-se contra a divulgação  de qualquer das informações sigilosas, salvo se houver restrição legal, regulamentar, ou ainda,  expedida por autoridade judicial ou fiscalizadora.
</t>
  </si>
  <si>
    <t>As obrigações de sigilo previstas neste Contrato são recíprocas e se aplicam, no que forem  compatíveis, às informações do DISTRIBUIDOR ou aquelas por ele detidas que o  ADMINISTRADOR ou o GESTOR tiverem acesso em decorrência da relação contratual existente 
entre as PARTES e os INTERVENIENTES, especialmente as relacionadas a segredos de negócio,  programas de computador e outras tecnologias e métodos utilizados pelo DISTRIBUIDOR na 
prestação de seus serviços.</t>
  </si>
  <si>
    <t>Excluem-se do escopo desta cláusula as informações: (i) de domínio público; (ii) as que já  eram do conhecimento da PARTE receptora; e (iii) as informações cuja revelação seja autorizada,  por escrito, prévia e expressamente, pela PARTE de que hajam provindo.</t>
  </si>
  <si>
    <t>A obrigação em manter sigilo e confidencialidade, prevista nesta cláusula, subsistirá à 
rescisão ou ao término do presente Contrato, pelo prazo de 2 (dois) anos.</t>
  </si>
  <si>
    <t>7.9.</t>
  </si>
  <si>
    <t>O DISTRIBUIDOR se obriga a não distribuir ou permitir que seja realizado direta ou 
indiretamente investimento nos FUNDOS que sejam provenientes de U.S Person, devendo 
empregar a diligência necessária para identificar, dentre os seus clientes e investidores dos fundos 
investidores, aqueles que sejam US Person, ou que venham a se tornar U.S Person durante a 
vigência deste Contrato.</t>
  </si>
  <si>
    <t>8.6.1</t>
  </si>
  <si>
    <t>8.6.2</t>
  </si>
  <si>
    <t>Entende-se como U.S Person, para a finalidade desta cláusula, a pessoa nascida nos 
E.U.A.; a quem foi concedida cidadania norte-americana; com cidadania derivada; que 
possua Green Card; com presença substancial nos E.U.A.; e as que optaram por serem 
tratadas como residentes nos E.U.A.; a empresa limitada ou participada que seja constituída 
de acordo com as leis dos E.U.A. ou do Distrito de Columbia; a sociedade constituída de 
acordo com as leis de qualquer Estado norte-americano ou do Distrito de Columbia; qualquer 
fundação, associação ou entidade que seja americana; e qualquer trust ou fundo fiduciário 
norte-americano.</t>
  </si>
  <si>
    <t xml:space="preserve"> O DISTRIBUIDOR deverá, conforme o caso, informar ao ADMINISTRADOR e ao 
GESTOR em até 10 (dez) dias da data em que tomar conhecimento, quando identificar 
investimentos que, direta ou indiretamente, possam ser provenientes de U.S Person nos 
FUNDOS, ou na hipótese de existirem indícios de que estes investimentos possam ser 
considerados como provenientes de U.S. Person.</t>
  </si>
  <si>
    <t xml:space="preserve">Anexo I -AO CONTRATO DE DISTRIBUIÇÃO DE COTAS DE FUNDOS DE INVESTIMENTOS 
</t>
  </si>
  <si>
    <t xml:space="preserve">Relação dos FUNDOS:ADAM ADVANCED II FIC FI MULT, ADAM MACRO II FIC FI MULT , ADAM MACRO STRATEGY II FIC FIM, ADAM MACRO STRATEGY II D60 FIC FIM, ADAM MACRO C6 FIC FIM </t>
  </si>
  <si>
    <t>CSHG</t>
  </si>
  <si>
    <t>O DISTRIBUIDOR distribuirá cotas dos FUNDOS listados no Anexo I aos seus clientes, de acordo com as disposições estabelecidas neste contrato e na legislação.</t>
  </si>
  <si>
    <t xml:space="preserve">1.2. Para os efeitos deste contrato:
(a) o conceito de distribuição abrange a comunicação do DISTRIBUIDOR ao GESTOR e à INTRAG das ordens de aplicação e resgate de investimentos;
(b) a distribuição também abrangerá  a transferência aos FUNDOS dos recursos entregues pelos clientes ao DISTRIBUIDOR; e
(c) o conceito de clientes abrange as pessoas físicas, as pessoas jurídicas e fundos de investimento (“FUNDOS INVESTIDORES”) prospectados pelo DISTRIBUIDOR.
</t>
  </si>
  <si>
    <t>DECLARAÇÕES DAS PARTES</t>
  </si>
  <si>
    <t>A INTRAG declara que os FUNDOS estão regularmente constituídos e seus regulamentos e prospectos, quando aplicável, encontram-se devidamente registrados na CVM.</t>
  </si>
  <si>
    <t>As partes obrigam-se a cumprir fielmente as disposições deste contrato, dos regulamentos e prospectos dos FUNDOS, dos Códigos de Regulação e Melhores Práticas da ANBIMA e da legislação aplicável aos FUNDOS.</t>
  </si>
  <si>
    <t xml:space="preserve">O DISTRIBUIDOR declara ter recebido de seus clientes poderes para, em nome deles, realizar aplicações e resgates nos FUNDOS e efetuar as decorrentes transferências de recursos. </t>
  </si>
  <si>
    <t>2.3.1</t>
  </si>
  <si>
    <t>Em face das características e dos procedimentos operacionais definidos neste contrato, a INTRAG fica dispensada de requerer do DISTRIBUIDOR a apresentação de documentos que comprovem os poderes mencionados no subitem anterior quando das aplicações e resgates de cotas dos FUNDOS, devendo o DISTRIBUIDOR mantê-las, na qualidade de depositário, à disposição da INTRAG e da CVM referidos documentos.</t>
  </si>
  <si>
    <t xml:space="preserve"> As partes se obrigam a cumprir suas atividades em conformidade com as disposições previstas no Código ANBIMA (Associação Brasileira das Entidades dos Mercados Financeiro e de Capitais) de Regulação e Melhores Práticas para Administração de Recursos de Terceiros e posteriores alterações e na regulação em vigor específica, no que aplicável, para cada tipo de fundo de investimento.</t>
  </si>
  <si>
    <t>O DISTRIBUIDOR comunicará ao GESTOR o nome de seu cliente, o FUNDO no qual ocorrerá o investimento ou resgate e o valor da respectiva operação, até 30 minutos antes do horário limite definido para cada um dos FUNDOS no Anexo I, em dias úteis bancários no local da sede da INTRAG.</t>
  </si>
  <si>
    <t>3.1.1</t>
  </si>
  <si>
    <t xml:space="preserve"> A comunicação acima mencionada será realizada pelos meios estabelecidos de comum acordo entre o DISTRIBUIDOR e o GESTOR.</t>
  </si>
  <si>
    <t>OBJETO</t>
  </si>
  <si>
    <t>PROCEDIMENTOS OPERACIONAIS</t>
  </si>
  <si>
    <t>O GESTOR, recebida a informação da ordem de aplicação ou resgate do DISTRIBUIDOR, imediatamente em seguida, comunicará a INTRAG o nome do cliente, o FUNDO no qual o investimento será feito ou resgatado e o valor da respectiva operação, até o horário limite definido para cada um dos FUNDOS no Anexo I, em dias úteis bancários no local da sede da INTRAG.</t>
  </si>
  <si>
    <t xml:space="preserve"> A comunicação acima mencionada será realizada pelos seguintes meios, preferencialmente nesta ordem: (i) por meios eletrônicos que venham a ser colocados à sua disposição, ficando cientes as partes dos riscos de violação de privacidade e integridade inerentes a este tipo de transmissão, a despeito da diligência da INTRAG em minimizá-los ou evitá-los; (ii) por escrito; e (iii) por telefone, mediante ligações telefônicas gravadas, desde já autorizadas. </t>
  </si>
  <si>
    <t>3.2.1</t>
  </si>
  <si>
    <t>Após os horários limites previstos no Anexo I, independentemente de a falha na comunicação das ordens ser imputável ao DISTRIBUIDOR ou ao GESTOR, as operações de aplicação ou resgate serão realizadas no dia útil bancário seguinte no local da sede da INTRAG.</t>
  </si>
  <si>
    <t xml:space="preserve"> Para aplicar nos FUNDOS, o DISTRIBUIDOR deverá solicitar aos seus clientes e entregar à INTRAG, previamente ou no mesmo dia da aplicação em cada FUNDO:
(a) documentos comprobatórios da identificação de seus clientes, conforme legislação vigente; 
(b) preenchimento e assinatura do formulário cadastral e documentos constantes do Anexo II;
(c) termo de adesão e de ciência de risco, quando da primeira aplicação do cliente em cada FUNDO, conforme modelo fornecido pela INTRAG.
</t>
  </si>
  <si>
    <t>A INTRAG informará o DISTRIBUIDOR para que este comunique aos seus clientes os dados das respectivas contas bancárias dos FUNDOS para onde deverão ser transferidos os recursos destinados às aplicações.</t>
  </si>
  <si>
    <t>3.4.2.</t>
  </si>
  <si>
    <t>O DISTRIBUIDOR declara-se ciente e obriga-se a informar aos seus clientes que os recursos investidos deverão estar à disposição da INTRAG, nas respectivas contas correntes dos FUNDOS, até o término do horário de expediente bancário no local da sede da INTRAG, sob pena de a operação de aplicação ser realizada no dia útil bancário seguinte.</t>
  </si>
  <si>
    <t>O DISTRIBUIDOR informará aos seus clientes que aplicações realizadas por meio de cheques, ordens de pagamento ou outros documentos compensáveis somente serão finalizadas após efetiva compensação desses documentos.</t>
  </si>
  <si>
    <t>3.4.3.</t>
  </si>
  <si>
    <t>A INTRAG emitirá as cotas sempre em nome dos clientes, conforme dados e informações fornecidos pelo DISTRIBUIDOR.</t>
  </si>
  <si>
    <t xml:space="preserve">Para o processamento dos resgates nos FUNDOS, o DISTRIBUIDOR comunicará o GESTOR, que, por sua vez, comunicará a INTRAG. </t>
  </si>
  <si>
    <t>Os recursos provenientes do resgate serão transferidos para a(s) conta(s) corrente(s) ou conta(s) investimento dos clientes, conforme dados constantes de suas respectivas fichas cadastrais.</t>
  </si>
  <si>
    <t>3.5.1</t>
  </si>
  <si>
    <t>A INTRAG poderá, a seu critério, determinar a suspensão, temporária ou por prazo indeterminado, de novas aplicações em qualquer um dos FUNDOS, mediante notificação escrita ao DISTRIBUIDOR com antecedência mínima de 5 (cinco) dias.</t>
  </si>
  <si>
    <t xml:space="preserve">A INTRAG poderá, a seu critério, recusar solicitações de investimento, inicial ou adicional, de clientes do DISTRIBUIDOR. </t>
  </si>
  <si>
    <t>A INTRAG entregará ao DISTRIBUIDOR cópia dos regulamentos e prospectos dos FUNDOS, informando-o e fornecendo-lhe as novas versões desses documentos quando eles sofrerem alterações.</t>
  </si>
  <si>
    <t>A INTRAG responderá pela administração dos FUNDOS, nos termos dos respectivos regulamentos, prospectos e legislação em vigor.</t>
  </si>
  <si>
    <t>O GESTOR receberá solicitações de operações de aplicação e resgate do DISTRIBUIDOR e as enviará à INTRAG, de acordo com as disposições deste contrato.</t>
  </si>
  <si>
    <t>O GESTOR arcará com os prejuízos decorrentes do atraso ou inexecução das obrigações que lhe competirem por força deste contrato, inclusive ressarcimento dos clientes do DISTRIBUIDOR por perdas que estes venham a sofrer, notadamente pela inexecução da operação de aplicação ou resgate por motivo imputável ao GESTOR.</t>
  </si>
  <si>
    <t>O DISTRIBUIDOR responderá pela distribuição de cotas dos FUNDOS aos seus clientes, nos termos deste contrato e da legislação vigente.</t>
  </si>
  <si>
    <t>O DISTRIBUIDOR cientificará seus clientes:
(a) previamente à aplicação nos FUNDOS, dos riscos inerentes a esses investimentos, conforme informações contidas nos respectivos regulamentos e prospectos, colhendo de seus clientes a assinatura do termo adesão e de ciência de risco sempre que houver aplicação inicial nos FUNDOS; 
(b) das informações fornecidas pela Intrag sobre os FUNDOS, inclusive acerca das contas correntes por meio das quais os recursos deverão ser investidos;
(c) do teor dos regulamentos e prospectos dos FUNDOS, fornecendo-lhes cópias desses documentos; 
(d) da inexistência de garantia de rentabilidade predeterminada ou contra perdas em relação aos FUNDOS, devendo o DISTRIBUIDOR abster-se de prometer aos seus clientes rentabilidade mínima ou fictícia para as aplicações nos FUNDOS, sob pena de ter de ressarci-los pela diferença entre os resultados prometidos e os verificados, independentemente de responder perante as autoridades fiscalizadoras competentes; 
(e) dos procedimentos operacionais para operações de aplicação e resgate, definidos entre INTRAG e DISTRIBUIDOR;
(f) da possibilidade de o DISTRIBUIDOR receber remuneração da INTRAG em decorrência das aplicações de recursos dos clientes nos FUNDOS;
(g) da possibilidade de a INTRAG, na qualidade de administradora dos FUNDOS, receber remuneração decorrente da distribuição de cotas de fundos de investimento em que os FUNDOS apliquem;
(h) de que as remunerações previstas em (f) e (g) acima podem variar em função dos FUNDOS e dos fundos de investimento que recebam as aplicações.
(i) da eventual impossibilidade de realização do referido investimento em virtude da inadequação entre o perfil de investimentos do cliente e os riscos inerentes à aplicação no FUNDO, conforme o item 6.6 abaixo.
(j) o conceito de clientes abrange exclusivamente: (i) entidades abertas e fechadas de previdêcnia complementar; e (ii) os fundos de investimento e fundos de investimento em cotas de fundos de investimento prospectados pelo DISTRIBUIDOR ou empresas do seu grupo econômico, indepent do gestor do respectivo fundo de investimento, será considerado como cliente. Caso um fundo de investimento seja trasnferido para a admnistração do DISTRIBUIDOR ou empresa do seu grupo econômic, tal fundo de investimento passará a ser considerado como cliente  ("FUNDOS INVESTIDORES" em conjunto, ou isoladamente "FUNDO INVESTIDOR ") prospectados ou indicados pelo DISTRIBUIDOR, em relação aos quais o DISTRIBUIDOR esteja dispensado de verificar a adequação do produto (suitability), conforme dispoto na regulamentação."</t>
  </si>
  <si>
    <t>O DISTRIBUIDOR solicitará aos seus clientes e entregará à INTRAG as cópias autenticadas dos documentos estabelecidos neste contrato, assumindo integral e exclusiva responsabilidade pela obtenção, regularidade e guarda da documentação cadastral dos seus clientes, conforme legislação vigente, mantendo tais informações atualizadas e comunicando à INTRAG eventuais alterações.</t>
  </si>
  <si>
    <t>6.3.1.</t>
  </si>
  <si>
    <t>Caso a INTRAG verifique que as informações atualizadas não lhe estão sendo repassadas tempestivamente, poderá notificar o DISTRIBUIDOR para que cumpra com tal obrigação, sob pena de exigir, por evento, o pagamento de multa correspondente ao valor da média dos valores pagos pelo serviço de distribuição nos últimos 12 (doze) meses, sem prejuízo do dever de cumprimento da obrigação, indenização por perdas e danos e ressarcimento pelas penalidades aplicadas pelo regulador .</t>
  </si>
  <si>
    <t xml:space="preserve">O DISTRIBUIDOR responderá, perante seus clientes e INTRAG, pelas conseqüências das informações que fornecer ou procedimentos que adotar em desacordo com as disposições deste contrato, regulamentos e prospectos dos FUNDOS. </t>
  </si>
  <si>
    <t>O DISTRIBUIDOR observará, na atividade de distribuição, todas as determinações legais aplicáveis.</t>
  </si>
  <si>
    <t>O DISTRIBUIDOR declara e garante que observará os requisitos da regulamentação e da auto-regulação sobre adequação dos investimentos ofertados aos seus clientes (suitability).</t>
  </si>
  <si>
    <t>Se o DISTRIBUIDOR realizar publicidade dos FUNDOS, deverá utilizar material publicitário e informativo fornecido pela INTRAG ou por esta previamente autorizado, por escrito.</t>
  </si>
  <si>
    <t>Todo material publicitário que o DISTRIBUIDOR vier a elaborar deverá ser submetido à aprovação prévia da INTRAG.</t>
  </si>
  <si>
    <t>6.7.1.</t>
  </si>
  <si>
    <t xml:space="preserve">O material publicitário elaborado pelo DISTRIBUIDOR deverá observar as disposições do Código de Defesa do Consumidor, as diretrizes e os códigos de autorregulação, bem como contemplar a indicação da Ouvidoria Corporativa Itaú nos seguintes termos:
“Se necessário, entre em contato com a INTRAG (11) 5029-1456, dias úteis, das 9 às 18h, ou utilize o SAC Itaú 0800 728 0728, todos os dias, 24h. Se desejar a reavaliação da solução apresentada após utilizar esses canais, recorra à Ouvidoria Corporativa Itaú 0800 570 0011, dias úteis, das 9 às 18h, Caixa Postal nº 67.600, CEP 03162-971. Deficientes auditivos ou de fala, dias úteis, das 9 às 18h, 0800 722 1722.”
</t>
  </si>
  <si>
    <t>6.7.2.</t>
  </si>
  <si>
    <t xml:space="preserve">O DISTRIBUIDOR comunicará à INTRAG, por escrito, quaisquer reclamações de natureza judicial ou extrajudicial, apresentada por autoridade judicial ou fiscalizadora, clientes, terceiros, entidade de proteção de consumidores ou, ainda, alguém do público destinatário da publicidade relativa aos FUNDOS, que possam, direta ou indiretamente, prejudicar a imagem ou os interesses da INTRAG, observado que:
(a) a comunicação deverá ser feita imediatamente após o DISTRIBUIDOR tomar conhecimento da reclamação, sobretudo quando estiverem sujeitas a prazos decadenciais, prescricionais ou preclusivos para resposta;
(b) o DISTRIBUIDOR, nos limites de sua competência, fornecerá à INTRAG todos os subsídios necessários à defesa dos interesses da INTRAG relacionados com a reclamação ou ação acima referidas.
</t>
  </si>
  <si>
    <t>6.8.</t>
  </si>
  <si>
    <t>6.9.</t>
  </si>
  <si>
    <t xml:space="preserve">O DISTRIBUIDOR, por si, suas controladoras, controladas, coligadas, administradores, acionistas com poderes de administração e respectivos funcionários, declaram, neste ato, que estão em conformidade com as normas aplicáveis de prevenção a lavagem de dinheiro e combate ao terrorismo, em especial a Lei nº 9.613 de 3 de março de 1998, alterada pela  Lei nº  12.683 de 9 de Julho de 2012 ou  da jurisdição aplicável à Parte, bem como a quaisquer sanções administradas ou impostas pelo U.S. Departament of the Treasury´s Office of Foreign Assets Control (“OFAC”), United Nations Security Council, European Union e Her Majesty’s Treasury (coletivamente, “Sanções”). </t>
  </si>
  <si>
    <t>O Distribuidor mantéem políticas e/ou procedimentos internos objetivando o cumprimento de leis e normativos aplicáveis de prevenção e combate ao crime de lavagem de dinheiro  e financiamento ao terrorismo e o cumprimento de Sanções  e, ainda, abstém-se de qualquer atividade que constitua uma violação às disposições contidas nelas e declaram que envidam os melhores esforços para que seus eventuais contratados ou subcontratados, consultores, agentes ou representantes que estejam trabalhando neste contrato se comprometam a observar o aqui disposto</t>
  </si>
  <si>
    <t>6.9.1.</t>
  </si>
  <si>
    <t>O DISTRIBUIDOR empregará toda a diligência necessária para verificar a origem e natureza dos recursos dos seus clientes, em consonância com a legislação relativa à prevenção dos crimes e práticas ilícitas de lavagem de dinheiro.</t>
  </si>
  <si>
    <t>6.9.2.</t>
  </si>
  <si>
    <t xml:space="preserve">O DISTRIBUIDOR isentará a INTRAG, ressarcindo-a de prejuízos, inclusive perdas e danos e sanções administrativas, caso seja apurado pelas autoridades competentes falha nos procedimento de verificação quanto à origem ou natureza dos recursos dos clientes.
</t>
  </si>
  <si>
    <t>6.9.3.</t>
  </si>
  <si>
    <t xml:space="preserve">Nas hipóteses em que o cliente seja um FUNDO INVESTIDOR no qual o DISTRIBUIDOR exerça, direta ou indiretamente por meio de partes relacionadas, quaisquer atividades relacionadas à administração, gestão e/ou consultoria do respectivo FUNDO INVESTIDOR, o DISTRIBUIDOR declara e garante que, para receber remuneração decorrente da aplicação deste cliente em um FUNDO INVESTIDO:
(i) por sua exclusiva responsabilidade, obteve e mantém sob sua guarda o TERMO DE CIÊNCIA DE POTENCIAL CONFLITO DE INTERESSES, previsto no Anexo 92 da Instrução CVM nº 555, devidamente assinado pela totalidade de cotistas do FUNDO INVESTIDOR destinado exclusivamente a investidores profissionais; e que
(ii) o administrador dos FUNDOS INVESTIDORES, por sua exclusiva responsabilidade, obteve e mantém sob sua guarda o referido TERMO DE CIÊNCIA DE POTENCIAL CONFLITO DE INTERESSES; ou que 
(iii) a política do FUNDO INVESTIDOR prevê a aplicação mínima de 95% em um único FUNDO.
</t>
  </si>
  <si>
    <t>6.10.</t>
  </si>
  <si>
    <t>RESPONSABILIDADES E OBRIGAÇÕES DO DISTRIBUIDOR</t>
  </si>
  <si>
    <t>RESPONSABILIDADES E OBRIGAÇÕES DO GESTOR</t>
  </si>
  <si>
    <t>6.10.1</t>
  </si>
  <si>
    <t xml:space="preserve"> O DISTRIBUIDOR declara e garante que não há qualquer impedimento legal ao recebimento de remuneração pela prestação do serviço, nos termos do Anexo III(ANEXO III – REMUNERAÇÃO)</t>
  </si>
  <si>
    <t>O eventual descumprimento do disposto nos itens 6.10. e 6.10.1., acima, ensejará o dever indenização por perdas e danos, nos termos da Cláusula 11, abaixo.</t>
  </si>
  <si>
    <t>6.10.2</t>
  </si>
  <si>
    <t xml:space="preserve">O DISTRIBUIDOR, no limite de suas atividades, deverá deixar à disposição da INTRAG os documentos e informações exigidos pela regulação em vigor, necessários para a elaboração de documentos e informes periódicos obrigatórios, salvo aqueles considerados confidenciais, nos termos da regulação em vigor. </t>
  </si>
  <si>
    <t>6.11.</t>
  </si>
  <si>
    <t>OBRIGAÇÕES FATCA</t>
  </si>
  <si>
    <t xml:space="preserve">Definições:
(a) FATCA: Foreign Account Tax Compliance Act, legislação dos E.U.A. objeto do Capítulo 4, do Internal Revenue Code e acordos internacionais ocasionalmente firmados pelo Brasil relativos ao reporte automático de informações sobre contas financeiras, bem como legislação correlata;
(b) GIIN: Número de Identificação de Intermediário Global, Global Intermediary Identification Number, fornecido pelas autoridades fiscais dos E.U.A. mediante registro no portal FATCA; e
(c) Pessoa dos EUA: pessoa física ou jurídica residente para fins fiscais nos E.U.A., cidadã ou nacional dos E.U.A. bem como entidade com controladores ou titulares substanciais que são pessoa física residente para fins fiscais nos E.U.A., cidadã ou nacional dos E.U.A.
</t>
  </si>
  <si>
    <t xml:space="preserve">A INTRAG obriga-se a: 
(i) nos casos em que a distribuição seja feita de forma direta, ser responsável, em relação aos FUNDOS e respectivos cotistas, por fazer todos os reportes exigidos pela FATCA, com base nas informações recebidas do DISTRIBUIDOR, aos órgãos e autoridades competentes americanos ou brasileiros, nos termos da referida regulamentação e dentro dos limites de eventuais acordos ou tratados internacionais a respeito do assunto, celebrados pelo Brasil; 
(ii) nos casos em que a distribuição seja feita de forma direta, anualmente, encaminhar ao DISTRIBUIDOR termo, declarando formalmente o cumprimento das obrigações de reporte às autoridades competentes; 
(iii) avisar previamente o DISTRIBUIDOR, se, por qualquer motivo, tenha intenção de rescindir a adesão à FATCA; 
(iv) avisar imediatamente o DISTRIBUIDOR se, por qualquer motivo, tenha conhecimento de processo instaurado contra si por autoridade fiscalizadora competente que possa acarretar a rescisão da adesão à FATCA; e
(v) permanecer responsável pelas obrigações descritas neste item, até a efetiva resolução dos Contratos.
</t>
  </si>
  <si>
    <t xml:space="preserve">O DISTRIBUIDOR obriga-se a:
(i) empregar toda a diligência necessária para identificar os cotistas que acessem os FUNDOS por meio do DISTRIBUIDOR e que sejam Pessoa dos EUA ou venham a se tornar Pessoa dos EUA durante a vigência do Contrato obtendo, para tanto, junto a tais cotistas dos FUNDOS, o preenchimento dos formulários, documentos e declarações fornecidos pela INTRAG para atendimento da legislação brasileira aplicável bem como para identificação da qualificação FATCA dos cotistas dos FUNDOS; 
(ii) ser exclusivamente responsável pela completude e consistência das informações cadastrais dos cotistas dos FUNDOS, que servirão de base para eventuais reportes feitos pela INTRAG, nos termos do item 7.2. (i) acima; 
(iii) caso tenha indícios de que as declarações fornecidas nos formulários previstos no item 7.2. (i) são incorretas ou incompletas, ou se tornaram incorretas ou incompletas em razão de alteração nas circunstâncias de fato, ou ainda tenha razões para acreditar que tal(tais) cotista(s) é(são) Pessoa dos EUA ou pessoa com indícios de Pessoa dos EUA, caso a distribuição seja feita de forma direta, deverá notificar o ADMINISTRADOR, por escrito, a respeito dessas razões ou indícios, em até 10 (dez) dias da data em que tomar conhecimento de qualquer informação que torne as declarações prestadas incorretas, incompletas ou da data em que tomar conhecimento de dados relativos a Pessoa dos EUA ou respectivo indício, requerendo simultaneamente ao cotista do FUNDO a atualização dos formulários e declarações fornecidos, para endereçar tais informações, em até 30 (trinta) dias, conforme oportuno;
(iv) nos casos em que a distribuição seja feita de forma direta e o DISTRIBUIDOR identifique, dentre seus clientes que são cotistas dos FUNDOS ou potenciais cotistas dos FUNDOS, pessoa com indícios de Pessoa dos EUA, comunicar imediatamente a INTRAG, que adotará as providências que julgar mais adequadas, para fins  de FATCA;
(v) avisar previamente a INTRAG, se, por qualquer motivo, tenha intenção de rescindir a adesão à FATCA; 
(vi) avisar imediatamente a INTRAG se, por qualquer motivo, tenha conhecimento de processo instaurado contra si por autoridade fiscalizadora competente que possa acarretar a rescisão da adesão à FATCA;
(vii)  caso a distribuição seja feita por conta e ordem, será responsável, em relação aos FUNDOS e respectivos cotistas, por fazer todos os reportes exigidos pela FATCA, aos órgãos e autoridades competentes americanos ou brasileiros, nos termos da referida regulamentação e dentro dos limites de eventuais acordos ou tratados internacionais a respeito do assunto, celebrados pelo Brasil;
(viii) caso a distribuição seja feita por conta e ordem, encaminhar à INTRAG, anualmente, termo, declarando formalmente o cumprimento das obrigações de reporte às autoridades competentes; e
(ix) permanecer responsável pelas obrigações descritas neste item, até a efetiva resolução dos Contratos.
</t>
  </si>
  <si>
    <t>7.3.1.</t>
  </si>
  <si>
    <t>O DISTRIBUIDOR declara, para todos os fins legais no Brasil e no exterior, sob as penas da lei, que ele e nenhum de seus prepostos, corretores, ou agentes assessoraram quaisquer investidores a evitar a aplicação do FATCA ou a evitar a identificação de contas ou investimentos para fins de FATCA;</t>
  </si>
  <si>
    <t xml:space="preserve">As partes, seus dirigentes, funcionários e representantes a qualquer título manterão sigilo a respeito de todas as informações a que tiverem acesso em decorrência deste contrato ("INFORMAÇÕES CONFIDENCIAIS"), durante a sua execução e após o seu encerramento. </t>
  </si>
  <si>
    <t>São consideradas INFORMAÇÕES CONFIDENCIAIS, para os fins deste contrato, todos os documentos, informações gerais, comerciais, operacionais ou outros dados privativos das partes, de seus clientes e de pessoas ou entidades com as quais mantenham relacionamento, excetuadas apenas aquelas que (i) sejam ou se tornem de domínio público sem a interferência de qualquer parte; e (ii) sejam de conhecimento de qualquer parte ou de seus representantes antes do início das negociações que resultaram neste contrato, e tenham sido obtidas por meios lícitos</t>
  </si>
  <si>
    <t>As partes somente poderão revelar a terceiros INFORMAÇÕES CONFIDENCIAIS mediante prévia autorização escrita da parte proprietária da informação, exceto no caso de cumprimento de ordem judicial ou administrativa, hipóteses em que procederão como segue: (i) imediatamente dará notícia à parte proprietária das INFORMAÇÕES CONFIDENCIAIS a respeito da ordem, exceto se desta intimação constar vedação nesse sentido; e (ii) prestará todas as informações e subsídios que possam ser necessários para que o titular das INFORMAÇÕES CONFIDENCIAIS, a seu critério, possa defender-se contra a divulgação de qualquer informação confidencial.</t>
  </si>
  <si>
    <t>A violação do dever de confidencialidade, inclusive quando cometida por seus funcionários, dirigentes e representantes a qualquer título, além de constituir infração contratual, obrigará a parte infratora a indenizar a outra parte pelos prejuízos causados, sem prejuízo de continuar cumprindo, no que cabível, o dever de confidencialidade.</t>
  </si>
  <si>
    <t>A INTRAG poderá, a suas expensas, por si ou por meio de terceiros contratados, fiscalizar a execução das atividades do DISTRIBUIDOR, no estabelecimento deste, mediante aviso escrito com antecedência de 2 (dois) dias úteis.</t>
  </si>
  <si>
    <t>A fiscalização ora prevista está sujeita às obrigações de sigilo bancário e confidencialidade, nos termos da legislação e deste Contrato.</t>
  </si>
  <si>
    <t>FISCALIZAÇÃO</t>
  </si>
  <si>
    <t>REMUNERAÇÃO</t>
  </si>
  <si>
    <t>O DISTRIBUIDOR receberá a remuneração prevista no Anexo III(ANEXO III – REMUNERAÇÃO)</t>
  </si>
  <si>
    <t>MULTA E JUROS MORATÓRIOS</t>
  </si>
  <si>
    <t>Se houver atraso no pagamento de qualquer débito financeiro preestabelecido neste contrato, a parte em mora pagará, além dos valores devidos, juros moratórios de 12% (doze por cento) ao ano e multa moratória de 10% (dez por cento) sobre o valor do débito, corrigido, desde a data de vencimento até a data de quitação, pela variação do IGPM/FGV ou, na sua falta, do IGP-DI/FGV ou, na falta de ambos, do IPC/FIPE.</t>
  </si>
  <si>
    <t>REPARAÇÃO DE DANOS</t>
  </si>
  <si>
    <t xml:space="preserve">As partes obrigam-se a responder pela reparação dos danos causados uma à outra, ou a terceiros, relacionados com os serviços objeto deste contrato, inclusive danos à imagem, ainda que motivados por violação de segredo profissional e confidencialidade, bem como aqueles decorrentes de inobservância do disposto no item 7 acima, inclusive em caso de (i) inconsistência ou incompletude das informações dos cotistas dos FUNDOS fornecidas pelo DISTRIBUIDOR à INTRAG ou (ii) falta de reporte aos órgãos e autoridades competentes, durante e após a vigência dos Contratos. </t>
  </si>
  <si>
    <t xml:space="preserve">Estão incluídos nos danos previstos no subitem anterior os gastos e prejuízos decorrentes de condenações, multas, juros e outras penalidades impostas por leis, regulamentos ou autoridades fiscalizadoras em processos administrativos ou judiciais, inclusive aqueles decorrentes de responsabilidade eventualmente atribuída à INTRAG, ao DISTRIBUIDOR ou aos FUNDOS em virtude do descumprimento das obrigações descritas no item 7 acima, bem como os honorários advocatícios incorridos nas respectivas defesas. </t>
  </si>
  <si>
    <t xml:space="preserve">A parte infratora reembolsará, no prazo máximo de 5 (cinco) dias a contar do aviso que lhe for enviado, acompanhado dos respectivos comprovantes e demonstrativos, o valor correspondente a eventuais prejuízos causados à outra parte, inclusive o relativo a custas e honorários advocatícios, atualizado com base na variação do IGPM/FGV ou, na sua falta, do IGP-DI/FGV ou, na falta de ambos, do IPC/FIPE, desde a data do desembolso até a do ressarcimento, acrescido, na mora, de juros de 12% (doze por cento) ao ano e multa de 10% (dez por cento). </t>
  </si>
  <si>
    <t>VIGÊNCIA</t>
  </si>
  <si>
    <t>13.1.</t>
  </si>
  <si>
    <t>Este contrato vigorará por prazo indeterminado, podendo ser denunciado, sem ônus, por qualquer parte, mediante aviso escrito com 5 (cinco) dias de antecedência.</t>
  </si>
  <si>
    <t>13.2.</t>
  </si>
  <si>
    <t>Na hipótese de denúncia deste contrato, por iniciativa da INTRAG, ou resolução decorrente de atos ou omissões a ela imputáveis, e somente nestas hipóteses, o DISTRIBUIDOR continuará a receber a remuneração prevista no Anexo III nos 6 (seis) meses subseqüentes, relativamente aos clientes que permanecerem cotistas dos FUNDOS.(ANEXO III – REMUNERAÇÃO)</t>
  </si>
  <si>
    <t>14.1.</t>
  </si>
  <si>
    <t xml:space="preserve">Este contrato poderá ser resolvido, a critério da parte inocente ou prejudicada, nas seguintes hipóteses:
(a) se qualquer parte descumprir obrigação prevista neste contrato e, após ter sido notificada por escrito pela outra parte, deixar de corrigir seu inadimplemento e de pagar à parte prejudicada os danos comprovadamente causados, no prazo de 5 (cinco) dias, contado do recebimento da aludida notificação;
(b) imediatamente, mediante simples aviso, se a outra parte sofrer legítimo protesto de títulos, requerer ou por qualquer outro motivo encontrar-se sob processo de recuperação judicial, tiver decretada sua falência ou sofrer liquidação ou intervenção, judicial ou extrajudicial; 
(c) imediatamente, mediante simples aviso, se qualquer das partes não puder prestar os serviços objeto deste contrato em decorrência de revogação de autorizações regulamentares.
(d) em caso de substituição do Administrador do FUNDO, desde que não seja para empresa do conglomerado do qual este faça parte.
(e) mediante aviso prévio de 30 (trinta) dias, a critério das demais partes, se qualquer dos FUNDOS, a INTRAG ou o DISTRIBUIDOR: i. deixar de ser aderentes à FATCA; ii. deixar de possuir o GIIN em status válido; iii. tiver processo instaurado contra si por autoridade fiscalizadora competente que possa acarretar a rescisão da adesão à FATCA; ou iv. manifestar intenção de rescindir a adesão à FATCA.
</t>
  </si>
  <si>
    <t>RESOLUÇÃO</t>
  </si>
  <si>
    <t>RESOLUÇÃO DE ACORDOS ANTERIORES</t>
  </si>
  <si>
    <t>15.1.</t>
  </si>
  <si>
    <t xml:space="preserve">Este contrato resolve e substitui os anteriores, bem como seus eventuais aditamentos, celebrados entre as partes e que tenham por objeto distribuição de cotas dos FUNDOS.
</t>
  </si>
  <si>
    <t>16.1.</t>
  </si>
  <si>
    <t>As partes não têm nenhum vínculo empregatício, de responsabilidade ou societário em relação às pessoas empregadas na prestação dos serviços objeto deste contrato, respondendo cada parte pelos encargos trabalhistas e previdenciários de seus empregados e contratados.</t>
  </si>
  <si>
    <t>17.1.</t>
  </si>
  <si>
    <t>INEXISTÊNCIA DE VÍNCULOS EMPREGATÍCIOS E SOCIETÁRIOS</t>
  </si>
  <si>
    <t>CESSÃO</t>
  </si>
  <si>
    <t>Fica vedada a cessão dos direitos e transferência das obrigações decorrentes deste contrato sem anuência da outra parte, ressalvada a hipótese de as partes cederem-nos total ou parcialmente a empresa pertencente ao conglomerado de que participe e desde que os cessionários estejam autorizados pelos órgãos reguladores a exercer as atividades decorrentes deste contrato.</t>
  </si>
  <si>
    <t>DISPOSIÇÕES GERAIS</t>
  </si>
  <si>
    <t>A exclusivo critério da INTRAG, mediante solicitação prévia do DISTRIBUIDOR, este poderá atuar como distribuidor por “conta e ordem” de seus clientes, nos termos da legislação em vigor, hipótese em que o DISTRIBUIDOR deverá respeitar, adicionalmente às disposições deste contrato, as estabelecidas no Anexo IV.</t>
  </si>
  <si>
    <t>18.1.</t>
  </si>
  <si>
    <t>18.2.</t>
  </si>
  <si>
    <t>Este contrato é firmado sem obrigação de exclusividade e as partes não poderão usar ou associar serviços e produtos aos nomes e marcas um do outro, inclusive em editais e materiais publicitários, salvo mediante autorização prévia, por escrito, da parte detentora do nome ou marca que será utilizada.</t>
  </si>
  <si>
    <t>18.3.</t>
  </si>
  <si>
    <t>O recolhimento dos tributos incidentes sobre esta contratação será realizado pela parte definida como contribuinte pela legislação tributária, na forma nela estabelecida.</t>
  </si>
  <si>
    <t>18.4.</t>
  </si>
  <si>
    <t xml:space="preserve">As Partes, por si, suas controladoras, controladas, coligadas, administradores, acionistas com poderes de administração, e respectivos funcionários, em especial os que venham a ter contato com a execução do presente Contrato, declaram, neste ato, estarem cientes dos termos das leis e normativos que lhes forem aplicáveis e que dispõem sobre atos lesivos contra a administração pública, em especial a Lei nº 12.846/13, a FCPA  - Foreign Corrupt Practices Act  e a UK Bribery Act, e que mantém políticas e/ou procedimentos internos objetivando o cumprimento de tais normas. As Partes se comprometem, ainda, a abster-se de qualquer atividade que constitua uma violação às disposições contidas nestas legislações e declaram que envidam os melhores esforços para que seus eventuais subcontratados se comprometam a observar o aqui disposto. </t>
  </si>
  <si>
    <t>18.5.</t>
  </si>
  <si>
    <t xml:space="preserve"> As partes obrigam-se a comunicar uma à outra eventual revogação das autorizações mencionadas no preâmbulo deste contrato, notadamente para administração de carteiras e distribuição de títulos e valores mobiliários.</t>
  </si>
  <si>
    <t>18.6.</t>
  </si>
  <si>
    <t xml:space="preserve">Em relação ao tratamento dos dados pessoais decorrentes do presente Contrato, o DISTRIBUIDOR e o GESTOR se obrigam a:
(I) não utilizar os dados pessoais, sob qualquer meio ou forma, inclusive de forma individualizada, agregada e/ou anonimizada, para outros fins que não os estabelecidos no Contrato e no limite necessário ao tratamento; 
(II) restringir o acesso aos dados pessoais apenas àqueles que efetivamente tenham necessidade de acessá-los para o cumprimento deste Contrato e no limite necessário ao tratamento, garantindo, ainda que aqueles que, nos limites e termos deste Contrato, tenham, ou possam ter, acesso aos dados pessoais respeitem e mantenham a confidencialidade e a segurança dos dados pessoais; 
(III) manter a segurança e sigilo dos dados, adotando medidas de segurança, técnicas e administrativas aptas a proteger os dados pessoais de acessos não autorizados e de situações acidentais ou ilícitas de destruição, perda, alteração, comunicação ou qualquer forma de tratamento inadequado ou ilícito; 
(IV) observar e cumprir a Lei Geral de Proteção de Dados, bem como a observar e cumprir normas e procedimentos que vierem a ser publicados e/ou requeridos por entidades reguladoras, inclusive pela Autoridade Nacional de Proteção de Dados, no âmbito do tratamento dos dados pessoais, quando aplicável. 
</t>
  </si>
  <si>
    <t>TOLERÂNCIA</t>
  </si>
  <si>
    <t>19.1.</t>
  </si>
  <si>
    <t>18.7.</t>
  </si>
  <si>
    <t xml:space="preserve"> As PARTES expressamente concordam, de maneira irrevogável e irretratável, que este Contrato poderá ser assinado por qualquer uma das seguintes formas, todas legalmente admitidas e reconhecidas, quais sejam: (i) assinaturas físicas; ou, nos termos da Medida Provisória nº 2.200-2/01, e desde que todos os signatários utilizem o mesmo serviço e ferramenta dentre os disponíveis, (ii) assinaturas firmadas por meio digital com a utilização dos certificados emitidos pela Infraestrutura de Chaves Públicas Brasileira (“ICP Brasil”); ou (iii) assinaturas firmadas por meios eletrônicos alternativos aceitos pelas Partes que possibilitem a segurança da assinatura por meio de sistemas de certificação, ainda que não utilizem certificados emitidos pela ICP Brasil, mas que sejam capazes de validar a autoria e integridade das assinaturas dos signatários. Desta forma, as PARTES atribuem ao presente Contrato assinado por qualquer um dos meios acima todos os efeitos legais, ratificando a validade, autenticidade, integridade e existência das obrigações e direitos ora assumidos, de forma que o presente instrumento fica constituído como um título executivo extrajudicial.</t>
  </si>
  <si>
    <t xml:space="preserve">Na hipótese de assinatura digital ou eletrônica, a assinatura física deste Contrato, bem como a sua existência física (impressa), não serão exigidas para fins de cumprimento de obrigações previstas neste Contrato, tampouco para sua plena eficácia, validade e exequibilidade. </t>
  </si>
  <si>
    <t>18.8.</t>
  </si>
  <si>
    <t>18.9.</t>
  </si>
  <si>
    <t>Adicionalmente, em caso de assinatura digital ou eletrônica, considerar-se-á como data de celebração do presente Contrato a data em que todas as Partes tiverem firmado este instrumento.</t>
  </si>
  <si>
    <t>A tolerância de uma das partes quanto ao descumprimento de qualquer obrigação pela outra parte não significará renúncia ao direito de exigir o cumprimento da obrigação, nem perdão, nem alteração do que foi aqui contratado.</t>
  </si>
  <si>
    <t>SOLUÇÃO AMIGÁVEL DE CONFLITOS</t>
  </si>
  <si>
    <t>Para a solução amigável de conflitos relacionados a este contrato, reclamações ou pedidos de esclarecimento poderão ser direcionados ao atendimento comercial. Se necessário, entre em contato com a INTRAG (11) 5029-1456, dias úteis, das 9 às 18h, ou utilize o SAC Itaú 0800 728 0728, todos os dias, 24h. Se desejar a reavaliação da solução apresentada após utilizar esses canais, recorra à Ouvidoria Corporativa Itaú 0800 570 0011, dias úteis, das 9 às 18h, Caixa Postal nº 67.600, CEP 03162-971. Deficientes auditivos ou de fala, dias úteis, das 9 às 18h, 0800 722 1722.</t>
  </si>
  <si>
    <t>ANEXO I – RELAÇÃO DE FUNDOS ADERENTES AO CONTRATO DE DISTRIBUIÇÃO</t>
  </si>
  <si>
    <t xml:space="preserve">ADAM MACRO MASTER FUNDO DE INVESTIMENTO MULTIMERCADO 16:00
ADAM ADVANCED MASTER FUNDO DE INVESTIMENTO MULT CRED PRIV - IE  16:00
</t>
  </si>
  <si>
    <t>ANEXO IV – DISTRIBUIÇÃO POR CONTA E ORDEM</t>
  </si>
  <si>
    <t>Operacional Ponte</t>
  </si>
  <si>
    <t>Considerações</t>
  </si>
  <si>
    <t>a</t>
  </si>
  <si>
    <t>b</t>
  </si>
  <si>
    <t>c</t>
  </si>
  <si>
    <t>d</t>
  </si>
  <si>
    <t>Regras</t>
  </si>
  <si>
    <t>i</t>
  </si>
  <si>
    <t>ii</t>
  </si>
  <si>
    <t>iii</t>
  </si>
  <si>
    <t>iv</t>
  </si>
  <si>
    <t>v</t>
  </si>
  <si>
    <t>vi</t>
  </si>
  <si>
    <t>vii</t>
  </si>
  <si>
    <t>viii</t>
  </si>
  <si>
    <t>ix</t>
  </si>
  <si>
    <t>xi</t>
  </si>
  <si>
    <t>xii</t>
  </si>
  <si>
    <t>Banco Original</t>
  </si>
  <si>
    <t xml:space="preserve">O DISTRIBUIDOR, em atendimento ao que dispõe o Código de Regulação e Melhores Práticas para os Fundos de Investimento da Associação Brasileira das Entidades dos Mercados Financeiro e de Capitais (ANBIMA), obriga-se a dar conhecimento aos Clientes, na forma que julgar pertinente, desde que acessível a estes, dos seguintes teores, conforme o caso e respeitadas as restrições relativas ao recebimento de remuneração, conforme previstas na regulamentação em vigor e mencionadas no presente Contrato, em especial nas Cláusulas 1.3 a 1.3.3 acima:
i) que o DISTRIBUIDOR pode receber remuneração a título de prestação de serviços de distribuição das cotas dos FUNDOS em que os Clientes aplicarão seus recursos;
ii) que o administrador, gestor, ou partes a eles relacionadas, podem receber remuneração pela alocação dos recursos dos FUNDOS nos fundos investidos; e
iii) que, em ambos os casos, esta remuneração pode ser diferenciada em função dos diversos fundos de investimento recebendo aplicações.
</t>
  </si>
  <si>
    <t>Cada uma das PARTES e INTERVENIENTES responderá isoladamente perante a CVM pelos atos que praticar no exercício de suas funções decorrentes deste Contrato, exceto se tais atos decorrerem de dolo ou culpa concorrente e/ou solidária de outra Parte e/ou INTERVENIENTE, conforme especificado na legislação pertinente.</t>
  </si>
  <si>
    <t>O DISTRIBUIDOR responderá perante o ADMINISTRADOR, o GESTOR, os FUNDOS e os Clientes pelos eventuais prejuízos decorrentes de comprovada culpa ou dolo na prestação de serviços de distribuição das cotas dos FUNDOS, responsabilizando-se, ademais, pelos honorários advocatícios, custas e despesas judiciais, multas, atualizações monetárias e juros daí decorrentes e que venham a ser cobrados do ADMINISTRADOR, do GESTOR, dos FUNDOS e/ou dos Clientes, conforme apurando judicialmente.</t>
  </si>
  <si>
    <t>O pagamento da remuneração ao DISTRIBUIDOR será realizada pelos FUNDOS e dar-se-à po Documento de Ordem de Crédito (DOC), trasferência Eletrônica Disponível (TED) ou Trasferência Interna de Recursos a favor do DISTRIBUIDOR, na contra corrente de titularidade do DISTRIBUIDOR indicada no Anexo 2 ao presente Contrato, até o 5° (quinto) dia útil do mês subsequente ao referido conforme o disposto nesta Cláusula.</t>
  </si>
  <si>
    <t>O DISTRIBUIDOR se obriga a emitir e encaminhar a cada FUNDO recibo referente aos respectivos pagamentos por eles realizados a título de remuneração, desde que nps termos da presente cláusula e do Anexo I ao presente contrato, no prazo de 3 (três) dias úteis após efetivo recebimento do referido pagamento na conta corrente de titularidade do DISTRIBUIDOR, conforme indicada no referido Anexo I.(Anexo I -AO CONTRATO DE DISTRIBUIÇÃO DE COTAS DE FUNDOS DE INVESTIMENTOS )</t>
  </si>
  <si>
    <t>Em decorrência da obrigação de confidencialidade que ora, voluntariamente, assume, o DISTRIBUIDOR obriga-se a não divulgar, comunicar e nem fazer uso de quaisquer dessas informações, dados, materiais e documentos, para finalidade diversa da prevista no presente Contrato, sob pena de arcar com as perdas e danos decorrentes desses atos e de responder perante terceiros e perante os poderes públicos competentes pela infringência às disposições desta cláusula, não sendo aplicável à esta obrigação as informações, dados e/ou materiais que se classfiquem como públicos.</t>
  </si>
  <si>
    <t xml:space="preserve">O DISTRIBUIDOR, por si e por seus representantes, prepostos, empregados, agentes ou consultores e empresas contratadas, se obriga, sob pena de responsabilização civil e criminal, com referência às informações sigilosas relativas aos FUNDOS, ao ADMINISTRADOR e ao GESTOR:
a) não dar, nem autorizar ou permitir que seja dado conhecimento de quaisquer dados ou informações das carteiras dos FUNDOS a outrem;
b) não usar em benefício próprio, reter ou duplicar as informações ou dados fornecidos pelo ADMINISTRADOR e/ou pelo GESTOR, para a criação de qualquer arquivo, lista ou banco de dados de utilização particular do próprio DISTRIBUIDOR ou de terceiros;
c) não modificar ou adulterar, de qualquer forma as informações e os dados fornecidos pelo ADMINISTRADOR e/ou pelo GESTOR, bem como não subtrair ou adicionar qualquer elemento a esses dados;
d) manter sob sigilo e total discrição os dados e informações a que venha ter acesso por qualquer meio ou forma, inclusive se as informações ou dados que chegarem ao seu conhecimento por terceiros, salvo se as mesmas forem isentas de restrições.
e) não dar, nem autorizar que seja dado, conhecimento de quaisquer dados ou informações das carteiras dos FUNDOS a outras áreas em que ele, DISTRIBUIDOR, atue, tais como aquelas de gestão própria de recursos (tesouraria), gestão de recursos de terceiros e/ou de clientes (asset management - fundos e carteiras geridos ou administrados pelo DISTRIBUIDOR), assim como às suas áreas comerciais não diretamente relacionadas com a distribuição de cotas de fundos de investimento, e a terceiros não autorizados previamente pelo ADMINISTRADOR e/ou pelo GESTOR.
</t>
  </si>
  <si>
    <t>Se qualquer das PARTES e/ou INTERVENIENTES, por determinação legal ou em decorrência de ordem judicial ou de autoridade fiscalizadora, tiver que revelar informação sigilosa decorrente da prestação de serviços objeto deste Contrato, em até 24(vinte e quatro) horas, dará notícia desse fato às outras PARTES e/ou INTERVENIENTES e lhes prestará as informações e subsídios que possam ser necessários para que a PARTE interpelada, a seu critério, possa defender-se contra a divulgação de qualquer das informações sigilosas, salvo se houver restrição legal, regulamentar, ou ainda, expedida por autoridade judicial ou fiscalizadora.</t>
  </si>
  <si>
    <t>A obrigação em manter sigilo e confidencialidade, prevista nesta cláusula, subsistirá à rescisão ou ao término do presente Contrato, pelo prazo de 3 (três) anos. O referido prazo não é aplicável às informações protegidas pelo sigilo bancário ou fical, quando o prazo legal for superior a 3 (três) anos. Neste caso, a obrigação de confidencialidade de tais informações deverá ser observada pelas Partes e INTERVENIENTES de acordo com a legislação vigente.</t>
  </si>
  <si>
    <t>Sem impor limitações à generalidade das cláusulas acima mencionadas, as Partes concordam e comprometem-se a empregar seus melhores esforços para: (i) nunca receber ou propor, pagar ou prometer pagar, seja direta ou indiretamente, por qualquer benefício indevido a um funcionário/agente público, a um terceiro ligado a ele, ou a qualquer prestador de serviço com relação ao assunto deste Contrato como propósito de (a) influenciar qualquer ação ou decisão de um funcionário público ou terceiro, ou (b) induzir tal funcionário público ou terceiro a fazer uso de sua influência para favorecer indevidamente o ADMINISTRADOR, o GESTOR, o DISTRIBUIDOR ou os FUNDOS; (ii) não defraudar, manipular ou impedir qualquer licitação relacionada a este Contrato ou a execução de algum contrato administrativo dele decorrente; (iii) nunca solicitar ou obter vantagem ilícita ao negociar alterações ou prorrogações a contratos públicos eventualmente relacionados com este Contrato; e (iv) nunca impedir investigações ou inspeções feitas por funcionários/agentes públicos.  Adicionalmente, as Partes concordam em notificar a outra Parte imediatamente por escrito caso tome conhecimento de que algum de seus gerentes, superintendentes, diretores, funcionários, agentes, subcontratados ou prestadores de serviços, que estejam atuando em seu nome,  receberam solicitação de algum funcionário público ou terceiro pedindo ou propondo pagamentos ilícitos, comprometendo-se, nesse caso, a enviar todas as informações e documentos relacionados, se solicitado pela outra Parte e desde que não haja qualquer óbice legal, judicial , regulatório ou contratual para a divulgação de tais informações e documentos.</t>
  </si>
  <si>
    <t>10.2.1.</t>
  </si>
  <si>
    <t>11.6.</t>
  </si>
  <si>
    <t>11.7.</t>
  </si>
  <si>
    <t>11.7.1.</t>
  </si>
  <si>
    <t>11.7.2.</t>
  </si>
  <si>
    <t>11.8.</t>
  </si>
  <si>
    <t>11.9.</t>
  </si>
  <si>
    <t>Relação dos FUNDOS:ADAM ADVANCED II FIC FI MULT, ADAM MACRO II FIC FI MULT ,</t>
  </si>
  <si>
    <t xml:space="preserve">Itaú FoF </t>
  </si>
  <si>
    <t>Z:\Sales\Due Diligence Distribuidores\Due Diligence e Questionários\2024\Jan24 - Itaú FoF - ESG</t>
  </si>
  <si>
    <t>Fomulário Gestores</t>
  </si>
  <si>
    <t>Z:\Sales\Due Diligence Distribuidores\Due Diligence e Questionários\2024\Jan24 - BB Formulário Gestores Externos</t>
  </si>
  <si>
    <t>Atualização Cadastral</t>
  </si>
  <si>
    <t>Z:\Sales\Due Diligence Distribuidores\Due Diligence e Questionários\2024\Jan.24 - C6 - Atualização Cadastral</t>
  </si>
  <si>
    <t>IndiceTexto</t>
  </si>
  <si>
    <t>TipoContrato</t>
  </si>
  <si>
    <t>IndiceCapitulo</t>
  </si>
  <si>
    <t>ContraparteAssinante</t>
  </si>
  <si>
    <t>ModeloCotrato</t>
  </si>
  <si>
    <t>Capitulo</t>
  </si>
  <si>
    <t>Estratégia</t>
  </si>
  <si>
    <t>Fundo FIC</t>
  </si>
  <si>
    <t>Nivel</t>
  </si>
  <si>
    <t>ADVANCED</t>
  </si>
  <si>
    <t>MACRO</t>
  </si>
  <si>
    <t>PREV - INTRAG</t>
  </si>
  <si>
    <t>PREV- Icatu</t>
  </si>
  <si>
    <t>Caixa</t>
  </si>
  <si>
    <t>PREV - Santander</t>
  </si>
  <si>
    <t>PREV - IG20</t>
  </si>
  <si>
    <t>PREV RF</t>
  </si>
  <si>
    <t>ADAM RENDA FIXA ATIVA PREV MASTER FI LP</t>
  </si>
  <si>
    <t>52.079.356/0001-66</t>
  </si>
  <si>
    <t>RF Ativa</t>
  </si>
  <si>
    <t>ADAM RENDA FIXA LONGO PRAZO MASTER</t>
  </si>
  <si>
    <t>52.273.064/0001-60</t>
  </si>
  <si>
    <t>LIMITAÇÃO POR EMISSOR COMPANHIA ABERTA DE 10%</t>
  </si>
  <si>
    <t>LIMITAÇÃO POR EMISSOR FUNDO DE INVESTIMENTO DE 10%</t>
  </si>
  <si>
    <t>LIMITAÇÃO POR EMISSOR PF DE 5%</t>
  </si>
  <si>
    <t>LIMITAÇÃO Ativos financeiros emitidos pelo ADMINISTRADOR, GESTOR e ligadas, sendo vedada a aquisição
de ações do ADMINISTRADOR. 20%</t>
  </si>
  <si>
    <t xml:space="preserve">LIMITAÇÃO DE 75% POR Ativos Financeiros de Renda Fixa, emitidos por Companhias Abertas por meio de
oferta pública registrada ou objeto de dispensa de registro. </t>
  </si>
  <si>
    <t xml:space="preserve">LIMITAÇÃO DE 50% Ativos Financeiros representativos de obrigações ou que contenham coobrigação de
instituição financeira. </t>
  </si>
  <si>
    <t>LIMITAÇÃO DE 50%FI e FIC registrados com base na Instrução CVM 555/14, constituídos como
condomínio aberto, cujo principal fator de risco da carteira seja a variação da taxa de
juros doméstica ou de índice de preços ou ambos</t>
  </si>
  <si>
    <t xml:space="preserve">LIMITAÇÃO DE 50% Cotas de fundos de investimento, admitidas à negociação no mercado secundário por
intermédio de bolsa de valores, na forma regulamentada , cujas carteiras sejam
compostas por ativos financeiros que busquem refletir as variações e rentabilidade de
índices de referência de renda fixa (Fundo de Índice de Renda Fixa). </t>
  </si>
  <si>
    <t xml:space="preserve">LIMITAÇÃO DE 25% Ativos Financeiros de Renda Fixa emitidos por SPE, constituída sob a forma de
sociedade por ações, cuja oferta pública tenha sido objeto de registro ou dispensa e
não se enquadre dentre os ativos identificados no limite de 75% acima. </t>
  </si>
  <si>
    <t xml:space="preserve">LIMITAÇÃO DE 25 % Certificados de recebíveis de emissão de companhias securitizadoras, na forma
regulamentada pela CVM. </t>
  </si>
  <si>
    <t xml:space="preserve">LIMITAÇÃO DE 25% Cotas de classe sênior de FIDC e de FICFIDC que vedem em seu regulamento
aquisição de cotas subordinadas. </t>
  </si>
  <si>
    <t xml:space="preserve">VEDAÇÃOA. Outros Ativos Financeiros que não tenham sido:
(i) objeto de oferta pública ou
(ii) emitidos por instituição financeira:
Debêntures
Cédulas de Crédito Bancário (CCB)
Notas de Crédito à Exportação (NCE)
Certificados de Direitos Creditórios do Agronegócio (CDCA)
Cédula do Produtor Rural (CPR)
Certificado de Depósito Agropecuário
Warrant Agropecuário
Cédula de Crédito Imobiliário (CCI)
Contratos ou Certificados de Mercadoria, Produtos e Serviços
Duplicatas
Notas Comerciais ou Notas Promissórias
Cédulas e Notas de Crédito Comercial e Industrial
Recibo de Depósito Corporativo
Certificados dos Ativos acima relacionados
Créditos Securitizados
Direitos Creditórios e Títulos Cambiais
B. Certificados ou Títulos de Emissão de Instituição Financeira representativos de operações ativas vinculadas, nos termos da Resolução CMN n.º 2921/02 e alterações posteriores.
</t>
  </si>
  <si>
    <t>LIMITAÇÃO DE 70% Ações de companhias abertas
Bônus de subscrição correspondentes
Recibos de subscrição
Certificados de depósito
Esses ativos devem atender aos seguintes critérios:
(i) Práticas diferenciadas de governança corporativa
(ii) No mínimo 25% de free float
(iii) Emissão exclusivamente de ações ordinárias</t>
  </si>
  <si>
    <t>LIMITAÇÃO 52,5% Ações de companhias abertas
Bônus de subscrição correspondentes
Recibos de subscrição
Certificados de depósito
Eles devem atender aos seguintes critérios:
(i) Deve haver ações ordinárias (ON) e preferenciais (PN) com direitos adicionais.
(ii) O conselho de administração da empresa deve ter no mínimo cinco membros, com pelo menos 20% deles sendo independentes, e o mandato unificado deve durar até dois anos.</t>
  </si>
  <si>
    <t xml:space="preserve">LIMITAÇÃO 52.5% FIA e FICFIA registrados com base na Instrução CVM 555/14, constituídos como
condomínio aberto, cuja carteira seja composta exclusivamente pelas ações acima. </t>
  </si>
  <si>
    <t xml:space="preserve">LIMITAÇÃO DE 35% FIA e FICFIA registrados com base na Instrução CVM 555/14, constituídos como
condomínio aberto, cuja carteira seja composta exclusivamente pelas ações acima. </t>
  </si>
  <si>
    <t xml:space="preserve">LIMITAÇÃO DE 35% Ações de companhias abertas, correspondentes bônus de subscrição, recibos de
subscrição e certificados de depósito, admitidas à negociação em segmento especial,
que assegure: (i) composição do Conselho de Administração com no mínimo três
membros, (ii) com mandato unificado de até dois anos. </t>
  </si>
  <si>
    <t xml:space="preserve">LIMITAÇÃO DE 35%  Cotas de fundos de investimento em índices de mercado de Renda Variável (Fundo
de Índice de Renda Variável) admitidas à negociação no mercado secundário por
intermédio de bolsa de valores, constituídos sob a forma de condomínio aberto. </t>
  </si>
  <si>
    <t xml:space="preserve">LIMITAÇÃO DE 35% FIA e FICFIA registrados com base na Instrução CVM 555/14, constituídos como
condomínio aberto, cuja carteira seja referenciada em índice divulgado por bolsa de
valores no Brasil, composto por, no mínimo, 50 (cinquenta) ações, e seus respectivos
bônus ou recibos de subscrição e certificados de depósitos. </t>
  </si>
  <si>
    <t>LIMITAÇÃO 17.5% Ações sem percentual mínimo em circulação (free float)
Bônus de subscrição correspondentes
Recibos de subscrição
Certificados de depósito EM BOLSA</t>
  </si>
  <si>
    <t xml:space="preserve">LIMITAÇÃO 17.5% FIA e FICFIA registrados com base na Instrução CVM 555/14, constituídos como
condomínio aberto, que não sejam classificados como Ações Mercado de Acesso. </t>
  </si>
  <si>
    <t xml:space="preserve">VEDAÇÃO FII e FICFII. </t>
  </si>
  <si>
    <t>LIMITAÇÃO 20% o COE com Valor Nominal Protegido</t>
  </si>
  <si>
    <t xml:space="preserve">VEDAÇÃO FIP </t>
  </si>
  <si>
    <t>VEDAÇÃO FIA e FICFIA registrados com base na Instrução CVM 555/14, classificados como
Ações Mercado de Acesso</t>
  </si>
  <si>
    <t xml:space="preserve">LIMITAÇÃO 5% COE com Valor Nominal em Risco, observado o limite individual de 5% por certificado. </t>
  </si>
  <si>
    <t>VEDAÇÃO (RCE) ou de créditos de carbono
do mercado voluntário, admitidos à negociação em bolsa ou balcão.</t>
  </si>
  <si>
    <t>REGRA ESTÁ ATUALMENTE RODANDO COM ERRO</t>
  </si>
  <si>
    <t>LIMITAÇÃO 10% TITULO PUBLICO CAMBIO</t>
  </si>
  <si>
    <t>LIMITAÇÃO 10% FIC CAMBIAL</t>
  </si>
  <si>
    <t>LIMITAÇÃO 10% FIC RF DÍVIDA EXTERNA</t>
  </si>
  <si>
    <t>LIMITAÇÃO 10% FI e FIC registrados com base na Instrução CVM 555/14, constituídos como
condomínio aberto e classificados como Renda Fixa, Ações, Multimercado ou
Cambiais com sufixo “Investimento no Exterior”</t>
  </si>
  <si>
    <t xml:space="preserve">LIMITAÇÃO 10% Cotas de fundos admitidas a negociação em bolsa de valores no Brasil, cujas carteiras
busquem refletir índices de referência do Exterior (Fundo de Índice em Investimento
no Exterior). </t>
  </si>
  <si>
    <t xml:space="preserve">LIMITAÇÃO 10%  FI e FIC Multimercado, registrados com base na Instrução CVM 555/14, constituídos
como condomínio aberto, cuja política de investimento permita a compra de ativos ou
derivativos com risco cambial.  </t>
  </si>
  <si>
    <t xml:space="preserve">LIMITAÇÃO 10%  COE Valor Nominal Protegido referenciados em taxa de câmbio ou variação
cambial. </t>
  </si>
  <si>
    <t>LIMITAÇÃO DE 7.5% BDR</t>
  </si>
  <si>
    <t>LIMITAÇÃO DE 7.5% FIC FIA “Ações - BDR Nível I”</t>
  </si>
  <si>
    <t xml:space="preserve">VEDAÇÃO Títulos e Valores Mobiliários de dívida corporativa de CIA brasileira de capital aberto,
emitidos e negociáveis no exterior. </t>
  </si>
  <si>
    <t xml:space="preserve">VEDAÇÃO Títulos emitidos ou incondicionalmente garantidos por instituições financeiras no
exterior, em moeda estrangeira: a) depósitos a prazo fixo por até seis meses,
renováveis; e b) certificados de depósitos. </t>
  </si>
  <si>
    <t xml:space="preserve">LIMITAÇÃO 2.5% Títulos emitidos por governos centrais de jurisdições estrangeiras e respectivos
bancos centrais, desde que a classificação externa de risco da emissão, conferida por
agência de classificação de risco de crédito registrada ou reconhecida no Brasil pela
Comissão de Valores Mobiliários, seja igual ou superior a AA- ou classificação
equivalente. </t>
  </si>
  <si>
    <t xml:space="preserve">LIMITAÇÃO POR EMISSOR 49% Cotas de fundos de investimento em índices de mercado. </t>
  </si>
  <si>
    <t xml:space="preserve">LIMITAÇÃO POR EMISSOR 49% Cotas de fundos de investimento, registrados com base na Instrução CVM 555/14. 
</t>
  </si>
  <si>
    <t>LIMITAÇÃO POR EMISSOR 25% Instituição financeira, observado, ainda, o limite de 20% do seu patrimônio líquido.</t>
  </si>
  <si>
    <t xml:space="preserve">LIMITAÇÃO POR EMISSOR 15% o Companhia aberta, observado, ainda, o limite de 20% do capital votante ou capital
total de uma mesma companhia aberta. </t>
  </si>
  <si>
    <t xml:space="preserve">LIMITAÇÃO POR EMISSOR 15% SPE, nos casos de debêntures de infraestrutura previstas no Grupo I.  </t>
  </si>
  <si>
    <t xml:space="preserve">LIMITAÇÃO POR EMISSOR 10% Organizações Financeiras Internacionais. </t>
  </si>
  <si>
    <t>LIMITAÇÃO POR EMISSOR 10% o Companhia securitizadora</t>
  </si>
  <si>
    <t xml:space="preserve"> LIMITAÇÃO POR EMISSOR 10% FII e FICFII </t>
  </si>
  <si>
    <t xml:space="preserve"> LIMITAÇÃO POR EMISSOR 10% SPE</t>
  </si>
  <si>
    <t xml:space="preserve">VEDAÇÃO FIDC e FICFIDC. </t>
  </si>
  <si>
    <t xml:space="preserve">VEDAÇÃO FIA e FICFIA registrados com base na Instrução CVM 555/14, classificados como
Ações Mercado de Acesso </t>
  </si>
  <si>
    <t>LIMITAÇÃO 5% Emissores não listados acima, cujos ativos estejam listados no quadro de Limite
por Ativos.</t>
  </si>
  <si>
    <t>LIMITAÇÃO 50% CP</t>
  </si>
  <si>
    <t>LIMITAÇÃO 25% COMPROMISSADA</t>
  </si>
  <si>
    <t>VEDAÇÃO OPERAÇÕES COM ADMNISTRADOR GESTOR E LIGADAS</t>
  </si>
  <si>
    <t>LIMITAÇÃO 15% CRI</t>
  </si>
  <si>
    <t>VEDAÇÃO CRA</t>
  </si>
  <si>
    <t>LIMITAÇÃO 15% COTAS SÊNIOR DE FIDC E FICFIDC</t>
  </si>
  <si>
    <t xml:space="preserve">VEDAÇÃO Desde que com cobertura integral de seguro de crédito, observada a regulamentação
específica do Conselho Nacional de Seguros Privados e da Superintendência de
Seguros Privados: A. Outros Ativos Financeiros que não tenham sido: (i) objeto de
oferta pública ou (ii) emitidos por instituição financeira: debêntures, cédulas de crédito
bancário (CCB), notas de crédito à exportação (NCE), certificados de direitos
creditórios do agronegócio (CDCA), cédula do produtor rural (CPR); certificado de
depósito agropecuário; warrant agropecuário; cédula de crédito imobiliário (CCI);
contratos ou certificados de mercadoria, produtos e serviços; duplicatas; notas
comerciais ou notas promissórias; cédulas e notas de crédito comercial e industrial;
recibo de depósito corporativo; certificados dos ativos acima relacionados; créditos
 Corporativo | Externo (64210) 12
securitizados; direitos creditórios e títulos cambiais; ou B. Certificados ou Títulos de
emissão de Instituição Financeira representativos de operações ativas vinculadas,
nos termos da Resolução CMN n.º 2921/02 e alterações posteriores. </t>
  </si>
  <si>
    <t xml:space="preserve">VEDAÇÃO FI e FIC registrados com base na Instrução CVM 555/14, destinados a investidores
profissionais </t>
  </si>
  <si>
    <t>LIMITAÇÃO 75% OFERTA PÚBLICA DE COMPANHIAS ABERTAS</t>
  </si>
  <si>
    <t>LIMITAÇÃO 75% Debêntures de infraestrutura</t>
  </si>
  <si>
    <t xml:space="preserve">LIMITAÇÃO 50% Ativos Financeiros representativos de obrigações ou que contenham coobrigação de
instituição financeira. </t>
  </si>
  <si>
    <t xml:space="preserve">LIMITAÇÃO 50% FI e FIC registrados com base na Instrução CVM 555/14, constituídos como
condomínio aberto, cujo principal fator de risco da carteira seja a variação da taxa de
juros doméstica ou de índice de preços ou ambos. </t>
  </si>
  <si>
    <t xml:space="preserve">LIMITAÇÃO 50% Cotas de fundos de investimento, admitidas à negociação no mercado secundário por
intermédio de bolsa de valores, na forma regulamentada , cujas carteiras sejam
compostas por ativos financeiros que busquem refletir as variações e rentabilidade de
índices de referência de renda fixa (Fundo de Índice de Renda Fixa). </t>
  </si>
  <si>
    <t xml:space="preserve">LIMITAÇÃO 25% Ativos Financeiros de Renda Fixa emitidos por SPE, constituída sob a forma de
sociedade por ações, cuja oferta pública tenha sido objeto de registro ou dispensa e
não se enquadre dentre os ativos identificados no limite de 75% acima. </t>
  </si>
  <si>
    <t xml:space="preserve">LIMITAÇÃO 20% FI e FIC Multimercado, registrados com base na Instrução CVM 555/14, constituídos
como condomínio aberto, cuja política de investimento vede a compra de ativos ou
derivativos com risco cambial. </t>
  </si>
  <si>
    <t xml:space="preserve">LIMITAÇÃO 20% COE com Valor Nominal Protegido. </t>
  </si>
  <si>
    <t>VEDAÇÃO FIP</t>
  </si>
  <si>
    <t>LIMITAÇÃO 5% COE com Valor Nominal em Risco, observado o limite individual de 5% por certificado.</t>
  </si>
  <si>
    <t xml:space="preserve">LIMITAÇÃO 5 % Certificados de Reduções Certificadas de Emissão (RCE) ou de créditos de carbono
do mercado voluntário, admitidos à negociação em bolsa ou balcão. 
</t>
  </si>
  <si>
    <t xml:space="preserve">LIMITAÇÃO 10% Título Público Federal atrelado à variação da moeda estrangeira. </t>
  </si>
  <si>
    <t>LIMITAÇÃO 10% FI e FIC registrados com base na Instrução CVM 555/14, constituídos como
condomínio aberto e classificados como Renda Fixa, Ações, Multimercado ou
Cambiais com sufixo “Investimento no Exterior”.</t>
  </si>
  <si>
    <t xml:space="preserve">LIMITAÇÃO 10%FI e FIC Multimercado, registrados com base na Instrução CVM 555/14, constituídos
como condomínio aberto, cuja política de investimento permita a compra de ativos ou
derivativos com risco cambial. </t>
  </si>
  <si>
    <t xml:space="preserve">LIMITAÇÃO 10% COE, com Valor Nominal Protegido referenciados em taxa de câmbio ou variação
cambial. </t>
  </si>
  <si>
    <t xml:space="preserve">LIMITAÇÃO 7.5% BDR </t>
  </si>
  <si>
    <t>LIMITAÇÃO 7.5%FIA e FICFIA registrados com base na Instrução CVM 555/14, constituídos como
condomínio aberto, classificados como “Ações - BDR Nível I”</t>
  </si>
  <si>
    <t>LIMITAÇÃO 7.5% Títulos emitidos por governos centrais de jurisdições estrangeiras e respectivos
bancos centrais, desde que a classificação externa de risco da emissão, conferida por
agência de classificação de risco de crédito registrada ou reconhecida no Brasil pela
Comissão de Valores Mobiliários, seja igual ou superior a AA- ou classificação
equivalente.</t>
  </si>
  <si>
    <t>LIMITAÇÃO RV 49% Ações de companhias abertas, correspondentes bônus de subscrição, recibos de
subscrição e certificados de depósito, admitidas à negociação em segmento
especial, que assegure: (i) práticas diferenciadas de governança corporativa, (ii) no
mínimo 25% de free float e (iii) emissão exclusivamente de ações ordinárias.
 Corporativo | Externo (64210) 13
FIA e FICFIA registrados com base na Instrução CVM 555/14, constituídos como
condomínio aberto, cuja carteira seja composta exclusivamente pelas ações acima.</t>
  </si>
  <si>
    <t xml:space="preserve">LIMITAÇÃO RV 49%  Ações de companhias abertas, correspondentes bônus de subscrição, recibos de
subscrição e certificados de depósito, admitidas à negociação em segmento
especial, que assegure: (i) existência de ações ON e PN (com direitos adicionais) e
(ii) conselho de administração composto por no mínimo cinco membros, sendo 20%
(vinte por cento) independentes e com mandato unificado de até dois anos. </t>
  </si>
  <si>
    <t>LIMITAÇÃO RV 49% FIA e FICFIA registrados com base na Instrução CVM 555/14, constituídos como
condomínio aberto, cuja carteira seja composta exclusivamente pelas ações acima.</t>
  </si>
  <si>
    <t xml:space="preserve">LIMITAÇÃO RV 49%  Ações de companhias abertas, correspondentes bônus de subscrição, recibos de
subscrição e certificados de depósito, admitidas à negociação em segmento
especial, que assegure: (i) composição do Conselho de Administração com no
mínimo três membros, (ii) com mandato unificado de até dois anos. </t>
  </si>
  <si>
    <t xml:space="preserve">LIMITAÇÃO RV 49% FIA e FICFIA registrados com base na Instrução CVM 555/14, constituídos como
condomínio aberto, cuja carteira seja composta exclusivamente pelas ações acima. </t>
  </si>
  <si>
    <t xml:space="preserve">LIMITAÇÃO RV 49% Cotas de fundos de investimento em índices de mercado de Renda Variável (Fundo
de Índice de Renda Variável) admitidas à negociação no mercado secundário por
intermédio de bolsa de valores, constituídos sob a forma de condomínio aberto. 
</t>
  </si>
  <si>
    <t xml:space="preserve">LIMITAÇÃO RV 49% FIA e FICFIA registrados com base na Instrução CVM 555/14, constituídos como
condomínio aberto, cuja carteira seja referenciada em índice divulgado por bolsa de
valores no Brasil, composto por, no mínimo, 50 (cinquenta) ações, e seus
respectivos bônus ou recibos de subscrição e certificados de depósitos. </t>
  </si>
  <si>
    <t xml:space="preserve">LIMITAÇÃO RV 35%Ações sem percentual mínimo em circulação (free float), correspondentes bônus de
subscrição, recibos de subscrição e certificados de depósito, admitidas à
negociação em bolsa de valores no Brasil, não negociadas em segmento especial. </t>
  </si>
  <si>
    <t xml:space="preserve">LIMITAÇÃO RV 35% FIA e FICFIA registrados com base na Instrução CVM 555/14, constituídos como
condomínio aberto, que não sejam classificados como Ações Mercado de Acesso. </t>
  </si>
  <si>
    <t xml:space="preserve">LIMITAÇÃO RV 35% Debêntures com participação nos lucros, ou conversíveis ou permutáveis em ações,
cuja oferta tenha sido registrada ou com dispensa de registro. </t>
  </si>
  <si>
    <t xml:space="preserve">LIMITES POR EMISSOR 49% Cotas de fundos de investimento em índices de mercado. </t>
  </si>
  <si>
    <t>LIMITES POR EMISSOR 49% o Cotas de fundos de investimento, registrados com base na Instrução CVM 555/14.</t>
  </si>
  <si>
    <t>LIMITES POR EMISSOR 25% Instituição financeira, observado, ainda, o limite de 20% do seu patrimônio líquido</t>
  </si>
  <si>
    <t xml:space="preserve">LIMITES POR EMISSOR 15% Companhia aberta, observado, ainda, o limite de 20% do capital votante ou capital
total de uma mesma companhia aberta. </t>
  </si>
  <si>
    <t xml:space="preserve">LIMITES POR EMISSOR 15% SPE, nos casos de debêntures de infraestrutura previstas no Grupo I. </t>
  </si>
  <si>
    <t xml:space="preserve">LIMITES POR EMISSOR 15%o Organizações Financeiras Internacionais. </t>
  </si>
  <si>
    <t xml:space="preserve">LIMITES POR EMISSOR 0.5%o Companhia securitizadora. </t>
  </si>
  <si>
    <t>LIMITES POR EMISSOR 10% Cotas Sênior FIDC e FICFIDC.</t>
  </si>
  <si>
    <t>VEDAÇÃO FII e FICFII</t>
  </si>
  <si>
    <t>LIMITAÇÃ0 10% SPE</t>
  </si>
  <si>
    <t xml:space="preserve">LIMITAÇÃO 5% Emissores não listados acima, cujos ativos estejam listados no quadro de Limite
por Ativos. </t>
  </si>
  <si>
    <t xml:space="preserve">LIMITAÇÃO CP 50% </t>
  </si>
  <si>
    <t>VEDADA OPERAÇÃO COM ADMN GESTOR E LIGADAS</t>
  </si>
  <si>
    <t xml:space="preserve">LIMITAÇÃO 4% FIDC e FICFIDC </t>
  </si>
  <si>
    <t xml:space="preserve">LIMITAÇÃO 4%FII </t>
  </si>
  <si>
    <t>LIMITAÇÃO 4% Ativos financeiros não previstos no GRUPO I, emitidos ou negociados por meio de
oferta pública com esforços restritos, dispensada de registro</t>
  </si>
  <si>
    <t>LIMITAÇÃO 4%FI e FIC registrados com base na Instrução CVM 555/14, destinados a investidores
qualificados</t>
  </si>
  <si>
    <t xml:space="preserve">LIMITAÇÃO 4% Outros ativos financeiros, desde que não tenham sido: (i) objeto de oferta pública;
ou (ii) de obrigação ou coobrigação de instituição financeira: debêntures, cédulas de
crédito bancário (CCB), certificados de cédulas de crédito bancário (CCCB), notas
de crédito à exportação (NCE), cédulas de crédito à exportação (CCE), certificados
de direitos creditórios do agronegócio (CDCA), cédula do produtor rural (CPR),
certificados de recebíveis do agronegócio (CRA); certificado de depósito
agropecuário; warrant agropecuário; cédula de crédito imobiliário (CCI); contratos ou
certificados de mercadoria, produtos e serviços; duplicatas; notas comerciais ou
notas promissórias; cédulas e notas de crédito comercial e industrial; recibo de
depósito corporativo; certificados dos ativos acima relacionados; créditos
securitizados; direitos creditórios; títulos cambiais e certificados ou títulos de
emissão de instituições financeiras representativos de operações ativas vinculadas
a estes, nos termos da Resolução CMN n.º 2921/02 e alterações posteriores e
demais ativos financeiros permitidos pela regulamentação </t>
  </si>
  <si>
    <t xml:space="preserve">LIMITAÇÃO 1% FIDC NP e FICFIDC NP </t>
  </si>
  <si>
    <t>VEDAÇÃO FI e FIC registrados com base na Instrução CVM 555/14, destinados a investidores
profissionais</t>
  </si>
  <si>
    <t xml:space="preserve">VEDAÇÃO Investimento no Exterior, realizado de forma direta ou indireta: ativos financeiros,
fundos de investimento/veículos de investimento e contratos de derivativos emitidos
no exterior, além de cotas de Fundos de Índice referenciados em índices
estrangeiros e cotas de fundos de investimento registrados com base na Instrução
CVM 555/14 que possuam em sua denominação o sufixo “Investimento no Exterior”,
desde que compatíveis com a política do FUNDO, observada a regulamentação em
vigor e as disposições deste Regulamento </t>
  </si>
  <si>
    <t xml:space="preserve">LIMITES POR EMISSOR 20% Instituição financeira autorizada a funcionar pelo Banco Central do Brasil </t>
  </si>
  <si>
    <t>LIMITES POR EMISSOR 10% Companhia aberta</t>
  </si>
  <si>
    <t xml:space="preserve">LIMITES POR EMISSOR 10% Fundo de investimento </t>
  </si>
  <si>
    <t xml:space="preserve">LIMITES POR EMISSOR 5% Pessoa física ou jurídica de direito privado que não seja companhia aberta ou
instituição financeira autorizada a funcionar pelo Banco Central do Brasil </t>
  </si>
  <si>
    <t>LIMITAÇÃO 20% Ativos financeiros emitidos pelo ADMINISTRADOR, GESTOR e ligadas, sendo vedada a aquisição
de ações do ADMINISTRADOR</t>
  </si>
  <si>
    <t>LIMITAÇÃO 4%CRI</t>
  </si>
  <si>
    <t>VEDAÇÃO Ativos Financeiros de Renda Fixa, emitidos por Companhias Abertas por meio de
oferta pública registrada ou objeto de dispensa de registro.</t>
  </si>
  <si>
    <t>VEDAÇÃO Debêntures de infraestrutura, emitidas conforme art. 2º da Lei 12.431/11, por
companhia, aberta ou fechada, cuja oferta pública tenha sido objeto de registro ou
dispensa, garantidas por títulos públicos federais que representem, pelo menos, 30%
do principal na data de vencimento dos compromissos estipulados na escritura de
emissão</t>
  </si>
  <si>
    <t>VEDAÇÃO Ativos Financeiros representativos de obrigações ou que contenham coobrigação de
instituição financeira</t>
  </si>
  <si>
    <t xml:space="preserve">LIMITAÇÃO 70% Ações de companhias abertas, correspondentes bônus de subscrição, recibos de
subscrição e certificados de depósito, admitidas à negociação em segmento especial,
que assegure: (i) práticas diferenciadas de governança corporativa, (ii) no mínimo
25% de free float e (iii) emissão exclusivamente de ações ordinárias.
</t>
  </si>
  <si>
    <t>LIMITAÇÃO  DE 52% Ações de companhias abertas, correspondentes bônus de subscrição, recibos de
subscrição e certificados de depósito, admitidas à negociação em segmento especial,
que assegure: (i) existência de ações ON e PN (com direitos adicionais) e (ii) conselho
de administração composto por no mínimo cinco membros, sendo 20% (vinte por
cento) independentes e com mandato unificado de até dois anos.</t>
  </si>
  <si>
    <t>LIMITAÇÃO 35% Ações de companhias abertas, correspondentes bônus de subscrição, recibos de
subscrição e certificados de depósito, admitidas à negociação em segmento especial,
que assegure: (i) composição do Conselho de Administração com no mínimo três
membros, (ii) com mandato unificado de até dois anos.</t>
  </si>
  <si>
    <t>LIMITAÇÃO 17.5 % Ações sem percentual mínimo em circulação (free float), correspondentes bônus de
subscrição, recibos de subscrição e certificados de depósito, admitidas à negociação
em bolsa de valores no Brasil, não negociadas em segmento especial.</t>
  </si>
  <si>
    <t>LIMITAÇÃO DE 20% o Título Público Federal atrelado à variação da moeda estrangeira</t>
  </si>
  <si>
    <t>LIMITAÇÃO DE 20%
OMEGA ACESSO FUNDO DE INVESTIMENTO MULTIMERCADO INVESTIMENTO
NO EXTERIOR, inscrito no CNPJ/MF sob o nº 35.190.506/0001-95, administrado pelo
ADMINISTRADOR e gerido pelo GESTOR.</t>
  </si>
  <si>
    <t>LIMITAÇÃO 15% BDR</t>
  </si>
  <si>
    <t>LIMITAÇÃO 4% Títulos emitidos por governos centrais de jurisdições estrangeiras e respectivos
bancos centrais, desde que a classificação externa de risco da emissão, conferida por
agência de classificação de risco de crédito registrada ou reconhecida no Brasil pela
Comissão de Valores Mobiliários, seja igual ou superior a AA- ou classificação
equivalente.</t>
  </si>
  <si>
    <t xml:space="preserve">VEDAÇÃO SPE, nos casos de debêntures de infraestrutura previstas no Grupo I. </t>
  </si>
  <si>
    <t xml:space="preserve">VEDAÇÃO o Companhia securitizadora. </t>
  </si>
  <si>
    <t>VEDAÇÃO SPE</t>
  </si>
  <si>
    <t>VEDAÇÃO  FIDC e FICFIDC.</t>
  </si>
  <si>
    <t xml:space="preserve">VEDAÇÃO FIA e FICFIA registrados com base na Instrução CVM 555/14, classificados como
Ações Mercado de Acesso
</t>
  </si>
  <si>
    <t>LIMITAÇÃO  5% o Emissores não listados acima, cujos ativos estejam listados no quadro de Limite por
Ativos.</t>
  </si>
  <si>
    <t>VEDAÇÃO CP</t>
  </si>
  <si>
    <t>LIMITAÇÃO 25% Operações Compromissadas com lastro em Títulos Públicos Federais</t>
  </si>
  <si>
    <t>VEDAÇÃO Operações Compromissadas com lastro em Títulos Privados</t>
  </si>
  <si>
    <t>VEDAÇÃO OPERAÇÃO ADM GESTOR E LIGADOS</t>
  </si>
  <si>
    <t>REG085</t>
  </si>
  <si>
    <t>OK- JÁ ESTAVA</t>
  </si>
  <si>
    <t>OK - JÁ ESTAVA</t>
  </si>
  <si>
    <t>AJUSTAR LIMITE</t>
  </si>
  <si>
    <t>REG010</t>
  </si>
  <si>
    <t>REG21, 22 E 23</t>
  </si>
  <si>
    <t>OK - ESTÁ COM VEDAÇÃO E NÃO LIMITAÇÃO</t>
  </si>
  <si>
    <t>AJUTAR PARA VEDAÇÃO</t>
  </si>
  <si>
    <t>REG002</t>
  </si>
  <si>
    <t>REG079 E REG086</t>
  </si>
  <si>
    <t>REG052</t>
  </si>
  <si>
    <t>REG057</t>
  </si>
  <si>
    <t>REG080</t>
  </si>
  <si>
    <t>REG027</t>
  </si>
  <si>
    <t>REG001</t>
  </si>
  <si>
    <t>VEDAÇÃO DE FIDC NP E FICFIDC NP</t>
  </si>
  <si>
    <t>REG005</t>
  </si>
  <si>
    <t>VEDAÇÃO FI E FIC 555</t>
  </si>
  <si>
    <t>REG081</t>
  </si>
  <si>
    <t>LIMITAÇÃO POR EMISSOR: INSTITUIÇÃO AUTORIZADO PELO BC DE 20%</t>
  </si>
  <si>
    <t>REG038</t>
  </si>
  <si>
    <t>REGRA NÃO INCLUI LIGADAS</t>
  </si>
  <si>
    <t>OK, JÁ ESTAVA. O LIMITE DA REGRA É 50</t>
  </si>
  <si>
    <t>REG019</t>
  </si>
  <si>
    <t>?</t>
  </si>
  <si>
    <t>RE020</t>
  </si>
  <si>
    <t>REG069</t>
  </si>
  <si>
    <t>REG065</t>
  </si>
  <si>
    <t>OK, REGRA GENERALISTA</t>
  </si>
  <si>
    <t>REGRA NÃO PARECE ESTAR FUNCIONANDO</t>
  </si>
  <si>
    <t>VEDAÇÃO FI e FIC registrados com base na Instrução CVM 555/14, constituídos como
condomínio aberto, cujo principal fator de risco da carteira seja a variação da taxa de
juros doméstica ou de índice de preços ou ambos.</t>
  </si>
  <si>
    <t xml:space="preserve">VEDAÇÃO  Cotas de fundos de investimento, admitidas à negociação no mercado secundário por
intermédio de bolsa de valores, na forma regulamentada, cujas carteiras sejam
compostas por ativos financeiros que busquem refletir as variações e rentabilidade de
índices de referência de renda fixa (Fundo de Índice de Renda Fixa) </t>
  </si>
  <si>
    <t>VEDAÇÃO  Ativos Financeiros de Renda Fixa emitidos por SPE, constituída sob a forma de
sociedade por ações, cuja oferta pública tenha sido objeto de registro ou dispensa e
não se enquadre dentre os ativos identificados no limite de 75% acima.</t>
  </si>
  <si>
    <t xml:space="preserve">VEDAÇÃO  Cotas de classe sênior de FIDC e de FICFIDC que vedem em seu regulamento
aquisição de cotas subordinadas. </t>
  </si>
  <si>
    <t>VEDAÇÃO  Desde que com cobertura integral de seguro de crédito, observada a regulamentação
específica do Conselho Nacional de Seguros Privados e da Superintendência de
Seguros Privados: A. Outros Ativos Financeiros que não tenham sido: (i) objeto de
oferta pública ou (ii) emitidos por instituição financeira: debêntures, cédulas de crédito
bancário (CCB), notas de crédito à exportação (NCE), certificados de direitos
creditórios do agronegócio (CDCA), cédula do produtor rural (CPR); certificado de
depósito agropecuário; warrant agropecuário; cédula de crédito imobiliário (CCI);
contratos ou certificados de mercadoria, produtos e serviços; duplicatas; notas
comerciais ou notas promissórias; cédulas e notas de crédito comercial e industrial;
recibo de depósito corporativo; certificados dos ativos acima relacionados; créditos
securitizados; direitos creditórios e títulos cambiais; ou B. Certificados ou Títulos de
(Cód. FY: 64571)
emissão de Instituição Financeira representativos de operações ativas vinculadas,
nos termos da Resolução CMN n.º 2921/02 e alterações posteriores</t>
  </si>
  <si>
    <t>VEDAÇÃO  FIA e FICFIA registrados com base na Instrução CVM 555/14, constituídos como
condomínio aberto, cuja carteira seja composta exclusivamente pelas ações acima.</t>
  </si>
  <si>
    <r>
      <rPr>
        <b/>
        <sz val="11"/>
        <color theme="1"/>
        <rFont val="Calibri"/>
        <family val="2"/>
        <scheme val="minor"/>
      </rPr>
      <t xml:space="preserve">VEDAÇÃO  </t>
    </r>
    <r>
      <rPr>
        <sz val="11"/>
        <color theme="1"/>
        <rFont val="Calibri"/>
        <family val="2"/>
        <scheme val="minor"/>
      </rPr>
      <t>FIA e FICFIA registrados com base na Instrução CVM 555/14, constituídos como
condomínio aberto, cuja carteira seja composta exclusivamente pelas ações acima.</t>
    </r>
  </si>
  <si>
    <t xml:space="preserve">VEDAÇÃO FIA e FICFIA registrados com base na Instrução CVM 555/14, constituídos como
condomínio aberto, cuja carteira seja composta exclusivamente pelas ações acima.
</t>
  </si>
  <si>
    <t>VEDAÇÃO Cotas de fundos de investimento em índices de mercado de Renda Variável (Fundo
de Índice de Renda Variável) admitidas à negociação no mercado secundário por
intermédio de bolsa de valores, constituídos sob a forma de condomínio aberto.</t>
  </si>
  <si>
    <t>VEDAÇÃO FIA e FICFIA registrados com base na Instrução CVM 555/14, constituídos como
condomínio aberto, cuja carteira seja referenciada em índice divulgado por bolsa de
valores no Brasil, composto por, no mínimo, 50 (cinquenta) ações, e seus respectivos
bônus ou recibos de subscrição e certificados de depósitos.</t>
  </si>
  <si>
    <r>
      <rPr>
        <b/>
        <sz val="11"/>
        <color theme="1"/>
        <rFont val="Calibri"/>
        <family val="2"/>
        <scheme val="minor"/>
      </rPr>
      <t xml:space="preserve">VEDAÇÃO </t>
    </r>
    <r>
      <rPr>
        <sz val="11"/>
        <color theme="1"/>
        <rFont val="Calibri"/>
        <family val="2"/>
        <scheme val="minor"/>
      </rPr>
      <t>FIA e FICFIA registrados com base na Instrução CVM 555/14, constituídos como
condomínio aberto, que não sejam classificados como Ações Mercado de Acesso.</t>
    </r>
  </si>
  <si>
    <t>VEDAÇÃO Debêntures com participação nos lucros, ou conversíveis ou permutáveis em ações,
cuja oferta tenha sido registrada ou com dispensa de registro.</t>
  </si>
  <si>
    <t xml:space="preserve">VEDAÇÃO FII e FICFII.
</t>
  </si>
  <si>
    <t>VEDAÇÃO FI e FIC Multimercado, registrados com base na Instrução CVM 555/14, constituídos
como condomínio aberto, cuja política de investimento vede a compra de ativos ou
derivativos com risco cambial.</t>
  </si>
  <si>
    <t>VEDAÇÃO COE com Valor Nominal Protegido</t>
  </si>
  <si>
    <t>VEDAÇÃO COE com Valor Nominal em Risco, observado o limite individual de 5% por certificado</t>
  </si>
  <si>
    <t>VEDAÇÃO Certificados de Reduções Certificadas de Emissão (RCE) ou de créditos de carbono
do mercado voluntário, admitidos à negociação em bolsa ou balcão.</t>
  </si>
  <si>
    <t xml:space="preserve">VEDAÇÃO Fundo de Investimento classificado como Cambial.
</t>
  </si>
  <si>
    <t>VEDAÇÃO Fundo de Investimento classificado como Renda Fixa Dívida Externa.</t>
  </si>
  <si>
    <t xml:space="preserve">VEDAÇÃO FI e FIC registrados com base na Instrução CVM 555/14, constituídos como
condomínio aberto e classificados como Renda Fixa, Ações, Multimercado ou
Cambiais com sufixo “Investimento no Exterior”, exceto o fundo mencionado abaixo.
</t>
  </si>
  <si>
    <t>VEDAÇÃO Cotas de fundos admitidas a negociação em bolsa de valores no Brasil, cujas carteiras
busquem refletir índices de referência do Exterior (Fundo de Índice em Investimento
no Exterior).</t>
  </si>
  <si>
    <t>VEDAÇÃO FI e FIC Multimercado, registrados com base na Instrução CVM 555/14, constituídos
como condomínio aberto, cuja política de investimento permita a compra de ativos ou
derivativos com risco cambial.</t>
  </si>
  <si>
    <t>VEDAÇÃO COE, com Valor Nominal Protegido referenciados em taxa de câmbio ou variação
cambial.</t>
  </si>
  <si>
    <t>VEDAÇÃO FIA e FICFIA registrados com base na Instrução CVM 555/14, constituídos como
condomínio aberto, classificados como “Ações - BDR Nível I”.</t>
  </si>
  <si>
    <t xml:space="preserve">VEDAÇÃO tITUlos e Valores Mobiliários de dívida corporativa de CIA brasileira de capital aberto,
emitidos e negociáveis no exterior.
</t>
  </si>
  <si>
    <t>VEDAÇÃO Títulos emitidos ou incondicionalmente garantidos por instituições financeiras no
exterior, em moeda estrangeira: a) depósitos a prazo fixo por até seis meses,
renováveis; e b) certificados de depósitos.</t>
  </si>
  <si>
    <t>REG089, REG054</t>
  </si>
  <si>
    <t>REG075</t>
  </si>
  <si>
    <t>OK, COLOCAR UMA REGRA ESPECIFICAMENTE DE RF</t>
  </si>
  <si>
    <t>OK , COLOCAR REGRA ESPECIFICA DE VARIAÇÃO DA TAXA DE JUROS DOMÉSTICA</t>
  </si>
  <si>
    <t>VEDAÇÃO Certificados de recebíveis de emissão de companhias securitizadoras, na forma
regulamentada pela CVM.</t>
  </si>
  <si>
    <t>REG020</t>
  </si>
  <si>
    <t>REGRA NÃO ESTÁ RODANDO CORRETAMENTE</t>
  </si>
  <si>
    <t>REG070</t>
  </si>
  <si>
    <t>REG063 REG055</t>
  </si>
  <si>
    <t>REG071</t>
  </si>
  <si>
    <t>REG076</t>
  </si>
  <si>
    <t>REG068</t>
  </si>
  <si>
    <t>LIMITAÇÃO DE CRÉDITO DE 50%</t>
  </si>
  <si>
    <t>REGRA NÃO EXISTE</t>
  </si>
  <si>
    <t>REG074</t>
  </si>
  <si>
    <t>REG056</t>
  </si>
  <si>
    <t>PREV003B</t>
  </si>
  <si>
    <t>OK - O IDEAL SERIA TER UMA REGRA PARA ESSE TIPO DE COE ESPECIFICO</t>
  </si>
  <si>
    <t>REGRA MAIS VAGA SE REFERINDO A VEDAÇÃO DE FUNDOS ABERTOS</t>
  </si>
  <si>
    <t>REG053a</t>
  </si>
  <si>
    <t>REGRA FEITA ESPECIFICAMENTE PARA O BB</t>
  </si>
  <si>
    <t>ADAPTAR PARA RETIRAR OMEGA</t>
  </si>
  <si>
    <t>533/I</t>
  </si>
  <si>
    <t>REG054</t>
  </si>
  <si>
    <t>REG063</t>
  </si>
  <si>
    <t>526.527.525</t>
  </si>
  <si>
    <t>522/I</t>
  </si>
  <si>
    <t>528, 529, 530, 532</t>
  </si>
  <si>
    <t>REG059, REG072(ADAPTADA)</t>
  </si>
  <si>
    <t>556/I</t>
  </si>
  <si>
    <t>559/I</t>
  </si>
  <si>
    <t>539/I</t>
  </si>
  <si>
    <t>RE038 + REG003</t>
  </si>
  <si>
    <t xml:space="preserve">VEDAÇÃO Desde que com cobertura integral de seguro de crédito, observada a regulamentação
específica do Conselho Nacional de Seguros Privados e da Superintendência de
Seguros Privados: A. Outros Ativos Financeiros que não tenham sido: (i) objeto de
oferta pública ou (ii) emitidos por instituição financeira: debêntures, cédulas de crédito
bancário (CCB), notas de crédito à exportação (NCE), certificados de direitos
creditórios do agronegócio (CDCA), cédula do produtor rural (CPR); certificado de
depósito agropecuário; warrant agropecuário; cédula de crédito imobiliário (CCI);
contratos ou certificados de mercadoria, produtos e serviços; duplicatas; notas
comerciais ou notas promissórias; cédulas e notas de crédito comercial e industrial;
recibo de depósito corporativo; certificados dos ativos acima relacionados; créditos
securitizados; direitos creditórios e títulos cambiais; ou B. Certificados ou Títulos de
emissão de Instituição Financeira representativos de operações ativas vinculadas,
nos termos da Resolução CMN n.º 2921/02 e alterações posteriores. </t>
  </si>
  <si>
    <t>VEDAÇÃO Cotas de fundos de investimento, constituídos sob a forma de condomínio aberto,
cujas carteiras estejam representadas exclusivamente pelos títulos mencionados
acima(Títulos das dívidas públicas e Créditos Securitizados pela Secretaria do Tesouro
Nacional), dos quais reguladas pela Susep sejam as únicas cotistas (Fundo
Especialmente Constituído de Títulos Públicos).</t>
  </si>
  <si>
    <t xml:space="preserve">VEDAÇÃO Cotas de fundos de investimento especialmente constituídos, cujas políticas de
investimentos reflitam os ativos e respectivos limites estabelecidos pela
regulamentação de investimentos emitida pelo Banco Central do Brasil a que se
submetem as reguladas pela Susep. </t>
  </si>
  <si>
    <t>OK-JÁ ESTAVA</t>
  </si>
  <si>
    <t xml:space="preserve">LIMITAÇÃO 20%  COE com Valor Nominal Protegido. </t>
  </si>
  <si>
    <t xml:space="preserve">LIMITAÇÃO 25% COE com Valor Nominal em Risco, observado o limite individual de 5% por certificado. </t>
  </si>
  <si>
    <t xml:space="preserve">Certificados de Reduções Certificadas de Emissão (RCE) ou de créditos de carbono
do mercado voluntário, admitidos à negociação em bolsa ou balcão. </t>
  </si>
  <si>
    <t>560/I</t>
  </si>
  <si>
    <t>VEDAÇÃO Títulos e Valores Mobiliários de dívida corporativa de CIA brasileira de capital aberto,
emitidos e negociáveis no exterior</t>
  </si>
  <si>
    <t>REG079 E551/I</t>
  </si>
  <si>
    <t xml:space="preserve">VEDAÇÃO Fundo Especialmente Constituído. </t>
  </si>
  <si>
    <t xml:space="preserve">VEDAÇÃO FII e FICFII </t>
  </si>
  <si>
    <t>REG078</t>
  </si>
  <si>
    <t>OK-JÁ ESTAVA, N/A</t>
  </si>
  <si>
    <t>LIMITAÇÃO CP 50%</t>
  </si>
  <si>
    <t>VEDAÇÃO operação com emissor adm gestor e ligadas</t>
  </si>
  <si>
    <t>REG060</t>
  </si>
  <si>
    <t>VEDAÇÃO Ativos financeiros de renda fixa emitidos pelo ADMINISTRADOR, GESTOR e ligad</t>
  </si>
  <si>
    <t>REG084</t>
  </si>
  <si>
    <t>REG032 AJUSTADA</t>
  </si>
  <si>
    <t>REG516a CRIADA</t>
  </si>
  <si>
    <t>Denominação/Razão Social</t>
  </si>
  <si>
    <t>17.905.206/0001-63</t>
  </si>
  <si>
    <t>Rua Dias Ferreira, 190 - Sala 502 -
Leblon
Rio de Janeiro - RJ - Brasil, CEP N ° 22431-050</t>
  </si>
  <si>
    <t>ADAM CAPITAL GESTÃO DE RECURSOS Ltda.</t>
  </si>
  <si>
    <t>UsuárioChat</t>
  </si>
  <si>
    <t>MAPPEL13</t>
  </si>
  <si>
    <t>FLAND3</t>
  </si>
  <si>
    <t>PLAND21</t>
  </si>
  <si>
    <t>LMENEZES02</t>
  </si>
  <si>
    <t>INSTITUIÇÃO</t>
  </si>
  <si>
    <t>As PARTES desejam celebrar o Acordo Operacional de Gestão e Administração de Fundos de  Investimento (“Acordo Operacional”) a fim de atender às disposições da Resolução CVM nº 175/2022 que substituirá a Instrução CVM nº 555/2014 (“ICVM 555”) e que regerá os fundos de investimentos no Brasil (“Resolução”); e</t>
  </si>
  <si>
    <t>As PARTES concordam que o Acordo Operacional incorpora por referência todas as disposições do Contrato que não sejam incompatíveis com as novas disposições da Resolução, conforme abaixo  definido, a fim de atender às novas disposições que regerão os fundos de investimentos.</t>
  </si>
  <si>
    <t>Resolvem as PARTES, a partir da entrada em vigor da Resolução, celebrar o Acordo Operacional, o qual passará a viger observadas as seguintes regras:</t>
  </si>
  <si>
    <t xml:space="preserve">o Acordo Operacional se aplicará automaticamente a todos os fundos de investimento, classes  e subclasses administrados pela INTRAG e geridos pelo GESTOR (“FUNDOS” ou,  individualmente, “FUNDO”), com exceção dos FUNDOS que façam parte de acordos operacionais ou contratos específicos celebrados pelas PARTES, passando a viger em relação aos FUNDOS constituídos após a entrada em vigor da Resolução; </t>
  </si>
  <si>
    <t>as disposições do Contrato continuam em vigor e aplicam-se automaticamente a todos os  FUNDOS administrados pela INTRAG e geridos pelo GESTOR que ainda não tenham se  adaptado à Resolução;</t>
  </si>
  <si>
    <t>os FUNDOS que se sujeitam às disposições do Contrato seguirão as disposições deste Acordo Operacional à medida em que se adaptem à Resolução;</t>
  </si>
  <si>
    <t>o GESTOR e a INTRAG são prestadores de serviços essenciais, responsáveis, em conjunto pela constituição dos FUNDOS, sendo que a aprovação pelo GESTOR, por e-mail ou por 
acesso logado a sistemas da INTRAG, da minuta do regulamento FUNDO, classe ou  subclasse, será considerada como deliberação conjunta da constituição do FUNDO, classe ou  subclasse para fins do disposto no Art. 7º da Resolução.</t>
  </si>
  <si>
    <t>a constituição de novos FUNDOS a partir da entrada em vigor da Resolução poderão demandar a reavaliação das condições comerciais entre GESTOR e INTRAG em atendimento às novas disposições sobre remuneração previstas na Resolução;</t>
  </si>
  <si>
    <t>o GESTOR e a INTRAG declaram que a partir da entrada em vigor da Resolução observarão,  no que se refere a este Acordo Operacional, todas as disposições a ele aplicáveis, bem como 
todas as obrigações que, individual ou coletivamente, a Resolução impute tanto ao GESTOR quando à INTRAG;</t>
  </si>
  <si>
    <t>considerando, nos termos da Resolução, a responsabilidade do GESTOR pela contratação de diversos prestadores de serviços em nome do FUNDO, o GESTOR poderá efetuar diretamente referidas contratações, observadas as condições de contratação que serão posteriormente comunicadas pela INTRAG ao GESTOR.</t>
  </si>
  <si>
    <t>sem prejuízo do disposto no inciso (vii), caso o pagamento do prestador seja efetuado pelo FUNDO, o GESTOR deverá submeter à aprovação da INTRAG a metodologia para pagamento da remuneração do prestador caso o modelo de remuneração seja diferente dos padrões aprovados pela INTRAG e divulgados ao GESTOR;</t>
  </si>
  <si>
    <t>o GESTOR, quando da contratação do prestador de serviços de distribuição de cotas, deverá prever no contrato com referido prestador a obrigação de que este forneça todas as informações relativas ao cadastro dos cotistas que venham a ser requeridas pela INTRAG ou por órgãos reguladores;</t>
  </si>
  <si>
    <t xml:space="preserve">sem prejuízo do disposto no item (ix), o GESTOR deverá, ainda, prever no contrato com o distribuidor a obrigação de fornecer aos prestadores de serviços de escrituração contratados pelos FUNDOS, periodicamente, todas as informações necessárias ao cadastro dos cotistas no ambiente de escrituração; </t>
  </si>
  <si>
    <t>o Acordo Operacional incorpora por referência todas as disposições do Contrato que não sejam incompatíveis com as novas disposições da Resolução, observada, ainda, a aplicação integral das disposições do Contrato aos fundos não adaptados à Resolução;</t>
  </si>
  <si>
    <t>o Contrato ficará automaticamente resilido a partir da data de adaptação do último FUNDO à Resolução.</t>
  </si>
  <si>
    <t>O presente Contrato é celebrado por prazo indeterminado, a partir da data de sua assinatura, ratificados todos os atos de distribuição relativos aos Fundos que porventura tenham sido praticados pelo DISTRIBUIDOR até a presente data, hipótese de eficáciaretroativa deste Contrato, anuindo as Partes, expressamente, que já se sujeitavam a todos os termos, cláusulas, condições, deveres e obrigações ora pactuados.</t>
  </si>
  <si>
    <t xml:space="preserve">O presente Contrato é celebrado por prazo indeterminado, a partir da data de sua assinatura.
</t>
  </si>
  <si>
    <t>Qualquer das PARTES que firma o presente instrumento poderá rescindi-lo, a qualquer momento, sem qualquer ônus, mediante aviso prévio, por escrito e sob protocolo, expedido com no mínimo 30 (trinta) dias de antecedência, contados da data do envio, observado o disposto nas Cláusulas 5.5 e 5.6 abaixo, devendo todas as obrigações entre as PARTES serem saldadas neste prazo.</t>
  </si>
  <si>
    <t>O presente Contrato poderá ser resolvido antecipadamente pelo BNY MELLON no caso de inadequação ou falhas na prestação dos serviços objeto deste instrumento pelo AAI, ocasião em que o prazo mencionado na cláusula acima não precisará ser respeitado, observado o disposto na Cláusula 5.6 abaixo.</t>
  </si>
  <si>
    <t>Fica estabelecido, ademais, que qualquer FUNDO que aderir a este instrumento poderá isoladamente rescindir este Contrato da mesma forma prevista no item 5.2 anterior, sem prejuízo da manutenção do Contrato, em benefício de outros FUNDOS.</t>
  </si>
  <si>
    <t>A rescisão deste Contrato (item 5.2), ou sua rescisão isolada por um FUNDO (item 5.3), não gerará qualquer prejuízo para os Clientes, que poderão permanecer como investidores, ficando o respectivo FUNDO obrigado ao pagamento da remuneração do AAI durante o prazo previsto no Anexo I e/ou no Termo de Adesão, mantidas as condições neles estabelecidas, salvo nos casos dos itens 5.5 e 5.6 abaixo, quando o AAI for a parte que der causa à rescisão, hipótesesem que sua remuneração não será mais devida.</t>
  </si>
  <si>
    <t>Não obstante o disposto nos itens anteriores, este Contrato será considerado automaticamente rescindido, de pleno direito e independentemente de qualquer notificação judicial 
ou extrajudicial, na ocorrência de qualquer das hipóteses abaixo descritas: (a) decretação da falência, recuperação judicial, intervenção ou liquidação extrajudicial, ou regime de administração especial temporária de qualquer das PARTES e/ou INTERVENIENTES; 
(b) liquidação de todos os FUNDOS por deliberação de assembleia geral de cotistas e/ou por resgate total de cotas;
(c) substituição do BNY MELLON como distribuidor ou administrador do FUNDO;
(d) se o AAI perder a qualificação que o habilita para prestar os serviços objeto deste Contrato;
(e) superveniência de qualquer normativo ou instrução das autoridades competentes, que proíba ou imponha restrições que inviabilizem o objeto do presente Contrato; ou
(f) rescisão do Instrumento de Vinculação do AAI ao BNY MELLON.</t>
  </si>
  <si>
    <t xml:space="preserve">Sem prejuízo do disposto acima, o inadimplemento de qualquer das cláusulas deste Contrato que não for satisfatoriamente sanado pela PARTE e/ou INTERVENIENTES no prazo de 15 (quinze) dias, contados da notificação da violação que lhe for feita por qualquer das demais PARTES, facultará à PARTE inocente, o direito de denunciar o presente Contrato após a ocorrência do fato, sem necessidade de observância do prazo de 30 (trinta) dias indicado no item 5.2 acima, mediante simples notificação às PARTES e INTERVENIENTES.
</t>
  </si>
  <si>
    <t xml:space="preserve">Em nenhuma hipótese os documentos cadastrais recebidos do AAI serão devolvidos a ele ou aos Clientes diante das disposições legais e regulamentares vigentes aplicáveis à identificação dos Clientes.
</t>
  </si>
  <si>
    <t xml:space="preserve">Na qualidade de prestador de serviço aos FUNDOS, o AAI poderá ter acesso a informações relativas aos FUNDOS que nem sempre estarão disponíveis a Clientes ou terceiros, na forma da regulamentação em vigor, devendo utilizar tais informações estritamente para a execução de suas funções nos termos deste Contrato.
</t>
  </si>
  <si>
    <t>O ADMINISTRADOR disponibiliza ao GESTOR e ao AAI acesso seguro e protegido por senha ao Sistema BNY Mellon de Atendimento (“SMA”).</t>
  </si>
  <si>
    <t xml:space="preserve">O SMA possui, dentre outras funcionalidades, informações sobre os FUNDOS, sendo também utilizado para (i) a boletagem das ordens de aplicações e resgates dos Clientes e (ii) o cadastramento de Clientes junto ao BNY MELLON, bem como a visualização de informações cadastrais.
</t>
  </si>
  <si>
    <t>O AAI e o GESTOR poderão estabelecer, entre si, fluxos operacionais para a realização, no SMA, dos procedimentos citados acima, resguardadas as suas respectivas responsabilidades legais.</t>
  </si>
  <si>
    <t>Na hipótese dos fluxos operacionais atribuírem ao GESTOR a tarefa de registro dos procedimentos supra citados no SMA, fica estabelecido que o GESTOR e o AAI deverão assegurar a veracidade das informações registradas no SMA, permanecendo o AAI responsável pelo relacionamento com o Cliente.</t>
  </si>
  <si>
    <t>O ADMINISTRADOR não será responsável pelo relacionamento e pelo fluxo de informações entre o GESTOR e o AAI no âmbito da utilização do SMA, sem prejuízo, no entanto, da responsabilidade do ADMINISTRADOR por observar, estritamente, as informações recebidas via SMA.</t>
  </si>
  <si>
    <t xml:space="preserve">As PARTES e os INTERVENIENTES, por si, seus sócios, administradores, empregados e prepostos, sob as penas da lei, manterão o mais completo e absoluto sigilo sobre quaisquer dados, materiais, documentos, especificações técnicas e comerciais de produtos e de informações das demais PARTES e INTERVENIENTES, ou de terceiros, de que venham a ter conhecimento ou acesso, ou que lhes venham a ser confiados, em decorrência deste Contrato. A inobservância do 
disposto nesta cláusula poderá acarretar sanções legais, respondendo, a PARTE ou o INTERVENIENTE que der causa à comprovada violação, no âmbito civil, salvo quando a divulgação for imposta por lei, por ordem judicial, pelo poder público competente ou por órgão autorregulador.
</t>
  </si>
  <si>
    <t xml:space="preserve">Adicionalmente, o AAI se obriga a manter sigilo e confidencialidade sobre todos os dados, informações, materiais, documentos, dentre outros que sejam relativas aos FUNDOS ou que venham a ser reveladas pelo GESTOR e/ou pelo ADMINISTRADOR, independentemente da mídia, forma ou do meio em que os receberem, em especial sobre a composição e diversificação das carteiras (ativos) e dos passivos dos FUNDOS, doravante denominadas em conjunto as 
INFORMAÇÕES. </t>
  </si>
  <si>
    <t>Da mesma maneira, o AAI se obriga a não permitir acesso às INFORMAÇÕES por terceiros sem o prévio e expresso consentimento do GESTOR, e, também, a não usar, duplicar, modificar, adulterar, adicionar, subtrair ou dispor das INFORMAÇÕES e a não permitir que terceiros usem, dupliquem, modifiquem, adulterem, adicionem, subtraiam ou disponham das INFORMAÇÕES, bem como a não discutir sobre as INFORMAÇÕES perante ou com terceiros.</t>
  </si>
  <si>
    <t xml:space="preserve">A obrigação em manter sigilo e confidencialidade, prevista nesta cláusula, subsistirá à rescisão ou ao término do presente Contrato, pelo prazo de 5 (cinco) anos.
</t>
  </si>
  <si>
    <t>As PARTES se comprometem a cumprir toda a legislação aplicável sobre segurança da informação, privacidade e proteção de dados, inclusive a Constituição Federal, o Código de Defesa do Consumidor, o Código Civil, o Marco Civil da Internet (Lei Federal n. 12.965/2014), seu decreto regulamentador (Decreto 8.771/2016), a Lei Geral de Proteção de Dados (Lei Federal n. 13.709/2018), e demais normas setoriais ou gerais sobre o tema, conforme aplicável, devendo tratar os dados mencionados nas formas dispostas neste instrumento, se comprometendo a não transferi-los a terceiros, exceto na forma da lei.</t>
  </si>
  <si>
    <t>Previamente ao envio de Dados Pessoais ao GESTOR referentes aos cotistas do FUNDOS, o AAI deverá: (i) obter expressamente o consentimento dos titulares dos dados; (ii) comunicar expressamente ao GESTOR sobre a existência do consentimento dos 
titulares dos dados, sendo que, na ausência do recebimento desta comunicação, será presumido pelo GESTOR que o consentimento foi obtido; e (iii) enviar apenas Dados Pessoais que tenham sido solicitados pelo GESTOR e dentro dos limites necessários para o fiel cumprimento do presente Contrato, sendo certo que eventuais excessos serão de responsabilidade exclusiva do remetente dos dados.</t>
  </si>
  <si>
    <t>Anexo I -AO CONTRATO DE DISTRIBUIÇÃO DE COTAS DE FUNDOS DE INVESTIMENTOS</t>
  </si>
  <si>
    <t>O valor a ser pago ao DISTRIBUIDOR a título de remuneração levará em conta unicamente os montantes mantidos sob aplicação pelos Clientes do DISTRIBUIDOR em cada um dos FUNDOS, e será calculado sobre os montantes pagos pelos FUNDOS ao GESTOR a título de taxa de administração e de taxa de performance, de acordo com o estabelecido nos regulamentos dos FUNDOS.</t>
  </si>
  <si>
    <t>Os FUNDOS relacionados na cláusula 1 deste anexo, conforme acima, pagarão ao DISTRIBUIDOR a título de remuneração o valor equivalente a uma percentagem, conforme definido nas tabelas abaixo, de acordo com os parâmetros nelas estabelecidos e desde que os termos e condições precedentes sejam implementadas e estejam em vigor.</t>
  </si>
  <si>
    <t xml:space="preserve">Para a determinação do montante, serão deduzidos os custos e as despesas relacionados com administração da carteira. A taxa de administração e a taxa de performance serão calculadas e pagas ao DISTRIBUIDOR em estrita observância ao 
previsto nos regulamentos de cada um dos FUNDOS e neste Contrato. O percentual a ser aplicado na taxa de administração e na taxa de performance será determinado em função das tabelas abaixo:
</t>
  </si>
  <si>
    <t xml:space="preserve">A Remuneração ajustada na cláusula anterior será paga mensalmente até o 5º (quinto) dia útil de cada mês subsequente ao vencido, observado o previsto nos regulamentos dos Fundos e neste Contrato, sendo pago enquanto os recursos captados pelo DISTRIBUIDOR estiverem aplicados nos Fundos Investidos e este Contrato estiver em vigor.a) Sem prejuízo das demais obrigações do DISTRIBUIDOR previstas no Contrato, o 
DISTRIBUIDOR se compromete a informar ao ADMINISTRADOR, previamente, quaisquer 
Clientes em relação aos quais o recebimento de remuneração pelo DISTRIBUIDOR 
configuraria infração ao disposto no art. 92, §2º da Instrução CVM 555, de modo que a 
remuneração de distribuição aqui prevista não incidirá sobre os investimentos dos referidos 
Clientes nos FUNDOS.
b) o DISTRIBUIDOR continuará a receber a remuneração prevista nesta cláusula
durante o prazo de 6 (seis) meses contados do término do Contrato e enquanto houver 
recursos dos Clientes nos FUNDOS. Na ocorrência das hipóteses de rescisão relacionadas 
nas cláusulas 5.5 e 5.6 do Contrato, quando o DISTRIBUIDOR for a parte que der causa à 
rescisão, não será mais devida qualquer remuneração ao DISTRIBUIDOR após o término 
do Contrato.
</t>
  </si>
  <si>
    <t>Anexo 1 -AO CONTRATO DE DISTRIBUIÇÃO DE COTAS DE FUNDOS DE INVESTIMENTOS</t>
  </si>
  <si>
    <t>Anexo 1 -AO CONTRATO DE DISTRIBUIÇÃO DE COTAS DE FUNDOS DE INVESTIMENTO</t>
  </si>
  <si>
    <t>ANEXO I - AO CONTRATO DE DISTRIBUIÇÃO DE COTAS DE FUNDOS DE INVESTIMENTO POR AGENTES AUTÔNOMOS DE INVESTIMENTO</t>
  </si>
  <si>
    <t xml:space="preserve">A remuneração do AAI será fixa e independente da receita gerada pelos Clientes nos FUNDOS, conforme o valor acima indicado, e será descontada das parcelas devidas pelos FUNDOS ao GESTOR, mantendo íntegra remuneração devida pelos FUNDOS ao BNY MELLON.
</t>
  </si>
  <si>
    <t xml:space="preserve">A remuneração fixa mensal será reajustada anualmente com base na variação do Índice Geral de Preços - Mercado (IGP-M, divulgado pela Fundação Getúlio Vargas).
</t>
  </si>
  <si>
    <t>O AAI somente fará jus à remuneração caso realize a distribuição de cotas do FUNDO para ao menos um cotista.</t>
  </si>
  <si>
    <t>Caso a parcela da taxa de administração cabível ao GESTOR não seja suficiente para o pagamento total ou parcial da remuneração do AAI, o valor não será cobrado, no todo ou em parte.</t>
  </si>
  <si>
    <t xml:space="preserve">Sem prejuízo das demais obrigações do AAI previstas no Contrato, o AAI se compromete a informar ao ADMINISTRADOR e ao GESTOR, previamente, quaisquer Clientes em relação aos quais o recebimento de remuneração pelo AAI configuraria infração ao disposto no art. 92, §2º da Instrução CVM 555, de modo que a remuneração de distribuição aqui prevista não incidirá sobre os investimentos dos referidos Clientes nos FUNDOS.
</t>
  </si>
  <si>
    <t>O AAI deverá emitir comprovante fiscal do pagamento efetuado a cada mês e enviá-lo ao ADMINISTRADOR.</t>
  </si>
  <si>
    <t>Para recebimento de sua remuneração, o AAI indica a seguinte conta corrente de sua titularidade, em que o ADMINISTRADOR realizará os pagamentos, valendo os comprovantes de depósito realizados pelo BNY Mellon como prova de pagamento das quantias devidas:</t>
  </si>
  <si>
    <t>O Anexo I (RELAÇÃO DE FUNDOS INVESTIDORES) e o Anexo II (RELAÇÃO DE FUNDOS INVESTIDOS E PERCENTUAL DE REBATE ATRIBUÍVEL AOS FUNDOS INVESTIDORES) integram este Acordo para todos os fins e efeitos de direito, como se nele estivessem transcritos.</t>
  </si>
  <si>
    <t>Os serviços prestados na presente contratação não geram vínculo de exclusividade para qualquer das PARTES e/ou INTERVENIENTES.</t>
  </si>
  <si>
    <t xml:space="preserve">O AAI ratifica todas as suas declarações, informações e obrigações prestadas e assumidas no Instrumento de Vinculação de Agente Autônomo de Investimento celebrado com o BNY MELLON, declarando, desde já, que as disposições do Instrumento de Vinculação deverão prevalecer em caso de qualquer conflito com as disposições deste Contrato.
</t>
  </si>
  <si>
    <t>A utilização, por qualquer uma das PARTES e/ou INTERVENIENTES, do nome, marcas e logomarcas das outras PARTES e INTERVENIENTES depende de prévia aprovação, por escrito, da PARTE ou INTERVENIENTE detentor da marca, exceto para a utilização do nome da PARTE e/ou INTERVENIENTES nos regulamentos e demais documentos dos FUNDOS, conforme exigido pela regulamentação em vigor, para a qual as PARTES e/ou INTERVENIENTES desde já autorizam a utilização.</t>
  </si>
  <si>
    <t xml:space="preserve">Os serviços prestados pelo AAI aos FUNDOS, nos termos deste Contrato não podem ser cedidos, subcontratados ou repassados, nem integral, nem parcialmente, a terceiros.
</t>
  </si>
  <si>
    <t xml:space="preserve">Se qualquer das PARTES e/ou INTERVENIENTES, em qualquer tempo ou período, não fizer valer qualquer um ou mais dos termos ou condições deste instrumento, isso não será considerado novação ou renúncia dos referidos termos ou condições ou do direito de, em qualquer tempo posterior, fazer valer todos os termos e condições deste instrumento. A renúncia e novação serão sempre feitas por escrito.
</t>
  </si>
  <si>
    <t>O presente instrumento constitui o acordo integral entre as PARTES e INTERVENIENTES, superando quaisquer entendimentos orais ou escritos anteriores, não caracterizando qualquer forma de associação ou joint-venture entre as PARTES e os INTERVENIENTES.</t>
  </si>
  <si>
    <t>As PARTES e os INTERVENIENTES concordam que a assinatura eletrônica é uma forma válida de expressar consentimento e manifestação de vontade, conforme previsto na legislação brasileira e, portanto, o presente Contrato poderá ser assinado eletronicamente, estando as PARTES e os INTERVENIENTES desde já de acordo com essa forma de assinatura, reconhecendo que o presente documento, quando assinado eletronicamente, é válido para todos os fins e efeitos de direito, bem como que a ferramenta eventualmente e oportunamente adotada pelas PARTES e os INTERVENIENTES para assinatura eletronica permite devidamente a evidenciação de autoria e integridade de documentos assinados em forma eletrônica.</t>
  </si>
  <si>
    <t xml:space="preserve">O presente contrato obriga as PARTES e INTERVENIENTES e seus sucessores a qualquer título.
</t>
  </si>
  <si>
    <t xml:space="preserve">Fica eleito o foro de situação de cada FUNDO, previsto no respectivo regulamento, para dirimir eventuais dúvidas entre as PARTES e INTERVENIENTES, relativamente àquele FUNDO.
</t>
  </si>
  <si>
    <t>Remuneração na Taxa de Admnistração e/ou Perfomance</t>
  </si>
  <si>
    <t>DO OBJETO</t>
  </si>
  <si>
    <t xml:space="preserve">O GESTOR DO FUNDO INVESTIDOR, em decorrência de sua responsabilidade pela gestão dos ativos que compõem a carteira do FUNDO INVESTIDOR, poderá direcionar uma parcela de recursos do FUNDO INVESTIDOR para aquisição de cotas do FUNDO INVESTIDO. </t>
  </si>
  <si>
    <t>O GESTOR DO FUNDO INVESTIDOR declara ter recebido do ADMINISTRADOR DO FUNDO INVESTIDO todos os dados, informações e documentos que julgou necessários e suficientes para elaborar seu próprio juízo de valor a propósito do FUNDO INVESTIDO, inclusive o regulamento do FUNDO INVESTIDO, tendo o FUNDO INVESTIDO sido selecionado pelo GESTOR DO FUNDO INVESTIDOR para aplicação, considerando suas características próprias, política de investimento e demais peculiaridades que atendem aos interesses dos cotistas do FUNDO INVESTIDOR.</t>
  </si>
  <si>
    <t>As ordens de crédito para aplicação no FUNDO INVESTIDO serão feitas pela B3 – Brasil, Bolsa e Balcão ou transferência eletrônica disponível (“TED”), diretamente da conta de titularidade do FUNDO INVESTIDOR para a conta do FUNDO INVESTIDO.</t>
  </si>
  <si>
    <t>O ADMINISTRADOR DO FUNDO INVESTIDO se obriga a informar ao ADMINISTRADOR DO FUNDO INVESTIDOR e ao GESTOR DO FUNDO INVESTIDOR sobre o enquadramento tributário do FUNDO INVESTIDO.</t>
  </si>
  <si>
    <t>O ADMINISTRADOR DO FUNDO INVESTIDO poderá fechar o FUNDO INVESTIDO para novas aplicações, notificando imediatamente o GESTOR DO FUNDO INVESTIDOR.</t>
  </si>
  <si>
    <t>3.4.1</t>
  </si>
  <si>
    <t xml:space="preserve">No caso de fechamento dos mercados e/ou em casos excepcionais de iliquidez dos ativos financeiros componentes da carteira de algum dos FUNDOS, inclusive em decorrência de pedidos de resgates incompatíveis com a liquidez existente, ou que possam implicar alteração do tratamento tributário do respectivo FUNDO ou do conjunto dos cotistas, em prejuízo destes últimos, o ADMINISTRADOR DO FUNDO INVESTIDO, nos termos da legislação vigente, pode declarar o fechamento do FUNDO para a realização de resgates, devendo o FUNDO permanecer fechado para aplicações enquanto perdurar o período de suspensão de resgates. </t>
  </si>
  <si>
    <t>Os recursos provenientes dos resgates serão remetidos para a conta corrente de titularidade do FUNDO INVESTIDOR, previamente cadastrada pelo ADMINISTRADOR DO FUNDO INVESTIDOR, sendo certo que, em nenhuma hipótese os recursos serão remetidos para conta corrente de outra titularidade e que não tenha sido previamente cadastrada.</t>
  </si>
  <si>
    <t>4.1.1</t>
  </si>
  <si>
    <t xml:space="preserve">O Rebate ajustado entre as PARTES está descrito no Anexo II(RELAÇÃO DE FUNDOS INVESTIDOS VALOR DO REBATE ATRIBUÍVEL AOS FUNDOS INVESTIDORES). </t>
  </si>
  <si>
    <t>O presente Acordo vigorará por tempo indeterminado a partir da data de assinatura podendo, entretanto, ser resilido a qualquer momento, por quaisquer das PARTES, sem direito a compensações ou indenizações, mediante denúncia escrita e sob protocolo com, no mínimo, 30 (trinta) dias de antecedência, contados do recebimento do comunicado pela outra PARTE.</t>
  </si>
  <si>
    <t xml:space="preserve">A denúncia deste Acordo não gerará qualquer prejuízo para o FUNDO INVESTIDOR, que poderá permanecer com suas aplicações no FUNDO INVESTIDO, permanecendo o FUNDO INVESTIDO obrigado ao pagamento do Rebate ao FUNDO INVESTIDOR, nas mesmas condições ora pactuadas pelo período de 3 (três) meses a contar da data da denúncia, desde que o FUNDO INVESTIDOR permaneça como cotista do FUNDO INVESTIDO, salvo nos casos previstos no item 5.3 abaixo. </t>
  </si>
  <si>
    <t>Além das disposições previstas em lei, este Acordo poderá ser rescindido de imediato e sem qualquer aviso, nas seguintes hipóteses:
a) na superveniência de qualquer normativo ou instrução das autoridades competentes, notadamente do Banco Central do Brasil e da Comissão de Valores Mobiliários, que impeça o objeto deste Acordo;
b) na hipótese de liquidação do FUNDO INVESTIDO ou do FUNDO INVESTIDOR.
c) se qualquer uma das PARTES falir, requerer recuperação judicial ou iniciar procedimentos de recuperação extrajudicial, tiver sua falência, intervenção ou liquidação requerida;
d)  se qualquer das PARTES suspender suas atividades por qualquer período de tempo; e
e) se for constatada a ocorrência de práticas irregulares por qualquer uma das PARTES.</t>
  </si>
  <si>
    <t>5.4.1</t>
  </si>
  <si>
    <t>As PARTES obrigam-se, por este Acordo, por si, seus diretores e demais representantes, prepostos e empregados, agentes, consultores e empresas contratadas a manter o mais absoluto sigilo sobre todas as informações, dados, materiais e documentos do FUNDO INVESTIDOR e do FUNDO INVESTIDO, assim como sobre todas as informações que tomar conhecimento relativamente às atividades e à operação das outras PARTES (“Informações Sigilosas”).</t>
  </si>
  <si>
    <t>Fica certo e ajustado entre as PARTES  que nenhuma Informação Sigilosa relativa aos FUNDOS INVESTIDOS ou ao GESTOR DOS FUNDOS INVESTIDOS, em especial sobre as carteiras dos FUNDOS INVESTIDOS, poderá ser fornecida a terceiros, independentemente do tipo de vínculo jurídico existente sem a anuência prévia e expressa do GESTOR DOS FUNDOS INVESTIDOS, salvo se disposto de maneira diversa neste Acordo.</t>
  </si>
  <si>
    <t>Em decorrência da obrigação de confidencialidade que ora, voluntariamente, assume, as PARTES obrigam-se a não divulgar, comunicar e nem fazer uso de quaisquer das Informações Sigilosas, para finalidade diversa da prevista no presente Acordo, sob pena de arcar com as perdas e danos decorrentes desses atos e de responder perante terceiros e perante os poderes públicos competentes pela infringência às disposições desta cláusula.</t>
  </si>
  <si>
    <t xml:space="preserve">As PARTES, por si e por seus representantes, prepostos, empregados, agentes ou consultores e empresas contratadas, se obrigam, com referência às Informações Sigilosas relativas ao FUNDO INVESTIDO:
a) não dar, nem autorizar ou permitir que seja dado conhecimento de quaisquer dados ou informações das carteiras do FUNDO INVESTIDO a outrem;
b) não usar em benefício próprio ou de terceiros, reter ou duplicar as Informações Sigilosas fornecidas pelo ADMINISTRADOR DO FUNDO INVESTIDO, para a criação de qualquer arquivo, lista ou banco de dados de utilização particular do própria ou de terceiros;
c) não modificar ou adulterar, de qualquer forma as Informações Sigilosas pelo ADMINISTRADOR DO FUNDO INVESTIDO ou pelo GESTOR DO FUNDO INVESTIDO, bem como não subtrair ou adicionar qualquer elemento a essas;
d) manter sob sigilo e total discrição as Informações Sigilosas a que venha ter acesso por qualquer meio ou forma, inclusive se chegarem ao seu conhecimento por terceiros, salvo se as mesmas forem isentas de restrições;
e) não dar, nem autorizar que seja dado, conhecimento de quaisquer Informações Sigilosas relativas a carteira do FUNDO INVESTIDO a outras áreas em que ele, GESTOR DO FUNDO INVESTIDOR, atue, assim como às suas áreas não diretamente relacionadas com a alocação de ativos em fundos de investimento, e a terceiros não autorizados previamente pelo ADMINISTRADOR DO FUNDO INVESTIDO.
</t>
  </si>
  <si>
    <t>As obrigações de sigilo previstas neste Acordo são recíprocas e se aplicam, no que forem compatíveis, às informações que o ADMINISTRADOR DO FUNDO INVESTIDO e o GESTOR DO FUNDO INVESTIDO tiverem acesso em decorrência da relação existente entre as PARTES, inclusive no que se refere ao ADMINISTRADOR DO FUNDO INVESTIDOR, especialmente as relacionadas a segredos de negócio, programas de computador e outras tecnologias e métodos utilizados pelo ADMINISTRADOR DO FUNDO INVESTIDOR na prestação de seus serviços.</t>
  </si>
  <si>
    <t>Se qualquer das PARTES, por determinação legal ou em decorrência de ordem judicial ou de autoridade fiscalizadora, tiver que revelar informação sigilosa decorrente deste Acordo, imediatamente dará notícia desse fato à outra PARTE e lhe prestará as informações e subsídios que possam ser necessários para que a seu critério, possa defender-se contra a divulgação de qualquer das Informações Sigilosas, salvo se houver restrição legal, regulamentar, ou ainda, expedida por autoridade judicial ou fiscalizadora.</t>
  </si>
  <si>
    <t>Enviar Carteiras (xls) - Rotina Mensal</t>
  </si>
  <si>
    <t>Nós não extrapolamos o limite de 200mm em 2022 e portanto não estamos reportando em 2023</t>
  </si>
  <si>
    <t>Nós não operamos com os ativos listados e nós não extrapolamos o limite de 200mm em 2022 e portanto não estamos reportando em 2023</t>
  </si>
  <si>
    <t xml:space="preserve">Prezados Clientes, 
O primeiro mês do ano se encerra com resultados próximos a zero para os fundos multimercados e previdenciários. A geração de alfa na posição de Juros não foi suficiente para compensar os impactos negativos no mercado local em equities e moedas. 
Em nossa Carta de Gestão, nosso time de Economia &amp; Gestão detalha melhor nossas perspectivas de cenário macroeconômico. Ademais, compartilhamos o Relatório Gerencial com maiores detalhes dos resultados de cada estratégia de fundos. 
Estamos a disposição para esclarecimentos adicionais que se fizerem necessários e convidamos a todos para o call dedicado aos nossos parceiros institucionais que será realizado no dia 06/02/2024. 
Forte abraço.
Att,
</t>
  </si>
  <si>
    <t xml:space="preserve">            4.455,957885 </t>
  </si>
  <si>
    <t xml:space="preserve">            4.455,107885 </t>
  </si>
  <si>
    <t xml:space="preserve">            4.328,711628 </t>
  </si>
  <si>
    <t xml:space="preserve">            4.328,861628 </t>
  </si>
  <si>
    <t xml:space="preserve">            4.306,805818 </t>
  </si>
  <si>
    <t xml:space="preserve">                     4.306,81 </t>
  </si>
  <si>
    <t xml:space="preserve">            4.306,955818 </t>
  </si>
  <si>
    <t xml:space="preserve">            4.344,955900 </t>
  </si>
  <si>
    <t xml:space="preserve">            4.345,105900 </t>
  </si>
  <si>
    <t xml:space="preserve">         14.272,614111 </t>
  </si>
  <si>
    <t xml:space="preserve">         14.272,714111 </t>
  </si>
  <si>
    <t xml:space="preserve">            4.405,741390 </t>
  </si>
  <si>
    <t xml:space="preserve">            4.405,891390 </t>
  </si>
  <si>
    <t xml:space="preserve">            4.489,796394 </t>
  </si>
  <si>
    <t xml:space="preserve">            4.489,646394 </t>
  </si>
  <si>
    <t>                     500.00</t>
  </si>
  <si>
    <t>-                   500.00</t>
  </si>
  <si>
    <t xml:space="preserve">         14.404,003264 </t>
  </si>
  <si>
    <t xml:space="preserve">         14.404,103264 </t>
  </si>
  <si>
    <t>Treinamento Compliance 2024</t>
  </si>
  <si>
    <t>Treinamento anual de compliance sobre os documentos internos da Adam - 2024.</t>
  </si>
  <si>
    <t>Renan Rossi</t>
  </si>
  <si>
    <t>João Victor Raposo</t>
  </si>
  <si>
    <t>Termos de Adesão Colaborador 2024</t>
  </si>
  <si>
    <t>Citigroup Global Markets Inc.</t>
  </si>
  <si>
    <t>Citibank, N.A. New York.</t>
  </si>
  <si>
    <t>Citibank, N.A. United Kingdon</t>
  </si>
  <si>
    <t>R.J. O'Brien &amp; Associates, LLC</t>
  </si>
  <si>
    <t>Z:\Sales\Due Diligence Distribuidores\Due Diligence e Questionários\2024\Jan.24 - XP - DD semestral</t>
  </si>
  <si>
    <t>COPOM</t>
  </si>
  <si>
    <t>Z:\Sales\Due Diligence Distribuidores\Due Diligence e Questionários\2024\Jan24 - Goldman sachs - Credit Risk</t>
  </si>
  <si>
    <t>Formulário de Posicionamento</t>
  </si>
  <si>
    <t>Carteira</t>
  </si>
  <si>
    <t>Z:\Sales\Due Diligence Distribuidores\Due Diligence e Questionários\2024\Fev24 - Itaú</t>
  </si>
  <si>
    <t>Atualização de bases de Carteiras</t>
  </si>
  <si>
    <t xml:space="preserve">As PARTES deverão, a todo tempo, tomar todas as providências necessárias visando atender ao disposto na Lei 9.613/98 e suas alterações, Circular 3.461/09 do Banco Central do Brasil, Instrução CVM nº 301/99 e demais normativos editados ou que venham a ser editados com relação à prevenção aos crimes de  lavagem ou ocultação de bens, direitos e valores. </t>
  </si>
  <si>
    <t>As PARTES, por si, suas afiliadas ou seus sócios, acionistas, funcionários ou eventuais subcontratados, declaram, neste ato, estarem cientes dos termos das leis e normativos que  dispõem sobre atos de corrupção e outros lesivos contra a administração pública e quaisquer  outras aplicáveis sobre o objeto deste Acordo, em especial a Lei nº 12.486, de 1º de agosto  de 2013, inclusive internacionais às quais estejam sujeitas, conforme a atividade exercida por  cada PARTE, comprometendo-se a abster-se de qualquer atividade que constitua uma  violação às referidas disposições. As PARTES deverão dar conhecimento pleno de tais  normas a todos os seus profissionais que venham a se relacionar com a outra parte,  previamente ao início de sua atuação no âmbito deste Acordo.</t>
  </si>
  <si>
    <t>8.1.1</t>
  </si>
  <si>
    <t>Todas as notificações e intimações entre as PARTES deverão ser feitas por escrito eletronicamente  ou para os endereços constantes do preâmbulo ou outros que, por escrito, forem comunicados por uma  PARTE à outra.</t>
  </si>
  <si>
    <t>Nenhuma das PARTES poderá ceder ou transferir, total ou parcialmente a terceiros os direitos e  obrigações decorrentes deste Acordo, sem o prévio e expresso consentimento por escrito das outras PARTES.</t>
  </si>
  <si>
    <t>O presente Acordo constitui o acordo integral entre as PARTES, superando quaisquer entendimentos  orais ou escritos anteriores, não caracterizando qualquer forma de associação ou joint-venture entre as PARTES.</t>
  </si>
  <si>
    <t>As PARTES elegem o Foro da Comarca do Rio de Janeiro, Estado do Rio de Janeiro, com renúncia  de quaisquer outros, por mais privilegiados que sejam ou venham a ser, como competente para dirimir eventuais questões oriundas deste Acordo.</t>
  </si>
  <si>
    <t>O Anexo I (RELAÇÃO DE FUNDOS INVESTIDORES)  e o Anexo II (RELAÇÃO DE FUNDOS INVESTIDOS VALOR DO REBATE ATRIBUÍVEL AOS FUNDOS INVESTIDORES)integram este Acordo para todos os fins e efeitos de direito, como se nele estivessem transcritos.</t>
  </si>
  <si>
    <t>ANEXO I - RELAÇÃO DE FUNDOS INVESTIDORES</t>
  </si>
  <si>
    <t>ANEXO II - RELAÇÃO DE FUNDOS INVESTIDOS VALOR DO REBATE ATRIBUÍVEL AOS FUNDOS INVESTIDORES</t>
  </si>
  <si>
    <t xml:space="preserve">BB MULTIGESTOR MODULO ACOES FIC FI , BB MM MULTIGESTOR MODULO RETORNO ABSOLUTO FIC FI, BB MM MULTIGESTOR MODULO ARBITRAGEM FIC FI , BB MM MULTIGESTOR MODULO MACRO FIC FI, BB PREVIDÊNCIA MÓDULO RV FIC FIA, BB MM MULTIGESTOR MÓDULO HV FIC FI, BB PREVIDÊNCIA MÓDULO MULTIMERCADO FIC FI </t>
  </si>
  <si>
    <t>Relação dos FUNDOS INVESTIDOS: ADAM MACRO II FIC FI MULT , ADAM MACRO STRATEGY II FIC FI MULT, ADAM MACRO STRATEGY II D60 FIC FI MULT</t>
  </si>
  <si>
    <t>Os FUNDOS INVESTIDOS relacionados no item 1 deste Anexo, conforme acima, pagarão aos  FUNDOS INVESTIDORES, a título de Rebate, o valor equivalente a uma percentagem, conforme definido nas  tabelas abaixo, de acordo com os parâmetros nelas estabelecidos e desde que os termos e condições  precedentes sejam implementadas e estejam em vigor.</t>
  </si>
  <si>
    <t>O valor a ser pago aos FUNDOS INVESTIDORES à título de Rebate levará em conta unicamente os  montantes mantidos sob aplicação pelo GESTOR DOS FUNDOS INVESTIDORES em cada um dos FUNDOS  INVESTIDOS, e será calculado sobre os montantes líquidos pagos pelos FUNDOS INVESTIDOS e recebidos  pelo GESTOR DOS FUNDOS INVESTIDOS à título de taxa de administração e de taxa de performance, caso haja, conforme estabelecidas nos regulamentos dos FUNDOS INVESTIDOS.</t>
  </si>
  <si>
    <t>O montante de Rebate, atribuível ao FUNDO INVESTIDOR será reduzido da base de remuneração do GESTOR DO FUNDO INVESTIDO, mantida íntegra a parcela de remuneração devida pelo FUNDO  INVESTIDO ao BNY MELLON. A taxa de administração e a taxa de performance serão calculadas e pagas  ao FUNDOS INVESTIDORES em estrita observância ao previsto nos regulamentos de cada um dos FUNDOS INVESTIDOS e neste Acordo. Para a determinação do montante de Rebate, serão deduzidos os custos e as  despesas relacionados com administração fiduciária e demais custos e despesas aplicáveis. O percentual a  ser aplicado na taxa de administração e na taxa de performance, quando aplicável, para o cálculo do Rebate será determinado em função das tabelas abaixo:ADAM MACRO II FIC FI MULT 20% c/ 0%;ADAM MACRO STRATEGY II FIC FI MULT 20% c 0% ,ADAM MACRO STRATEGY II D60 FIC FI MULT  20% c 0%</t>
  </si>
  <si>
    <t xml:space="preserve">3.1. </t>
  </si>
  <si>
    <t>O montante de Rebate, de acordo com o ajustado nas cláusulas anteriores, será pago mensalmente  até o 5º (quinto) dia útil de cada mês subsequente ao vencido após a confirmação da ordem de pagamento  por parte do GESTOR DO FUNDO INVESTIDO, observado o previsto nos regulamentos dos FUNDOS  INVESTIDOS e neste Acordo. O Rebate será devido e pago enquanto o GESTOR DOS FUNDOS  INVESTIDORES mantiver recursos alocados nos FUNDOS INVESTIDOS e este Acordo estiver em vigor,observado o disposto no item 5.2 deste Acordo.</t>
  </si>
  <si>
    <t>3.1.1.</t>
  </si>
  <si>
    <t>O Rebate da taxa de performance, caso haja, será pago pelo FUNDO INVESTIDO ao  FUNDO INVESTIDOR e deverá ocorrer no mês subsequente ao término do período de apuração da  taxa mencionada, até o 5º (quinto) dia útil posterior à confirmação da ordem de pagamento por parte  do GESTOR DO INVESTIDO, observado o previsto nos regulamentos dos FUNDOS INVESTIDOS e  neste Acordo.</t>
  </si>
  <si>
    <t>3.2.1.</t>
  </si>
  <si>
    <t>Em caso de atraso no pagamento dos valores referentes a remuneração acima descritas, tais valores  serão atualizados monetariamente pela variação do IPCA (Índice de Preço ao Consumidor por Atacado),  desde a data do vencimento até o dia do efetivo pagamento, e acrescidos de juros moratórios de 1% (um por  cento) ao mês, e de multa contratual de 2% (dois por cento), incidente sobre os valores atualizados,  computados os juros. Quando a responsabilidade pelo atraso no pagamento da remuneração for,   comprovadamente, por ato ou omissão do ADMINISTRADOR DO FUNDO INVESTIDO, este deverá arcar  com todos os acréscimos previstos neste item. Quando o atraso no pagamento da remuneração decorrer de 
ato ou omissão do GESTOR DO FUNDO INVESTIDO, ou ainda, por insuficiência de saldo nos FUNDOS INVESTIDOS, a responsabilidade por estes acréscimos será do GESTOR DOS FUNDOS INVESTIDOS.</t>
  </si>
  <si>
    <t>Caso haja divergência entre o valor apurado pelo ADMINISTRADOR DO FUNDO  INVESTIDO como devido pelo FUNDO INVESTIDO, e aquele estimado pelo ADMINISTRADOR DO  FUNDO INVESTIDOR, a parte incontroversa deverá ser honrada no prazo estipulado nos itens 3.1. e  3.1.1., supra. Após a apuração do correto valor da remuneração – o que deverá ocorrer em até 30  dias do questionamento formulado pelo ADMINISTRADOR DO FUNDO INVESTIDOR, eventual 
diferença, se houver, deverá ser liquidada, com os acréscimos referidos no item 3.2 acima, observado  o prazo estipulado neste item.</t>
  </si>
  <si>
    <t xml:space="preserve">O ADMINISTRADOR DO FUNDO INVESTIDO, encaminhará para o GESTOR DO FUNDO  INVESTIDOR uma memória de cálculo detalhada sobre os valores a serem pagos previamente à data da  realização do efetivo pagamento. Por sua vez, o ADMINISTRADOR DO FUNDO INVESTIDOR deverá enviar  o comprovante do pagamento efetuado a cada mês e enviá-lo ao ADMINISTRADOR DO FUNDO  INVESTIDO.
</t>
  </si>
  <si>
    <t>1°Termo Aditivo ao Contrato de Distribuição de Cotas de Fundos de Investimento</t>
  </si>
  <si>
    <t>Alteração do Anexo 1</t>
  </si>
  <si>
    <t>Adição do Fundo ADAM MACRO BB FIC FIM 20% c  0 % e espelho 30% c 0%</t>
  </si>
  <si>
    <t>BI LEGAL</t>
  </si>
  <si>
    <t>BAHIA</t>
  </si>
  <si>
    <t>Bahia</t>
  </si>
  <si>
    <t>O GESTOR DO FUNDO INVESTIDOR declara e garante que para os FUNDOS INVESTIDORES listados na TABELA A Anexo I, por sua exclusiva responsabilidade certificou-se acerca da assinatura, pela totalidade dos cotistas dos FUNDOS INVESTIDORES do TERMO DE CIÊNCIA DE POTENCIAL CONFLITO DE INTERESSES, previsto no Anexo 92 da Intrução n°555.</t>
  </si>
  <si>
    <t>O ADMINISTRADOR DO FUNDO INVESTIDO poderá fechar o FUNDO INVESTIDO para novas aplicações, notificando imediatamente o GESTOR DO FUNDO INVESTIDO. O GESTOR DO FUNDO INVESTIDO notificará o GESTOR DO FUNDO INVESTIDOR e o ADMNISTRADOR DO FUNDO INVESTIDOR sobre o referido fechamento.</t>
  </si>
  <si>
    <t>3.3.1</t>
  </si>
  <si>
    <t xml:space="preserve">Ainda, no caso de fechamento dos mercados e/ou em casos excepcionais de iliquidez dos ativos financeiros componentes da carteira de algum dos FUNDOS, inclusive em decorrência de pedidos de resgates incompatíveis com a liquidez existente, ou que possam implicar alteração do tratamento tributário do respectivo FUNDO ou do conjunto dos cotistas, em prejuízo destes últimos, o ADMINISTRADOR DO FUNDO INVESTIDO, nos termos da legislação vigente, pode declarar o fechamento do FUNDO para a realização de resgates, devendo o FUNDO permanecer fechado para aplicações enquanto perdurar o período de suspensão de resgates. </t>
  </si>
  <si>
    <t>O GESTOR DO FUNDO INVESTIDOR receberá, mensalmente, do FUNDO INVESTIDO, o valor do Rebate correspondente a uma parcela da taxa de administração e/ou da taxa de performance do FUNDO INVESTIDO, que será deduzida da remuneração a ser paga ao GESTOR DO FUNDO INVESTIDO.</t>
  </si>
  <si>
    <t>É de inteira responsabilidade GESTOR DO FUNDO INVESTIDOR o recolhimento de todo e qualquer tributo devido a qualquer esfera da administração pública, que incida ou venha a incidir sobre Rebate descirto no Anexo II, na forma descrita na legislação tributária.</t>
  </si>
  <si>
    <t>O GESTOR DO FUNDO INVESTIDOR declara ter ciência de que não receberá o Rebate ou, ainda, que devolverá o Rebate indevidamente recebido, se o FUNDO INVESTIDOR deixa de (i) ser destinado a investidores profissionais que em sua totalidade assinem o Termo de Cinência de Potencial Conflito de Interesses, nos moldes do Anexo 92 da ICVM 555("Termo de Ciência") ou (ii) investir mais de 95%(noventa e cinco por cento) de seu patrimônio em um único FUND INVESTIDO.</t>
  </si>
  <si>
    <t>Conforme aplicável, adicionalmente À REMUNERAÇÃO prevista neste Acordo, que passa a ser devida a partir das alocações de recursos do FUNDO INVESTIDOR  que o GESTOR DO FUNDO INVESTIDOR realizar no FUNDO INVESTIDO após a assinatura do presente ACORDO, o FUNDO INVESTIDOR receberá diretamente do FUNDO INVESTIDO a quantia descrita no Anexo III, em aprcela únicam que será pag até o 5° (quinto) dia útil do mês subsequente à assinatura do presente Acordo, a título de Rebate devido em razão das alocações de recursos do FUNDO INVESTIDOR que o GESTOR DO FUNDO INVESTIDOR realizou no FUNDO INVESTIDO no período compreendido entre 22/07/2016 até o dia 31/07/2018 "REBATE PREGRESSO", ato em que o FUNDO INVESTIDOR dará plena, geral e irrevogável quitação ao FUNDO INVESTIDO, de todas as remunerações devidas até a data de celebração do presente Acordo.</t>
  </si>
  <si>
    <t>A denúncia deste Acordo não gerará qualquer prejuízo para o FUNDO INVESTIDOR, que poderá permanecer com suas aplicações no FUNDO INVESTIDO, permanecendo o FUNDO INVESTIDO obrigado ao pagamento do Rebate ao FUNDO INVESTIDOR, nas mesmas condições ora pactuadas pelo período de 1(um) mes a contar da data da denúncia, desde que o FUNDO INVESTIDOR permaneça como cotista do FUNDO INVESTIDO e dsde que o GESTOR DO FUNDO INVESTIDOR permaneça como o prestador dos serviços de gestão ao FUNDO INVESTIDOR.</t>
  </si>
  <si>
    <t>Além das disposições previstas em lei, este Acordo poderá ser rescindido de imediato e sem qualquer aviso, nas seguintes hipóteses:
a) na superveniência de qualquer normativo ou instrução das autoridades competentes, notadamente do Banco Central do Brasil e da Comissão de Valores Mobiliários, que impeça o objeto deste Acordo;
b) se qualquer uma das PARTES falir, requerer recuperação judicial ou iniciar procedimentos de recuperação extrajudicial, tiver sua falência, intervenção ou liquidação requerida;
c)  se qualquer das PARTES suspender suas atividades por qualquer período de tempo; e
d) se for constatada a ocorrência de práticas irregulares por qualquer uma das PARTES.             e) se o FUNDO INVESTIDOR deixar de preencher os requisitos necessários para que se enquandre nas situações excepcionadas pelos incisos I e II do pragrafo 3° do art.92° da ICVM 555.  f) em relação ao GESTOR DO FUNDO INVESTIDOR, caso este deixe de prestar os serviçoes de gestão ao FUNDO INVESTIDOR, sem prejuízo dos direitos de seu sucessor, na condição de novo prestador dos serviços de gestão ao FUNDO INVESTIDOR.</t>
  </si>
  <si>
    <t>Cada uma das PARTES compromete-se a observar e cumprir suas obrigações em conformidadecom as disposições constantes nas Instruções da Comissão de Valores Mobiliários ("CVM").</t>
  </si>
  <si>
    <t>Cada uma das PARTES responderá isoladamente perante a CVM pelos atos que praticar no exercício de suas funções decorrentes deste instrumento.</t>
  </si>
  <si>
    <t>O GESTOR DO FUNDO INVESTIDOR  declara ter ciência de que não poderá realizar investimentos no FUDO INVESTIDO que coloque em risco sua isenção no processo de tomada de decisão, sendo que a remuneração aqui estabelecida somente será recebida se estiver fundamentada nas exceções trazidas na regulamentação em vigor.</t>
  </si>
  <si>
    <t>O GESTOR DO FUNDO INVESTIDOR declara que garante que: (i) por sua exclusiva responsabilidade, obteve o Termo de Ciência assinada por cada cotista do FUNDO INVESTIDOR e o enviou ao ADMNISTRADORDO FUNDO INVESTIDOR, que o mantem sob sua guarda, ou(ii) que a política do FUNDO INVESTIDOR prevê a aplicação mínima de 95% em um único FUNDO INVESTIDO.</t>
  </si>
  <si>
    <t>O ADMNISTRADOR DO FUNDO INVESTIDO E O ADMNISTRADOR DO FUNDO INVESTIDOR declaram que adotam todos os procedimentos e controles internos descritos nas regulamentações editadas pelo Banco Central do Brasil  e/ou Comuissão de Valores Mobiliários e na Lei n°9.613/1998 mo que se refere à identidade dos cotistas, de forma a prevenir e combater aplicações de recursos que provenham de atividades suspeitas ou ilícitas nos termos da regulamentação e legislações aplicáveis.</t>
  </si>
  <si>
    <t>8.1.2</t>
  </si>
  <si>
    <t>O GESTOR DO FUNDO INVESTIDOR declara, neste ato, conhecer e cumprir a íntegra da legislação sobre fundos de investimento e de prevenção e combate aos crimes de lavagem de dinheiro, inclusive a Lei °9.613/1998, normas do Banco Central, bem como a Instrução CVM n°301/1999, os códigos da ANBIMA e normativos editados pela CVM, conforme alterações.</t>
  </si>
  <si>
    <t>Eventuais inclusões de outras cláusulas, exclusões ou alterações das já existentes, serão consignadas em aditivo devidamente assinado pelas PARTES, que passará a fazer parte integrante deste Acordo.</t>
  </si>
  <si>
    <t>Relação dos FUNDOS INVESTIDOS: RAINSAN IE MULTIMERCADO CP</t>
  </si>
  <si>
    <t>As condições para o cálculo da remuneração, conforme previsto na cláusula 3°, serão as seguintes: a) O percentual de Rebate atribuível ao GESTOR DO FUNDO INVESTIDOR será apurado sobre os montantes de recursos do FUNDO INVESTIDOR mantidos sob aplicação, respectivamente, em cada FUNDO INVESTIDO.  b)O percentual de Rebate atribuível ao GESTOR DO FUNDO INVESTIDOR será reduzido da base de remuneração do GESTOR DO FUNDO INVESTIDO, mantida íntegra a parcela de remuneração devida pelo FUNDO INVESTIDO ao BNY MELLON.</t>
  </si>
  <si>
    <t>O Rebate da taxa de performance, caso haja, será pago pelo FUNDO INVESTIDO ao  FUNDO INVESTIDOR e deverá ocorrer no mês subsequente ao término do período de apuração da  taxa mencionada, até o 5º (quinto) dia útil posterior à confirmação da ordem de pagamento por parte  do GESTOR DO INVESTIDOVESTIDO.</t>
  </si>
  <si>
    <t>ANEXO III - RELAÇÃO DE FUNDO INVESTIDORES E VALOR ATRIBUÍDO AO REBATE PREGRESSO</t>
  </si>
  <si>
    <t>RAINSAN IE MULTIMERCADO CP</t>
  </si>
  <si>
    <t>1°Termo Aditivo ao Acordo de Remuneração com Base na Taxa de Admnistração e/ou Performance</t>
  </si>
  <si>
    <t>Alteração do Anexo 2</t>
  </si>
  <si>
    <t>remuneração, 1 aditivo rem, distrib, 1 aditivo dist</t>
  </si>
  <si>
    <t>ANEXO II – RELAÇÃO DE DOCUMENTOS PARA CADASTRAMENTO DOS CLIENTES</t>
  </si>
  <si>
    <t>DADOS CADASTRAIS</t>
  </si>
  <si>
    <t>ANEXO III – REMUNERAÇÃO</t>
  </si>
  <si>
    <t xml:space="preserve">ADAM MACRO MASTER FUNDO DE INVESTIMENTO MULTIMERCADO  0% C  0%
ADAM ADVANCED MASTER FUNDO DE INVESTIMENTO MULT CRED PRIV - IE 0% C  0%
</t>
  </si>
  <si>
    <t>O pagamento da Remuneração: (i) incidente sobre a parcela da taxa de administração dos FUNDOS, deverá ser feito mensalmente, no 5º (quinto) dia útil; e, (ii) se for o caso, incidente sobre a parcela da taxa de performance dos FUNDOS INVESTIDOS, deverá ser feito no 5º (quinto) dia útil seguinte ao mês da sua apuração, de acordo com os critérios de cobrança estabelecidos nos respectivos Regulamentos.</t>
  </si>
  <si>
    <t>O pagamento da Remuneração será realizado por meio de cheque administrativo ou crédito em conta corrente em favor do DISTRIBUIDOR, na conta corrente 06300-8, agência 1248, mantida junto ao ITAÚ UNIBANCO S.A., mensalmente, nas mesmas datas em que os FUNDOS INVESTIDORES receberem a remuneração decorrente do Acordo de Remuneração, valendo a compensação como prova de pagamento da Remuneração.</t>
  </si>
  <si>
    <t>A Remuneração (a) será apurado com base [na/nas] [taxa/taxas] de administração [e de performance] [prevista/previstas] no regulamento de cada FUNDO, proporcionalmente ao montante mantido sob aplicação em cada FUNDOS pelos clientes, e (b) será descontada [da taxa de performance e] da parcela da taxa de administração dos FUNDOS originalmente devida ao GESTOR.</t>
  </si>
  <si>
    <t>(A) O DISTRIBUIDOR, mediante solicitação à INTRAG e a exclusivo critério desta, poderá atuar por “conta e ordem” de seus clientes, agindo como comissário deles, conforme disposições do Código Civil e da regulamentação vigente.</t>
  </si>
  <si>
    <t>(B) Para atuar por “conta e ordem” de seus clientes, o DISTRIBUIDOR deverá, previamente, obter todas as autorizações legais eventualmente exigidas para essa atividade, além de providenciar estruturas operacionais adequadas à prestação desse serviço.</t>
  </si>
  <si>
    <t xml:space="preserve">(C) Para atuar por “conta e ordem” de seus clientes, o DISTRIBUIDOR declara ter deles recebido poderes especiais e específicos para realizar aplicações e resgates nos FUNDOS e efetuar as decorrentes transferências de recursos. </t>
  </si>
  <si>
    <t>(D) Tendo em vista a atuação do DISTRIBUIDOR “por conta e ordem” de seus clientes, sem que a INTRAG tenha acesso a dados cadastrais dos clientes, fica a INTRAG dispensada de requerer a apresentação de documentos que comprovem os poderes mencionados no item “C” acima, devendo o DISTRIBUIDOR manter à disposição da INTRAG e da CVM documentos que comprovem esses poderes.</t>
  </si>
  <si>
    <t>(E) Tendo em vista a atuação do DISTRIBUIDOR “por conta e ordem” de seus clientes, o DISTRIBUIDOR deverá manter à disposição da CVM:
(i) todas as informações cadastrais de seus clientes e respectivos documentos comprobatórios, conservando-os atualizados, conforme disposto na legislação vigente; e
(ii) registro de todas as aplicações e resgates realizados.</t>
  </si>
  <si>
    <t>(F) Todos os procedimentos operacionais previstos neste contrato para os serviços de distribuição normal deverão também ser observados pelo DISTRIBUIDOR quando agir por “conta e ordem” de seus clientes, observadas exclusivamente as seguintes diferenças:
(i) em vez de dados cadastrais dos clientes, as comunicações de operações de aplicação e resgate deverão conter o código do cliente no DISTRIBUIDOR;
(ii) em vez de ser emitidas em nome do cliente, as cotas serão emitidas em nome do DISTRIBUIDOR, seguido do código desse cliente;
(iii) em vez de depositar os recursos nas contas correntes ou de investimento do cliente, os valores correspondentes aos resgates serão depositados em conta corrente do DISTRIBUIDOR ou em outra conta que este venha a indicar.</t>
  </si>
  <si>
    <t>(G) Além das obrigações e responsabilidades previstas neste contrato, o DISTRIBUIDOR obriga-se adicionalmente a:
(i) informar seus clientes que atuará como comissário (por conta e ordem) deles perante os FUNDOS e a INTRAG;
(ii) fornecer, diretamente à CVM, quando esta lhe solicitar, os dados cadastrais dos clientes;
(iii) manter serviço ao cliente de atendimento e esclarecimento de dúvidas;
(iv) manter seus clientes informados sobre a realização das assembléias gerais dos FUNDOS e respectivas deliberações 
(v) comparecer, se julgar conveniente, e votar nas assembléias gerais dos FUNDOS, representando interesses de seus clientes, munido de procuração outorgada por esses clientes com poderes específicos, discriminando dia, horário e local da assembléia, hipótese em que o DISTRIBUIDOR responderá isolada e integralmente pelos atos que praticar;
(vi) fornecer aos clientes que desejarem comparecer diretamente na assembléia geral dos FUNDOS declaração com a indicação do FUNDO, quantidade de cotas detidas, nome ou denominação social, CPF/CNPJ e seu código de identificação, constituindo tal documento prova da titularidade das cotas; e
(vii) inscrever em registro complementar de cotistas, os investidores distribuídos por conta e ordem, atribuindo a cada cotista um código de investidor que deverá ser informado à INTRAG.</t>
  </si>
  <si>
    <t>(H) Tendo em vista a natureza do serviço de distribuição de cotas “por conta e ordem”, exclusivamente em relação aos clientes que se utilizarem desse serviço do DISTRIBUIDOR, este se obriga a:
(i) reter e recolher, por meio de documento de arrecadação próprio, o Imposto de Renda na Fonte (IRF), o Imposto sobre Operações Financeiras (IOF) e a Contribuição Provisória sobre Movimentação ou Transmissão de Valores e de Créditos e Direitos de Natureza Financeira – CPMF, se for o caso, de seus clientes;
(ii) fornecer à INTRAG, diariamente, uma listagem contendo os valores das aplicações, resgates, IRF, IOF e CPMF retidos, por código de cliente; 
(iii) fornecer diretamente à Receita Federal, anualmente, a Declaração de Imposto Retido na Fonte (DIRF); 
(iv) fornecer diretamente aos clientes o informe de rendimentos para fins da Declaração Anual do Imposto de Renda.</t>
  </si>
  <si>
    <t>(I) Na hipótese de extinção deste contrato, por qualquer motivo, exclusivamente em relação aos clientes que utilizaram os serviços “por conta e ordem” do DISTRIBUIDOR, este deverá consultá-los para que optem pelo resgate total dos recursos ou continuidade dos seus investimentos nos FUNDOS, sendo que nesta última hipótese:
(i) o DISTRIBUIDOR comunicará à INTRAG os clientes que optaram pela continuidade dos investimentos e entregará todos os documentos cadastrais exigidos pela legislação vigente;
(ii) a INTRAG verificará os documentos cadastrais entregues pelo DISTRIBUIDOR, podendo exigir outros que entender necessários para atendimento das disposições legais vigentes;
(iii) quando regularizada a situação documental de seus clientes, o DISTRIBUIDOR deverá informá-los que a relação jurídica deles passará a ser direta com a administradora dos FUNDOS, em razão da extinção do contrato existente entre a INTRAG e o DISTRIBUIDOR, inclusive para solicitações de aplicação e resgate;
(iv) se a situação documental de seus clientes não for regularizada, seja por falta da entrega de documentos cadastrais seja pelo fato de o DISTRIBUIDOR deixar de atender as solicitações de documentos complementares da INTRAG, o DISTRIBUIDOR deverá efetuar o resgate das cotas de seus clientes no prazo de 5 (cinco) dias, contados da data da solicitação da INTRAG nesse sentido, assumindo os ônus daí decorrentes.</t>
  </si>
  <si>
    <t>(J) Cabe à INTRAG ou ao escriturador contratado pelos FUNDOS escriturar as cotas distribuídas por conta e ordem de forma especial no registro de cotistas dos FUNDOS e adotar, na identificação do titular, o nome do DISTRIBUIDOR, acrescido do código de investidor que identifica o cotista no registro complementar.</t>
  </si>
  <si>
    <t>(K) Ficam ratificados todos os procedimentos operacionais, obrigações e responsabilidades das partes, previstos no contrato, que não tenham sido expressamente alterados por este Anexo.</t>
  </si>
  <si>
    <t>Décimo Quarto Termo Aditivo Ao Contrato</t>
  </si>
  <si>
    <t>Décimo Terceiro Termo Aditivo Ao Contrato</t>
  </si>
  <si>
    <t>Excluir CSHG ADAM PREV FC FI MULT (CNPJ N° 25.307.239/0001-30) e ADAM ICATU PREVIDÊNCIA FIC FIM PREVIDENCIÁRIO(CNPJ N°29.236.535/0001-48)</t>
  </si>
  <si>
    <t>Excluir ADAM MACRO STRATEGY CSHG FIC FIM (CNPJ N° 26.744.850/001-98) e ADAM MACRO STRATEGY CSHG 60 FIC FIM(CNPJ N° 28.951.272/0001-96)</t>
  </si>
  <si>
    <t>Décimo Termo Aditivo Ao Contrato</t>
  </si>
  <si>
    <t>Excluir CSHG ADAM MACRO CSHG II FIC FIM (CNPJ N° 26.649.140/0001-89) e ADAM MACRO STRATEGY CSHG II FIC FIM(CNPJ N° 26.744.838/0001-83)</t>
  </si>
  <si>
    <t>Nono Termo Aditivo Ao Contrato</t>
  </si>
  <si>
    <t>Modificado: Remuneração da ADMNISTRADORA fixo em 1500 reais ao invés da tabela variável por PL, em adição à um percentual equivalenteà 40% da tx de admnistração previstos nos Regulamentos já descontada remuneração da ADMNISTRADORA e 30% da taxa de perfomanceprevisto nos regulamentos; No caso de substituição de ADMNISTRADORA contratos seram novamente revisados.Nos fundos exclusivos 100% do valor correspondente à taxa de admnistração e/ou perfomance (se for o caso) caberá à ADMNISTRADORA.</t>
  </si>
  <si>
    <t>Oitavo Termo Aditivo Ao Contrato</t>
  </si>
  <si>
    <t>Excluir: ADAM MACRO MASTER FIM(CNPJ N° 23.884.632/0001-60), ADAM ADVANCED MASTER FIM CP-IE(CNPJ N°23.884.625/0001-69) encerrados 26/08/2019, ADAM PREVIDENCIARIO ICATU MASTER FIM(CNPJ N° 25.036.699/0001-70), ADAM ICATU PREVIDENCIARIO FIC FIM( CNPJ N° 25.681.955/0001-82), ADAM CAIXA MASTER FIM(CNPJ N° 26.695.435/0001-91) e ADAM MACRO STRATEGY MASTER FIM( CNPJ N° 26.744.792/0001-00) encerrados em 09/08/2019.</t>
  </si>
  <si>
    <t>Sétimo Termo Aditivo Ao Contrato</t>
  </si>
  <si>
    <t>Incluir: ADAM ICATU PREVDÊNCIA I FIC FIM PREVIDENCIÁRIO (CNPJ N° 29.236.535/0001-48)</t>
  </si>
  <si>
    <t>Sexto Termo Aditivo Ao Contrato</t>
  </si>
  <si>
    <t>Incluir: ADAM MACRO STRATEGY CSHG 60 FC FI MULT (CNPJ N° 28.951.272/0001-96)</t>
  </si>
  <si>
    <t>Quinto Termo Aditivo Ao Contrato</t>
  </si>
  <si>
    <t>Incluir: CSHG ADAM III FIC FIM CP - IE (CNPJ N° 28.364.567/0001-66)</t>
  </si>
  <si>
    <t>Quarto Termo Aditivo Ao Contrato</t>
  </si>
  <si>
    <t>Terceiro Termo Aditivo Ao Contrato</t>
  </si>
  <si>
    <t>Segundo Termo Aditivo Ao Contrato</t>
  </si>
  <si>
    <t>Incluir: ADAM MACRO STRATEGY MASTER FIM (CNPJ N° 26.7444.792/0001-00), ADAM MACRO STRATEGY CSHG II FIC FIM( CNPJ N° 26.7444.838/0001-83), ADAM MACRO STRATEGY CSHG FIC FIM( CNPJ N° 26.744.850/0001-98)</t>
  </si>
  <si>
    <t>Incluir: ADAM MACRO CSHG II FIC FIM (CNPJ N° 26.649.140/0001-89), ADAM ADVANCED CSHG II FIC FIM  ( CNPJ N° 26.649.157/0001-36), ADAM CAIXA MASTER FIM (CNPJ N° 26.343.746/0001-91)</t>
  </si>
  <si>
    <t xml:space="preserve">Incluir:  CSHG BENEDICTO FIC FIM CP - IE (CNPJ N° 25.247.265/0001-10), ADAM PREVIDENCIARIO ICATU MASTER FIM ( CNPJ N° 25.036.699/0001-70), ZALMAN PREVIDENCIARIO ICATU FIC FIM (CNPJ N° 25.036.563/0001-60), ADAM CSHG ICATU PE PREVIDENCIARIO FIM (CNPJ N° 25.307.239/0001-30), ADAM ICATU PREVIDENCIARIO FIC FIM (CNPJ N°  25.681.955/0001-82) </t>
  </si>
  <si>
    <t xml:space="preserve">Prezados clientes,
O mês de fevereiro fechou com resultados positivos para todos os fundos sob gestão da Adam Capital. Os fundos multimercados apresentaram um desempenho robusto, aproximadamente 313% do CDI no período, enquanto os fundos de previdência encerraram o mês com uma rentabilidade de aproximadamente 1,23% (aproximadamente a 154% do CDI). O equilíbrio do portfólio funcionou bem, com posições em diferentes mercados e classes de ativos. Em nossa carta anexa, a equipe de gestão e economia detalha os fundamentos das posições e compartilha nossas expectativas para os próximos meses.
Como sempre, estamos à disposição de todos para qualquer esclarecimento adicional.
Forte abraço,
</t>
  </si>
  <si>
    <t>Z:\Sales\Due Diligence Distribuidores\Due Diligence e Questionários\2024\1. Consolidado - Questionário COPOM - XP</t>
  </si>
  <si>
    <t>Enviar DD BrasilPrev ( Formulário Gestores Externos e Acompanhamento_gestores)</t>
  </si>
  <si>
    <t>Enviar DD Icatu</t>
  </si>
  <si>
    <t>Política de Segurança das Informações, Proteção de Dados Pessoais e de Segurança Cibernética (Ótica de Segurança das Informações e Ataques Cibernéticos)</t>
  </si>
  <si>
    <t>Política de Segurança das Informações, Proteção de Dados Pessoais e de Segurança Cibernética (Ótica de Proteção de Dados Pessoais e Ataques Cibernéticos)</t>
  </si>
  <si>
    <t>Termos de Adesão Colaborador 2024 - Isabella Becker</t>
  </si>
  <si>
    <t>TAXA CVM - Verificar Débitos para Adam e seus Gestores individualmente</t>
  </si>
  <si>
    <t>https://conteudo.cvm.g</t>
  </si>
  <si>
    <t>A Mellon manda para Adam os relatórios e a ADAM submete o CRS NIL Declaration, sobre o FATCA não é necessario nenhuma ação</t>
  </si>
  <si>
    <t>A CITCO manda o FAR para a Adam a gente revisa, da de acordo, manda para a OGIER, eles dão de acordo e depois a gente envia para a KPMG, eles que submetem.</t>
  </si>
  <si>
    <t>Backgroundcheck - Adam Capital</t>
  </si>
  <si>
    <t xml:space="preserve">Prezados clientes,
O mês de Março foi bastante positivo para todos os fundos da ADAM CAPITAL. Os fundos multimercados renderam cerca de 3,60% no mês, equivalente a 431% do CDI, enquanto os fundos previdenciários renderam aproximadamente 1,55% ou 186% do CDI em média. O time de gestão segue com uma visão distinta do mercado com relação ao tema de inflação global, acreditando que a inflação deve ser mais persistente. O time de gestão descreve as estratégias utilizadas com mais detalhes em nosso relatório gerencial anexo.
Vale destacar também que Março foi positivo para todas as classes de ativos investidas, com destaque para a posição em commodities (comprados em ouro) e também na posição de moedas (compradas em peso mexicano e vendida no Yen e na libra esterlina). Os resultados também foram positivos nas posições de Juros (Global e Local) e também no livro de ações.
No lado institucional, aproveitamos também para anexar o relatório gerencial de nosso novo produto, o fundo de renda fixa ativa, que acaba de completar 6 meses e passa a compor nossa grade de produtos. O fundo de renda fixa se apresenta como uma boa alternativa aos investimentos em LCA´s, LCI´s e LIG´s com alta liquidez (D+5), baixa volatilidade e sem utilização de instrumentos de crédito para geração de alfa.
Como sempre, estamos a inteira disposição para esclarecimentos adicionais que se façam necessários.
Forte abraço,
</t>
  </si>
  <si>
    <t>Assinatura</t>
  </si>
  <si>
    <t xml:space="preserve">            4,415.203670 </t>
  </si>
  <si>
    <t xml:space="preserve">            4,415.053670 </t>
  </si>
  <si>
    <t xml:space="preserve">            4.322,923994 </t>
  </si>
  <si>
    <t xml:space="preserve">            4.322,773994 </t>
  </si>
  <si>
    <t xml:space="preserve">            4.385,098877 </t>
  </si>
  <si>
    <t xml:space="preserve">            4.384,948877 </t>
  </si>
  <si>
    <t xml:space="preserve">      35,00 </t>
  </si>
  <si>
    <t xml:space="preserve">-    35,00 </t>
  </si>
  <si>
    <t xml:space="preserve">         14.429,189694 </t>
  </si>
  <si>
    <t xml:space="preserve">         14.429,089694 </t>
  </si>
  <si>
    <t xml:space="preserve">                     700.00 </t>
  </si>
  <si>
    <t xml:space="preserve">            4.346,110999 </t>
  </si>
  <si>
    <t xml:space="preserve">            4.345,960999 </t>
  </si>
  <si>
    <t xml:space="preserve">            4.470,647706 </t>
  </si>
  <si>
    <t xml:space="preserve">            4.470,497706 </t>
  </si>
  <si>
    <t xml:space="preserve">            4.303,738354 </t>
  </si>
  <si>
    <t xml:space="preserve">            4.303,588354 </t>
  </si>
  <si>
    <t>                        35.00</t>
  </si>
  <si>
    <t>                        90.00</t>
  </si>
  <si>
    <t>-                     35.00</t>
  </si>
  <si>
    <t>-                     90.00</t>
  </si>
  <si>
    <t>-                     65.00</t>
  </si>
  <si>
    <t>                        65.00</t>
  </si>
  <si>
    <t>-                   238.00</t>
  </si>
  <si>
    <t>                     238.00</t>
  </si>
  <si>
    <t>                       35.00</t>
  </si>
  <si>
    <t xml:space="preserve">         14.466,990279 </t>
  </si>
  <si>
    <t xml:space="preserve">         14.466,890279 </t>
  </si>
  <si>
    <t xml:space="preserve">         14.466,790279 </t>
  </si>
  <si>
    <t xml:space="preserve">            4.358,905649 </t>
  </si>
  <si>
    <t xml:space="preserve">            4.359,055649 </t>
  </si>
  <si>
    <t xml:space="preserve">            4.479,563694 </t>
  </si>
  <si>
    <t xml:space="preserve">            4.479,713694 </t>
  </si>
  <si>
    <t xml:space="preserve">            4.314,670429 </t>
  </si>
  <si>
    <t xml:space="preserve">            4.314,820429 </t>
  </si>
  <si>
    <t xml:space="preserve">-                    115,00 </t>
  </si>
  <si>
    <t xml:space="preserve">                     115,00 </t>
  </si>
  <si>
    <t xml:space="preserve">         14.473,032829 </t>
  </si>
  <si>
    <t xml:space="preserve">         14.473,132829 </t>
  </si>
  <si>
    <t xml:space="preserve">            4.370,738369 </t>
  </si>
  <si>
    <t xml:space="preserve">            4.370,888369 </t>
  </si>
  <si>
    <t xml:space="preserve">            4.325,083736 </t>
  </si>
  <si>
    <t xml:space="preserve">            4.325,233736 </t>
  </si>
  <si>
    <t>Realizar Testes de Gravações</t>
  </si>
  <si>
    <t>Rodar testes de duas gravações por mês, considerando a periodicidade trimestral, de forma a reduzir o estoque para o Relatório de Gravações obrigatório, com periodicidade semestral.</t>
  </si>
  <si>
    <t>Comunicação ao COAF/CVM, art 7-A da Inst CVM 301/99 - ICVM 50 - PLDF art 23 - Comunicação de não ocorrência</t>
  </si>
  <si>
    <t>Termos de Adesão Colaborador 2024 - Renan Menin Rossi</t>
  </si>
  <si>
    <t>Termos de Adesão Colaborador 2024 - João Victor Raposo</t>
  </si>
  <si>
    <t>18/03/2024</t>
  </si>
  <si>
    <t>19/02/2024</t>
  </si>
  <si>
    <t>05/02/2024</t>
  </si>
  <si>
    <t>Isabella Becker</t>
  </si>
  <si>
    <t>Renan Menin Rossi</t>
  </si>
  <si>
    <t>3/18/204</t>
  </si>
  <si>
    <t>E-mail de ratificação das atividades externas para quem tem posição em conselhos</t>
  </si>
  <si>
    <t>Perguntar se algo mudou na empresa, se ainda é conselheiro, algo relevante a declarar etc</t>
  </si>
  <si>
    <t>Rodar background Check dos sócios da empresa</t>
  </si>
  <si>
    <t>Estamos utilizando a ferramente de background check do Compliasset</t>
  </si>
  <si>
    <t>Até o final de cada semestre</t>
  </si>
  <si>
    <t>Aprovação das demonstrações em Board meeting</t>
  </si>
  <si>
    <t xml:space="preserve">         14.650,026030 </t>
  </si>
  <si>
    <t xml:space="preserve">         14.650,126030 </t>
  </si>
  <si>
    <t>full</t>
  </si>
  <si>
    <t>GG_BackOffice</t>
  </si>
  <si>
    <t>GG_Administrator_Leitura</t>
  </si>
  <si>
    <t>João Victor de Sá</t>
  </si>
  <si>
    <t>GG_AVIACAO</t>
  </si>
  <si>
    <t>Breno Aguiar</t>
  </si>
  <si>
    <t>Everyone</t>
  </si>
  <si>
    <t>Gestao</t>
  </si>
  <si>
    <t>Economic_Research</t>
  </si>
  <si>
    <t>Output_Lote45</t>
  </si>
  <si>
    <t>Secretarias</t>
  </si>
  <si>
    <t>Adaptação 175</t>
  </si>
  <si>
    <t>Documento</t>
  </si>
  <si>
    <t>Modelo(Quem fez o texto do documento)</t>
  </si>
  <si>
    <t>Acordo de Distribuição</t>
  </si>
  <si>
    <t>Acordo Operacional</t>
  </si>
  <si>
    <t>Acordo de Remuneração</t>
  </si>
  <si>
    <t>Bahia AM</t>
  </si>
  <si>
    <t>Contraparte assinante</t>
  </si>
  <si>
    <t>Ajustar 3° Aditivo</t>
  </si>
  <si>
    <t>Ajustar 2° Aditivo</t>
  </si>
  <si>
    <t>Ordem de Prioridade</t>
  </si>
  <si>
    <t>Contrato de Prestação de Serviços de Gestão</t>
  </si>
  <si>
    <t>TA</t>
  </si>
  <si>
    <t>DIVERSOS</t>
  </si>
  <si>
    <t>Ajustar 6° Aditivo</t>
  </si>
  <si>
    <t>Bonsucesso</t>
  </si>
  <si>
    <t>Ajustar 1° Aditivo</t>
  </si>
  <si>
    <t>Última Versão(Do documento, não aditivo)</t>
  </si>
  <si>
    <t>Bradesco(BRAM)</t>
  </si>
  <si>
    <t>Acordo de Confidencialidade</t>
  </si>
  <si>
    <t>BSPAR</t>
  </si>
  <si>
    <t>Ajustar 1° Aditivo e TA</t>
  </si>
  <si>
    <t>Ajustar 2° Aditivo e TA</t>
  </si>
  <si>
    <t>CM/CAPITAL MARKETS</t>
  </si>
  <si>
    <t>UBS/CSHG</t>
  </si>
  <si>
    <t>Ajustar 14°Aditivo</t>
  </si>
  <si>
    <t>Data de Aditamento</t>
  </si>
  <si>
    <t>Ajustar 4°Aditivo</t>
  </si>
  <si>
    <t>Consultoria</t>
  </si>
  <si>
    <t>ICATU</t>
  </si>
  <si>
    <t>INTRAG/FOF</t>
  </si>
  <si>
    <t>Ajustar 13° Aditivo</t>
  </si>
  <si>
    <t>Ajustar 5° Aditivo</t>
  </si>
  <si>
    <t>Acordo Operacional Ponte</t>
  </si>
  <si>
    <t>1° Aditivo</t>
  </si>
  <si>
    <t>JULIUS BAER</t>
  </si>
  <si>
    <t>BNY + BEM</t>
  </si>
  <si>
    <t>BNY + SANTANDER</t>
  </si>
  <si>
    <t>Ajustar 4° Aditivo</t>
  </si>
  <si>
    <t>RELIANCE</t>
  </si>
  <si>
    <t>LAECO</t>
  </si>
  <si>
    <t>BNY - INTRAG</t>
  </si>
  <si>
    <t>LOYALL</t>
  </si>
  <si>
    <t>Porto Seguro</t>
  </si>
  <si>
    <t>Banco Safra</t>
  </si>
  <si>
    <t>Acordo Distribuição</t>
  </si>
  <si>
    <t>Documento 175</t>
  </si>
  <si>
    <t xml:space="preserve">-                      10,00 </t>
  </si>
  <si>
    <t xml:space="preserve">                        10,00 </t>
  </si>
  <si>
    <t xml:space="preserve">         14.693,229785 </t>
  </si>
  <si>
    <t xml:space="preserve">         14.693,329785 </t>
  </si>
  <si>
    <t xml:space="preserve">Prezados clientes,
O mês de abril se encerra com resultados positivos tanto para os fundos multimercado como para os fundos de previdência, com destaque para os fundos Adam Macro e Advanced que encerraram o período rendendo acima de 166% do CDI. Os resultados positivos foram obtidos nos livros de Commodities, Juros Offshore e Moedas, enquanto a detração de performance ficou localizada nos livros de Equities, principalmente nos mercados offshore. O fundo de Renda Fixa ativa continua apresentando bons resultados e em linha com nosso alvo de rentabilidade, fazendo com que este produto seja uma boa alternativa para clientes que buscam algo similar às LCA´s ou LCI´s, porém com mais liquidez.
O time de gestão comenta com mais detalhes a nossa posição e expectativas em nossos relatórios gerenciais em anexo.
Forte abraço
</t>
  </si>
  <si>
    <t>Enviar PA - Santander (MACRO e Santander YTD e MTD)</t>
  </si>
  <si>
    <t>Enviar Carteiras ICATU RF ATIVA (xls) - Rotina Mensal</t>
  </si>
  <si>
    <t xml:space="preserve">130,00 </t>
  </si>
  <si>
    <t xml:space="preserve">         14.734,872900 </t>
  </si>
  <si>
    <t xml:space="preserve">         14.734,772900 </t>
  </si>
  <si>
    <t xml:space="preserve"> Tullet </t>
  </si>
  <si>
    <t xml:space="preserve">            4.357,387849 </t>
  </si>
  <si>
    <t xml:space="preserve">            4.357,537849 </t>
  </si>
  <si>
    <t xml:space="preserve">         14.759,868201 </t>
  </si>
  <si>
    <t xml:space="preserve">         14.759,768201 </t>
  </si>
  <si>
    <t xml:space="preserve">            4.387,128260 </t>
  </si>
  <si>
    <t xml:space="preserve">            4.386,978260 </t>
  </si>
  <si>
    <t xml:space="preserve">            4.312,439084 </t>
  </si>
  <si>
    <t xml:space="preserve">            4.312,289084 </t>
  </si>
  <si>
    <t xml:space="preserve"> LFT01062030 </t>
  </si>
  <si>
    <t>         14.670,811359</t>
  </si>
  <si>
    <t>         14.670,911359</t>
  </si>
  <si>
    <t>Z:\Sales\Due Diligence Distribuidores\Due Diligence e Questionários\2024\0 - DD SAM\Abril24 - DD SAM</t>
  </si>
  <si>
    <t>Z:\Sales\Due Diligence Distribuidores\Due Diligence e Questionários\2024\0 - Goldman Sachs - Credit Risk\3. Março - 2 - Goldman sachs - Credit Risk</t>
  </si>
  <si>
    <t>Adam Omega</t>
  </si>
  <si>
    <t>Z:\Sales\Due Diligence Distribuidores\Due Diligence e Questionários\2024\0 - Goldman Sachs - Credit Risk\3. Março - Goldman Sachs - Credit Risk - DD</t>
  </si>
  <si>
    <t>Z:\Sales\Due Diligence Distribuidores\Due Diligence e Questionários\2024\0 - Goldman Sachs - Credit Risk\4. Abril - Goldman sachs - Credit Risk</t>
  </si>
  <si>
    <t>Z:\Sales\Due Diligence Distribuidores\Due Diligence e Questionários\2024\0 - Goldman Sachs - Credit Risk\5. Maio - Goldman sachs - Credit Risk</t>
  </si>
  <si>
    <t>Perfil Mensal</t>
  </si>
  <si>
    <t>Z:\Sales\Due Diligence Distribuidores\Due Diligence e Questionários\2024\0. Consolidado -  UBS Assembleias</t>
  </si>
  <si>
    <t>Z:\Sales\Due Diligence Distribuidores\Due Diligence e Questionários\2024\0. Consolidado - Formulário de Posicionamento BB\03. Março</t>
  </si>
  <si>
    <t>Acompanhamento dos Gestores</t>
  </si>
  <si>
    <t>Formulário Gestores Externos</t>
  </si>
  <si>
    <t>Z:\Sales\Due Diligence Distribuidores\Due Diligence e Questionários\2024\0. Consolidado - Formulário de Posicionamento BB\04. Abril</t>
  </si>
  <si>
    <t>Z:\Sales\Due Diligence Distribuidores\Due Diligence e Questionários\2024\0. Consolidado - Questionário COPOM - XP</t>
  </si>
  <si>
    <t>BOFA</t>
  </si>
  <si>
    <t>Z:\Sales\Due Diligence Distribuidores\Due Diligence e Questionários\2024\2. Fev24 - BOFA - KYC</t>
  </si>
  <si>
    <t>CBE</t>
  </si>
  <si>
    <t>Z:\Sales\Due Diligence Distribuidores\Due Diligence e Questionários\2024\2. Fev24 - CBE INTRAG</t>
  </si>
  <si>
    <t>Renovação de Due Diligence</t>
  </si>
  <si>
    <t>Z:\Sales\Due Diligence Distribuidores\Due Diligence e Questionários\2024\2. Fev24 - Due Diligence XP</t>
  </si>
  <si>
    <t>Z:\Sales\Due Diligence Distribuidores\Due Diligence e Questionários\2024\2. Fev24 - Itaú</t>
  </si>
  <si>
    <t>Questionário de Exposição</t>
  </si>
  <si>
    <t>Z:\Sales\Due Diligence Distribuidores\Due Diligence e Questionários\2024\2. Fev24 - ITAU - Questionário Exposição e Equipe</t>
  </si>
  <si>
    <t>Z:\Sales\Due Diligence Distribuidores\Due Diligence e Questionários\2024\3. Mar.24 - BrasilPrev - DD anual</t>
  </si>
  <si>
    <t>Brunel Partners</t>
  </si>
  <si>
    <t>Z:\Sales\Due Diligence Distribuidores\Due Diligence e Questionários\2024\3. Mar24 - Brunel Partners</t>
  </si>
  <si>
    <t>AML</t>
  </si>
  <si>
    <t>Z:\Sales\Due Diligence Distribuidores\Due Diligence e Questionários\2024\3. Mar24 - Goldman Sachs AML 2023</t>
  </si>
  <si>
    <t>KYP</t>
  </si>
  <si>
    <t>Z:\Sales\Due Diligence Distribuidores\Due Diligence e Questionários\2024\5. Mai24 - KYP INTRAG\Documentos</t>
  </si>
  <si>
    <t>Z:\Sales\Due Diligence Distribuidores\Due Diligence e Questionários\2024\6. Mai24 - GS - KYC\Documentos</t>
  </si>
  <si>
    <t>Z:\Sales\Due Diligence Distribuidores\Due Diligence e Questionários\2024\6.Mai24 - ITAU - Questionário Exposição e Equipe</t>
  </si>
  <si>
    <t>Questionário de Exposição e Equipe</t>
  </si>
  <si>
    <t>ibecker</t>
  </si>
  <si>
    <t>ibecker.pcn</t>
  </si>
  <si>
    <t>João Sá</t>
  </si>
  <si>
    <t>jsa</t>
  </si>
  <si>
    <t>jsa.pcn</t>
  </si>
  <si>
    <t>Juliano Sucupira Cecilio</t>
  </si>
  <si>
    <t>jcecilio</t>
  </si>
  <si>
    <t>jcecilio.pcn</t>
  </si>
  <si>
    <t>rrossi</t>
  </si>
  <si>
    <t>rrossi.pcn</t>
  </si>
  <si>
    <t>Estagiária</t>
  </si>
  <si>
    <t>Implementar testes periódicos nas aplicações instaladas no PCN.</t>
  </si>
  <si>
    <t>Termos de Adesão Colaborador 2024 - João Pedro Bandeira de Mello Cruz</t>
  </si>
  <si>
    <t xml:space="preserve"> João Pedro Bandeira de Mello Cruz</t>
  </si>
  <si>
    <t>Termos de Adesão Colaborador 2024 - Tiago Araujo</t>
  </si>
  <si>
    <t>Termos de Adesão Colaborador 2024 - Sergio Dias</t>
  </si>
  <si>
    <t>Termos de Adesão Colaborador 2024 - Marcio Appel</t>
  </si>
  <si>
    <t>Termos de Adesão Colaborador 2024 - Isadora Salles</t>
  </si>
  <si>
    <t>Termos de Adesão Colaborador 2024 - Geovane Carmo</t>
  </si>
  <si>
    <t>Termos de Adesão Colaborador 2024 - Fillipe Gomes</t>
  </si>
  <si>
    <t>Termos de Adesão Colaborador 2024 - Fabio Landi</t>
  </si>
  <si>
    <t>Termos de Adesão Colaborador 2024 - Camila Souza</t>
  </si>
  <si>
    <t>Termos de Adesão Colaborador 2024 - André Salgado</t>
  </si>
  <si>
    <t>Termos de Adesão Colaborador 2024 - Pedro Santos</t>
  </si>
  <si>
    <t>Termos de Adesão Colaborador 2024 - Adriana Costa</t>
  </si>
  <si>
    <t>Termos de Adesão Colaborador 2024 - Lucca Daher</t>
  </si>
  <si>
    <t>Termos de Adesão Colaborador 2024 - Monique Gonçalves</t>
  </si>
  <si>
    <t>Termos de Adesão Colaborador 2024 - Sagra Bruni</t>
  </si>
  <si>
    <t>Termos de Adesão Colaborador 2024 - Victor Vilanova</t>
  </si>
  <si>
    <t>Termos de Adesão Colaborador 2024 - Juliano Cecílio</t>
  </si>
  <si>
    <t>João Pedro Bandeira de Mello Cruz</t>
  </si>
  <si>
    <t>124.421.237-70</t>
  </si>
  <si>
    <t>20.341.287-9</t>
  </si>
  <si>
    <t>bandeira@adamcapital.com.br</t>
  </si>
  <si>
    <t>não</t>
  </si>
  <si>
    <t>jbandeira01</t>
  </si>
  <si>
    <t>UCA CURNCY</t>
  </si>
  <si>
    <t>ATIVO</t>
  </si>
  <si>
    <t>VENC</t>
  </si>
  <si>
    <t>lidia.gomes@xpi.com.br; onb.institucional@xpi.com.br; leticia.correa@xpi.com.br; xpirendafixa@xpi.com.br;diego.feba@xpi.com.br</t>
  </si>
  <si>
    <t xml:space="preserve">Prezados Clientes,
O mês de maio se encerra com resultados positivos para todos os fundos da ADAM. Embora o cenário tenha sido bastante desafiador, os fundos apresentaram ganhos em diversas classes de ativos, demonstrando o bom equilíbrio do portfólio. O livro de juros local foi o principal responsável pela geração de alfa. Nosso entendimento é que o mercado continua subestimando a inflação e o nível de atividade no Brasil e nos mercados desenvolvidos. O livro de moedas também teve um bom desempenho, com destaque para a posição vendida no Real. Nossa visão de mercado é detalhada no relatório gerencial em anexo.
Vale destacar também o fundo de renda fixa ativa, que segue apresentando resultados satisfatórios, fechando o mês com uma valorização aproximada de 1,02% e cerca de 4,6% no ano. Utilizamos o mesmo cenário dos multimercados nos fundos de renda fixa, sem a utilização de instrumentos de crédito privado, proporcionando ótimos retornos ajustados ao risco. O fundo de renda fixa ativa possui liquidez de D+6 e vem se mostrando uma boa alternativa para os distribuidores que buscam investimentos com alta liquidez, baixa volatilidade e rentabilidade.
Estamos à disposição para qualquer dúvida adicional.
Forte abraço!
</t>
  </si>
  <si>
    <t>Leonardo.x.Rodrigues@gs.com; Bruna.Primati@gs.com; Michelle.Dorea@gs.com; gs-br-ftd@gs.com; joyce.rosa@gs.com;gs-cob-brct@ny.email.gs.com</t>
  </si>
  <si>
    <t>Enviado - 03/06/2024</t>
  </si>
  <si>
    <t>Enviado - 04/06/2024</t>
  </si>
  <si>
    <t>compliance@c6bank.com;cadastro.corretora@c6bank.com;rafael.turecki@c6bank.com;vilson.junior@c6bank.com</t>
  </si>
  <si>
    <t>nathalia.rodrigues@bofa.com; gustavo.marques@bofa.com; gabriel.paganini@bofa.com; eugenio.branco@bofa.com; priscila.carvalho@bofa.com; renata.schopklein@bofa.com; magda.souza@bofa.com; dg.cadastroml_brazil@bofa.com; giovanna.verissimo@bofa.com; fabio.sameshima@bofa.com; andre.manuel@bofa.com; giuliana.auada@bofa.com; giuliana.melo@bofa.com; daniela.ito@bofa.com;felipe.santos@bofa.com</t>
  </si>
  <si>
    <t>Termos de Adesão Colaborador 2024 - Jessica Padilha</t>
  </si>
  <si>
    <t>fernando.m.marques@bradesco.com.br; manoel.f.reis@bradesco.com.br; gabriel.valle@bradescobbi.com.br; supervisao@bradescobbi.com.br; ipc.risco@bradesco.com.br;gm_cadastro@bradescobbi.com.br</t>
  </si>
  <si>
    <t>Resposta padrão</t>
  </si>
  <si>
    <t>Divisão de Risco</t>
  </si>
  <si>
    <t>A divisão de risco dos fundos é estruturada da seguinte forma: Marcio Appel é responsável por 75% do risco. Os 25% restantes são gerenciados pela Mesa de Operações, atualmente distribuídos entre os gestores Fabio Landi, Sérgio Dias, Adriano Fontes e João Bandeira. Este modelo tem como objetivos principais garantir uma gestão equilibrada, aumentar a diversificação do portfólio e reter gestores e talentos, cuja remuneração estará parcialmente vinculada ao 'Alpha' gerado.</t>
  </si>
  <si>
    <t>Política de não competição</t>
  </si>
  <si>
    <t>Todos os sócios possuem cláusulas de não competição, que podem variar entre eles. De forma geral, caso o Vendedor exerça a opção de comprar a totalidade das quotas adquiridas pelo Comprador, resultando na retirada deste do capital da Sociedade, o Comprador compromete-se e obriga-se, pelo período de 6 meses contados de sua saída do capital, a não exercer, direta ou indiretamente, qualquer atividade concorrente às da Sociedade.</t>
  </si>
  <si>
    <t>Regra de entrada e saída de sócio</t>
  </si>
  <si>
    <t>As regras de valuation e de entrada e saída de sócios são parte integrante do acordo de quotistas, um documento confidencial. De maneira abrangente, dispomos de diversos modelos de valuation, desde book value até múltiplos, os quais variam conforme o nível de senioridade, relevância e tempo.</t>
  </si>
  <si>
    <t>Os diretores da ADAM|Capital não possuem salário, mas sim pró-labore. No entanto, parte relevante de sua remuneração está sujeita às disposições dos documentos societários da ACKLAND, da qual são sócios.
Os funcionários da ADAM|Capital estão sujeitos à remuneração acordada por ocasião da contratação, podendo incluir salário e bonificação. Geralmente, o pagamento de bonificação ocorre semestralmente, baseado inicialmente na área e no cargo do funcionário. A partir desse parâmetro, é realizada uma avaliação de desempenho individual pelo gestor imediato para definir um multiplicador que pode reduzir ou aumentar a bonificação, considerando os seguintes critérios: (i) Produção; (ii) Qualidade; (iii) Iniciativa e pró-atividade; (iv) Resolução de problemas; (v) Comprometimento; (vi) Confiança; (vii) Cooperação e espírito de equipe; (viii) Tomada de decisão; (ix) Foco nos resultados; e (x) Comunicação.
O ambiente meritocrático, fundamentado na remuneração variável associada a avaliações, metas e convites à sociedade, constitui um eficiente mecanismo de retenção de talentos. Em particular, a equipe de investimento, alinhada à geração de valor no longo prazo, tem uma parcela de sua remuneração vinculada ao 'Alpha' gerado no 'book' da Mesa. Nesse contexto, 4% desse resultado são distribuídos pelo head da área.
Os estagiários da ADAM|Capital recebem bolsa.</t>
  </si>
  <si>
    <t>Capacity</t>
  </si>
  <si>
    <t>Dado o histórico de AUM da Adam Capital, capacity não é considerada uma questão. Além disso, reforçamos a manutenção de uma estrutura de controles internos, operacionais e sistêmicos robusta e compatível com o nível histórico de AUM da Gestora. Portanto, não há cálculo de capacidade para os fundos da gestora.</t>
  </si>
  <si>
    <t>Breakeven</t>
  </si>
  <si>
    <t>Não fazemos o cálculo de breakeven de AUM da Gestora, considerando que uma parte considerável desse valor é decorrente de capital próprio dos sócios, o que é suficiente para suportar a estrutura operacional da Gestora, excluindo a performance fee. Adicionalmente, do ponto de vista do resultado líquido, a Gestora tem reportado resultados líquidos anuais positivos desde a sua constituição, incluindo 2023. O potencial de geração de alfa sobre o patrimônio dos sócios é suficiente para a sustentabilidade do negócio, com flexibilidade para a distribuição desproporcional de dividendos para suprir situações eventuais. Os resultados têm sido significativamente superiores às despesas, incluindo em 2023.</t>
  </si>
  <si>
    <t xml:space="preserve">Risco Operacional </t>
  </si>
  <si>
    <t>Revisado anualmente, utiliza-se do formato bottom-up, partindo de uma premissa de control risk self-assessment, onde a primeira linha de defesa, por estar mais integrada com sua própria rotina, mapeia os riscos e controles com o auxílio da segunda linha de defesa, que atua como reguladora das regras em geral.</t>
  </si>
  <si>
    <t>Disclaimer</t>
  </si>
  <si>
    <t xml:space="preserve">Comercial - Troca de e-mail cotista/potential cotistas </t>
  </si>
  <si>
    <t>As informações contidas neste e-mail têm caráter meramente informativo e não constituem oferta de venda de cotas dos fundos geridos, nem consideram objetivos de investimento ou necessidades individuais e particulares. A ADAM CAPITAL não realiza a distribuição de produtos de investimento. Recomenda-se a leitura cuidadosa do regulamento e da lâmina deste fundo de investimento antes de efetuar qualquer decisão de investimento. Recomendamos que entre em contato com seu distribuidor de confiança para obter mais informações sobre os produtos mais adequados ao seu perfil, objetivos e tolerância ao risco. Para mais detalhes sobre nossos produtos e serviços, por favor, visite nosso site ou entre em contato com um dos nossos distribuidores parceiros.</t>
  </si>
  <si>
    <t>Resposta</t>
  </si>
  <si>
    <t>Os arquivos anexos estão sendo enviados em decorrência de solicitação prévia e com o propósito de cumprimento de obrigações regulatórias as quais esta instituição está sujeita. A utilização e revelação das informações e/ou dos arquivos enviados pela ADAMCAPITAL para outros propósitos, em especial dos arquivos XML contendo as carteiras mensais do fundo, ainda que parcialmente, estão terminantemente proibidas sem a aprovação prévia e expressa da ADAMCAPITAL.</t>
  </si>
  <si>
    <t>Envio XML</t>
  </si>
  <si>
    <t>INATIVO - Sem interesse</t>
  </si>
  <si>
    <t>pollyana.camargo@citi.com; fabio.demetrio@citi.com;donald.f.brennick@citi.com;ray.lim@citi.com</t>
  </si>
  <si>
    <t xml:space="preserve">Prezados clientes,
O mês de junho foi bastante positivo para todos os fundos da Adam Capital, com rendimentos expressivos nos multimercados, previdência e renda fixa ativo. O ADAM Macro terminou o mês com rentabilidade de 2,51% e 12,47% no semestre e os fundos de Previdência fecharam junho com 2,94% e o 8,26% YTD. O fundo de renda fixa segue cumprindo seu mandato, rendendo 1,11% em junho, mais uma vez superando o CDI.
Seguimos com uma visão pessimista com relação ao Brasil, e o portfólio gerou alpha em diversas classes de ativos, sendo o livro de Juros locais o maior destaque positivo, que juntamente com Equities Local, apresentaram ganhos expressivos para as carteiras dos fundos. Em nosso relatório gerencial em anexo, o time de gestão apresenta mais detalhes de nosso portfólio, bem como as perspectivas para o futuro.
Estamos a disposição para esclarecimentos adicionais que se façam necessários.
Grande Abraço,
Att,
</t>
  </si>
  <si>
    <t>Z:\Sales\Due Diligence Distribuidores\Due Diligence e Questionários\2024\7.Mai24 - Santander - Inv</t>
  </si>
  <si>
    <t>Questionários - DFs</t>
  </si>
  <si>
    <t>Z:\Sales\Due Diligence Distribuidores\Due Diligence e Questionários\2024\8.Mai24 - BNY - DFs</t>
  </si>
  <si>
    <t>Bradesco Asset Management</t>
  </si>
  <si>
    <t>Z:\Sales\Due Diligence Distribuidores\Due Diligence e Questionários\2024\9.Jun24 - Bradesco Asset</t>
  </si>
  <si>
    <t>Z:\Sales\Due Diligence Distribuidores\Due Diligence e Questionários\2024\10.jun.24 - GS KYC</t>
  </si>
  <si>
    <t>SEM CRJ</t>
  </si>
  <si>
    <t>Z:\Sales\Due Diligence Distribuidores\Due Diligence e Questionários\2024\11.Jun.24 - SEMCRJ</t>
  </si>
  <si>
    <t>Z:\Sales\Due Diligence Distribuidores\Due Diligence e Questionários\2024\12.Jun.24 - KYC BTG OFF</t>
  </si>
  <si>
    <t>PENDENTE</t>
  </si>
  <si>
    <t xml:space="preserve">         14.923,010217 </t>
  </si>
  <si>
    <t xml:space="preserve">         14.923,110217 </t>
  </si>
  <si>
    <t xml:space="preserve">-                2.100,00 </t>
  </si>
  <si>
    <t xml:space="preserve">-                2.000,00 </t>
  </si>
  <si>
    <t xml:space="preserve">-                    500,00 </t>
  </si>
  <si>
    <t xml:space="preserve">-                    200,00 </t>
  </si>
  <si>
    <t xml:space="preserve">-                    150,00 </t>
  </si>
  <si>
    <t xml:space="preserve">                  2.000,00 </t>
  </si>
  <si>
    <t xml:space="preserve">                  4.950,00 </t>
  </si>
  <si>
    <t xml:space="preserve">         14.941,752684 </t>
  </si>
  <si>
    <t xml:space="preserve">         14.941,852684 </t>
  </si>
  <si>
    <t xml:space="preserve">-                4.000,00 </t>
  </si>
  <si>
    <t xml:space="preserve">-                2.500,00 </t>
  </si>
  <si>
    <t xml:space="preserve">                     100,00 </t>
  </si>
  <si>
    <t xml:space="preserve">                     500,00 </t>
  </si>
  <si>
    <t xml:space="preserve">                  1.800,00 </t>
  </si>
  <si>
    <t xml:space="preserve">         14.965,522408 </t>
  </si>
  <si>
    <t xml:space="preserve">         14.965,622408 </t>
  </si>
  <si>
    <t xml:space="preserve">                  2.103,00 </t>
  </si>
  <si>
    <t xml:space="preserve">                     900,00 </t>
  </si>
  <si>
    <t xml:space="preserve">-                        3,00 </t>
  </si>
  <si>
    <t xml:space="preserve">-                1.000,00 </t>
  </si>
  <si>
    <t xml:space="preserve">         15.002,499680 </t>
  </si>
  <si>
    <t xml:space="preserve">         15.002,399680 </t>
  </si>
  <si>
    <t xml:space="preserve">         15.008,532111 </t>
  </si>
  <si>
    <t xml:space="preserve">         15.008,632111 </t>
  </si>
  <si>
    <t xml:space="preserve">         15.039,935491 </t>
  </si>
  <si>
    <t xml:space="preserve">         15.039,835491 </t>
  </si>
  <si>
    <t>Nessa etapa do teste, verificamos que o servidor 3, presente na contigência, não estava replicando as pastas/arquivos desde novembro. Contudo, o servidor 2 estava funcionando adequadamente.</t>
  </si>
  <si>
    <t xml:space="preserve">-                2.510,00 </t>
  </si>
  <si>
    <t xml:space="preserve">-                      50,00 </t>
  </si>
  <si>
    <t xml:space="preserve">-                1.590,00 </t>
  </si>
  <si>
    <t xml:space="preserve">-                    650,00 </t>
  </si>
  <si>
    <t xml:space="preserve">         14.183,566152 </t>
  </si>
  <si>
    <t xml:space="preserve"> XP </t>
  </si>
  <si>
    <t>CLQ8</t>
  </si>
  <si>
    <t>DI1F25</t>
  </si>
  <si>
    <t>ODF25 COMDTY</t>
  </si>
  <si>
    <t>DI1F27</t>
  </si>
  <si>
    <t>ODF27 COMDTY</t>
  </si>
  <si>
    <t>DOLQ18</t>
  </si>
  <si>
    <t>ESU8</t>
  </si>
  <si>
    <t>ESU8 INDEX</t>
  </si>
  <si>
    <t>GCZ8</t>
  </si>
  <si>
    <t>GCz8 COMDTY</t>
  </si>
  <si>
    <t>HGU8</t>
  </si>
  <si>
    <t>HGU8 COMDTY</t>
  </si>
  <si>
    <t>INDQ18</t>
  </si>
  <si>
    <t>BZQ8 INDEX</t>
  </si>
  <si>
    <t>MESU8</t>
  </si>
  <si>
    <t>MESU8 INDEX</t>
  </si>
  <si>
    <t>S X8</t>
  </si>
  <si>
    <t>S X8 Comdty</t>
  </si>
  <si>
    <t>CLU8</t>
  </si>
  <si>
    <t>CLU8 COMDTY</t>
  </si>
  <si>
    <t>TURU8</t>
  </si>
  <si>
    <t>TURU8 Curncy</t>
  </si>
  <si>
    <t>BRQ8</t>
  </si>
  <si>
    <t>BRQ8 Curncy</t>
  </si>
  <si>
    <t>IBAQ8</t>
  </si>
  <si>
    <t>IBAQ8 Index</t>
  </si>
  <si>
    <t>DOLU18</t>
  </si>
  <si>
    <t>UCU18 CURNCY</t>
  </si>
  <si>
    <t>BRU8</t>
  </si>
  <si>
    <t>BRU8 Curncy</t>
  </si>
  <si>
    <t>COU8</t>
  </si>
  <si>
    <t>COU8 Comdty</t>
  </si>
  <si>
    <t>ECU8</t>
  </si>
  <si>
    <t>ECU8 CURNCY</t>
  </si>
  <si>
    <t>INDV18</t>
  </si>
  <si>
    <t>BZV8 INDEX</t>
  </si>
  <si>
    <t>IBAv8</t>
  </si>
  <si>
    <t>IBAv8 Index</t>
  </si>
  <si>
    <t>CDU8</t>
  </si>
  <si>
    <t>CDU8 Curncy</t>
  </si>
  <si>
    <t>SFU8</t>
  </si>
  <si>
    <t>SFU8 CURNCY</t>
  </si>
  <si>
    <t>RUU8</t>
  </si>
  <si>
    <t>RUU8 CURNCY</t>
  </si>
  <si>
    <t>TMRU8</t>
  </si>
  <si>
    <t>TMRU8 CURNCY</t>
  </si>
  <si>
    <t>DOLV18</t>
  </si>
  <si>
    <t>Ucv18 curncy</t>
  </si>
  <si>
    <t>BRV8</t>
  </si>
  <si>
    <t>BRv8 Curncy</t>
  </si>
  <si>
    <t>JYU8</t>
  </si>
  <si>
    <t>Jyu8 Curncy</t>
  </si>
  <si>
    <t>CDZ8</t>
  </si>
  <si>
    <t>CDz8 Curncy</t>
  </si>
  <si>
    <t>ECZ8</t>
  </si>
  <si>
    <t>JYZ8</t>
  </si>
  <si>
    <t>Jyz8 Curncy</t>
  </si>
  <si>
    <t>RUZ8</t>
  </si>
  <si>
    <t>RUz8 CURNCY</t>
  </si>
  <si>
    <t>SFZ8</t>
  </si>
  <si>
    <t>SFz8 CURNCY</t>
  </si>
  <si>
    <t>TLCZ8</t>
  </si>
  <si>
    <t>tlcz8 Curncy</t>
  </si>
  <si>
    <t>ESZ8</t>
  </si>
  <si>
    <t>ESZ8 Index</t>
  </si>
  <si>
    <t>MESZ8</t>
  </si>
  <si>
    <t>MESZ8 Index</t>
  </si>
  <si>
    <t>DOLX18</t>
  </si>
  <si>
    <t>UCx18 CURNCY</t>
  </si>
  <si>
    <t>BRX8</t>
  </si>
  <si>
    <t>BRx8 Curncy</t>
  </si>
  <si>
    <t>DI1F21</t>
  </si>
  <si>
    <t>ODF21 COMDTY</t>
  </si>
  <si>
    <t>DI1F23</t>
  </si>
  <si>
    <t>ODF23 COMDTY</t>
  </si>
  <si>
    <t>COZ8</t>
  </si>
  <si>
    <t>COZ8 Comdty</t>
  </si>
  <si>
    <t>HGZ8</t>
  </si>
  <si>
    <t>HGZ8 Comdty</t>
  </si>
  <si>
    <t>INDZ18</t>
  </si>
  <si>
    <t>BZz8 INDEX</t>
  </si>
  <si>
    <t>IBAz8</t>
  </si>
  <si>
    <t>IBAz8 Index</t>
  </si>
  <si>
    <t>USDPHPNDF</t>
  </si>
  <si>
    <t>COF9</t>
  </si>
  <si>
    <t>COF9 Comdty</t>
  </si>
  <si>
    <t>S F9</t>
  </si>
  <si>
    <t>S F9 Comdty</t>
  </si>
  <si>
    <t>DOLz18</t>
  </si>
  <si>
    <t>Ucz18 curncy</t>
  </si>
  <si>
    <t>BRz8</t>
  </si>
  <si>
    <t>BRz8 Curncy</t>
  </si>
  <si>
    <t>TBILL 01NOV18</t>
  </si>
  <si>
    <t>TBILL 20DEC18</t>
  </si>
  <si>
    <t>TBILL 31JAN19</t>
  </si>
  <si>
    <t>GCG9</t>
  </si>
  <si>
    <t>GCg9 COMDTY</t>
  </si>
  <si>
    <t>HGH9</t>
  </si>
  <si>
    <t>HGH9 COMDTY</t>
  </si>
  <si>
    <t>DOLf19</t>
  </si>
  <si>
    <t>Ucf19 curncy</t>
  </si>
  <si>
    <t>BRf9</t>
  </si>
  <si>
    <t>BRf9 Curncy</t>
  </si>
  <si>
    <t>INDG19</t>
  </si>
  <si>
    <t>BZg9 INDEX</t>
  </si>
  <si>
    <t>S H9</t>
  </si>
  <si>
    <t>S h9 Comdty</t>
  </si>
  <si>
    <t>TLCH9</t>
  </si>
  <si>
    <t>TLCh9 Curncy</t>
  </si>
  <si>
    <t>IBAg9</t>
  </si>
  <si>
    <t>IBAg9 Index</t>
  </si>
  <si>
    <t>CDH9</t>
  </si>
  <si>
    <t>CDH9 Curncy</t>
  </si>
  <si>
    <t>ECH9</t>
  </si>
  <si>
    <t>ecH9 Curncy</t>
  </si>
  <si>
    <t>SFH9</t>
  </si>
  <si>
    <t>sfH9 Curncy</t>
  </si>
  <si>
    <t>USDPHPNDF 50.73 17MAR20</t>
  </si>
  <si>
    <t>ESH9</t>
  </si>
  <si>
    <t>ESH9 Index</t>
  </si>
  <si>
    <t>CLG9</t>
  </si>
  <si>
    <t>CLG9 Comdty</t>
  </si>
  <si>
    <t>TBILL 28FEB19</t>
  </si>
  <si>
    <t>DOLG19</t>
  </si>
  <si>
    <t>Ucg19 curncy</t>
  </si>
  <si>
    <t>BRG9</t>
  </si>
  <si>
    <t>BRg9 Curncy</t>
  </si>
  <si>
    <t>CLH9</t>
  </si>
  <si>
    <t>CLH9 Comdty</t>
  </si>
  <si>
    <t>GCj9</t>
  </si>
  <si>
    <t>GCj9 COMDTY</t>
  </si>
  <si>
    <t>DOLH19</t>
  </si>
  <si>
    <t>Uch19 curncy</t>
  </si>
  <si>
    <t>BRH9</t>
  </si>
  <si>
    <t>BRh9 Curncy</t>
  </si>
  <si>
    <t>TBILL 28MAR19</t>
  </si>
  <si>
    <t>INDJ19</t>
  </si>
  <si>
    <t>BZj9 INDEX</t>
  </si>
  <si>
    <t>IBAJ9</t>
  </si>
  <si>
    <t>IBAj9 Index</t>
  </si>
  <si>
    <t>PEH9</t>
  </si>
  <si>
    <t>PEH9 Curncy</t>
  </si>
  <si>
    <t>RAM9</t>
  </si>
  <si>
    <t>RAM9 Curncy</t>
  </si>
  <si>
    <t>HGK9</t>
  </si>
  <si>
    <t>HGK9 COMDTY</t>
  </si>
  <si>
    <t>SEM9</t>
  </si>
  <si>
    <t>USDPHPNDF 52.693 19MAR19</t>
  </si>
  <si>
    <t>USDPHPNDF 53.161 19MAR19</t>
  </si>
  <si>
    <t>USDPHPNDF 53.39 19MAR19</t>
  </si>
  <si>
    <t>DOLJ19</t>
  </si>
  <si>
    <t>Ucj19 curncy</t>
  </si>
  <si>
    <t>BRJ9</t>
  </si>
  <si>
    <t>BRj9 Curncy</t>
  </si>
  <si>
    <t>USDPHPNDF 52.255 19MAR19</t>
  </si>
  <si>
    <t>USDPHPNDF 52.62 18JUN19</t>
  </si>
  <si>
    <t>ESM9</t>
  </si>
  <si>
    <t>ESm9 INDEX</t>
  </si>
  <si>
    <t>MESM9</t>
  </si>
  <si>
    <t>MESm9 INDEX</t>
  </si>
  <si>
    <t>TLCM9</t>
  </si>
  <si>
    <t>TLCm9 Curncy</t>
  </si>
  <si>
    <t>CDM9</t>
  </si>
  <si>
    <t>CDM9 Curncy</t>
  </si>
  <si>
    <t>ECM9</t>
  </si>
  <si>
    <t>ECM9 Curncy</t>
  </si>
  <si>
    <t>PEM9</t>
  </si>
  <si>
    <t>PEM9 Curncy</t>
  </si>
  <si>
    <t>SFM9</t>
  </si>
  <si>
    <t>SFM9 CURNCY</t>
  </si>
  <si>
    <t>DOLK19</t>
  </si>
  <si>
    <t>Uck19 curncy</t>
  </si>
  <si>
    <t>BRK9</t>
  </si>
  <si>
    <t>BRk9 Curncy</t>
  </si>
  <si>
    <t>TBILL 26SEP19</t>
  </si>
  <si>
    <t>TBILL 27JUN19</t>
  </si>
  <si>
    <t>TYM9</t>
  </si>
  <si>
    <t>TYM9 Comdty</t>
  </si>
  <si>
    <t>INDM19</t>
  </si>
  <si>
    <t>BZm9 INDEX</t>
  </si>
  <si>
    <t>USDPHPNDF 52.05 19JUN19</t>
  </si>
  <si>
    <t>HGN9</t>
  </si>
  <si>
    <t>HGN9 COMDTY</t>
  </si>
  <si>
    <t>DOLM19</t>
  </si>
  <si>
    <t>Ucm19 curncy</t>
  </si>
  <si>
    <t>BRM9</t>
  </si>
  <si>
    <t>BRm9 Curncy</t>
  </si>
  <si>
    <t>USDPHPNDF 51.93 18JUN19</t>
  </si>
  <si>
    <t>IBAM9</t>
  </si>
  <si>
    <t>IBAM9 Index</t>
  </si>
  <si>
    <t>KOM9</t>
  </si>
  <si>
    <t>KOM9 Curncy</t>
  </si>
  <si>
    <t>TYU9</t>
  </si>
  <si>
    <t>TYu9 Comdty</t>
  </si>
  <si>
    <t>DOLN19</t>
  </si>
  <si>
    <t>Ucn19 curncy</t>
  </si>
  <si>
    <t>BRN9</t>
  </si>
  <si>
    <t>BRn9 Curncy</t>
  </si>
  <si>
    <t>TLCU9</t>
  </si>
  <si>
    <t>TLCu9 Curncy</t>
  </si>
  <si>
    <t>KOU9</t>
  </si>
  <si>
    <t>kou9 Curncy</t>
  </si>
  <si>
    <t>RAU9</t>
  </si>
  <si>
    <t>rau9 Curncy</t>
  </si>
  <si>
    <t>SEU9</t>
  </si>
  <si>
    <t>seu9 Curncy</t>
  </si>
  <si>
    <t>INDQ19</t>
  </si>
  <si>
    <t>BZq9 INDEX</t>
  </si>
  <si>
    <t>IBAQ9</t>
  </si>
  <si>
    <t>IBAq9 Index</t>
  </si>
  <si>
    <t>CDU9</t>
  </si>
  <si>
    <t>CDu9 Curncy</t>
  </si>
  <si>
    <t>ECU9</t>
  </si>
  <si>
    <t>ECu9 Curncy</t>
  </si>
  <si>
    <t>PEU9</t>
  </si>
  <si>
    <t>PEu9 Curncy</t>
  </si>
  <si>
    <t>SFU9</t>
  </si>
  <si>
    <t>SFu9 CURNCY</t>
  </si>
  <si>
    <t>USDPHPNDF 51.94 18JUN19</t>
  </si>
  <si>
    <t>USDPHPNDF 52.27 17SEP19</t>
  </si>
  <si>
    <t>COU9</t>
  </si>
  <si>
    <t>COU9 Comdty</t>
  </si>
  <si>
    <t>ESU9</t>
  </si>
  <si>
    <t>ESu9 INDEX</t>
  </si>
  <si>
    <t>MESU9</t>
  </si>
  <si>
    <t>MESu9 INDEX</t>
  </si>
  <si>
    <t>USDPHPNDF 52.192 17SEP19</t>
  </si>
  <si>
    <t>DOLQ19</t>
  </si>
  <si>
    <t>Ucq19 curncy</t>
  </si>
  <si>
    <t>BRQ9</t>
  </si>
  <si>
    <t>BRq9 Curncy</t>
  </si>
  <si>
    <t>TBILL 29NOV19</t>
  </si>
  <si>
    <t>GCQ9</t>
  </si>
  <si>
    <t>GCq9 COMDTY</t>
  </si>
  <si>
    <t>COV9</t>
  </si>
  <si>
    <t>COV9 Comdty</t>
  </si>
  <si>
    <t>GCZ9</t>
  </si>
  <si>
    <t>GCz9 COMDTY</t>
  </si>
  <si>
    <t>DOLU19</t>
  </si>
  <si>
    <t>Ucu19 curncy</t>
  </si>
  <si>
    <t>BRU9</t>
  </si>
  <si>
    <t>BRu9 Curncy</t>
  </si>
  <si>
    <t>INDV19</t>
  </si>
  <si>
    <t>BZv9 INDEX</t>
  </si>
  <si>
    <t>USDPHPNDF 52.44 17SEP19</t>
  </si>
  <si>
    <t>IBAV9</t>
  </si>
  <si>
    <t>IBAv9 Index</t>
  </si>
  <si>
    <t>TMRU9</t>
  </si>
  <si>
    <t>TMRU9 Curncy</t>
  </si>
  <si>
    <t>TYZ9</t>
  </si>
  <si>
    <t>TYz9 Comdty</t>
  </si>
  <si>
    <t>USDPHPNDF 52.399 17SEP19</t>
  </si>
  <si>
    <t>USDPHPNDF 52.5 17SEP19</t>
  </si>
  <si>
    <t>USDPHPNDF 52.52 17SEP19</t>
  </si>
  <si>
    <t>COX9</t>
  </si>
  <si>
    <t>COx9 Comdty</t>
  </si>
  <si>
    <t>SIRU9</t>
  </si>
  <si>
    <t>SIRU9 Curncy</t>
  </si>
  <si>
    <t>HGZ9</t>
  </si>
  <si>
    <t>HGz9 COMDTY</t>
  </si>
  <si>
    <t>DOLV19</t>
  </si>
  <si>
    <t>Ucv19 curncy</t>
  </si>
  <si>
    <t>BRV9</t>
  </si>
  <si>
    <t>BRv9 Curncy</t>
  </si>
  <si>
    <t>USDPHPNDF 52.357 04OCT19</t>
  </si>
  <si>
    <t>ECZ9</t>
  </si>
  <si>
    <t>ECz9 Curncy</t>
  </si>
  <si>
    <t>PEZ9</t>
  </si>
  <si>
    <t>PEz9 Curncy</t>
  </si>
  <si>
    <t>RAZ9</t>
  </si>
  <si>
    <t>RAz9 CURNCY</t>
  </si>
  <si>
    <t>SFZ9</t>
  </si>
  <si>
    <t>SFz9 CURNCY</t>
  </si>
  <si>
    <t>KOZ9</t>
  </si>
  <si>
    <t>KOZ9 CURNCY</t>
  </si>
  <si>
    <t>SEZ9</t>
  </si>
  <si>
    <t>SEZ9 CURNCY</t>
  </si>
  <si>
    <t>SIRZ9</t>
  </si>
  <si>
    <t>SIRZ9 CURNCY</t>
  </si>
  <si>
    <t>TLCZ9</t>
  </si>
  <si>
    <t>TLCZ9 CURNCY</t>
  </si>
  <si>
    <t>TMRZ9</t>
  </si>
  <si>
    <t>TMRZ9 CURNCY</t>
  </si>
  <si>
    <t>USDPHPNDF 52.38 17DEC19</t>
  </si>
  <si>
    <t>ESZ9</t>
  </si>
  <si>
    <t>ESz9 INDEX</t>
  </si>
  <si>
    <t>MESZ9</t>
  </si>
  <si>
    <t>MEsZ9 INDEX</t>
  </si>
  <si>
    <t>COZ9</t>
  </si>
  <si>
    <t>COz9 Comdty</t>
  </si>
  <si>
    <t>USDPHPNDF 52.44 17DEC19</t>
  </si>
  <si>
    <t>MEZ9 INDEX</t>
  </si>
  <si>
    <t>DOLX19</t>
  </si>
  <si>
    <t>Ucx19 curncy</t>
  </si>
  <si>
    <t>BRX9</t>
  </si>
  <si>
    <t>BRx9 Curncy</t>
  </si>
  <si>
    <t>TBILL 12DEC19</t>
  </si>
  <si>
    <t>USDPHPNDF 52.15 17DEC19</t>
  </si>
  <si>
    <t>INDZ19</t>
  </si>
  <si>
    <t>bzz9 Index</t>
  </si>
  <si>
    <t>IBAZ9</t>
  </si>
  <si>
    <t>IBAZ9 Index</t>
  </si>
  <si>
    <t>NTNB 15/05/2023</t>
  </si>
  <si>
    <t>NTNB 15/08/2022</t>
  </si>
  <si>
    <t>COF0</t>
  </si>
  <si>
    <t>CLf0 comdty</t>
  </si>
  <si>
    <t>DOLZ19</t>
  </si>
  <si>
    <t>Ucz19 curncy</t>
  </si>
  <si>
    <t>BRZ9</t>
  </si>
  <si>
    <t>BRz9 Curncy</t>
  </si>
  <si>
    <t>USDPHPNDF 50.542 17DEC19</t>
  </si>
  <si>
    <t>USDPHPNDF 50.85 17DEC19</t>
  </si>
  <si>
    <t>COG0</t>
  </si>
  <si>
    <t>COg0 Comdty</t>
  </si>
  <si>
    <t>GCG0</t>
  </si>
  <si>
    <t>GCg0 COMDTY</t>
  </si>
  <si>
    <t>HGH0</t>
  </si>
  <si>
    <t>HGh0 Comdty</t>
  </si>
  <si>
    <t>USDPHPNDF 50.875 17MAR20</t>
  </si>
  <si>
    <t>INDJ20</t>
  </si>
  <si>
    <t>BZj0 INDEX</t>
  </si>
  <si>
    <t>IBAJ0</t>
  </si>
  <si>
    <t>USDPHPNDF 50.81 17DEC19</t>
  </si>
  <si>
    <t>BRF0</t>
  </si>
  <si>
    <t>BRf0 Curncy</t>
  </si>
  <si>
    <t>GCF0</t>
  </si>
  <si>
    <t>GCf0 COMDTY</t>
  </si>
  <si>
    <t>TBILL 12MAR20</t>
  </si>
  <si>
    <t>S H0</t>
  </si>
  <si>
    <t>S H0 Comdty</t>
  </si>
  <si>
    <t>ECH0</t>
  </si>
  <si>
    <t>ECH0 Curncy</t>
  </si>
  <si>
    <t>KOH0</t>
  </si>
  <si>
    <t>KOH0 CURNCY</t>
  </si>
  <si>
    <t>PEH0</t>
  </si>
  <si>
    <t>PEH0 CURNCY</t>
  </si>
  <si>
    <t>RAH0</t>
  </si>
  <si>
    <t>RAH0 CURNCY</t>
  </si>
  <si>
    <t>SEH0</t>
  </si>
  <si>
    <t>SEH0 CURNCY</t>
  </si>
  <si>
    <t>SFH0</t>
  </si>
  <si>
    <t>SFH0 CURNCY</t>
  </si>
  <si>
    <t>TLCH0</t>
  </si>
  <si>
    <t>TLCH0 CURNCY</t>
  </si>
  <si>
    <t>TMRH0</t>
  </si>
  <si>
    <t>TMRH0 CURNCY</t>
  </si>
  <si>
    <t>BPH0</t>
  </si>
  <si>
    <t>BPh0 CURNCY</t>
  </si>
  <si>
    <t>DI1F22</t>
  </si>
  <si>
    <t>ODF22 COMDTY</t>
  </si>
  <si>
    <t>SIRH0</t>
  </si>
  <si>
    <t>SIRH0 CURNCY</t>
  </si>
  <si>
    <t>USDPHPNDF 50.67 17DEC19</t>
  </si>
  <si>
    <t>USDPHPNDF 50.8475 17MAR20</t>
  </si>
  <si>
    <t>INDG20</t>
  </si>
  <si>
    <t>BZG0 INDEX</t>
  </si>
  <si>
    <t>MESH0</t>
  </si>
  <si>
    <t>MESh0 Index</t>
  </si>
  <si>
    <t>IBAG0</t>
  </si>
  <si>
    <t>BZg0 INDEX</t>
  </si>
  <si>
    <t>DOLF20</t>
  </si>
  <si>
    <t>Ucf20 curncy</t>
  </si>
  <si>
    <t>ESH0</t>
  </si>
  <si>
    <t>ESh0 INDEX</t>
  </si>
  <si>
    <t>COh0</t>
  </si>
  <si>
    <t>COh0 Comdty</t>
  </si>
  <si>
    <t>DOLG20</t>
  </si>
  <si>
    <t>BRG0 Comdty</t>
  </si>
  <si>
    <t>BRG0</t>
  </si>
  <si>
    <t>USDPHPNDF 50.876 17MAR20</t>
  </si>
  <si>
    <t>COJ0</t>
  </si>
  <si>
    <t>COJ0 Comdty</t>
  </si>
  <si>
    <t>GCJ0</t>
  </si>
  <si>
    <t>GCJ0 Comdty</t>
  </si>
  <si>
    <t>DOLH20</t>
  </si>
  <si>
    <t>Uch20 curncy</t>
  </si>
  <si>
    <t>BRH0</t>
  </si>
  <si>
    <t>BRh0 Curncy</t>
  </si>
  <si>
    <t>DOLJ20</t>
  </si>
  <si>
    <t>Ucj20 curncy</t>
  </si>
  <si>
    <t>USDIDRNDF 13912 16MAR20</t>
  </si>
  <si>
    <t>BRJ0</t>
  </si>
  <si>
    <t>BRj0 Curncy</t>
  </si>
  <si>
    <t>ECM0</t>
  </si>
  <si>
    <t>ECM0 Curncy</t>
  </si>
  <si>
    <t>TBILL 18JUN20</t>
  </si>
  <si>
    <t>RAM0</t>
  </si>
  <si>
    <t>RAM0 CURNCY</t>
  </si>
  <si>
    <t>SEM0</t>
  </si>
  <si>
    <t>Sem0 CURNCY</t>
  </si>
  <si>
    <t>SFM0</t>
  </si>
  <si>
    <t>SFm0 CURNCY</t>
  </si>
  <si>
    <t>TLCM0</t>
  </si>
  <si>
    <t>TLCm0 Curncy</t>
  </si>
  <si>
    <t>TMRM0</t>
  </si>
  <si>
    <t>TMRM0 Curncy</t>
  </si>
  <si>
    <t>USDIDRNDF 14640 15JUN20</t>
  </si>
  <si>
    <t>ESM0</t>
  </si>
  <si>
    <t>ESM0 index</t>
  </si>
  <si>
    <t>MESM0</t>
  </si>
  <si>
    <t>MESM0 INDEX</t>
  </si>
  <si>
    <t>HGK0</t>
  </si>
  <si>
    <t>HGK0 Comdty</t>
  </si>
  <si>
    <t>SIRJ0</t>
  </si>
  <si>
    <t>sirj0 curncy</t>
  </si>
  <si>
    <t>USDIDRNDF 16245 15JUN20</t>
  </si>
  <si>
    <t>DOLK20</t>
  </si>
  <si>
    <t>UcK20 curncy</t>
  </si>
  <si>
    <t>PEM0</t>
  </si>
  <si>
    <t>PEM0 CURNCY</t>
  </si>
  <si>
    <t>DOLM20</t>
  </si>
  <si>
    <t>Ucm20 curncy</t>
  </si>
  <si>
    <t>INDM20</t>
  </si>
  <si>
    <t>BZm0 INDEX</t>
  </si>
  <si>
    <t>KOM0</t>
  </si>
  <si>
    <t>KOM0 Curncy</t>
  </si>
  <si>
    <t>SIRK0</t>
  </si>
  <si>
    <t>SIRK0 Curncy</t>
  </si>
  <si>
    <t>USDIDRNDF 15845 15JUN20</t>
  </si>
  <si>
    <t>USDIDRNDF 15860 15JUN20</t>
  </si>
  <si>
    <t>USDIDRNDF 15005 15JUN20</t>
  </si>
  <si>
    <t>DOLN20</t>
  </si>
  <si>
    <t>UcN20 curncy</t>
  </si>
  <si>
    <t>SIRM0</t>
  </si>
  <si>
    <t>SIRM0 CURNCY</t>
  </si>
  <si>
    <t>TLCU0</t>
  </si>
  <si>
    <t>TLCU0 Curncy</t>
  </si>
  <si>
    <t>TMRU0</t>
  </si>
  <si>
    <t>TMRU0 Curncy</t>
  </si>
  <si>
    <t>USDIDRNDF 14818 15JUN20</t>
  </si>
  <si>
    <t>ECU0</t>
  </si>
  <si>
    <t>ECu0 Curncy</t>
  </si>
  <si>
    <t>ESU0</t>
  </si>
  <si>
    <t>ESu0 Index</t>
  </si>
  <si>
    <t>KOU0</t>
  </si>
  <si>
    <t>KOU0 Curncy</t>
  </si>
  <si>
    <t>MESU0</t>
  </si>
  <si>
    <t>MESu0 Index</t>
  </si>
  <si>
    <t>PEU0</t>
  </si>
  <si>
    <t>Peu0 CURNCY</t>
  </si>
  <si>
    <t>RAU0</t>
  </si>
  <si>
    <t>RAu0 CURNCY</t>
  </si>
  <si>
    <t>SEU0</t>
  </si>
  <si>
    <t>Seu0 CURNCY</t>
  </si>
  <si>
    <t>SFU0</t>
  </si>
  <si>
    <t>SFu0 CURNCY</t>
  </si>
  <si>
    <t>SIRN0</t>
  </si>
  <si>
    <t>sirn0 curncy</t>
  </si>
  <si>
    <t>USDIDRNDF 14130 15JUN20</t>
  </si>
  <si>
    <t>USDIDRNDF 14135 15JUN20</t>
  </si>
  <si>
    <t>USDIDRNDF 14375 14SEP20</t>
  </si>
  <si>
    <t>INDQ20</t>
  </si>
  <si>
    <t>BZq0 INDEX</t>
  </si>
  <si>
    <t>USDIDRNDF 14520 14SEP20</t>
  </si>
  <si>
    <t>TBILL 04AUG20</t>
  </si>
  <si>
    <t>DOLQ20</t>
  </si>
  <si>
    <t>UCQ20 curncy</t>
  </si>
  <si>
    <t>USDIDRNDF 14820 14SEP20</t>
  </si>
  <si>
    <t>SIRQ0</t>
  </si>
  <si>
    <t>sirq0 curncy</t>
  </si>
  <si>
    <t>USDIDRNDF 14725 14SEP20</t>
  </si>
  <si>
    <t>DOLU20</t>
  </si>
  <si>
    <t>UCu20 curncy</t>
  </si>
  <si>
    <t>TBILL 17SEP20</t>
  </si>
  <si>
    <t>USDIDRNDF 14776 14SEP20</t>
  </si>
  <si>
    <t>INDV20</t>
  </si>
  <si>
    <t>BZv0 INDEX</t>
  </si>
  <si>
    <t>TLCZ0</t>
  </si>
  <si>
    <t>TLCZ0 Curncy</t>
  </si>
  <si>
    <t>USDIDRNDF 14705 14SEP20</t>
  </si>
  <si>
    <t>SIRU0</t>
  </si>
  <si>
    <t>siru0 curncy</t>
  </si>
  <si>
    <t>DOLV20</t>
  </si>
  <si>
    <t>UCv20 curncy</t>
  </si>
  <si>
    <t>ECZ0</t>
  </si>
  <si>
    <t>ECz0 Curncy</t>
  </si>
  <si>
    <t>KOZ0</t>
  </si>
  <si>
    <t>KOz0 Curncy</t>
  </si>
  <si>
    <t>RAZ0</t>
  </si>
  <si>
    <t>RAz0 CURNCY</t>
  </si>
  <si>
    <t>SEZ0</t>
  </si>
  <si>
    <t>Sez0 CURNCY</t>
  </si>
  <si>
    <t>SFZ0</t>
  </si>
  <si>
    <t>SFz0 CURNCY</t>
  </si>
  <si>
    <t>USDIDRNDF 14805 14SEP20</t>
  </si>
  <si>
    <t>USDIDRNDF 14980 14DEC20</t>
  </si>
  <si>
    <t>ESZ0</t>
  </si>
  <si>
    <t>ESz0 Index</t>
  </si>
  <si>
    <t>MESZ0</t>
  </si>
  <si>
    <t>MESz0 Index</t>
  </si>
  <si>
    <t>TBILL 05NOV20</t>
  </si>
  <si>
    <t>SIRV0</t>
  </si>
  <si>
    <t>sirv0 curncy</t>
  </si>
  <si>
    <t>USDIDRNDF 14941 14DEC20</t>
  </si>
  <si>
    <t>DOLX20</t>
  </si>
  <si>
    <t>UCx20 curncy</t>
  </si>
  <si>
    <t>USDIDRNDF 14995 14DEC20</t>
  </si>
  <si>
    <t>CLZ0</t>
  </si>
  <si>
    <t>CLZ0 Comdty</t>
  </si>
  <si>
    <t>PEZ0</t>
  </si>
  <si>
    <t>PEZ0 CURNCY</t>
  </si>
  <si>
    <t>INDZ20</t>
  </si>
  <si>
    <t>BZz0 INDEX</t>
  </si>
  <si>
    <t>HGZ0</t>
  </si>
  <si>
    <t>HGz0 COMDTY</t>
  </si>
  <si>
    <t>SIRX0</t>
  </si>
  <si>
    <t>sirX0 curncy</t>
  </si>
  <si>
    <t>DOLZ20</t>
  </si>
  <si>
    <t>UCZ20 curncy</t>
  </si>
  <si>
    <t>TBILL 28JAN21</t>
  </si>
  <si>
    <t>USDIDRNDF 13995 14DEC20</t>
  </si>
  <si>
    <t>CLF1</t>
  </si>
  <si>
    <t>CLF1 Comdty</t>
  </si>
  <si>
    <t>SIRZ0</t>
  </si>
  <si>
    <t>sirz0 curncy</t>
  </si>
  <si>
    <t>DOLF21</t>
  </si>
  <si>
    <t>UCF21 curncy</t>
  </si>
  <si>
    <t>RUZ0</t>
  </si>
  <si>
    <t>RUZ0 CURNCY</t>
  </si>
  <si>
    <t>USDIDRNDF 14160 14DEC20</t>
  </si>
  <si>
    <t>ECH1</t>
  </si>
  <si>
    <t>ECH1 Curncy</t>
  </si>
  <si>
    <t>KOH1</t>
  </si>
  <si>
    <t>KOH1 Curncy</t>
  </si>
  <si>
    <t>PEH1</t>
  </si>
  <si>
    <t>PEH1 CURNCY</t>
  </si>
  <si>
    <t>RAH1</t>
  </si>
  <si>
    <t>RAH1 CURNCY</t>
  </si>
  <si>
    <t>RUH1</t>
  </si>
  <si>
    <t>RUH1 CURNCY</t>
  </si>
  <si>
    <t>SEH1</t>
  </si>
  <si>
    <t>SeH1 CURNCY</t>
  </si>
  <si>
    <t>SFH1</t>
  </si>
  <si>
    <t>SFH1 CURNCY</t>
  </si>
  <si>
    <t>USDIDRNDF 14145 14DEC20</t>
  </si>
  <si>
    <t>USDIDRNDF 14249 15MAR21</t>
  </si>
  <si>
    <t>CLG1</t>
  </si>
  <si>
    <t>CLG1 Comdty</t>
  </si>
  <si>
    <t>ESH1</t>
  </si>
  <si>
    <t>ESH1 Index</t>
  </si>
  <si>
    <t>MESH1</t>
  </si>
  <si>
    <t>MESH1 Index</t>
  </si>
  <si>
    <t>INDG21</t>
  </si>
  <si>
    <t>BZG1 INDEX</t>
  </si>
  <si>
    <t>SIRF1</t>
  </si>
  <si>
    <t>sirf1 curncy</t>
  </si>
  <si>
    <t>DOLG21</t>
  </si>
  <si>
    <t>UCG21 curncy</t>
  </si>
  <si>
    <t>USDIDRNDF 13987 15MAR21</t>
  </si>
  <si>
    <t>CLH1</t>
  </si>
  <si>
    <t>CLH1 Comdty</t>
  </si>
  <si>
    <t>SIRG1</t>
  </si>
  <si>
    <t>sirg1 curncy</t>
  </si>
  <si>
    <t>ADH1</t>
  </si>
  <si>
    <t>ADH1 curncy</t>
  </si>
  <si>
    <t>DOLH21</t>
  </si>
  <si>
    <t>UCH21 curncy</t>
  </si>
  <si>
    <t>TBILL 18MAR21</t>
  </si>
  <si>
    <t>USDIDRNDF 14040 15MAR21</t>
  </si>
  <si>
    <t>INDJ21</t>
  </si>
  <si>
    <t>BZJ1 INDEX</t>
  </si>
  <si>
    <t>CLJ1</t>
  </si>
  <si>
    <t>CLJ1 Comdty</t>
  </si>
  <si>
    <t>DOLJ21</t>
  </si>
  <si>
    <t>UCJ21 curncy</t>
  </si>
  <si>
    <t>USDIDRNDF 14340 15MAR21</t>
  </si>
  <si>
    <t>ADM1</t>
  </si>
  <si>
    <t>ADM1 Curncy</t>
  </si>
  <si>
    <t>ECM1</t>
  </si>
  <si>
    <t>ECM1 Curncy</t>
  </si>
  <si>
    <t>KOM1</t>
  </si>
  <si>
    <t>KOM1 Curncy</t>
  </si>
  <si>
    <t>PEM1</t>
  </si>
  <si>
    <t>PEM1 CURNCY</t>
  </si>
  <si>
    <t>RAM1</t>
  </si>
  <si>
    <t>RAM1 CURNCY</t>
  </si>
  <si>
    <t>RUM1</t>
  </si>
  <si>
    <t>RUM1 Curncy</t>
  </si>
  <si>
    <t>SFM1</t>
  </si>
  <si>
    <t>SFM1 CURNCY</t>
  </si>
  <si>
    <t>USDIDRNDF 14440 15MAR21</t>
  </si>
  <si>
    <t>USDIDRNDF 14620 14JUN21</t>
  </si>
  <si>
    <t>USDIDRNDF 14626 14JUN21</t>
  </si>
  <si>
    <t>USDIDRNDF 14591 14JUN21</t>
  </si>
  <si>
    <t>CLK1</t>
  </si>
  <si>
    <t>CLK1 Comdty</t>
  </si>
  <si>
    <t>ESM1</t>
  </si>
  <si>
    <t>ESM1 Index</t>
  </si>
  <si>
    <t>TBILL 29APR21</t>
  </si>
  <si>
    <t>ISPM21</t>
  </si>
  <si>
    <t>BSPM1 Index</t>
  </si>
  <si>
    <t>DOLK21</t>
  </si>
  <si>
    <t>UCK21 curncy</t>
  </si>
  <si>
    <t>USDIDRNDF 14612 14JUN21</t>
  </si>
  <si>
    <t>HGK1</t>
  </si>
  <si>
    <t>HGK1 COMDTY</t>
  </si>
  <si>
    <t>USDIDRNDF 14720 14JUN21</t>
  </si>
  <si>
    <t>TYM1</t>
  </si>
  <si>
    <t>TYM1 Comdty</t>
  </si>
  <si>
    <t>CLM1</t>
  </si>
  <si>
    <t>CLM1 Comdty</t>
  </si>
  <si>
    <t>HGN1</t>
  </si>
  <si>
    <t>HGN1 COMDTY</t>
  </si>
  <si>
    <t>DOLM21</t>
  </si>
  <si>
    <t>UCM21 curncy</t>
  </si>
  <si>
    <t>TBILL 17JUN21</t>
  </si>
  <si>
    <t>NOM1 Curncy</t>
  </si>
  <si>
    <t>USDIDRNDF 14190 14JUN21</t>
  </si>
  <si>
    <t>CLN1</t>
  </si>
  <si>
    <t>CLN1 Comdty</t>
  </si>
  <si>
    <t>THB 16JUN21</t>
  </si>
  <si>
    <t>TYU1</t>
  </si>
  <si>
    <t>TYU1 Comdty</t>
  </si>
  <si>
    <t>DOLN21</t>
  </si>
  <si>
    <t>UCN21 curncy</t>
  </si>
  <si>
    <t>ADU1</t>
  </si>
  <si>
    <t>ADU1 Curncy</t>
  </si>
  <si>
    <t>ECU1</t>
  </si>
  <si>
    <t>ECU1 Curncy</t>
  </si>
  <si>
    <t>KOU1</t>
  </si>
  <si>
    <t>KOU1 Curncy</t>
  </si>
  <si>
    <t>NOU1 Curncy</t>
  </si>
  <si>
    <t>PEU1</t>
  </si>
  <si>
    <t>PEU1 CURNCY</t>
  </si>
  <si>
    <t>RAU1</t>
  </si>
  <si>
    <t>RAU1 CURNCY</t>
  </si>
  <si>
    <t>RUU1</t>
  </si>
  <si>
    <t>RUU1 Curncy</t>
  </si>
  <si>
    <t>SFU1</t>
  </si>
  <si>
    <t>SFU1 CURNCY</t>
  </si>
  <si>
    <t>THB 15SEP21</t>
  </si>
  <si>
    <t>USDIDRNDF 14414.5 13SEP21</t>
  </si>
  <si>
    <t>CLQ1</t>
  </si>
  <si>
    <t>CLQ1 Comdty</t>
  </si>
  <si>
    <t>ESU1</t>
  </si>
  <si>
    <t>ESU1 Index</t>
  </si>
  <si>
    <t>ISPU21</t>
  </si>
  <si>
    <t>BSPU1 Index</t>
  </si>
  <si>
    <t>TBILL 05AUG21</t>
  </si>
  <si>
    <t>HGU1</t>
  </si>
  <si>
    <t>HGU1 COMDTY</t>
  </si>
  <si>
    <t>DOLQ21</t>
  </si>
  <si>
    <t>UCQ21 curncy</t>
  </si>
  <si>
    <t>USDIDRNDF 14628 13SEP21</t>
  </si>
  <si>
    <t>CLU1</t>
  </si>
  <si>
    <t>CLU1 Comdty</t>
  </si>
  <si>
    <t>DOLU21</t>
  </si>
  <si>
    <t>UCU21 curncy</t>
  </si>
  <si>
    <t>TBILL 23SEP21</t>
  </si>
  <si>
    <t>USDIDRNDF 14385 13SEP21</t>
  </si>
  <si>
    <t>CLV1</t>
  </si>
  <si>
    <t>CLV1 Comdty</t>
  </si>
  <si>
    <t>USDIDRNDF 14404 13SEP21</t>
  </si>
  <si>
    <t>INDQ21</t>
  </si>
  <si>
    <t>BZQ1 INDEX</t>
  </si>
  <si>
    <t>USDCLPNDF 790.6 13SEP21</t>
  </si>
  <si>
    <t>WINQ21</t>
  </si>
  <si>
    <t>XBQ1 Index</t>
  </si>
  <si>
    <t>WINV21</t>
  </si>
  <si>
    <t>XBV1 Index</t>
  </si>
  <si>
    <t>USDCLPNDF 794.75 13SEP21</t>
  </si>
  <si>
    <t>HGZ1</t>
  </si>
  <si>
    <t>HGZ1 COMDTY</t>
  </si>
  <si>
    <t>TYZ1</t>
  </si>
  <si>
    <t>TYZ1 Comdty</t>
  </si>
  <si>
    <t>DOLV21</t>
  </si>
  <si>
    <t>UCV21 curncy</t>
  </si>
  <si>
    <t>ADZ1</t>
  </si>
  <si>
    <t>ADZ1 Curncy</t>
  </si>
  <si>
    <t>ECZ1</t>
  </si>
  <si>
    <t>ECZ1 Curncy</t>
  </si>
  <si>
    <t>KOZ1</t>
  </si>
  <si>
    <t>KOZ1 Curncy</t>
  </si>
  <si>
    <t>NOZ1 Curncy</t>
  </si>
  <si>
    <t>PEZ1</t>
  </si>
  <si>
    <t>PEZ1 CURNCY</t>
  </si>
  <si>
    <t>RAZ1</t>
  </si>
  <si>
    <t>RAZ1 CURNCY</t>
  </si>
  <si>
    <t>RUZ1</t>
  </si>
  <si>
    <t>RUZ1 Curncy</t>
  </si>
  <si>
    <t>SFZ1</t>
  </si>
  <si>
    <t>SFZ1 CURNCY</t>
  </si>
  <si>
    <t>THB 15DEC21</t>
  </si>
  <si>
    <t>USD 15DEC21</t>
  </si>
  <si>
    <t>USDCLPNDF 786.75 13SEP21</t>
  </si>
  <si>
    <t>USDCLPNDF 791.03 13DEC21</t>
  </si>
  <si>
    <t>CLX1</t>
  </si>
  <si>
    <t>CLX1 Comdty</t>
  </si>
  <si>
    <t>ESZ1</t>
  </si>
  <si>
    <t>ESZ1 Index</t>
  </si>
  <si>
    <t>ISPZ21</t>
  </si>
  <si>
    <t>USDCLPNDF 789.6 13DEC21</t>
  </si>
  <si>
    <t>TBILL 27JAN22</t>
  </si>
  <si>
    <t>DOLX21</t>
  </si>
  <si>
    <t>UCX21 curncy</t>
  </si>
  <si>
    <t>USDCLPNDF 806.9 13DEC21</t>
  </si>
  <si>
    <t>USDCLPNDF 819 13DEC21</t>
  </si>
  <si>
    <t>WINZ21</t>
  </si>
  <si>
    <t>XBZ1 Index</t>
  </si>
  <si>
    <t>USDCLPNDF 830.1 13DEC21</t>
  </si>
  <si>
    <t>USDCLPNDF 816.1 13DEC21</t>
  </si>
  <si>
    <t>DOLZ21</t>
  </si>
  <si>
    <t>UCZ21 curncy</t>
  </si>
  <si>
    <t>WDOZ21</t>
  </si>
  <si>
    <t>WDOZ1 curncy</t>
  </si>
  <si>
    <t>WSPZ21</t>
  </si>
  <si>
    <t>WSPZ1 Index</t>
  </si>
  <si>
    <t>HGH2</t>
  </si>
  <si>
    <t>HGH2 COMDTY</t>
  </si>
  <si>
    <t>TYH2</t>
  </si>
  <si>
    <t>TYH2 Comdty</t>
  </si>
  <si>
    <t>DOLF22</t>
  </si>
  <si>
    <t>UCF22 curncy</t>
  </si>
  <si>
    <t>WDOF22</t>
  </si>
  <si>
    <t>WDOF2 curncy</t>
  </si>
  <si>
    <t>ADH2</t>
  </si>
  <si>
    <t>ADH2 Curncy</t>
  </si>
  <si>
    <t>ECH2</t>
  </si>
  <si>
    <t>ECH2 Curncy</t>
  </si>
  <si>
    <t>KOH2</t>
  </si>
  <si>
    <t>KOH2 Curncy</t>
  </si>
  <si>
    <t>PEH2</t>
  </si>
  <si>
    <t>PEH2 CURNCY</t>
  </si>
  <si>
    <t>RAH2</t>
  </si>
  <si>
    <t>RAH2 CURNCY</t>
  </si>
  <si>
    <t>RUH2</t>
  </si>
  <si>
    <t>RUH2 Curncy</t>
  </si>
  <si>
    <t>SFH2</t>
  </si>
  <si>
    <t>SFH2 CURNCY</t>
  </si>
  <si>
    <t xml:space="preserve">                  1.000,00 </t>
  </si>
  <si>
    <t xml:space="preserve">-                    997,00 </t>
  </si>
  <si>
    <t xml:space="preserve">         15.100,449826 </t>
  </si>
  <si>
    <t xml:space="preserve">         15.100,349826 </t>
  </si>
  <si>
    <t>         14,965.522408</t>
  </si>
  <si>
    <t>         14,965.622408</t>
  </si>
  <si>
    <t>         15.002,499680</t>
  </si>
  <si>
    <t>         15.002,399680</t>
  </si>
  <si>
    <t>         15.008,532111</t>
  </si>
  <si>
    <t>         15.008,632111</t>
  </si>
  <si>
    <t>         15,039.935491</t>
  </si>
  <si>
    <t>         15,039.835491</t>
  </si>
  <si>
    <t>15.100,449826</t>
  </si>
  <si>
    <t>15.100,349826</t>
  </si>
  <si>
    <t xml:space="preserve">-                        4,00 </t>
  </si>
  <si>
    <t xml:space="preserve">         15.052,480778 </t>
  </si>
  <si>
    <t xml:space="preserve">         15.052,580778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</si>
</sst>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quot;* #,##0.00_);_(&quot;$&quot;* \(#,##0.00\);_(&quot;$&quot;* &quot;-&quot;??_);_(@_)"/>
    <numFmt numFmtId="43" formatCode="_(* #,##0.00_);_(* \(#,##0.00\);_(* &quot;-&quot;??_);_(@_)"/>
    <numFmt numFmtId="164" formatCode="[$-409]d\-mmm;@"/>
    <numFmt numFmtId="165" formatCode="0.0"/>
    <numFmt numFmtId="166" formatCode="dd/mmm/yyyy"/>
    <numFmt numFmtId="167" formatCode="[$-409]dd\-mmm\-yy;@"/>
    <numFmt numFmtId="168" formatCode="_-* #,##0.00_-;\-* #,##0.00_-;_-* &quot;-&quot;??_-;_-@_-"/>
    <numFmt numFmtId="169" formatCode="0.000"/>
    <numFmt numFmtId="170" formatCode="0.00000000"/>
    <numFmt numFmtId="171" formatCode="0.000%"/>
    <numFmt numFmtId="172" formatCode="0.0000%"/>
  </numFmts>
  <fonts count="49" x14ac:knownFonts="1">
    <font>
      <sz val="11"/>
      <color theme="1"/>
      <name val="Calibri"/>
      <family val="2"/>
      <scheme val="minor"/>
    </font>
    <font>
      <b/>
      <sz val="11"/>
      <color theme="0"/>
      <name val="Calibri"/>
      <family val="2"/>
      <scheme val="minor"/>
    </font>
    <font>
      <b/>
      <sz val="11"/>
      <color theme="1"/>
      <name val="Calibri"/>
      <family val="2"/>
      <scheme val="minor"/>
    </font>
    <font>
      <i/>
      <sz val="11"/>
      <color theme="1"/>
      <name val="Calibri"/>
      <family val="2"/>
      <scheme val="minor"/>
    </font>
    <font>
      <b/>
      <sz val="9"/>
      <color indexed="81"/>
      <name val="Segoe UI"/>
      <family val="2"/>
    </font>
    <font>
      <sz val="9"/>
      <color indexed="81"/>
      <name val="Segoe UI"/>
      <family val="2"/>
    </font>
    <font>
      <sz val="11"/>
      <color theme="1"/>
      <name val="Calibri"/>
      <family val="2"/>
      <scheme val="minor"/>
    </font>
    <font>
      <sz val="11"/>
      <color rgb="FFFF0000"/>
      <name val="Calibri"/>
      <family val="2"/>
      <scheme val="minor"/>
    </font>
    <font>
      <sz val="10"/>
      <color theme="1"/>
      <name val="Tahoma"/>
      <family val="2"/>
    </font>
    <font>
      <b/>
      <sz val="10"/>
      <color theme="0"/>
      <name val="Calibri"/>
      <family val="2"/>
      <scheme val="minor"/>
    </font>
    <font>
      <sz val="10"/>
      <color rgb="FF000000"/>
      <name val="Arial"/>
      <family val="2"/>
    </font>
    <font>
      <b/>
      <sz val="12"/>
      <color theme="1"/>
      <name val="Times New Roman"/>
      <family val="1"/>
    </font>
    <font>
      <sz val="12"/>
      <color theme="1"/>
      <name val="Times New Roman"/>
      <family val="1"/>
    </font>
    <font>
      <sz val="11"/>
      <color theme="1"/>
      <name val="Times New Roman"/>
      <family val="1"/>
    </font>
    <font>
      <sz val="12"/>
      <name val="Calibri"/>
      <family val="2"/>
    </font>
    <font>
      <sz val="12"/>
      <color theme="1"/>
      <name val="Calibri"/>
      <family val="2"/>
    </font>
    <font>
      <u/>
      <sz val="12"/>
      <name val="Calibri"/>
      <family val="2"/>
    </font>
    <font>
      <sz val="1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color theme="0"/>
      <name val="Calibri"/>
      <family val="2"/>
      <scheme val="minor"/>
    </font>
    <font>
      <b/>
      <sz val="11"/>
      <color rgb="FF000000"/>
      <name val="Calibri"/>
      <family val="2"/>
    </font>
    <font>
      <sz val="11"/>
      <color theme="1"/>
      <name val="Calibri"/>
      <family val="2"/>
    </font>
    <font>
      <b/>
      <sz val="11"/>
      <color theme="1"/>
      <name val="Calibri"/>
      <family val="2"/>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sz val="3"/>
      <color theme="1"/>
      <name val="Calibri"/>
      <family val="2"/>
      <scheme val="minor"/>
    </font>
    <font>
      <sz val="12"/>
      <color rgb="FF000000"/>
      <name val="Arial Narrow"/>
      <family val="2"/>
    </font>
    <font>
      <sz val="10"/>
      <color theme="1"/>
      <name val="Arial Narrow"/>
      <family val="2"/>
    </font>
    <font>
      <sz val="10"/>
      <color theme="1"/>
      <name val="Times New Roman"/>
      <family val="1"/>
    </font>
    <font>
      <u/>
      <sz val="10"/>
      <color theme="1"/>
      <name val="Arial Narrow"/>
      <family val="2"/>
    </font>
    <font>
      <b/>
      <u/>
      <sz val="12"/>
      <color rgb="FF000000"/>
      <name val="Arial Narrow"/>
      <family val="2"/>
    </font>
    <font>
      <sz val="12"/>
      <color theme="1"/>
      <name val="Arial Narrow"/>
      <family val="2"/>
    </font>
    <font>
      <sz val="8"/>
      <color rgb="FFFF0000"/>
      <name val="Calibri"/>
      <family val="2"/>
      <scheme val="minor"/>
    </font>
  </fonts>
  <fills count="61">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bgColor indexed="64"/>
      </patternFill>
    </fill>
    <fill>
      <patternFill patternType="solid">
        <fgColor theme="6" tint="0.79998168889431442"/>
        <bgColor indexed="64"/>
      </patternFill>
    </fill>
    <fill>
      <patternFill patternType="solid">
        <fgColor theme="8"/>
        <bgColor indexed="64"/>
      </patternFill>
    </fill>
    <fill>
      <patternFill patternType="solid">
        <fgColor theme="4" tint="0.59999389629810485"/>
        <bgColor indexed="64"/>
      </patternFill>
    </fill>
    <fill>
      <patternFill patternType="solid">
        <fgColor theme="4" tint="0.59999389629810485"/>
        <bgColor rgb="FF002060"/>
      </patternFill>
    </fill>
    <fill>
      <patternFill patternType="solid">
        <fgColor theme="4" tint="0.79998168889431442"/>
        <bgColor rgb="FF002060"/>
      </patternFill>
    </fill>
    <fill>
      <patternFill patternType="solid">
        <fgColor theme="5" tint="0.3999755851924192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7" tint="-0.249977111117893"/>
        <bgColor indexed="64"/>
      </patternFill>
    </fill>
    <fill>
      <patternFill patternType="solid">
        <fgColor rgb="FF92D050"/>
        <bgColor indexed="64"/>
      </patternFill>
    </fill>
    <fill>
      <patternFill patternType="solid">
        <fgColor theme="2"/>
        <bgColor indexed="64"/>
      </patternFill>
    </fill>
    <fill>
      <patternFill patternType="solid">
        <fgColor theme="1"/>
        <bgColor indexed="64"/>
      </patternFill>
    </fill>
    <fill>
      <patternFill patternType="solid">
        <fgColor theme="4"/>
        <bgColor indexed="64"/>
      </patternFill>
    </fill>
    <fill>
      <patternFill patternType="solid">
        <fgColor rgb="FFD9D9D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249977111117893"/>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2" tint="-9.9978637043366805E-2"/>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right/>
      <top/>
      <bottom style="double">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auto="1"/>
      </right>
      <top/>
      <bottom/>
      <diagonal/>
    </border>
    <border>
      <left style="medium">
        <color indexed="64"/>
      </left>
      <right/>
      <top/>
      <bottom style="thin">
        <color indexed="64"/>
      </bottom>
      <diagonal/>
    </border>
  </borders>
  <cellStyleXfs count="47">
    <xf numFmtId="0" fontId="0" fillId="0" borderId="0"/>
    <xf numFmtId="9" fontId="6" fillId="0" borderId="0" applyFont="0" applyFill="0" applyBorder="0" applyAlignment="0" applyProtection="0"/>
    <xf numFmtId="43" fontId="6" fillId="0" borderId="0" applyFont="0" applyFill="0" applyBorder="0" applyAlignment="0" applyProtection="0"/>
    <xf numFmtId="168" fontId="6" fillId="0" borderId="0" applyFont="0" applyFill="0" applyBorder="0" applyAlignment="0" applyProtection="0"/>
    <xf numFmtId="0" fontId="25" fillId="0" borderId="0" applyNumberFormat="0" applyFill="0" applyBorder="0" applyAlignment="0" applyProtection="0"/>
    <xf numFmtId="0" fontId="26" fillId="0" borderId="13" applyNumberFormat="0" applyFill="0" applyAlignment="0" applyProtection="0"/>
    <xf numFmtId="0" fontId="27" fillId="0" borderId="14" applyNumberFormat="0" applyFill="0" applyAlignment="0" applyProtection="0"/>
    <xf numFmtId="0" fontId="28" fillId="0" borderId="15" applyNumberFormat="0" applyFill="0" applyAlignment="0" applyProtection="0"/>
    <xf numFmtId="0" fontId="28" fillId="0" borderId="0" applyNumberFormat="0" applyFill="0" applyBorder="0" applyAlignment="0" applyProtection="0"/>
    <xf numFmtId="0" fontId="29" fillId="21" borderId="0" applyNumberFormat="0" applyBorder="0" applyAlignment="0" applyProtection="0"/>
    <xf numFmtId="0" fontId="30" fillId="22" borderId="0" applyNumberFormat="0" applyBorder="0" applyAlignment="0" applyProtection="0"/>
    <xf numFmtId="0" fontId="31" fillId="23" borderId="0" applyNumberFormat="0" applyBorder="0" applyAlignment="0" applyProtection="0"/>
    <xf numFmtId="0" fontId="32" fillId="24" borderId="16" applyNumberFormat="0" applyAlignment="0" applyProtection="0"/>
    <xf numFmtId="0" fontId="33" fillId="25" borderId="17" applyNumberFormat="0" applyAlignment="0" applyProtection="0"/>
    <xf numFmtId="0" fontId="34" fillId="25" borderId="16" applyNumberFormat="0" applyAlignment="0" applyProtection="0"/>
    <xf numFmtId="0" fontId="35" fillId="0" borderId="18" applyNumberFormat="0" applyFill="0" applyAlignment="0" applyProtection="0"/>
    <xf numFmtId="0" fontId="1" fillId="26" borderId="19" applyNumberFormat="0" applyAlignment="0" applyProtection="0"/>
    <xf numFmtId="0" fontId="7" fillId="0" borderId="0" applyNumberFormat="0" applyFill="0" applyBorder="0" applyAlignment="0" applyProtection="0"/>
    <xf numFmtId="0" fontId="6" fillId="27" borderId="20" applyNumberFormat="0" applyFont="0" applyAlignment="0" applyProtection="0"/>
    <xf numFmtId="0" fontId="36" fillId="0" borderId="0" applyNumberFormat="0" applyFill="0" applyBorder="0" applyAlignment="0" applyProtection="0"/>
    <xf numFmtId="0" fontId="2" fillId="0" borderId="21" applyNumberFormat="0" applyFill="0" applyAlignment="0" applyProtection="0"/>
    <xf numFmtId="0" fontId="21" fillId="28"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21"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21"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xf numFmtId="0" fontId="21"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1" fillId="44" borderId="0" applyNumberFormat="0" applyBorder="0" applyAlignment="0" applyProtection="0"/>
    <xf numFmtId="0" fontId="6"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1" fillId="48" borderId="0" applyNumberFormat="0" applyBorder="0" applyAlignment="0" applyProtection="0"/>
    <xf numFmtId="0" fontId="6"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40" fillId="0" borderId="0" applyNumberFormat="0" applyFill="0" applyBorder="0" applyAlignment="0" applyProtection="0"/>
    <xf numFmtId="44" fontId="6" fillId="0" borderId="0" applyFont="0" applyFill="0" applyBorder="0" applyAlignment="0" applyProtection="0"/>
  </cellStyleXfs>
  <cellXfs count="280">
    <xf numFmtId="0" fontId="0" fillId="0" borderId="0" xfId="0"/>
    <xf numFmtId="0" fontId="0" fillId="0" borderId="0" xfId="0" applyAlignment="1">
      <alignment horizontal="left"/>
    </xf>
    <xf numFmtId="0" fontId="0" fillId="0" borderId="1" xfId="0" applyBorder="1" applyAlignment="1">
      <alignment horizontal="center"/>
    </xf>
    <xf numFmtId="0" fontId="0" fillId="0" borderId="1" xfId="0" applyBorder="1" applyAlignment="1">
      <alignment horizontal="left"/>
    </xf>
    <xf numFmtId="164" fontId="0" fillId="0" borderId="1" xfId="0" applyNumberFormat="1" applyBorder="1" applyAlignment="1">
      <alignment horizontal="left"/>
    </xf>
    <xf numFmtId="0" fontId="1" fillId="2" borderId="2" xfId="0" applyFont="1" applyFill="1" applyBorder="1" applyAlignment="1">
      <alignment horizontal="center"/>
    </xf>
    <xf numFmtId="0" fontId="2" fillId="0" borderId="1" xfId="0" applyFont="1" applyBorder="1" applyAlignment="1">
      <alignment horizontal="center"/>
    </xf>
    <xf numFmtId="0" fontId="0" fillId="0" borderId="0" xfId="0" applyAlignment="1">
      <alignment horizontal="center"/>
    </xf>
    <xf numFmtId="0" fontId="0" fillId="0" borderId="1" xfId="0" applyBorder="1"/>
    <xf numFmtId="166" fontId="0" fillId="0" borderId="1" xfId="0" applyNumberFormat="1" applyBorder="1" applyAlignment="1">
      <alignment horizontal="center"/>
    </xf>
    <xf numFmtId="0" fontId="1" fillId="2" borderId="1" xfId="0" applyFont="1" applyFill="1" applyBorder="1" applyAlignment="1">
      <alignment horizontal="center"/>
    </xf>
    <xf numFmtId="4" fontId="0" fillId="0" borderId="0" xfId="0" applyNumberFormat="1"/>
    <xf numFmtId="0" fontId="7" fillId="0" borderId="1" xfId="0" applyFont="1" applyBorder="1"/>
    <xf numFmtId="0" fontId="0" fillId="3" borderId="1" xfId="0" applyFill="1" applyBorder="1" applyAlignment="1">
      <alignment horizontal="center"/>
    </xf>
    <xf numFmtId="167" fontId="0" fillId="0" borderId="1" xfId="0" applyNumberFormat="1" applyBorder="1" applyAlignment="1">
      <alignment horizontal="center"/>
    </xf>
    <xf numFmtId="0" fontId="0" fillId="3" borderId="1" xfId="0" applyFill="1" applyBorder="1"/>
    <xf numFmtId="0" fontId="7" fillId="3" borderId="1" xfId="0" applyFont="1" applyFill="1" applyBorder="1"/>
    <xf numFmtId="167" fontId="0" fillId="3" borderId="1" xfId="0" applyNumberFormat="1" applyFill="1" applyBorder="1" applyAlignment="1">
      <alignment horizontal="center"/>
    </xf>
    <xf numFmtId="0" fontId="9" fillId="2" borderId="1" xfId="0" applyFont="1" applyFill="1" applyBorder="1" applyAlignment="1">
      <alignment horizontal="center"/>
    </xf>
    <xf numFmtId="0" fontId="8" fillId="0" borderId="1" xfId="0" applyFont="1" applyBorder="1" applyAlignment="1">
      <alignment vertical="center"/>
    </xf>
    <xf numFmtId="0" fontId="10" fillId="0" borderId="1" xfId="0" applyFont="1" applyBorder="1" applyAlignment="1">
      <alignment horizontal="right" vertical="center"/>
    </xf>
    <xf numFmtId="0" fontId="8" fillId="4" borderId="1" xfId="0" applyFont="1" applyFill="1" applyBorder="1" applyAlignment="1">
      <alignment vertical="center"/>
    </xf>
    <xf numFmtId="0" fontId="10" fillId="4" borderId="1" xfId="0" applyFont="1" applyFill="1" applyBorder="1" applyAlignment="1">
      <alignment horizontal="right" vertical="center"/>
    </xf>
    <xf numFmtId="0" fontId="8" fillId="0" borderId="1" xfId="0" applyFont="1" applyBorder="1" applyAlignment="1">
      <alignment horizontal="center" vertical="center"/>
    </xf>
    <xf numFmtId="0" fontId="8" fillId="4" borderId="1" xfId="0" applyFont="1" applyFill="1" applyBorder="1" applyAlignment="1">
      <alignment horizontal="center" vertical="center"/>
    </xf>
    <xf numFmtId="164" fontId="8" fillId="0" borderId="1" xfId="0" applyNumberFormat="1" applyFont="1" applyBorder="1" applyAlignment="1">
      <alignment vertical="center"/>
    </xf>
    <xf numFmtId="164" fontId="8" fillId="4" borderId="1" xfId="0" applyNumberFormat="1" applyFont="1" applyFill="1" applyBorder="1" applyAlignment="1">
      <alignment vertical="center"/>
    </xf>
    <xf numFmtId="14" fontId="0" fillId="0" borderId="0" xfId="0" applyNumberFormat="1"/>
    <xf numFmtId="0" fontId="2" fillId="3" borderId="2" xfId="0" applyFont="1" applyFill="1" applyBorder="1" applyAlignment="1">
      <alignment horizontal="center"/>
    </xf>
    <xf numFmtId="0" fontId="8" fillId="5" borderId="1" xfId="0" applyFont="1" applyFill="1" applyBorder="1" applyAlignment="1">
      <alignment horizontal="center" vertical="center"/>
    </xf>
    <xf numFmtId="0" fontId="8" fillId="5" borderId="1" xfId="0" applyFont="1" applyFill="1" applyBorder="1" applyAlignment="1">
      <alignment vertical="center"/>
    </xf>
    <xf numFmtId="0" fontId="10" fillId="5" borderId="1" xfId="0" applyFont="1" applyFill="1" applyBorder="1" applyAlignment="1">
      <alignment horizontal="right" vertical="center"/>
    </xf>
    <xf numFmtId="14" fontId="0" fillId="0" borderId="1" xfId="0" applyNumberFormat="1" applyBorder="1" applyAlignment="1">
      <alignment horizontal="center"/>
    </xf>
    <xf numFmtId="0" fontId="11" fillId="0" borderId="3" xfId="0" applyFont="1" applyBorder="1"/>
    <xf numFmtId="0" fontId="11" fillId="0" borderId="3" xfId="0" applyFont="1" applyBorder="1" applyAlignment="1">
      <alignment horizontal="center"/>
    </xf>
    <xf numFmtId="0" fontId="11" fillId="0" borderId="0" xfId="0" applyFont="1" applyAlignment="1">
      <alignment horizontal="justify" vertical="center"/>
    </xf>
    <xf numFmtId="10" fontId="12" fillId="0" borderId="0" xfId="1" applyNumberFormat="1" applyFont="1" applyAlignment="1">
      <alignment horizontal="center"/>
    </xf>
    <xf numFmtId="0" fontId="11" fillId="0" borderId="4" xfId="0" applyFont="1" applyBorder="1"/>
    <xf numFmtId="10" fontId="12" fillId="0" borderId="4" xfId="1" applyNumberFormat="1" applyFont="1" applyBorder="1" applyAlignment="1">
      <alignment horizontal="center"/>
    </xf>
    <xf numFmtId="0" fontId="11" fillId="0" borderId="4" xfId="0" applyFont="1" applyBorder="1" applyAlignment="1">
      <alignment horizontal="justify" vertical="center"/>
    </xf>
    <xf numFmtId="0" fontId="11" fillId="0" borderId="0" xfId="0" applyFont="1"/>
    <xf numFmtId="10" fontId="12" fillId="0" borderId="0" xfId="1" applyNumberFormat="1" applyFont="1"/>
    <xf numFmtId="0" fontId="12" fillId="0" borderId="0" xfId="0" applyFont="1"/>
    <xf numFmtId="9" fontId="12" fillId="0" borderId="0" xfId="0" applyNumberFormat="1" applyFont="1" applyAlignment="1">
      <alignment horizontal="center"/>
    </xf>
    <xf numFmtId="9" fontId="12" fillId="0" borderId="4" xfId="0" applyNumberFormat="1" applyFont="1" applyBorder="1" applyAlignment="1">
      <alignment horizontal="center"/>
    </xf>
    <xf numFmtId="0" fontId="13" fillId="0" borderId="0" xfId="0" applyFont="1"/>
    <xf numFmtId="165" fontId="0" fillId="0" borderId="0" xfId="0" applyNumberFormat="1" applyAlignment="1">
      <alignment horizontal="center"/>
    </xf>
    <xf numFmtId="1" fontId="12" fillId="0" borderId="0" xfId="2" applyNumberFormat="1" applyFont="1" applyAlignment="1">
      <alignment horizontal="center"/>
    </xf>
    <xf numFmtId="1" fontId="12" fillId="0" borderId="4" xfId="2" applyNumberFormat="1" applyFont="1" applyBorder="1" applyAlignment="1">
      <alignment horizontal="center"/>
    </xf>
    <xf numFmtId="0" fontId="2" fillId="0" borderId="1" xfId="0" applyFont="1" applyBorder="1" applyAlignment="1">
      <alignment horizontal="center" vertical="center" wrapText="1"/>
    </xf>
    <xf numFmtId="0" fontId="0" fillId="0" borderId="0" xfId="0" applyAlignment="1">
      <alignment wrapText="1"/>
    </xf>
    <xf numFmtId="0" fontId="0" fillId="0" borderId="5" xfId="0" applyBorder="1" applyAlignment="1">
      <alignment horizontal="center"/>
    </xf>
    <xf numFmtId="0" fontId="0" fillId="0" borderId="6" xfId="0" applyBorder="1" applyAlignment="1">
      <alignment horizontal="center" wrapText="1"/>
    </xf>
    <xf numFmtId="0" fontId="12" fillId="0" borderId="0" xfId="0" applyFont="1" applyAlignment="1">
      <alignment horizontal="center"/>
    </xf>
    <xf numFmtId="0" fontId="12" fillId="0" borderId="4" xfId="0" applyFont="1" applyBorder="1" applyAlignment="1">
      <alignment horizontal="center"/>
    </xf>
    <xf numFmtId="2" fontId="2" fillId="0" borderId="1" xfId="2" applyNumberFormat="1" applyFont="1" applyBorder="1" applyAlignment="1">
      <alignment horizontal="center" vertical="center" wrapText="1"/>
    </xf>
    <xf numFmtId="2" fontId="0" fillId="0" borderId="1" xfId="2" applyNumberFormat="1" applyFont="1" applyBorder="1" applyAlignment="1">
      <alignment horizontal="center"/>
    </xf>
    <xf numFmtId="0" fontId="7" fillId="0" borderId="0" xfId="0" applyFont="1"/>
    <xf numFmtId="0" fontId="0" fillId="6" borderId="0" xfId="0" applyFill="1"/>
    <xf numFmtId="14" fontId="0" fillId="0" borderId="1" xfId="0" applyNumberFormat="1" applyBorder="1" applyAlignment="1">
      <alignment horizontal="left"/>
    </xf>
    <xf numFmtId="0" fontId="9" fillId="2" borderId="0" xfId="0" applyFont="1" applyFill="1" applyAlignment="1">
      <alignment horizontal="center"/>
    </xf>
    <xf numFmtId="0" fontId="1" fillId="2" borderId="7" xfId="0" applyFont="1" applyFill="1" applyBorder="1" applyAlignment="1">
      <alignment horizontal="center"/>
    </xf>
    <xf numFmtId="0" fontId="0" fillId="7" borderId="1" xfId="0" applyFill="1" applyBorder="1"/>
    <xf numFmtId="0" fontId="0" fillId="7" borderId="1" xfId="0" applyFill="1" applyBorder="1" applyAlignment="1">
      <alignment horizontal="center"/>
    </xf>
    <xf numFmtId="0" fontId="9" fillId="2" borderId="1" xfId="0" applyFont="1" applyFill="1" applyBorder="1" applyAlignment="1">
      <alignment horizontal="left"/>
    </xf>
    <xf numFmtId="0" fontId="2" fillId="0" borderId="6" xfId="0" applyFont="1" applyBorder="1" applyAlignment="1">
      <alignment horizontal="center" wrapText="1"/>
    </xf>
    <xf numFmtId="0" fontId="2" fillId="0" borderId="0" xfId="0" applyFont="1" applyAlignment="1">
      <alignment horizontal="center"/>
    </xf>
    <xf numFmtId="10" fontId="11" fillId="4" borderId="3" xfId="1" applyNumberFormat="1" applyFont="1" applyFill="1" applyBorder="1" applyAlignment="1">
      <alignment horizontal="left"/>
    </xf>
    <xf numFmtId="10" fontId="11" fillId="4" borderId="3" xfId="1" applyNumberFormat="1" applyFont="1" applyFill="1" applyBorder="1" applyAlignment="1">
      <alignment horizontal="center"/>
    </xf>
    <xf numFmtId="2" fontId="12" fillId="4" borderId="3" xfId="0" applyNumberFormat="1" applyFont="1" applyFill="1" applyBorder="1" applyAlignment="1">
      <alignment horizontal="center"/>
    </xf>
    <xf numFmtId="10" fontId="11" fillId="9" borderId="3" xfId="1" applyNumberFormat="1" applyFont="1" applyFill="1" applyBorder="1" applyAlignment="1">
      <alignment horizontal="left"/>
    </xf>
    <xf numFmtId="10" fontId="11" fillId="9" borderId="3" xfId="1" applyNumberFormat="1" applyFont="1" applyFill="1" applyBorder="1" applyAlignment="1">
      <alignment horizontal="center"/>
    </xf>
    <xf numFmtId="2" fontId="12" fillId="9" borderId="3" xfId="0" applyNumberFormat="1" applyFont="1" applyFill="1" applyBorder="1" applyAlignment="1">
      <alignment horizontal="center"/>
    </xf>
    <xf numFmtId="0" fontId="14" fillId="9" borderId="1" xfId="0" applyFont="1" applyFill="1" applyBorder="1" applyAlignment="1">
      <alignment horizontal="center" vertical="center"/>
    </xf>
    <xf numFmtId="0" fontId="1" fillId="12" borderId="8" xfId="0" applyFont="1" applyFill="1" applyBorder="1" applyAlignment="1">
      <alignment horizontal="center"/>
    </xf>
    <xf numFmtId="0" fontId="1" fillId="12" borderId="9" xfId="0" applyFont="1" applyFill="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17" fillId="0" borderId="10" xfId="0" applyFont="1" applyBorder="1" applyAlignment="1">
      <alignment horizontal="center"/>
    </xf>
    <xf numFmtId="0" fontId="1" fillId="12" borderId="11" xfId="0" applyFont="1" applyFill="1" applyBorder="1" applyAlignment="1">
      <alignment horizontal="center"/>
    </xf>
    <xf numFmtId="0" fontId="0" fillId="0" borderId="7" xfId="0" applyBorder="1" applyAlignment="1">
      <alignment horizontal="center"/>
    </xf>
    <xf numFmtId="169" fontId="0" fillId="0" borderId="1" xfId="0" applyNumberFormat="1" applyBorder="1" applyAlignment="1">
      <alignment horizontal="center"/>
    </xf>
    <xf numFmtId="0" fontId="16" fillId="10" borderId="1" xfId="0" applyFont="1" applyFill="1" applyBorder="1" applyAlignment="1">
      <alignment horizontal="center" vertical="center"/>
    </xf>
    <xf numFmtId="0" fontId="14" fillId="10" borderId="1" xfId="0" applyFont="1" applyFill="1" applyBorder="1" applyAlignment="1">
      <alignment horizontal="center" vertical="center"/>
    </xf>
    <xf numFmtId="0" fontId="15" fillId="11" borderId="1" xfId="0" applyFont="1" applyFill="1" applyBorder="1" applyAlignment="1">
      <alignment horizontal="center" vertical="center"/>
    </xf>
    <xf numFmtId="0" fontId="1" fillId="12" borderId="8" xfId="0" applyFont="1" applyFill="1" applyBorder="1"/>
    <xf numFmtId="0" fontId="1" fillId="12" borderId="9" xfId="0" applyFont="1" applyFill="1" applyBorder="1"/>
    <xf numFmtId="0" fontId="2" fillId="14" borderId="1" xfId="0" applyFont="1" applyFill="1" applyBorder="1" applyAlignment="1">
      <alignment horizontal="center" vertical="center"/>
    </xf>
    <xf numFmtId="0" fontId="19" fillId="3" borderId="1" xfId="0" applyFont="1" applyFill="1" applyBorder="1" applyAlignment="1">
      <alignment horizontal="center" vertical="center"/>
    </xf>
    <xf numFmtId="0" fontId="18" fillId="15" borderId="1" xfId="0" applyFont="1" applyFill="1" applyBorder="1" applyAlignment="1">
      <alignment horizontal="center" vertical="center"/>
    </xf>
    <xf numFmtId="0" fontId="18" fillId="13" borderId="1" xfId="0" applyFont="1" applyFill="1" applyBorder="1" applyAlignment="1">
      <alignment horizontal="center" vertical="center"/>
    </xf>
    <xf numFmtId="0" fontId="18" fillId="3" borderId="1" xfId="0" applyFont="1" applyFill="1" applyBorder="1" applyAlignment="1">
      <alignment horizontal="center" vertical="center"/>
    </xf>
    <xf numFmtId="0" fontId="18" fillId="16" borderId="1" xfId="0" applyFont="1" applyFill="1" applyBorder="1" applyAlignment="1">
      <alignment horizontal="center" vertical="center"/>
    </xf>
    <xf numFmtId="0" fontId="0" fillId="17" borderId="0" xfId="0" applyFill="1"/>
    <xf numFmtId="0" fontId="0" fillId="0" borderId="1" xfId="0" applyBorder="1" applyAlignment="1">
      <alignment wrapText="1"/>
    </xf>
    <xf numFmtId="0" fontId="0" fillId="0" borderId="1" xfId="0" applyBorder="1" applyAlignment="1">
      <alignment vertical="center"/>
    </xf>
    <xf numFmtId="2" fontId="0" fillId="0" borderId="0" xfId="0" applyNumberFormat="1" applyAlignment="1">
      <alignment wrapText="1"/>
    </xf>
    <xf numFmtId="14" fontId="0" fillId="0" borderId="0" xfId="0" applyNumberFormat="1" applyAlignment="1">
      <alignment horizontal="center"/>
    </xf>
    <xf numFmtId="0" fontId="11" fillId="0" borderId="0" xfId="0" applyFont="1" applyAlignment="1">
      <alignment wrapText="1"/>
    </xf>
    <xf numFmtId="9" fontId="12" fillId="0" borderId="0" xfId="0" applyNumberFormat="1" applyFont="1" applyAlignment="1">
      <alignment horizontal="center" wrapText="1"/>
    </xf>
    <xf numFmtId="165" fontId="0" fillId="0" borderId="0" xfId="0" applyNumberFormat="1" applyAlignment="1">
      <alignment horizontal="center" wrapText="1"/>
    </xf>
    <xf numFmtId="0" fontId="0" fillId="0" borderId="1" xfId="0" applyBorder="1" applyAlignment="1">
      <alignment horizontal="left" wrapText="1"/>
    </xf>
    <xf numFmtId="0" fontId="2" fillId="7" borderId="1" xfId="0" applyFont="1" applyFill="1" applyBorder="1"/>
    <xf numFmtId="0" fontId="2" fillId="0" borderId="1" xfId="0" applyFont="1" applyBorder="1"/>
    <xf numFmtId="0" fontId="1" fillId="19" borderId="1" xfId="0" applyFont="1" applyFill="1" applyBorder="1" applyAlignment="1">
      <alignment horizontal="center"/>
    </xf>
    <xf numFmtId="0" fontId="0" fillId="17" borderId="1" xfId="0" applyFill="1" applyBorder="1"/>
    <xf numFmtId="0" fontId="0" fillId="17" borderId="1" xfId="0" applyFill="1" applyBorder="1" applyAlignment="1">
      <alignment horizontal="center"/>
    </xf>
    <xf numFmtId="14" fontId="0" fillId="0" borderId="1" xfId="0" applyNumberFormat="1" applyBorder="1"/>
    <xf numFmtId="14" fontId="0" fillId="17" borderId="1" xfId="0" applyNumberFormat="1" applyFill="1" applyBorder="1"/>
    <xf numFmtId="0" fontId="22" fillId="20" borderId="1" xfId="0" applyFont="1" applyFill="1" applyBorder="1" applyAlignment="1">
      <alignment horizontal="center" vertical="center"/>
    </xf>
    <xf numFmtId="0" fontId="23" fillId="0" borderId="1" xfId="0" applyFont="1" applyBorder="1" applyAlignment="1">
      <alignment vertical="center"/>
    </xf>
    <xf numFmtId="0" fontId="24" fillId="0" borderId="1" xfId="0" applyFont="1" applyBorder="1" applyAlignment="1">
      <alignment vertical="center"/>
    </xf>
    <xf numFmtId="0" fontId="23" fillId="0" borderId="0" xfId="0" applyFont="1" applyAlignment="1">
      <alignment vertical="center"/>
    </xf>
    <xf numFmtId="0" fontId="2" fillId="3" borderId="1" xfId="0" applyFont="1" applyFill="1" applyBorder="1" applyAlignment="1">
      <alignment horizontal="center"/>
    </xf>
    <xf numFmtId="0" fontId="37" fillId="0" borderId="1" xfId="0" applyFont="1" applyBorder="1" applyAlignment="1">
      <alignment vertical="center"/>
    </xf>
    <xf numFmtId="0" fontId="2" fillId="0" borderId="1" xfId="0" applyFont="1" applyBorder="1" applyAlignment="1">
      <alignment vertical="center"/>
    </xf>
    <xf numFmtId="0" fontId="0" fillId="0" borderId="1" xfId="0" quotePrefix="1" applyBorder="1" applyAlignment="1">
      <alignment horizontal="left" vertical="top"/>
    </xf>
    <xf numFmtId="0" fontId="0" fillId="0" borderId="0" xfId="0" applyAlignment="1">
      <alignment vertical="center" wrapText="1"/>
    </xf>
    <xf numFmtId="11" fontId="0" fillId="0" borderId="0" xfId="0" applyNumberFormat="1" applyAlignment="1">
      <alignment vertical="center" wrapText="1"/>
    </xf>
    <xf numFmtId="0" fontId="0" fillId="17" borderId="1" xfId="0" applyFill="1" applyBorder="1" applyAlignment="1">
      <alignment horizontal="left"/>
    </xf>
    <xf numFmtId="0" fontId="11" fillId="0" borderId="0" xfId="0" applyFont="1" applyAlignment="1">
      <alignment horizontal="center"/>
    </xf>
    <xf numFmtId="2" fontId="0" fillId="0" borderId="0" xfId="0" applyNumberFormat="1" applyAlignment="1">
      <alignment horizontal="center"/>
    </xf>
    <xf numFmtId="17" fontId="0" fillId="0" borderId="1" xfId="0" applyNumberFormat="1" applyBorder="1"/>
    <xf numFmtId="0" fontId="1" fillId="52" borderId="1" xfId="0" applyFont="1" applyFill="1" applyBorder="1" applyAlignment="1">
      <alignment horizontal="center"/>
    </xf>
    <xf numFmtId="0" fontId="37" fillId="0" borderId="1" xfId="0" applyFont="1" applyBorder="1"/>
    <xf numFmtId="0" fontId="0" fillId="0" borderId="1" xfId="0" applyBorder="1" applyAlignment="1">
      <alignment vertical="center" wrapText="1"/>
    </xf>
    <xf numFmtId="11" fontId="0" fillId="0" borderId="1" xfId="0" applyNumberFormat="1" applyBorder="1" applyAlignment="1">
      <alignment vertical="center" wrapText="1"/>
    </xf>
    <xf numFmtId="49" fontId="0" fillId="0" borderId="0" xfId="0" applyNumberFormat="1"/>
    <xf numFmtId="49" fontId="0" fillId="0" borderId="0" xfId="0" applyNumberFormat="1" applyAlignment="1">
      <alignment horizontal="center"/>
    </xf>
    <xf numFmtId="0" fontId="2" fillId="0" borderId="22" xfId="0" applyFont="1" applyBorder="1" applyAlignment="1">
      <alignment horizontal="center"/>
    </xf>
    <xf numFmtId="0" fontId="2" fillId="0" borderId="22" xfId="0" applyFont="1" applyBorder="1" applyAlignment="1">
      <alignment horizontal="center" vertical="top"/>
    </xf>
    <xf numFmtId="0" fontId="2" fillId="0" borderId="22" xfId="0" applyFont="1" applyBorder="1"/>
    <xf numFmtId="0" fontId="0" fillId="0" borderId="0" xfId="0" applyAlignment="1">
      <alignment horizontal="left" vertical="top"/>
    </xf>
    <xf numFmtId="0" fontId="17" fillId="0" borderId="0" xfId="0" applyFont="1" applyAlignment="1">
      <alignment horizontal="left" vertical="top"/>
    </xf>
    <xf numFmtId="14" fontId="2" fillId="0" borderId="0" xfId="0" applyNumberFormat="1" applyFont="1" applyAlignment="1">
      <alignment horizontal="center"/>
    </xf>
    <xf numFmtId="0" fontId="1" fillId="53" borderId="23" xfId="0" applyFont="1" applyFill="1" applyBorder="1" applyAlignment="1">
      <alignment horizontal="center"/>
    </xf>
    <xf numFmtId="0" fontId="7" fillId="0" borderId="1" xfId="0" applyFont="1" applyBorder="1" applyAlignment="1">
      <alignment horizontal="center"/>
    </xf>
    <xf numFmtId="166" fontId="7" fillId="0" borderId="1" xfId="0" applyNumberFormat="1" applyFont="1" applyBorder="1" applyAlignment="1">
      <alignment horizontal="center"/>
    </xf>
    <xf numFmtId="14" fontId="7" fillId="0" borderId="0" xfId="0" applyNumberFormat="1" applyFont="1"/>
    <xf numFmtId="4" fontId="7" fillId="0" borderId="0" xfId="0" applyNumberFormat="1" applyFont="1"/>
    <xf numFmtId="9" fontId="7" fillId="0" borderId="0" xfId="0" applyNumberFormat="1" applyFont="1"/>
    <xf numFmtId="0" fontId="0" fillId="54" borderId="24" xfId="0" applyFill="1" applyBorder="1"/>
    <xf numFmtId="0" fontId="0" fillId="0" borderId="24" xfId="0" applyBorder="1"/>
    <xf numFmtId="0" fontId="0" fillId="54" borderId="24" xfId="0" applyFill="1" applyBorder="1" applyAlignment="1">
      <alignment wrapText="1"/>
    </xf>
    <xf numFmtId="0" fontId="0" fillId="0" borderId="24" xfId="0" applyBorder="1" applyAlignment="1">
      <alignment wrapText="1"/>
    </xf>
    <xf numFmtId="166" fontId="0" fillId="0" borderId="7" xfId="0" applyNumberFormat="1" applyBorder="1" applyAlignment="1">
      <alignment horizontal="center"/>
    </xf>
    <xf numFmtId="166" fontId="17" fillId="0" borderId="1" xfId="0" applyNumberFormat="1" applyFont="1" applyBorder="1" applyAlignment="1">
      <alignment horizontal="center"/>
    </xf>
    <xf numFmtId="14" fontId="1" fillId="19" borderId="1" xfId="0" applyNumberFormat="1" applyFont="1" applyFill="1" applyBorder="1" applyAlignment="1">
      <alignment horizontal="center"/>
    </xf>
    <xf numFmtId="0" fontId="0" fillId="0" borderId="25" xfId="0" applyBorder="1"/>
    <xf numFmtId="0" fontId="0" fillId="0" borderId="26" xfId="0" applyBorder="1"/>
    <xf numFmtId="0" fontId="0" fillId="0" borderId="28" xfId="0" applyBorder="1"/>
    <xf numFmtId="0" fontId="0" fillId="0" borderId="30" xfId="0" applyBorder="1"/>
    <xf numFmtId="0" fontId="0" fillId="0" borderId="22" xfId="0" applyBorder="1"/>
    <xf numFmtId="0" fontId="0" fillId="0" borderId="31" xfId="0" applyBorder="1"/>
    <xf numFmtId="14" fontId="1" fillId="2" borderId="2" xfId="0" applyNumberFormat="1" applyFont="1" applyFill="1" applyBorder="1" applyAlignment="1">
      <alignment horizontal="center"/>
    </xf>
    <xf numFmtId="0" fontId="0" fillId="0" borderId="32" xfId="0" applyBorder="1"/>
    <xf numFmtId="0" fontId="0" fillId="0" borderId="33" xfId="0" applyBorder="1"/>
    <xf numFmtId="0" fontId="0" fillId="0" borderId="34" xfId="0" applyBorder="1"/>
    <xf numFmtId="0" fontId="0" fillId="0" borderId="35" xfId="0" applyBorder="1"/>
    <xf numFmtId="0" fontId="0" fillId="0" borderId="2" xfId="0" applyBorder="1"/>
    <xf numFmtId="0" fontId="0" fillId="0" borderId="36" xfId="0" applyBorder="1"/>
    <xf numFmtId="0" fontId="0" fillId="0" borderId="37" xfId="0" applyBorder="1"/>
    <xf numFmtId="0" fontId="0" fillId="0" borderId="38" xfId="0" applyBorder="1"/>
    <xf numFmtId="0" fontId="0" fillId="0" borderId="8"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2" fillId="0" borderId="33" xfId="0" applyFont="1" applyBorder="1" applyAlignment="1">
      <alignment horizontal="center"/>
    </xf>
    <xf numFmtId="0" fontId="2" fillId="0" borderId="34" xfId="0" applyFont="1" applyBorder="1" applyAlignment="1">
      <alignment horizontal="center"/>
    </xf>
    <xf numFmtId="0" fontId="2" fillId="0" borderId="35" xfId="0" applyFont="1" applyBorder="1" applyAlignment="1">
      <alignment horizontal="center"/>
    </xf>
    <xf numFmtId="0" fontId="0" fillId="13" borderId="0" xfId="0" applyFill="1"/>
    <xf numFmtId="0" fontId="0" fillId="0" borderId="28" xfId="0" applyBorder="1" applyAlignment="1">
      <alignment horizontal="center"/>
    </xf>
    <xf numFmtId="0" fontId="0" fillId="0" borderId="29" xfId="0" applyBorder="1" applyAlignment="1">
      <alignment horizontal="center"/>
    </xf>
    <xf numFmtId="0" fontId="0" fillId="0" borderId="27" xfId="0" applyBorder="1" applyAlignment="1">
      <alignment horizontal="center"/>
    </xf>
    <xf numFmtId="0" fontId="0" fillId="3" borderId="0" xfId="0" applyFill="1"/>
    <xf numFmtId="0" fontId="0" fillId="0" borderId="46" xfId="0" applyBorder="1"/>
    <xf numFmtId="0" fontId="0" fillId="0" borderId="47" xfId="0" applyBorder="1"/>
    <xf numFmtId="0" fontId="0" fillId="0" borderId="48" xfId="0" applyBorder="1"/>
    <xf numFmtId="0" fontId="0" fillId="16" borderId="0" xfId="0" applyFill="1"/>
    <xf numFmtId="170" fontId="0" fillId="0" borderId="0" xfId="0" applyNumberFormat="1"/>
    <xf numFmtId="0" fontId="9" fillId="2" borderId="1" xfId="0" applyFont="1" applyFill="1" applyBorder="1" applyAlignment="1" applyProtection="1">
      <alignment horizontal="center"/>
      <protection locked="0"/>
    </xf>
    <xf numFmtId="14" fontId="0" fillId="0" borderId="1" xfId="0" applyNumberFormat="1" applyBorder="1" applyAlignment="1" applyProtection="1">
      <alignment horizontal="center"/>
      <protection locked="0"/>
    </xf>
    <xf numFmtId="0" fontId="0" fillId="0" borderId="0" xfId="0" applyProtection="1">
      <protection locked="0"/>
    </xf>
    <xf numFmtId="0" fontId="0" fillId="0" borderId="1" xfId="0" applyBorder="1" applyAlignment="1" applyProtection="1">
      <alignment horizontal="center"/>
      <protection locked="0"/>
    </xf>
    <xf numFmtId="0" fontId="40" fillId="0" borderId="1" xfId="45" applyBorder="1" applyAlignment="1">
      <alignment horizontal="left"/>
    </xf>
    <xf numFmtId="0" fontId="0" fillId="55" borderId="45" xfId="0" applyFill="1" applyBorder="1"/>
    <xf numFmtId="0" fontId="0" fillId="14" borderId="0" xfId="0" applyFill="1"/>
    <xf numFmtId="0" fontId="0" fillId="3" borderId="1" xfId="0" applyFill="1" applyBorder="1" applyAlignment="1">
      <alignment wrapText="1"/>
    </xf>
    <xf numFmtId="0" fontId="0" fillId="3" borderId="40" xfId="0" applyFill="1" applyBorder="1"/>
    <xf numFmtId="44" fontId="9" fillId="2" borderId="1" xfId="46" applyFont="1" applyFill="1" applyBorder="1" applyAlignment="1">
      <alignment horizontal="right"/>
    </xf>
    <xf numFmtId="44" fontId="8" fillId="0" borderId="1" xfId="46" applyFont="1" applyBorder="1" applyAlignment="1">
      <alignment horizontal="right" vertical="center"/>
    </xf>
    <xf numFmtId="44" fontId="8" fillId="4" borderId="1" xfId="46" applyFont="1" applyFill="1" applyBorder="1" applyAlignment="1">
      <alignment horizontal="right" vertical="center"/>
    </xf>
    <xf numFmtId="44" fontId="8" fillId="5" borderId="1" xfId="46" applyFont="1" applyFill="1" applyBorder="1" applyAlignment="1">
      <alignment horizontal="right" vertical="center"/>
    </xf>
    <xf numFmtId="44" fontId="0" fillId="0" borderId="0" xfId="46" applyFont="1" applyAlignment="1">
      <alignment horizontal="right"/>
    </xf>
    <xf numFmtId="14" fontId="0" fillId="0" borderId="0" xfId="0" applyNumberFormat="1" applyAlignment="1">
      <alignment horizontal="left"/>
    </xf>
    <xf numFmtId="0" fontId="2" fillId="0" borderId="0" xfId="0" applyFont="1"/>
    <xf numFmtId="166" fontId="0" fillId="0" borderId="0" xfId="0" applyNumberFormat="1"/>
    <xf numFmtId="17" fontId="0" fillId="0" borderId="0" xfId="0" applyNumberFormat="1" applyAlignment="1">
      <alignment horizontal="center" vertical="center"/>
    </xf>
    <xf numFmtId="9" fontId="0" fillId="0" borderId="0" xfId="0" applyNumberFormat="1"/>
    <xf numFmtId="0" fontId="1" fillId="19" borderId="7" xfId="0" applyFont="1" applyFill="1" applyBorder="1" applyAlignment="1">
      <alignment horizontal="center"/>
    </xf>
    <xf numFmtId="0" fontId="0" fillId="0" borderId="7" xfId="0" applyBorder="1"/>
    <xf numFmtId="0" fontId="8" fillId="5" borderId="0" xfId="0" applyFont="1" applyFill="1" applyAlignment="1">
      <alignment horizontal="center" vertical="center"/>
    </xf>
    <xf numFmtId="164" fontId="8" fillId="0" borderId="0" xfId="0" applyNumberFormat="1" applyFont="1" applyAlignment="1">
      <alignment vertical="center"/>
    </xf>
    <xf numFmtId="0" fontId="8" fillId="5" borderId="0" xfId="0" applyFont="1" applyFill="1" applyAlignment="1">
      <alignment vertical="center"/>
    </xf>
    <xf numFmtId="0" fontId="10" fillId="5" borderId="0" xfId="0" applyFont="1" applyFill="1" applyAlignment="1">
      <alignment horizontal="right" vertical="center"/>
    </xf>
    <xf numFmtId="44" fontId="8" fillId="5" borderId="0" xfId="46" applyFont="1" applyFill="1" applyBorder="1" applyAlignment="1">
      <alignment horizontal="right" vertical="center"/>
    </xf>
    <xf numFmtId="4" fontId="8" fillId="4" borderId="1" xfId="0" applyNumberFormat="1" applyFont="1" applyFill="1" applyBorder="1" applyAlignment="1">
      <alignment vertical="center"/>
    </xf>
    <xf numFmtId="4" fontId="10" fillId="4" borderId="1" xfId="0" applyNumberFormat="1" applyFont="1" applyFill="1" applyBorder="1" applyAlignment="1">
      <alignment horizontal="right" vertical="center"/>
    </xf>
    <xf numFmtId="3" fontId="0" fillId="0" borderId="0" xfId="0" applyNumberFormat="1"/>
    <xf numFmtId="0" fontId="0" fillId="0" borderId="49" xfId="0" applyBorder="1"/>
    <xf numFmtId="0" fontId="0" fillId="56" borderId="0" xfId="0" applyFill="1"/>
    <xf numFmtId="0" fontId="0" fillId="4" borderId="0" xfId="0" applyFill="1"/>
    <xf numFmtId="49" fontId="40" fillId="0" borderId="0" xfId="45" applyNumberFormat="1" applyAlignment="1">
      <alignment horizontal="center"/>
    </xf>
    <xf numFmtId="14" fontId="0" fillId="13" borderId="0" xfId="0" applyNumberFormat="1" applyFill="1"/>
    <xf numFmtId="14" fontId="0" fillId="56" borderId="0" xfId="0" applyNumberFormat="1" applyFill="1" applyAlignment="1">
      <alignment horizontal="center"/>
    </xf>
    <xf numFmtId="0" fontId="0" fillId="56" borderId="0" xfId="0" applyFill="1" applyAlignment="1">
      <alignment horizontal="center"/>
    </xf>
    <xf numFmtId="0" fontId="0" fillId="4" borderId="0" xfId="0" applyFill="1" applyAlignment="1">
      <alignment horizontal="center"/>
    </xf>
    <xf numFmtId="14" fontId="0" fillId="4" borderId="0" xfId="0" applyNumberFormat="1" applyFill="1" applyAlignment="1">
      <alignment horizontal="center"/>
    </xf>
    <xf numFmtId="0" fontId="2" fillId="5" borderId="0" xfId="0" applyFont="1" applyFill="1"/>
    <xf numFmtId="0" fontId="2" fillId="57" borderId="36" xfId="0" applyFont="1" applyFill="1" applyBorder="1"/>
    <xf numFmtId="0" fontId="2" fillId="57" borderId="37" xfId="0" applyFont="1" applyFill="1" applyBorder="1"/>
    <xf numFmtId="0" fontId="2" fillId="57" borderId="38" xfId="0" applyFont="1" applyFill="1" applyBorder="1"/>
    <xf numFmtId="0" fontId="44" fillId="0" borderId="0" xfId="0" applyFont="1"/>
    <xf numFmtId="0" fontId="43" fillId="0" borderId="0" xfId="0" applyFont="1"/>
    <xf numFmtId="0" fontId="42" fillId="0" borderId="0" xfId="0" applyFont="1"/>
    <xf numFmtId="1" fontId="2" fillId="57" borderId="37" xfId="0" applyNumberFormat="1" applyFont="1" applyFill="1" applyBorder="1"/>
    <xf numFmtId="1" fontId="0" fillId="0" borderId="37" xfId="0" applyNumberFormat="1" applyBorder="1"/>
    <xf numFmtId="1" fontId="0" fillId="0" borderId="0" xfId="0" applyNumberFormat="1"/>
    <xf numFmtId="0" fontId="47" fillId="0" borderId="0" xfId="0" applyFont="1"/>
    <xf numFmtId="0" fontId="0" fillId="0" borderId="4" xfId="0" applyBorder="1"/>
    <xf numFmtId="0" fontId="0" fillId="0" borderId="0" xfId="0" applyAlignment="1">
      <alignment vertical="top"/>
    </xf>
    <xf numFmtId="0" fontId="0" fillId="0" borderId="50" xfId="0" applyBorder="1"/>
    <xf numFmtId="171" fontId="0" fillId="0" borderId="50" xfId="1" applyNumberFormat="1" applyFont="1" applyBorder="1"/>
    <xf numFmtId="172" fontId="0" fillId="0" borderId="0" xfId="1" applyNumberFormat="1" applyFont="1" applyAlignment="1">
      <alignment horizontal="center"/>
    </xf>
    <xf numFmtId="0" fontId="0" fillId="0" borderId="50" xfId="0" applyBorder="1" applyAlignment="1">
      <alignment wrapText="1"/>
    </xf>
    <xf numFmtId="0" fontId="2" fillId="0" borderId="0" xfId="0" applyFont="1" applyAlignment="1">
      <alignment vertical="top"/>
    </xf>
    <xf numFmtId="0" fontId="2" fillId="0" borderId="50" xfId="0" applyFont="1" applyBorder="1"/>
    <xf numFmtId="0" fontId="0" fillId="5" borderId="0" xfId="0" applyFill="1" applyAlignment="1">
      <alignment wrapText="1"/>
    </xf>
    <xf numFmtId="0" fontId="0" fillId="5" borderId="0" xfId="0" applyFill="1"/>
    <xf numFmtId="0" fontId="2" fillId="3" borderId="0" xfId="0" applyFont="1" applyFill="1"/>
    <xf numFmtId="0" fontId="2" fillId="57" borderId="37" xfId="0" applyFont="1" applyFill="1" applyBorder="1" applyAlignment="1">
      <alignment horizontal="left"/>
    </xf>
    <xf numFmtId="0" fontId="0" fillId="0" borderId="37" xfId="0" applyBorder="1" applyAlignment="1">
      <alignment horizontal="left"/>
    </xf>
    <xf numFmtId="0" fontId="0" fillId="0" borderId="0" xfId="0" applyAlignment="1">
      <alignment horizontal="left" wrapText="1"/>
    </xf>
    <xf numFmtId="0" fontId="43" fillId="0" borderId="0" xfId="0" applyFont="1" applyAlignment="1">
      <alignment horizontal="left"/>
    </xf>
    <xf numFmtId="0" fontId="42" fillId="0" borderId="0" xfId="0" applyFont="1" applyAlignment="1">
      <alignment horizontal="left" vertical="center"/>
    </xf>
    <xf numFmtId="9" fontId="0" fillId="0" borderId="0" xfId="1" applyFont="1" applyAlignment="1">
      <alignment horizontal="left"/>
    </xf>
    <xf numFmtId="44" fontId="0" fillId="0" borderId="0" xfId="46" applyFont="1"/>
    <xf numFmtId="10" fontId="0" fillId="0" borderId="0" xfId="0" applyNumberFormat="1"/>
    <xf numFmtId="4" fontId="10" fillId="5" borderId="1" xfId="0" applyNumberFormat="1" applyFont="1" applyFill="1" applyBorder="1" applyAlignment="1">
      <alignment horizontal="right" vertical="center"/>
    </xf>
    <xf numFmtId="166" fontId="48" fillId="0" borderId="1" xfId="0" applyNumberFormat="1" applyFont="1" applyBorder="1" applyAlignment="1">
      <alignment horizontal="center"/>
    </xf>
    <xf numFmtId="0" fontId="0" fillId="58" borderId="1" xfId="0" applyFill="1" applyBorder="1"/>
    <xf numFmtId="0" fontId="0" fillId="59" borderId="1" xfId="0" applyFill="1" applyBorder="1"/>
    <xf numFmtId="14" fontId="0" fillId="59" borderId="1" xfId="0" applyNumberFormat="1" applyFill="1" applyBorder="1"/>
    <xf numFmtId="14" fontId="0" fillId="58" borderId="1" xfId="0" applyNumberFormat="1" applyFill="1" applyBorder="1"/>
    <xf numFmtId="0" fontId="0" fillId="12" borderId="1" xfId="0" applyFill="1" applyBorder="1"/>
    <xf numFmtId="0" fontId="0" fillId="0" borderId="7" xfId="0" applyBorder="1" applyAlignment="1">
      <alignment vertical="center" wrapText="1"/>
    </xf>
    <xf numFmtId="0" fontId="23" fillId="0" borderId="7" xfId="0" applyFont="1" applyBorder="1" applyAlignment="1">
      <alignment vertical="center"/>
    </xf>
    <xf numFmtId="0" fontId="0" fillId="56" borderId="1" xfId="0" applyFill="1" applyBorder="1"/>
    <xf numFmtId="14" fontId="0" fillId="56" borderId="1" xfId="0" applyNumberFormat="1" applyFill="1" applyBorder="1"/>
    <xf numFmtId="0" fontId="0" fillId="56" borderId="7" xfId="0" applyFill="1" applyBorder="1"/>
    <xf numFmtId="14" fontId="0" fillId="56" borderId="1" xfId="0" applyNumberFormat="1" applyFill="1" applyBorder="1" applyAlignment="1">
      <alignment horizontal="right"/>
    </xf>
    <xf numFmtId="0" fontId="17" fillId="0" borderId="0" xfId="0" applyFont="1"/>
    <xf numFmtId="0" fontId="0" fillId="0" borderId="0" xfId="0" applyAlignment="1">
      <alignment vertical="center"/>
    </xf>
    <xf numFmtId="0" fontId="40" fillId="0" borderId="0" xfId="45"/>
    <xf numFmtId="0" fontId="0" fillId="60" borderId="39" xfId="0" applyFill="1" applyBorder="1"/>
    <xf numFmtId="0" fontId="2" fillId="57" borderId="51" xfId="0" applyFont="1" applyFill="1" applyBorder="1" applyAlignment="1">
      <alignment horizontal="center"/>
    </xf>
    <xf numFmtId="0" fontId="2" fillId="57" borderId="4" xfId="0" applyFont="1" applyFill="1" applyBorder="1" applyAlignment="1">
      <alignment horizontal="center"/>
    </xf>
    <xf numFmtId="0" fontId="2" fillId="12" borderId="12" xfId="0" applyFont="1" applyFill="1" applyBorder="1" applyAlignment="1">
      <alignment horizontal="center"/>
    </xf>
    <xf numFmtId="0" fontId="2" fillId="12" borderId="0" xfId="0" applyFont="1" applyFill="1" applyAlignment="1">
      <alignment horizontal="center"/>
    </xf>
    <xf numFmtId="0" fontId="1" fillId="18" borderId="0" xfId="0" applyFont="1" applyFill="1" applyAlignment="1">
      <alignment horizontal="center"/>
    </xf>
    <xf numFmtId="0" fontId="21" fillId="18" borderId="12" xfId="0" applyFont="1" applyFill="1" applyBorder="1" applyAlignment="1">
      <alignment horizontal="center"/>
    </xf>
    <xf numFmtId="0" fontId="21" fillId="18" borderId="0" xfId="0" applyFont="1" applyFill="1" applyAlignment="1">
      <alignment horizontal="center"/>
    </xf>
    <xf numFmtId="0" fontId="0" fillId="0" borderId="0" xfId="0" applyAlignment="1">
      <alignment vertical="top"/>
    </xf>
    <xf numFmtId="0" fontId="2" fillId="16" borderId="0" xfId="0" applyFont="1" applyFill="1" applyAlignment="1">
      <alignment horizontal="center"/>
    </xf>
    <xf numFmtId="0" fontId="0" fillId="8" borderId="1" xfId="0" applyFill="1" applyBorder="1" applyAlignment="1">
      <alignment horizontal="left"/>
    </xf>
  </cellXfs>
  <cellStyles count="47">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10" builtinId="27" customBuiltin="1"/>
    <cellStyle name="Calculation" xfId="14" builtinId="22" customBuiltin="1"/>
    <cellStyle name="Check Cell" xfId="16" builtinId="23" customBuiltin="1"/>
    <cellStyle name="Comma" xfId="2" builtinId="3"/>
    <cellStyle name="Comma 2" xfId="3" xr:uid="{E50352EF-AA5F-4A18-9BCA-4566B7EF885B}"/>
    <cellStyle name="Currency" xfId="46" builtinId="4"/>
    <cellStyle name="Explanatory Text" xfId="19"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45" builtinId="8"/>
    <cellStyle name="Input" xfId="12" builtinId="20" customBuiltin="1"/>
    <cellStyle name="Linked Cell" xfId="15" builtinId="24" customBuiltin="1"/>
    <cellStyle name="Neutral" xfId="11" builtinId="28" customBuiltin="1"/>
    <cellStyle name="Normal" xfId="0" builtinId="0"/>
    <cellStyle name="Note" xfId="18" builtinId="10" customBuiltin="1"/>
    <cellStyle name="Output" xfId="13" builtinId="21" customBuiltin="1"/>
    <cellStyle name="Percent" xfId="1" builtinId="5"/>
    <cellStyle name="Title" xfId="4" builtinId="15" customBuiltin="1"/>
    <cellStyle name="Total" xfId="20" builtinId="25" customBuiltin="1"/>
    <cellStyle name="Warning Text" xfId="17" builtinId="11" customBuiltin="1"/>
  </cellStyles>
  <dxfs count="37">
    <dxf>
      <font>
        <color rgb="FF9C0006"/>
      </font>
      <fill>
        <patternFill>
          <bgColor rgb="FFFFC7CE"/>
        </patternFill>
      </fill>
    </dxf>
    <dxf>
      <fill>
        <patternFill>
          <bgColor rgb="FFFF0000"/>
        </patternFill>
      </fill>
    </dxf>
    <dxf>
      <fill>
        <patternFill>
          <bgColor theme="4" tint="0.39994506668294322"/>
        </patternFill>
      </fill>
    </dxf>
    <dxf>
      <fill>
        <patternFill>
          <bgColor rgb="FFFF0000"/>
        </patternFill>
      </fill>
    </dxf>
    <dxf>
      <fill>
        <patternFill>
          <bgColor theme="4" tint="0.39994506668294322"/>
        </patternFill>
      </fill>
    </dxf>
    <dxf>
      <fill>
        <patternFill>
          <bgColor rgb="FFFF4343"/>
        </patternFill>
      </fill>
    </dxf>
    <dxf>
      <fill>
        <patternFill>
          <bgColor rgb="FF00B0F0"/>
        </patternFill>
      </fill>
    </dxf>
    <dxf>
      <fill>
        <patternFill>
          <bgColor rgb="FFFF0000"/>
        </patternFill>
      </fill>
    </dxf>
    <dxf>
      <fill>
        <patternFill>
          <bgColor theme="4" tint="0.39994506668294322"/>
        </patternFill>
      </fill>
    </dxf>
    <dxf>
      <fill>
        <patternFill>
          <bgColor rgb="FFFF0000"/>
        </patternFill>
      </fill>
    </dxf>
    <dxf>
      <fill>
        <patternFill>
          <bgColor theme="4" tint="0.39994506668294322"/>
        </patternFill>
      </fill>
    </dxf>
    <dxf>
      <fill>
        <patternFill>
          <bgColor rgb="FFFF4343"/>
        </patternFill>
      </fill>
    </dxf>
    <dxf>
      <fill>
        <patternFill>
          <bgColor rgb="FF00B0F0"/>
        </patternFill>
      </fill>
    </dxf>
    <dxf>
      <fill>
        <patternFill>
          <bgColor rgb="FFFF0000"/>
        </patternFill>
      </fill>
    </dxf>
    <dxf>
      <fill>
        <patternFill>
          <bgColor theme="4" tint="0.39994506668294322"/>
        </patternFill>
      </fill>
    </dxf>
    <dxf>
      <fill>
        <patternFill>
          <bgColor rgb="FFFF4343"/>
        </patternFill>
      </fill>
    </dxf>
    <dxf>
      <fill>
        <patternFill>
          <bgColor rgb="FF00B0F0"/>
        </patternFill>
      </fill>
    </dxf>
    <dxf>
      <fill>
        <patternFill>
          <bgColor rgb="FFFF0000"/>
        </patternFill>
      </fill>
    </dxf>
    <dxf>
      <fill>
        <patternFill>
          <bgColor theme="4" tint="0.39994506668294322"/>
        </patternFill>
      </fill>
    </dxf>
    <dxf>
      <fill>
        <patternFill>
          <bgColor rgb="FFFF4343"/>
        </patternFill>
      </fill>
    </dxf>
    <dxf>
      <fill>
        <patternFill>
          <bgColor rgb="FF00B0F0"/>
        </patternFill>
      </fill>
    </dxf>
    <dxf>
      <fill>
        <patternFill>
          <bgColor rgb="FFFF0000"/>
        </patternFill>
      </fill>
    </dxf>
    <dxf>
      <fill>
        <patternFill>
          <bgColor theme="4" tint="0.39994506668294322"/>
        </patternFill>
      </fill>
    </dxf>
    <dxf>
      <fill>
        <patternFill>
          <bgColor rgb="FFFF0000"/>
        </patternFill>
      </fill>
    </dxf>
    <dxf>
      <fill>
        <patternFill>
          <bgColor theme="4" tint="0.39994506668294322"/>
        </patternFill>
      </fill>
    </dxf>
    <dxf>
      <fill>
        <patternFill>
          <bgColor rgb="FFFF4343"/>
        </patternFill>
      </fill>
    </dxf>
    <dxf>
      <fill>
        <patternFill>
          <bgColor rgb="FF00B0F0"/>
        </patternFill>
      </fill>
    </dxf>
    <dxf>
      <numFmt numFmtId="166" formatCode="dd/mmm/yyyy"/>
    </dxf>
    <dxf>
      <alignment horizontal="left" vertical="bottom" textRotation="0" wrapText="0" indent="0" justifyLastLine="0" shrinkToFit="0" readingOrder="0"/>
    </dxf>
    <dxf>
      <font>
        <b/>
      </font>
    </dxf>
    <dxf>
      <alignment horizontal="center" vertical="bottom" textRotation="0" wrapText="0" indent="0" justifyLastLine="0" shrinkToFit="0" readingOrder="0"/>
    </dxf>
    <dxf>
      <border outline="0">
        <top style="medium">
          <color indexed="64"/>
        </top>
      </border>
    </dxf>
    <dxf>
      <border outline="0">
        <bottom style="medium">
          <color indexed="64"/>
        </bottom>
      </border>
    </dxf>
    <dxf>
      <border outline="0">
        <top style="medium">
          <color indexed="64"/>
        </top>
      </border>
    </dxf>
    <dxf>
      <border outline="0">
        <bottom style="medium">
          <color indexed="64"/>
        </bottom>
      </border>
    </dxf>
    <dxf>
      <numFmt numFmtId="19" formatCode="m/d/yyyy"/>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s>
  <tableStyles count="0" defaultTableStyle="TableStyleMedium2" defaultPivotStyle="PivotStyleLight16"/>
  <colors>
    <mruColors>
      <color rgb="FFFF434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209551</xdr:colOff>
      <xdr:row>0</xdr:row>
      <xdr:rowOff>114300</xdr:rowOff>
    </xdr:from>
    <xdr:to>
      <xdr:col>1</xdr:col>
      <xdr:colOff>1028701</xdr:colOff>
      <xdr:row>2</xdr:row>
      <xdr:rowOff>19050</xdr:rowOff>
    </xdr:to>
    <xdr:sp macro="[0]!InserirLinhaNaSQL1" textlink="">
      <xdr:nvSpPr>
        <xdr:cNvPr id="2" name="Rectangle 1">
          <a:extLst>
            <a:ext uri="{FF2B5EF4-FFF2-40B4-BE49-F238E27FC236}">
              <a16:creationId xmlns:a16="http://schemas.microsoft.com/office/drawing/2014/main" id="{D4F3C913-A38B-8B69-D902-614EC9588FC1}"/>
            </a:ext>
          </a:extLst>
        </xdr:cNvPr>
        <xdr:cNvSpPr/>
      </xdr:nvSpPr>
      <xdr:spPr>
        <a:xfrm>
          <a:off x="1666876" y="114300"/>
          <a:ext cx="819150" cy="285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Rodar 1</a:t>
          </a:r>
        </a:p>
      </xdr:txBody>
    </xdr:sp>
    <xdr:clientData/>
  </xdr:twoCellAnchor>
  <xdr:twoCellAnchor>
    <xdr:from>
      <xdr:col>2</xdr:col>
      <xdr:colOff>342900</xdr:colOff>
      <xdr:row>0</xdr:row>
      <xdr:rowOff>95250</xdr:rowOff>
    </xdr:from>
    <xdr:to>
      <xdr:col>2</xdr:col>
      <xdr:colOff>1162050</xdr:colOff>
      <xdr:row>2</xdr:row>
      <xdr:rowOff>0</xdr:rowOff>
    </xdr:to>
    <xdr:sp macro="[0]!InserirLinhaNaSQL2" textlink="">
      <xdr:nvSpPr>
        <xdr:cNvPr id="3" name="Rectangle 2">
          <a:extLst>
            <a:ext uri="{FF2B5EF4-FFF2-40B4-BE49-F238E27FC236}">
              <a16:creationId xmlns:a16="http://schemas.microsoft.com/office/drawing/2014/main" id="{9428145E-2278-45B3-8116-353F5A92F827}"/>
            </a:ext>
          </a:extLst>
        </xdr:cNvPr>
        <xdr:cNvSpPr/>
      </xdr:nvSpPr>
      <xdr:spPr>
        <a:xfrm>
          <a:off x="3048000" y="95250"/>
          <a:ext cx="819150" cy="285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Rodar 2</a:t>
          </a:r>
        </a:p>
      </xdr:txBody>
    </xdr:sp>
    <xdr:clientData/>
  </xdr:twoCellAnchor>
  <xdr:twoCellAnchor>
    <xdr:from>
      <xdr:col>3</xdr:col>
      <xdr:colOff>390525</xdr:colOff>
      <xdr:row>0</xdr:row>
      <xdr:rowOff>76200</xdr:rowOff>
    </xdr:from>
    <xdr:to>
      <xdr:col>3</xdr:col>
      <xdr:colOff>1209675</xdr:colOff>
      <xdr:row>1</xdr:row>
      <xdr:rowOff>171450</xdr:rowOff>
    </xdr:to>
    <xdr:sp macro="[0]!InserirLinhaNaSQL3" textlink="">
      <xdr:nvSpPr>
        <xdr:cNvPr id="4" name="Rectangle 3">
          <a:extLst>
            <a:ext uri="{FF2B5EF4-FFF2-40B4-BE49-F238E27FC236}">
              <a16:creationId xmlns:a16="http://schemas.microsoft.com/office/drawing/2014/main" id="{D3F0C064-DDB6-4C82-9C59-68536C06253E}"/>
            </a:ext>
          </a:extLst>
        </xdr:cNvPr>
        <xdr:cNvSpPr/>
      </xdr:nvSpPr>
      <xdr:spPr>
        <a:xfrm>
          <a:off x="4714875" y="76200"/>
          <a:ext cx="819150" cy="285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Rodar 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6</xdr:row>
      <xdr:rowOff>0</xdr:rowOff>
    </xdr:from>
    <xdr:to>
      <xdr:col>8</xdr:col>
      <xdr:colOff>209550</xdr:colOff>
      <xdr:row>7</xdr:row>
      <xdr:rowOff>133350</xdr:rowOff>
    </xdr:to>
    <xdr:sp macro="[0]!InserirLinhaNaSQL1" textlink="">
      <xdr:nvSpPr>
        <xdr:cNvPr id="2" name="Rectangle 1">
          <a:extLst>
            <a:ext uri="{FF2B5EF4-FFF2-40B4-BE49-F238E27FC236}">
              <a16:creationId xmlns:a16="http://schemas.microsoft.com/office/drawing/2014/main" id="{873BF792-EFF5-4D4D-B7B2-7950FFB8D0E0}"/>
            </a:ext>
          </a:extLst>
        </xdr:cNvPr>
        <xdr:cNvSpPr/>
      </xdr:nvSpPr>
      <xdr:spPr>
        <a:xfrm>
          <a:off x="6543675" y="1143000"/>
          <a:ext cx="819150" cy="3238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Rodar 1</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280148</xdr:colOff>
      <xdr:row>26</xdr:row>
      <xdr:rowOff>145676</xdr:rowOff>
    </xdr:from>
    <xdr:to>
      <xdr:col>16</xdr:col>
      <xdr:colOff>546815</xdr:colOff>
      <xdr:row>29</xdr:row>
      <xdr:rowOff>42525</xdr:rowOff>
    </xdr:to>
    <xdr:pic>
      <xdr:nvPicPr>
        <xdr:cNvPr id="3" name="Picture 2">
          <a:extLst>
            <a:ext uri="{FF2B5EF4-FFF2-40B4-BE49-F238E27FC236}">
              <a16:creationId xmlns:a16="http://schemas.microsoft.com/office/drawing/2014/main" id="{05B7E7CA-2202-093F-9D08-69F971FBEB19}"/>
            </a:ext>
          </a:extLst>
        </xdr:cNvPr>
        <xdr:cNvPicPr>
          <a:picLocks noChangeAspect="1"/>
        </xdr:cNvPicPr>
      </xdr:nvPicPr>
      <xdr:blipFill>
        <a:blip xmlns:r="http://schemas.openxmlformats.org/officeDocument/2006/relationships" r:embed="rId1"/>
        <a:stretch>
          <a:fillRect/>
        </a:stretch>
      </xdr:blipFill>
      <xdr:spPr>
        <a:xfrm>
          <a:off x="48980913" y="5098676"/>
          <a:ext cx="266667" cy="457143"/>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03B635-9704-441C-9EF1-3E9BBB892AE0}" name="Table1" displayName="Table1" ref="A1:K51" totalsRowShown="0" headerRowDxfId="36">
  <autoFilter ref="A1:K51" xr:uid="{DF03B635-9704-441C-9EF1-3E9BBB892AE0}"/>
  <sortState xmlns:xlrd2="http://schemas.microsoft.com/office/spreadsheetml/2017/richdata2" ref="A2:J29">
    <sortCondition ref="I1:I29"/>
  </sortState>
  <tableColumns count="11">
    <tableColumn id="1" xr3:uid="{EF4F0C28-4146-4215-BE5F-30DDE4B61162}" name="Treinamentos"/>
    <tableColumn id="2" xr3:uid="{97CD0981-CDD7-4C78-A1A6-8DC59712949F}" name="Natureza do Evento"/>
    <tableColumn id="3" xr3:uid="{DE5A7EEE-6959-405D-87D9-01349661A55A}" name="Ocorrido em" dataDxfId="35"/>
    <tableColumn id="4" xr3:uid="{3533AA36-DE66-40B8-96D4-E91BE088C6FE}" name="Descrição"/>
    <tableColumn id="5" xr3:uid="{AA540520-347A-4BA6-9975-3E45CBA598AA}" name="Relacionados"/>
    <tableColumn id="6" xr3:uid="{8E729093-0994-41F1-B02E-8EFC7E6D615F}" name="Responsáveis"/>
    <tableColumn id="7" xr3:uid="{36074876-EAF6-4AE2-954B-F7C9279CFD70}" name="Risco"/>
    <tableColumn id="8" xr3:uid="{723E7832-7A10-4A0F-A391-F5E3CA8F88EF}" name="Prazo"/>
    <tableColumn id="9" xr3:uid="{21F8B791-ACC6-460E-902D-2A90AE3B5229}" name="Situação"/>
    <tableColumn id="10" xr3:uid="{55A97DBF-941E-4E1A-8B49-02403D67595A}" name="Comentário Por E-mail"/>
    <tableColumn id="11" xr3:uid="{87EE89AF-DD57-4343-8B1F-7E3372B9F8B6}" name="Chav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8D6E9FD-08FC-45FE-BDB2-6BAFF3E2AB15}" name="Table3" displayName="Table3" ref="X2:Z1633" totalsRowShown="0" headerRowBorderDxfId="34" tableBorderDxfId="33">
  <autoFilter ref="X2:Z1633" xr:uid="{E91D8230-010D-4853-BA98-FB64C42B0612}"/>
  <tableColumns count="3">
    <tableColumn id="1" xr3:uid="{4C4E1C80-CF24-4E8C-AD22-3AFF6EBA9D03}" name="Flag"/>
    <tableColumn id="2" xr3:uid="{E7192DD0-0B39-4204-BE9E-BBE2A5822C98}" name="Regra"/>
    <tableColumn id="3" xr3:uid="{B3E8D0E8-2034-4A20-89BE-45225165040B}" name="Ação"/>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C95EB57-2572-4408-8E0B-5697341530DB}" name="Table3567" displayName="Table3567" ref="AE2:AG418" totalsRowShown="0" headerRowBorderDxfId="32" tableBorderDxfId="31">
  <autoFilter ref="AE2:AG418" xr:uid="{6C95EB57-2572-4408-8E0B-5697341530DB}"/>
  <tableColumns count="3">
    <tableColumn id="1" xr3:uid="{1E95FE70-8BC1-4861-A778-B020C45C7C2F}" name="Flag"/>
    <tableColumn id="2" xr3:uid="{6FFEEACF-FCA6-4E2C-9316-590B7B57E309}" name="Regra"/>
    <tableColumn id="3" xr3:uid="{04D9038D-A7AE-4AEF-886F-A60FE4A84577}" name="Ação"/>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27153A-14E7-4BE4-BC7A-EBD5B07EA296}" name="Table13" displayName="Table13" ref="A2:J14" totalsRowShown="0" headerRowDxfId="30">
  <autoFilter ref="A2:J14" xr:uid="{7B27153A-14E7-4BE4-BC7A-EBD5B07EA296}"/>
  <tableColumns count="10">
    <tableColumn id="1" xr3:uid="{25413296-E61B-4EFD-B2AF-206BA5F2CDEF}" name="Área" dataDxfId="29"/>
    <tableColumn id="2" xr3:uid="{28A208CD-14ED-4835-9A8E-FE9B1E07220F}" name="Teste"/>
    <tableColumn id="3" xr3:uid="{D23F490D-DCC0-4211-872B-BB1318827BFB}" name="Tipo"/>
    <tableColumn id="4" xr3:uid="{07532539-4FB7-4DEE-9BC6-D9323F9936C0}" name="Tamanho de Amostra" dataDxfId="28"/>
    <tableColumn id="5" xr3:uid="{0B2CBD0A-CCF7-425C-8CAE-962C298484EC}" name="Frequência"/>
    <tableColumn id="6" xr3:uid="{5D0C53E0-9CAB-4649-BE08-79A03E44D07E}" name="Detalhes"/>
    <tableColumn id="7" xr3:uid="{954918CA-8F60-4489-AC7C-AAA5C19EA9CA}" name="Resultado"/>
    <tableColumn id="10" xr3:uid="{1F973A04-E1AE-49EB-B872-148FB3835CE4}" name="Resumo"/>
    <tableColumn id="8" xr3:uid="{FFCD54CF-3779-4166-9EE2-D9AB8CD28EB8}" name="Data"/>
    <tableColumn id="9" xr3:uid="{E82A3FD5-277C-40A0-8C9B-13BD01BAE029}" name="Próximo" dataDxfId="27">
      <calculatedColumnFormula>IF(AND(F3="ATA",I3="OK"),"12/31/2500",IF(G3="Mensal",EOMONTH(H3,1),IF(G3="Bimestral",EOMONTH(H3,2),IF(G3="Trimestral",EOMONTH(H3,3),IF(G3="Semestral",EOMONTH(H3,6),IF(G3="Anual",EOMONTH(H3,12),IF(G3="5 anos",EOMONTH(H3,60),"")))))))</calculatedColumnFormula>
    </tableColumn>
  </tableColumns>
  <tableStyleInfo name="TableStyleMedium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hyperlink" Target="https://downloads.lote45.com.br/downloads/publish.htm" TargetMode="External"/><Relationship Id="rId2" Type="http://schemas.openxmlformats.org/officeDocument/2006/relationships/hyperlink" Target="mailto:Key@4d4mC4p1t@l" TargetMode="External"/><Relationship Id="rId1" Type="http://schemas.openxmlformats.org/officeDocument/2006/relationships/hyperlink" Target="mailto:Adam@2022!" TargetMode="External"/><Relationship Id="rId6" Type="http://schemas.openxmlformats.org/officeDocument/2006/relationships/drawing" Target="../drawings/drawing3.xml"/><Relationship Id="rId5" Type="http://schemas.openxmlformats.org/officeDocument/2006/relationships/printerSettings" Target="../printerSettings/printerSettings8.bin"/><Relationship Id="rId4" Type="http://schemas.openxmlformats.org/officeDocument/2006/relationships/hyperlink" Target="mailto:Key@4d4mC4p1t@l"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s://ditcportal.secure.ky/" TargetMode="External"/></Relationships>
</file>

<file path=xl/worksheets/_rels/sheet28.xml.rels><?xml version="1.0" encoding="UTF-8" standalone="yes"?>
<Relationships xmlns="http://schemas.openxmlformats.org/package/2006/relationships"><Relationship Id="rId8" Type="http://schemas.openxmlformats.org/officeDocument/2006/relationships/hyperlink" Target="mailto:daher@adamcapital.com.br" TargetMode="External"/><Relationship Id="rId3" Type="http://schemas.openxmlformats.org/officeDocument/2006/relationships/hyperlink" Target="mailto:landi@adamcapital.com.br" TargetMode="External"/><Relationship Id="rId7" Type="http://schemas.openxmlformats.org/officeDocument/2006/relationships/hyperlink" Target="mailto:santos@adamcapital.com.br" TargetMode="External"/><Relationship Id="rId2" Type="http://schemas.openxmlformats.org/officeDocument/2006/relationships/hyperlink" Target="mailto:appel@adamcapital.com.br" TargetMode="External"/><Relationship Id="rId1" Type="http://schemas.openxmlformats.org/officeDocument/2006/relationships/hyperlink" Target="mailto:carmo@adamcapital.com.br" TargetMode="External"/><Relationship Id="rId6" Type="http://schemas.openxmlformats.org/officeDocument/2006/relationships/hyperlink" Target="mailto:souza@adamcapital.com.br" TargetMode="External"/><Relationship Id="rId11" Type="http://schemas.openxmlformats.org/officeDocument/2006/relationships/printerSettings" Target="../printerSettings/printerSettings17.bin"/><Relationship Id="rId5" Type="http://schemas.openxmlformats.org/officeDocument/2006/relationships/hyperlink" Target="mailto:fontes@adamcapital.com.br" TargetMode="External"/><Relationship Id="rId10" Type="http://schemas.openxmlformats.org/officeDocument/2006/relationships/hyperlink" Target="mailto:compliance@c6bank.com;cadastro.corretora@c6bank.com;rafael.turecki@c6bank.com;vilson.junior@c6bank.com" TargetMode="External"/><Relationship Id="rId4" Type="http://schemas.openxmlformats.org/officeDocument/2006/relationships/hyperlink" Target="mailto:dias@adamcapital.com.br" TargetMode="External"/><Relationship Id="rId9" Type="http://schemas.openxmlformats.org/officeDocument/2006/relationships/hyperlink" Target="mailto:bandeira@adamcapital.com.br" TargetMode="External"/></Relationships>
</file>

<file path=xl/worksheets/_rels/sheet31.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55324-247E-4B1B-83B5-53733067F10D}">
  <sheetPr codeName="Sheet19">
    <tabColor theme="9" tint="0.79998168889431442"/>
  </sheetPr>
  <dimension ref="A1:U27"/>
  <sheetViews>
    <sheetView showGridLines="0" workbookViewId="0">
      <selection activeCell="D19" sqref="D19"/>
    </sheetView>
  </sheetViews>
  <sheetFormatPr defaultRowHeight="15" x14ac:dyDescent="0.25"/>
  <cols>
    <col min="1" max="1" width="21.85546875" bestFit="1" customWidth="1"/>
    <col min="2" max="2" width="21" bestFit="1" customWidth="1"/>
    <col min="3" max="4" width="22" bestFit="1" customWidth="1"/>
    <col min="5" max="5" width="17.28515625" bestFit="1" customWidth="1"/>
    <col min="6" max="6" width="15" bestFit="1" customWidth="1"/>
    <col min="7" max="7" width="16.5703125" bestFit="1" customWidth="1"/>
    <col min="8" max="8" width="11.85546875" bestFit="1" customWidth="1"/>
    <col min="9" max="9" width="13.5703125" bestFit="1" customWidth="1"/>
    <col min="10" max="10" width="12.7109375" bestFit="1" customWidth="1"/>
    <col min="11" max="11" width="14.42578125" bestFit="1" customWidth="1"/>
    <col min="12" max="12" width="16.7109375" bestFit="1" customWidth="1"/>
    <col min="13" max="13" width="18.42578125" bestFit="1" customWidth="1"/>
    <col min="14" max="14" width="9.85546875" bestFit="1" customWidth="1"/>
    <col min="15" max="16" width="11.42578125" bestFit="1" customWidth="1"/>
    <col min="17" max="17" width="13.140625" bestFit="1" customWidth="1"/>
    <col min="18" max="18" width="9.5703125" bestFit="1" customWidth="1"/>
    <col min="19" max="19" width="11.140625" bestFit="1" customWidth="1"/>
    <col min="20" max="20" width="12.28515625" bestFit="1" customWidth="1"/>
    <col min="21" max="21" width="14" bestFit="1" customWidth="1"/>
    <col min="22" max="22" width="5.7109375" bestFit="1" customWidth="1"/>
  </cols>
  <sheetData>
    <row r="1" spans="1:21" ht="18" customHeight="1" x14ac:dyDescent="0.25">
      <c r="A1" s="27">
        <v>45471</v>
      </c>
      <c r="B1" s="27">
        <f ca="1">WORKDAY(TODAY(),-1)</f>
        <v>45504</v>
      </c>
      <c r="E1" s="27"/>
    </row>
    <row r="3" spans="1:21" ht="15.75" thickBot="1" x14ac:dyDescent="0.3"/>
    <row r="4" spans="1:21" ht="15.75" thickBot="1" x14ac:dyDescent="0.3">
      <c r="A4" s="149" t="s">
        <v>1214</v>
      </c>
      <c r="B4" s="178" t="s">
        <v>1192</v>
      </c>
      <c r="C4" s="176" t="s">
        <v>1193</v>
      </c>
      <c r="D4" s="176" t="s">
        <v>1194</v>
      </c>
      <c r="E4" s="176" t="s">
        <v>1195</v>
      </c>
      <c r="F4" s="176" t="s">
        <v>1196</v>
      </c>
      <c r="G4" s="176" t="s">
        <v>1197</v>
      </c>
      <c r="H4" s="176" t="s">
        <v>1198</v>
      </c>
      <c r="I4" s="176" t="s">
        <v>1199</v>
      </c>
      <c r="J4" s="176" t="s">
        <v>1200</v>
      </c>
      <c r="K4" s="176" t="s">
        <v>1201</v>
      </c>
      <c r="L4" s="176" t="s">
        <v>1202</v>
      </c>
      <c r="M4" s="176" t="s">
        <v>1203</v>
      </c>
      <c r="N4" s="176" t="s">
        <v>1204</v>
      </c>
      <c r="O4" s="176" t="s">
        <v>1205</v>
      </c>
      <c r="P4" s="176" t="s">
        <v>1206</v>
      </c>
      <c r="Q4" s="176" t="s">
        <v>1207</v>
      </c>
      <c r="R4" s="176" t="s">
        <v>1208</v>
      </c>
      <c r="S4" s="176" t="s">
        <v>1209</v>
      </c>
      <c r="T4" s="176" t="s">
        <v>1210</v>
      </c>
      <c r="U4" s="177" t="s">
        <v>1211</v>
      </c>
    </row>
    <row r="5" spans="1:21" ht="15.75" thickBot="1" x14ac:dyDescent="0.3">
      <c r="A5" s="150" t="s">
        <v>612</v>
      </c>
      <c r="B5" s="161"/>
      <c r="C5" s="162"/>
      <c r="D5" s="162"/>
      <c r="E5" s="162"/>
      <c r="F5" s="162"/>
      <c r="G5" s="162"/>
      <c r="H5" s="162"/>
      <c r="I5" s="162"/>
      <c r="J5" s="162"/>
      <c r="K5" s="162"/>
      <c r="L5" s="162"/>
      <c r="M5" s="162"/>
      <c r="N5" s="162"/>
      <c r="O5" s="162"/>
      <c r="P5" s="162"/>
      <c r="Q5" s="162"/>
      <c r="R5" s="162"/>
      <c r="S5" s="162"/>
      <c r="T5" s="162"/>
      <c r="U5" s="163"/>
    </row>
    <row r="6" spans="1:21" ht="15.75" thickBot="1" x14ac:dyDescent="0.3">
      <c r="A6" s="150" t="s">
        <v>5</v>
      </c>
      <c r="B6" s="150"/>
      <c r="C6" t="s">
        <v>2057</v>
      </c>
    </row>
    <row r="9" spans="1:21" ht="15.75" thickBot="1" x14ac:dyDescent="0.3"/>
    <row r="10" spans="1:21" ht="15.75" thickBot="1" x14ac:dyDescent="0.3">
      <c r="A10" s="149" t="s">
        <v>1215</v>
      </c>
      <c r="B10" s="176" t="s">
        <v>2178</v>
      </c>
      <c r="C10" s="176" t="s">
        <v>2179</v>
      </c>
      <c r="D10" s="177" t="s">
        <v>2180</v>
      </c>
      <c r="E10" s="156"/>
    </row>
    <row r="11" spans="1:21" ht="15.75" thickBot="1" x14ac:dyDescent="0.3">
      <c r="A11" s="150" t="s">
        <v>612</v>
      </c>
      <c r="B11" s="161"/>
      <c r="C11" s="162"/>
      <c r="D11" s="214"/>
      <c r="E11" s="156"/>
    </row>
    <row r="12" spans="1:21" ht="15.75" thickBot="1" x14ac:dyDescent="0.3">
      <c r="A12" s="150" t="s">
        <v>5</v>
      </c>
      <c r="B12" s="150"/>
    </row>
    <row r="15" spans="1:21" ht="15.75" thickBot="1" x14ac:dyDescent="0.3"/>
    <row r="16" spans="1:21" ht="15.75" thickBot="1" x14ac:dyDescent="0.3">
      <c r="A16" s="149" t="s">
        <v>1216</v>
      </c>
      <c r="B16" s="151" t="s">
        <v>2441</v>
      </c>
      <c r="C16" s="177" t="s">
        <v>2442</v>
      </c>
    </row>
    <row r="17" spans="1:13" ht="15.75" thickBot="1" x14ac:dyDescent="0.3">
      <c r="A17" s="150" t="s">
        <v>612</v>
      </c>
      <c r="B17" s="214"/>
      <c r="C17" s="214"/>
    </row>
    <row r="18" spans="1:13" ht="15.75" thickBot="1" x14ac:dyDescent="0.3">
      <c r="A18" s="150" t="s">
        <v>5</v>
      </c>
      <c r="G18" s="50"/>
    </row>
    <row r="19" spans="1:13" x14ac:dyDescent="0.25">
      <c r="F19" s="213"/>
    </row>
    <row r="20" spans="1:13" ht="15.75" thickBot="1" x14ac:dyDescent="0.3"/>
    <row r="21" spans="1:13" x14ac:dyDescent="0.25">
      <c r="A21" s="149" t="s">
        <v>1217</v>
      </c>
      <c r="M21" s="203"/>
    </row>
    <row r="22" spans="1:13" ht="15.75" thickBot="1" x14ac:dyDescent="0.3">
      <c r="A22" s="150" t="s">
        <v>612</v>
      </c>
    </row>
    <row r="23" spans="1:13" ht="15.75" thickBot="1" x14ac:dyDescent="0.3">
      <c r="A23" s="150" t="s">
        <v>5</v>
      </c>
      <c r="M23" s="203"/>
    </row>
    <row r="24" spans="1:13" ht="15.75" thickBot="1" x14ac:dyDescent="0.3"/>
    <row r="25" spans="1:13" x14ac:dyDescent="0.25">
      <c r="A25" s="149" t="s">
        <v>1218</v>
      </c>
    </row>
    <row r="26" spans="1:13" ht="15.75" thickBot="1" x14ac:dyDescent="0.3">
      <c r="A26" s="150" t="s">
        <v>612</v>
      </c>
    </row>
    <row r="27" spans="1:13" ht="15.75" thickBot="1" x14ac:dyDescent="0.3">
      <c r="A27" s="150" t="s">
        <v>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61A1B-0857-4E5B-8832-FBC6C642B647}">
  <sheetPr codeName="Sheet27"/>
  <dimension ref="A1:F760"/>
  <sheetViews>
    <sheetView workbookViewId="0">
      <selection activeCell="C23" sqref="C23"/>
    </sheetView>
  </sheetViews>
  <sheetFormatPr defaultRowHeight="15" x14ac:dyDescent="0.25"/>
  <cols>
    <col min="1" max="1" width="10.140625" style="27" customWidth="1"/>
    <col min="2" max="5" width="32.28515625" bestFit="1" customWidth="1"/>
    <col min="6" max="6" width="96.5703125" bestFit="1" customWidth="1"/>
  </cols>
  <sheetData>
    <row r="1" spans="1:6" x14ac:dyDescent="0.25">
      <c r="A1" s="155" t="s">
        <v>0</v>
      </c>
      <c r="B1" s="5" t="s">
        <v>10</v>
      </c>
      <c r="C1" s="5" t="s">
        <v>8</v>
      </c>
      <c r="D1" s="5" t="s">
        <v>9</v>
      </c>
      <c r="E1" s="5" t="s">
        <v>11</v>
      </c>
      <c r="F1" s="5" t="s">
        <v>5</v>
      </c>
    </row>
    <row r="2" spans="1:6" x14ac:dyDescent="0.25">
      <c r="A2" s="4">
        <v>44713</v>
      </c>
      <c r="B2" s="6" t="s">
        <v>47</v>
      </c>
      <c r="C2" s="6" t="s">
        <v>47</v>
      </c>
      <c r="D2" s="6" t="s">
        <v>47</v>
      </c>
      <c r="E2" s="2" t="s">
        <v>587</v>
      </c>
      <c r="F2" s="3"/>
    </row>
    <row r="3" spans="1:6" x14ac:dyDescent="0.25">
      <c r="A3" s="4">
        <v>44714</v>
      </c>
      <c r="B3" s="6" t="s">
        <v>47</v>
      </c>
      <c r="C3" s="6" t="s">
        <v>47</v>
      </c>
      <c r="D3" s="6" t="s">
        <v>47</v>
      </c>
      <c r="E3" s="2" t="s">
        <v>587</v>
      </c>
      <c r="F3" s="3"/>
    </row>
    <row r="4" spans="1:6" x14ac:dyDescent="0.25">
      <c r="A4" s="4">
        <v>44715</v>
      </c>
      <c r="B4" s="6" t="s">
        <v>47</v>
      </c>
      <c r="C4" s="6" t="s">
        <v>47</v>
      </c>
      <c r="D4" s="6" t="s">
        <v>47</v>
      </c>
      <c r="E4" s="2" t="s">
        <v>587</v>
      </c>
      <c r="F4" s="3"/>
    </row>
    <row r="5" spans="1:6" x14ac:dyDescent="0.25">
      <c r="A5" s="4">
        <v>44718</v>
      </c>
      <c r="B5" s="6" t="s">
        <v>47</v>
      </c>
      <c r="C5" s="6" t="s">
        <v>47</v>
      </c>
      <c r="D5" s="6" t="s">
        <v>47</v>
      </c>
      <c r="E5" s="2" t="s">
        <v>587</v>
      </c>
      <c r="F5" s="3"/>
    </row>
    <row r="6" spans="1:6" x14ac:dyDescent="0.25">
      <c r="A6" s="4">
        <v>44719</v>
      </c>
      <c r="B6" s="6" t="s">
        <v>47</v>
      </c>
      <c r="C6" s="6" t="s">
        <v>47</v>
      </c>
      <c r="D6" s="6" t="s">
        <v>47</v>
      </c>
      <c r="E6" s="2" t="s">
        <v>587</v>
      </c>
      <c r="F6" s="3"/>
    </row>
    <row r="7" spans="1:6" x14ac:dyDescent="0.25">
      <c r="A7" s="4">
        <v>44720</v>
      </c>
      <c r="B7" s="6" t="s">
        <v>47</v>
      </c>
      <c r="C7" s="6" t="s">
        <v>47</v>
      </c>
      <c r="D7" s="6" t="s">
        <v>47</v>
      </c>
      <c r="E7" s="2" t="s">
        <v>587</v>
      </c>
      <c r="F7" s="3"/>
    </row>
    <row r="8" spans="1:6" x14ac:dyDescent="0.25">
      <c r="A8" s="4">
        <v>44721</v>
      </c>
      <c r="B8" s="6" t="s">
        <v>47</v>
      </c>
      <c r="C8" s="6" t="s">
        <v>47</v>
      </c>
      <c r="D8" s="6" t="s">
        <v>47</v>
      </c>
      <c r="E8" s="2" t="s">
        <v>587</v>
      </c>
      <c r="F8" s="3"/>
    </row>
    <row r="9" spans="1:6" x14ac:dyDescent="0.25">
      <c r="A9" s="4">
        <v>44722</v>
      </c>
      <c r="B9" s="6" t="s">
        <v>47</v>
      </c>
      <c r="C9" s="6" t="s">
        <v>47</v>
      </c>
      <c r="D9" s="6" t="s">
        <v>47</v>
      </c>
      <c r="E9" s="2" t="s">
        <v>587</v>
      </c>
      <c r="F9" s="3"/>
    </row>
    <row r="10" spans="1:6" x14ac:dyDescent="0.25">
      <c r="A10" s="4">
        <v>44725</v>
      </c>
      <c r="B10" s="6" t="s">
        <v>47</v>
      </c>
      <c r="C10" s="6" t="s">
        <v>47</v>
      </c>
      <c r="D10" s="6" t="s">
        <v>47</v>
      </c>
      <c r="E10" s="2" t="s">
        <v>587</v>
      </c>
      <c r="F10" s="3"/>
    </row>
    <row r="11" spans="1:6" x14ac:dyDescent="0.25">
      <c r="A11" s="4">
        <v>44726</v>
      </c>
      <c r="B11" s="6" t="s">
        <v>47</v>
      </c>
      <c r="C11" s="6" t="s">
        <v>47</v>
      </c>
      <c r="D11" s="6" t="s">
        <v>47</v>
      </c>
      <c r="E11" s="2" t="s">
        <v>587</v>
      </c>
      <c r="F11" s="3"/>
    </row>
    <row r="12" spans="1:6" x14ac:dyDescent="0.25">
      <c r="A12" s="4">
        <v>44727</v>
      </c>
      <c r="B12" s="6" t="s">
        <v>47</v>
      </c>
      <c r="C12" s="6" t="s">
        <v>47</v>
      </c>
      <c r="D12" s="6" t="s">
        <v>47</v>
      </c>
      <c r="E12" s="2" t="s">
        <v>587</v>
      </c>
      <c r="F12" s="3"/>
    </row>
    <row r="13" spans="1:6" x14ac:dyDescent="0.25">
      <c r="A13" s="4">
        <v>44729</v>
      </c>
      <c r="B13" s="6" t="s">
        <v>47</v>
      </c>
      <c r="C13" s="6" t="s">
        <v>47</v>
      </c>
      <c r="D13" s="6" t="s">
        <v>47</v>
      </c>
      <c r="E13" s="2" t="s">
        <v>587</v>
      </c>
      <c r="F13" s="3"/>
    </row>
    <row r="14" spans="1:6" x14ac:dyDescent="0.25">
      <c r="A14" s="4">
        <v>44732</v>
      </c>
      <c r="B14" s="6" t="s">
        <v>47</v>
      </c>
      <c r="C14" s="6" t="s">
        <v>47</v>
      </c>
      <c r="D14" s="6" t="s">
        <v>47</v>
      </c>
      <c r="E14" s="2" t="s">
        <v>587</v>
      </c>
      <c r="F14" s="3"/>
    </row>
    <row r="15" spans="1:6" x14ac:dyDescent="0.25">
      <c r="A15" s="4">
        <v>44733</v>
      </c>
      <c r="B15" s="6" t="s">
        <v>47</v>
      </c>
      <c r="C15" s="6" t="s">
        <v>47</v>
      </c>
      <c r="D15" s="6" t="s">
        <v>47</v>
      </c>
      <c r="E15" s="2" t="s">
        <v>587</v>
      </c>
      <c r="F15" s="3"/>
    </row>
    <row r="16" spans="1:6" x14ac:dyDescent="0.25">
      <c r="A16" s="4">
        <v>44734</v>
      </c>
      <c r="B16" s="6" t="s">
        <v>47</v>
      </c>
      <c r="C16" s="6" t="s">
        <v>47</v>
      </c>
      <c r="D16" s="6" t="s">
        <v>47</v>
      </c>
      <c r="E16" s="2" t="s">
        <v>587</v>
      </c>
      <c r="F16" s="3"/>
    </row>
    <row r="17" spans="1:6" x14ac:dyDescent="0.25">
      <c r="A17" s="4">
        <v>44735</v>
      </c>
      <c r="B17" s="6" t="s">
        <v>47</v>
      </c>
      <c r="C17" s="6" t="s">
        <v>47</v>
      </c>
      <c r="D17" s="6" t="s">
        <v>47</v>
      </c>
      <c r="E17" s="2" t="s">
        <v>587</v>
      </c>
      <c r="F17" s="3"/>
    </row>
    <row r="18" spans="1:6" x14ac:dyDescent="0.25">
      <c r="A18" s="4">
        <v>44736</v>
      </c>
      <c r="B18" s="6" t="s">
        <v>47</v>
      </c>
      <c r="C18" s="6" t="s">
        <v>47</v>
      </c>
      <c r="D18" s="6" t="s">
        <v>47</v>
      </c>
      <c r="E18" s="2" t="s">
        <v>587</v>
      </c>
      <c r="F18" s="3"/>
    </row>
    <row r="19" spans="1:6" x14ac:dyDescent="0.25">
      <c r="A19" s="4">
        <v>44739</v>
      </c>
      <c r="B19" s="6" t="s">
        <v>47</v>
      </c>
      <c r="C19" s="6" t="s">
        <v>47</v>
      </c>
      <c r="D19" s="6" t="s">
        <v>47</v>
      </c>
      <c r="E19" s="2" t="s">
        <v>587</v>
      </c>
      <c r="F19" s="3"/>
    </row>
    <row r="20" spans="1:6" x14ac:dyDescent="0.25">
      <c r="A20" s="4">
        <v>44740</v>
      </c>
      <c r="B20" s="6" t="s">
        <v>47</v>
      </c>
      <c r="C20" s="6" t="s">
        <v>47</v>
      </c>
      <c r="D20" s="6" t="s">
        <v>47</v>
      </c>
      <c r="E20" s="2" t="s">
        <v>587</v>
      </c>
      <c r="F20" s="3"/>
    </row>
    <row r="21" spans="1:6" x14ac:dyDescent="0.25">
      <c r="A21" s="4">
        <v>44741</v>
      </c>
      <c r="B21" s="6" t="s">
        <v>47</v>
      </c>
      <c r="C21" s="6" t="s">
        <v>47</v>
      </c>
      <c r="D21" s="6" t="s">
        <v>47</v>
      </c>
      <c r="E21" s="2" t="s">
        <v>587</v>
      </c>
      <c r="F21" s="3"/>
    </row>
    <row r="22" spans="1:6" x14ac:dyDescent="0.25">
      <c r="A22" s="4">
        <v>44742</v>
      </c>
      <c r="B22" s="6" t="s">
        <v>47</v>
      </c>
      <c r="C22" s="6" t="s">
        <v>47</v>
      </c>
      <c r="D22" s="6" t="s">
        <v>47</v>
      </c>
      <c r="E22" s="2" t="s">
        <v>587</v>
      </c>
      <c r="F22" s="3"/>
    </row>
    <row r="23" spans="1:6" x14ac:dyDescent="0.25">
      <c r="A23" s="4">
        <v>44743</v>
      </c>
      <c r="B23" s="6" t="s">
        <v>47</v>
      </c>
      <c r="C23" s="6" t="s">
        <v>47</v>
      </c>
      <c r="D23" s="6" t="s">
        <v>47</v>
      </c>
      <c r="E23" s="2" t="s">
        <v>587</v>
      </c>
      <c r="F23" s="3"/>
    </row>
    <row r="24" spans="1:6" x14ac:dyDescent="0.25">
      <c r="A24" s="4">
        <v>44746</v>
      </c>
      <c r="B24" s="6" t="s">
        <v>47</v>
      </c>
      <c r="C24" s="6" t="s">
        <v>47</v>
      </c>
      <c r="D24" s="6" t="s">
        <v>47</v>
      </c>
      <c r="E24" s="2" t="s">
        <v>587</v>
      </c>
      <c r="F24" s="3"/>
    </row>
    <row r="25" spans="1:6" x14ac:dyDescent="0.25">
      <c r="A25" s="4">
        <v>44747</v>
      </c>
      <c r="B25" s="6" t="s">
        <v>47</v>
      </c>
      <c r="C25" s="6" t="s">
        <v>47</v>
      </c>
      <c r="D25" s="6" t="s">
        <v>47</v>
      </c>
      <c r="E25" s="2" t="s">
        <v>587</v>
      </c>
      <c r="F25" s="3"/>
    </row>
    <row r="26" spans="1:6" x14ac:dyDescent="0.25">
      <c r="A26" s="4">
        <v>44748</v>
      </c>
      <c r="B26" s="6" t="s">
        <v>47</v>
      </c>
      <c r="C26" s="6" t="s">
        <v>47</v>
      </c>
      <c r="D26" s="6" t="s">
        <v>47</v>
      </c>
      <c r="E26" s="2" t="s">
        <v>587</v>
      </c>
      <c r="F26" s="3"/>
    </row>
    <row r="27" spans="1:6" x14ac:dyDescent="0.25">
      <c r="A27" s="4">
        <v>44749</v>
      </c>
      <c r="B27" s="6" t="s">
        <v>47</v>
      </c>
      <c r="C27" s="6" t="s">
        <v>47</v>
      </c>
      <c r="D27" s="6" t="s">
        <v>47</v>
      </c>
      <c r="E27" s="2" t="s">
        <v>587</v>
      </c>
      <c r="F27" s="3"/>
    </row>
    <row r="28" spans="1:6" x14ac:dyDescent="0.25">
      <c r="A28" s="4">
        <v>44750</v>
      </c>
      <c r="B28" s="6" t="s">
        <v>47</v>
      </c>
      <c r="C28" s="6" t="s">
        <v>47</v>
      </c>
      <c r="D28" s="6" t="s">
        <v>47</v>
      </c>
      <c r="E28" s="2" t="s">
        <v>587</v>
      </c>
      <c r="F28" s="3"/>
    </row>
    <row r="29" spans="1:6" x14ac:dyDescent="0.25">
      <c r="A29" s="4">
        <v>44753</v>
      </c>
      <c r="B29" s="6" t="s">
        <v>47</v>
      </c>
      <c r="C29" s="6" t="s">
        <v>47</v>
      </c>
      <c r="D29" s="6" t="s">
        <v>47</v>
      </c>
      <c r="E29" s="2" t="s">
        <v>587</v>
      </c>
      <c r="F29" s="3"/>
    </row>
    <row r="30" spans="1:6" x14ac:dyDescent="0.25">
      <c r="A30" s="4">
        <v>44754</v>
      </c>
      <c r="B30" s="6" t="s">
        <v>47</v>
      </c>
      <c r="C30" s="6" t="s">
        <v>47</v>
      </c>
      <c r="D30" s="6" t="s">
        <v>47</v>
      </c>
      <c r="E30" s="2" t="s">
        <v>587</v>
      </c>
      <c r="F30" s="3"/>
    </row>
    <row r="31" spans="1:6" x14ac:dyDescent="0.25">
      <c r="A31" s="4">
        <v>44755</v>
      </c>
      <c r="B31" s="6" t="s">
        <v>47</v>
      </c>
      <c r="C31" s="6" t="s">
        <v>47</v>
      </c>
      <c r="D31" s="6" t="s">
        <v>47</v>
      </c>
      <c r="E31" s="2" t="s">
        <v>587</v>
      </c>
      <c r="F31" s="3"/>
    </row>
    <row r="32" spans="1:6" x14ac:dyDescent="0.25">
      <c r="A32" s="4">
        <v>44756</v>
      </c>
      <c r="B32" s="6" t="s">
        <v>47</v>
      </c>
      <c r="C32" s="6" t="s">
        <v>47</v>
      </c>
      <c r="D32" s="6" t="s">
        <v>47</v>
      </c>
      <c r="E32" s="2" t="s">
        <v>587</v>
      </c>
      <c r="F32" s="3"/>
    </row>
    <row r="33" spans="1:6" x14ac:dyDescent="0.25">
      <c r="A33" s="4">
        <v>44757</v>
      </c>
      <c r="B33" s="6" t="s">
        <v>47</v>
      </c>
      <c r="C33" s="6" t="s">
        <v>47</v>
      </c>
      <c r="D33" s="6" t="s">
        <v>47</v>
      </c>
      <c r="E33" s="2" t="s">
        <v>587</v>
      </c>
      <c r="F33" s="3"/>
    </row>
    <row r="34" spans="1:6" x14ac:dyDescent="0.25">
      <c r="A34" s="4">
        <v>44760</v>
      </c>
      <c r="B34" s="6" t="s">
        <v>47</v>
      </c>
      <c r="C34" s="6" t="s">
        <v>47</v>
      </c>
      <c r="D34" s="6" t="s">
        <v>47</v>
      </c>
      <c r="E34" s="2" t="s">
        <v>587</v>
      </c>
      <c r="F34" s="3"/>
    </row>
    <row r="35" spans="1:6" x14ac:dyDescent="0.25">
      <c r="A35" s="4">
        <v>44761</v>
      </c>
      <c r="B35" s="6" t="s">
        <v>47</v>
      </c>
      <c r="C35" s="6" t="s">
        <v>47</v>
      </c>
      <c r="D35" s="6" t="s">
        <v>47</v>
      </c>
      <c r="E35" s="2" t="s">
        <v>587</v>
      </c>
      <c r="F35" s="3"/>
    </row>
    <row r="36" spans="1:6" x14ac:dyDescent="0.25">
      <c r="A36" s="4">
        <v>44762</v>
      </c>
      <c r="B36" s="6" t="s">
        <v>47</v>
      </c>
      <c r="C36" s="6" t="s">
        <v>47</v>
      </c>
      <c r="D36" s="6" t="s">
        <v>47</v>
      </c>
      <c r="E36" s="2" t="s">
        <v>587</v>
      </c>
      <c r="F36" s="3"/>
    </row>
    <row r="37" spans="1:6" x14ac:dyDescent="0.25">
      <c r="A37" s="4">
        <v>44763</v>
      </c>
      <c r="B37" s="6" t="s">
        <v>47</v>
      </c>
      <c r="C37" s="6" t="s">
        <v>47</v>
      </c>
      <c r="D37" s="6" t="s">
        <v>47</v>
      </c>
      <c r="E37" s="2" t="s">
        <v>587</v>
      </c>
      <c r="F37" s="3"/>
    </row>
    <row r="38" spans="1:6" x14ac:dyDescent="0.25">
      <c r="A38" s="4">
        <v>44764</v>
      </c>
      <c r="B38" s="6" t="s">
        <v>47</v>
      </c>
      <c r="C38" s="6" t="s">
        <v>47</v>
      </c>
      <c r="D38" s="6" t="s">
        <v>47</v>
      </c>
      <c r="E38" s="2" t="s">
        <v>587</v>
      </c>
      <c r="F38" s="3"/>
    </row>
    <row r="39" spans="1:6" x14ac:dyDescent="0.25">
      <c r="A39" s="4">
        <v>44767</v>
      </c>
      <c r="B39" s="6" t="s">
        <v>47</v>
      </c>
      <c r="C39" s="6" t="s">
        <v>47</v>
      </c>
      <c r="D39" s="6" t="s">
        <v>47</v>
      </c>
      <c r="E39" s="2" t="s">
        <v>587</v>
      </c>
      <c r="F39" s="3"/>
    </row>
    <row r="40" spans="1:6" x14ac:dyDescent="0.25">
      <c r="A40" s="4">
        <v>44768</v>
      </c>
      <c r="B40" s="6" t="s">
        <v>47</v>
      </c>
      <c r="C40" s="6" t="s">
        <v>47</v>
      </c>
      <c r="D40" s="6" t="s">
        <v>47</v>
      </c>
      <c r="E40" s="2" t="s">
        <v>587</v>
      </c>
      <c r="F40" s="3"/>
    </row>
    <row r="41" spans="1:6" x14ac:dyDescent="0.25">
      <c r="A41" s="4">
        <v>44769</v>
      </c>
      <c r="B41" s="6" t="s">
        <v>47</v>
      </c>
      <c r="C41" s="6" t="s">
        <v>47</v>
      </c>
      <c r="D41" s="6" t="s">
        <v>47</v>
      </c>
      <c r="E41" s="2" t="s">
        <v>587</v>
      </c>
      <c r="F41" s="3"/>
    </row>
    <row r="42" spans="1:6" x14ac:dyDescent="0.25">
      <c r="A42" s="4">
        <v>44770</v>
      </c>
      <c r="B42" s="6" t="s">
        <v>47</v>
      </c>
      <c r="C42" s="6" t="s">
        <v>47</v>
      </c>
      <c r="D42" s="6" t="s">
        <v>47</v>
      </c>
      <c r="E42" s="2" t="s">
        <v>587</v>
      </c>
      <c r="F42" s="3"/>
    </row>
    <row r="43" spans="1:6" x14ac:dyDescent="0.25">
      <c r="A43" s="4">
        <v>44771</v>
      </c>
      <c r="B43" s="6" t="s">
        <v>47</v>
      </c>
      <c r="C43" s="6" t="s">
        <v>47</v>
      </c>
      <c r="D43" s="6" t="s">
        <v>47</v>
      </c>
      <c r="E43" s="2" t="s">
        <v>587</v>
      </c>
      <c r="F43" s="3"/>
    </row>
    <row r="44" spans="1:6" x14ac:dyDescent="0.25">
      <c r="A44" s="4">
        <v>44774</v>
      </c>
      <c r="B44" s="6" t="s">
        <v>47</v>
      </c>
      <c r="C44" s="6" t="s">
        <v>47</v>
      </c>
      <c r="D44" s="6" t="s">
        <v>47</v>
      </c>
      <c r="E44" s="2" t="s">
        <v>587</v>
      </c>
      <c r="F44" s="3"/>
    </row>
    <row r="45" spans="1:6" x14ac:dyDescent="0.25">
      <c r="A45" s="4">
        <v>44775</v>
      </c>
      <c r="B45" s="6" t="s">
        <v>47</v>
      </c>
      <c r="C45" s="6" t="s">
        <v>47</v>
      </c>
      <c r="D45" s="6" t="s">
        <v>47</v>
      </c>
      <c r="E45" s="2" t="s">
        <v>587</v>
      </c>
      <c r="F45" s="3"/>
    </row>
    <row r="46" spans="1:6" x14ac:dyDescent="0.25">
      <c r="A46" s="4">
        <v>44776</v>
      </c>
      <c r="B46" s="6" t="s">
        <v>47</v>
      </c>
      <c r="C46" s="6" t="s">
        <v>47</v>
      </c>
      <c r="D46" s="6" t="s">
        <v>47</v>
      </c>
      <c r="E46" s="2" t="s">
        <v>587</v>
      </c>
      <c r="F46" s="3"/>
    </row>
    <row r="47" spans="1:6" x14ac:dyDescent="0.25">
      <c r="A47" s="4">
        <v>44777</v>
      </c>
      <c r="B47" s="6" t="s">
        <v>47</v>
      </c>
      <c r="C47" s="6" t="s">
        <v>47</v>
      </c>
      <c r="D47" s="6" t="s">
        <v>47</v>
      </c>
      <c r="E47" s="2" t="s">
        <v>587</v>
      </c>
      <c r="F47" s="3"/>
    </row>
    <row r="48" spans="1:6" x14ac:dyDescent="0.25">
      <c r="A48" s="4">
        <v>44778</v>
      </c>
      <c r="B48" s="6" t="s">
        <v>47</v>
      </c>
      <c r="C48" s="6" t="s">
        <v>47</v>
      </c>
      <c r="D48" s="6" t="s">
        <v>47</v>
      </c>
      <c r="E48" s="2" t="s">
        <v>587</v>
      </c>
      <c r="F48" s="3"/>
    </row>
    <row r="49" spans="1:6" x14ac:dyDescent="0.25">
      <c r="A49" s="4">
        <v>44781</v>
      </c>
      <c r="B49" s="6" t="s">
        <v>47</v>
      </c>
      <c r="C49" s="6" t="s">
        <v>47</v>
      </c>
      <c r="D49" s="6" t="s">
        <v>47</v>
      </c>
      <c r="E49" s="2" t="s">
        <v>587</v>
      </c>
      <c r="F49" s="3"/>
    </row>
    <row r="50" spans="1:6" x14ac:dyDescent="0.25">
      <c r="A50" s="4">
        <v>44782</v>
      </c>
      <c r="B50" s="6" t="s">
        <v>47</v>
      </c>
      <c r="C50" s="6" t="s">
        <v>47</v>
      </c>
      <c r="D50" s="6" t="s">
        <v>47</v>
      </c>
      <c r="E50" s="2" t="s">
        <v>587</v>
      </c>
      <c r="F50" s="3"/>
    </row>
    <row r="51" spans="1:6" x14ac:dyDescent="0.25">
      <c r="A51" s="4">
        <v>44783</v>
      </c>
      <c r="B51" s="6" t="s">
        <v>47</v>
      </c>
      <c r="C51" s="6" t="s">
        <v>47</v>
      </c>
      <c r="D51" s="6" t="s">
        <v>47</v>
      </c>
      <c r="E51" s="2" t="s">
        <v>587</v>
      </c>
      <c r="F51" s="3"/>
    </row>
    <row r="52" spans="1:6" x14ac:dyDescent="0.25">
      <c r="A52" s="4">
        <v>44784</v>
      </c>
      <c r="B52" s="6" t="s">
        <v>47</v>
      </c>
      <c r="C52" s="6" t="s">
        <v>47</v>
      </c>
      <c r="D52" s="6" t="s">
        <v>47</v>
      </c>
      <c r="E52" s="2" t="s">
        <v>587</v>
      </c>
      <c r="F52" s="3"/>
    </row>
    <row r="53" spans="1:6" x14ac:dyDescent="0.25">
      <c r="A53" s="4">
        <v>44785</v>
      </c>
      <c r="B53" s="6" t="s">
        <v>47</v>
      </c>
      <c r="C53" s="6" t="s">
        <v>47</v>
      </c>
      <c r="D53" s="6" t="s">
        <v>47</v>
      </c>
      <c r="E53" s="2" t="s">
        <v>587</v>
      </c>
      <c r="F53" s="3"/>
    </row>
    <row r="54" spans="1:6" x14ac:dyDescent="0.25">
      <c r="A54" s="4">
        <v>44788</v>
      </c>
      <c r="B54" s="6" t="s">
        <v>47</v>
      </c>
      <c r="C54" s="6"/>
      <c r="D54" s="6" t="s">
        <v>47</v>
      </c>
      <c r="E54" s="2" t="s">
        <v>944</v>
      </c>
      <c r="F54" s="3" t="s">
        <v>531</v>
      </c>
    </row>
    <row r="55" spans="1:6" x14ac:dyDescent="0.25">
      <c r="A55" s="4">
        <v>44789</v>
      </c>
      <c r="B55" s="6" t="s">
        <v>47</v>
      </c>
      <c r="C55" s="6" t="s">
        <v>47</v>
      </c>
      <c r="D55" s="6" t="s">
        <v>47</v>
      </c>
      <c r="E55" s="2" t="s">
        <v>587</v>
      </c>
      <c r="F55" s="3"/>
    </row>
    <row r="56" spans="1:6" x14ac:dyDescent="0.25">
      <c r="A56" s="4">
        <v>44790</v>
      </c>
      <c r="B56" s="6" t="s">
        <v>47</v>
      </c>
      <c r="C56" s="6" t="s">
        <v>47</v>
      </c>
      <c r="D56" s="6" t="s">
        <v>47</v>
      </c>
      <c r="E56" s="2" t="s">
        <v>587</v>
      </c>
      <c r="F56" s="3"/>
    </row>
    <row r="57" spans="1:6" x14ac:dyDescent="0.25">
      <c r="A57" s="4">
        <v>44791</v>
      </c>
      <c r="B57" s="6" t="s">
        <v>47</v>
      </c>
      <c r="C57" s="6" t="s">
        <v>47</v>
      </c>
      <c r="D57" s="6" t="s">
        <v>47</v>
      </c>
      <c r="E57" s="2" t="s">
        <v>587</v>
      </c>
      <c r="F57" s="3"/>
    </row>
    <row r="58" spans="1:6" x14ac:dyDescent="0.25">
      <c r="A58" s="4">
        <v>44792</v>
      </c>
      <c r="B58" s="6" t="s">
        <v>47</v>
      </c>
      <c r="C58" s="6" t="s">
        <v>47</v>
      </c>
      <c r="D58" s="6" t="s">
        <v>47</v>
      </c>
      <c r="E58" s="2" t="s">
        <v>587</v>
      </c>
      <c r="F58" s="3"/>
    </row>
    <row r="59" spans="1:6" x14ac:dyDescent="0.25">
      <c r="A59" s="4">
        <v>44795</v>
      </c>
      <c r="B59" s="6" t="s">
        <v>47</v>
      </c>
      <c r="C59" s="6" t="s">
        <v>47</v>
      </c>
      <c r="D59" s="6" t="s">
        <v>47</v>
      </c>
      <c r="E59" s="2" t="s">
        <v>587</v>
      </c>
      <c r="F59" s="3"/>
    </row>
    <row r="60" spans="1:6" x14ac:dyDescent="0.25">
      <c r="A60" s="4">
        <v>44796</v>
      </c>
      <c r="B60" s="6" t="s">
        <v>47</v>
      </c>
      <c r="C60" s="6" t="s">
        <v>47</v>
      </c>
      <c r="D60" s="6" t="s">
        <v>47</v>
      </c>
      <c r="E60" s="2" t="s">
        <v>587</v>
      </c>
      <c r="F60" s="3"/>
    </row>
    <row r="61" spans="1:6" x14ac:dyDescent="0.25">
      <c r="A61" s="4">
        <v>44797</v>
      </c>
      <c r="B61" s="6" t="s">
        <v>47</v>
      </c>
      <c r="C61" s="6" t="s">
        <v>47</v>
      </c>
      <c r="D61" s="6" t="s">
        <v>47</v>
      </c>
      <c r="E61" s="2" t="s">
        <v>587</v>
      </c>
      <c r="F61" s="3"/>
    </row>
    <row r="62" spans="1:6" x14ac:dyDescent="0.25">
      <c r="A62" s="4">
        <v>44798</v>
      </c>
      <c r="B62" s="6" t="s">
        <v>47</v>
      </c>
      <c r="C62" s="6" t="s">
        <v>47</v>
      </c>
      <c r="D62" s="6" t="s">
        <v>47</v>
      </c>
      <c r="E62" s="2" t="s">
        <v>587</v>
      </c>
      <c r="F62" s="3"/>
    </row>
    <row r="63" spans="1:6" x14ac:dyDescent="0.25">
      <c r="A63" s="4">
        <v>44799</v>
      </c>
      <c r="B63" s="6" t="s">
        <v>47</v>
      </c>
      <c r="C63" s="6" t="s">
        <v>47</v>
      </c>
      <c r="D63" s="6" t="s">
        <v>47</v>
      </c>
      <c r="E63" s="2" t="s">
        <v>587</v>
      </c>
      <c r="F63" s="3"/>
    </row>
    <row r="64" spans="1:6" x14ac:dyDescent="0.25">
      <c r="A64" s="4">
        <v>44802</v>
      </c>
      <c r="B64" s="6" t="s">
        <v>47</v>
      </c>
      <c r="C64" s="6" t="s">
        <v>47</v>
      </c>
      <c r="D64" s="6" t="s">
        <v>47</v>
      </c>
      <c r="E64" s="2" t="s">
        <v>587</v>
      </c>
      <c r="F64" s="3"/>
    </row>
    <row r="65" spans="1:6" x14ac:dyDescent="0.25">
      <c r="A65" s="4">
        <v>44803</v>
      </c>
      <c r="B65" s="6" t="s">
        <v>47</v>
      </c>
      <c r="C65" s="6" t="s">
        <v>47</v>
      </c>
      <c r="D65" s="6" t="s">
        <v>47</v>
      </c>
      <c r="E65" s="2" t="s">
        <v>587</v>
      </c>
      <c r="F65" s="3"/>
    </row>
    <row r="66" spans="1:6" x14ac:dyDescent="0.25">
      <c r="A66" s="4">
        <v>44804</v>
      </c>
      <c r="B66" s="6" t="s">
        <v>47</v>
      </c>
      <c r="C66" s="6" t="s">
        <v>47</v>
      </c>
      <c r="D66" s="6" t="s">
        <v>47</v>
      </c>
      <c r="E66" s="2" t="s">
        <v>587</v>
      </c>
      <c r="F66" s="3"/>
    </row>
    <row r="67" spans="1:6" x14ac:dyDescent="0.25">
      <c r="A67" s="4">
        <v>44805</v>
      </c>
      <c r="B67" s="6" t="s">
        <v>47</v>
      </c>
      <c r="C67" s="6" t="s">
        <v>47</v>
      </c>
      <c r="D67" s="6" t="s">
        <v>47</v>
      </c>
      <c r="E67" s="2" t="s">
        <v>587</v>
      </c>
      <c r="F67" s="3"/>
    </row>
    <row r="68" spans="1:6" x14ac:dyDescent="0.25">
      <c r="A68" s="4">
        <v>44806</v>
      </c>
      <c r="B68" s="6" t="s">
        <v>47</v>
      </c>
      <c r="C68" s="6" t="s">
        <v>47</v>
      </c>
      <c r="D68" s="6" t="s">
        <v>47</v>
      </c>
      <c r="E68" s="2" t="s">
        <v>587</v>
      </c>
      <c r="F68" s="3"/>
    </row>
    <row r="69" spans="1:6" x14ac:dyDescent="0.25">
      <c r="A69" s="4">
        <v>44809</v>
      </c>
      <c r="B69" s="6" t="s">
        <v>47</v>
      </c>
      <c r="C69" s="6" t="s">
        <v>47</v>
      </c>
      <c r="D69" s="6" t="s">
        <v>47</v>
      </c>
      <c r="E69" s="2" t="s">
        <v>587</v>
      </c>
      <c r="F69" s="3"/>
    </row>
    <row r="70" spans="1:6" x14ac:dyDescent="0.25">
      <c r="A70" s="4">
        <v>44810</v>
      </c>
      <c r="B70" s="6" t="s">
        <v>47</v>
      </c>
      <c r="C70" s="6" t="s">
        <v>47</v>
      </c>
      <c r="D70" s="6" t="s">
        <v>47</v>
      </c>
      <c r="E70" s="2" t="s">
        <v>587</v>
      </c>
      <c r="F70" s="3"/>
    </row>
    <row r="71" spans="1:6" x14ac:dyDescent="0.25">
      <c r="A71" s="4">
        <v>44812</v>
      </c>
      <c r="B71" s="6" t="s">
        <v>47</v>
      </c>
      <c r="C71" s="6" t="s">
        <v>47</v>
      </c>
      <c r="D71" s="6" t="s">
        <v>47</v>
      </c>
      <c r="E71" s="2" t="s">
        <v>587</v>
      </c>
      <c r="F71" s="3"/>
    </row>
    <row r="72" spans="1:6" x14ac:dyDescent="0.25">
      <c r="A72" s="4">
        <v>44813</v>
      </c>
      <c r="B72" s="6" t="s">
        <v>47</v>
      </c>
      <c r="C72" s="6" t="s">
        <v>47</v>
      </c>
      <c r="D72" s="6" t="s">
        <v>47</v>
      </c>
      <c r="E72" s="2" t="s">
        <v>587</v>
      </c>
      <c r="F72" s="3"/>
    </row>
    <row r="73" spans="1:6" x14ac:dyDescent="0.25">
      <c r="A73" s="4">
        <v>44816</v>
      </c>
      <c r="B73" s="6" t="s">
        <v>47</v>
      </c>
      <c r="C73" s="6" t="s">
        <v>47</v>
      </c>
      <c r="D73" s="6" t="s">
        <v>47</v>
      </c>
      <c r="E73" s="2" t="s">
        <v>587</v>
      </c>
      <c r="F73" s="3"/>
    </row>
    <row r="74" spans="1:6" x14ac:dyDescent="0.25">
      <c r="A74" s="4">
        <v>44817</v>
      </c>
      <c r="B74" s="6" t="s">
        <v>47</v>
      </c>
      <c r="C74" s="6"/>
      <c r="D74" s="6" t="s">
        <v>47</v>
      </c>
      <c r="E74" s="2" t="s">
        <v>944</v>
      </c>
      <c r="F74" s="3" t="s">
        <v>614</v>
      </c>
    </row>
    <row r="75" spans="1:6" x14ac:dyDescent="0.25">
      <c r="A75" s="4">
        <v>44818</v>
      </c>
      <c r="B75" s="6" t="s">
        <v>47</v>
      </c>
      <c r="C75" s="6"/>
      <c r="D75" s="6" t="s">
        <v>47</v>
      </c>
      <c r="E75" s="2" t="s">
        <v>944</v>
      </c>
      <c r="F75" s="3" t="s">
        <v>614</v>
      </c>
    </row>
    <row r="76" spans="1:6" x14ac:dyDescent="0.25">
      <c r="A76" s="4">
        <v>44819</v>
      </c>
      <c r="B76" s="6" t="s">
        <v>47</v>
      </c>
      <c r="C76" s="6" t="s">
        <v>47</v>
      </c>
      <c r="D76" s="6" t="s">
        <v>47</v>
      </c>
      <c r="E76" s="2" t="s">
        <v>587</v>
      </c>
      <c r="F76" s="3" t="s">
        <v>733</v>
      </c>
    </row>
    <row r="77" spans="1:6" x14ac:dyDescent="0.25">
      <c r="A77" s="4">
        <v>44820</v>
      </c>
      <c r="B77" s="6" t="s">
        <v>47</v>
      </c>
      <c r="C77" s="6"/>
      <c r="D77" s="6" t="s">
        <v>47</v>
      </c>
      <c r="E77" s="2" t="s">
        <v>944</v>
      </c>
      <c r="F77" s="3" t="s">
        <v>614</v>
      </c>
    </row>
    <row r="78" spans="1:6" x14ac:dyDescent="0.25">
      <c r="A78" s="4">
        <v>44823</v>
      </c>
      <c r="B78" s="6" t="s">
        <v>47</v>
      </c>
      <c r="C78" s="6" t="s">
        <v>47</v>
      </c>
      <c r="D78" s="6" t="s">
        <v>47</v>
      </c>
      <c r="E78" s="2" t="s">
        <v>587</v>
      </c>
      <c r="F78" s="3" t="s">
        <v>733</v>
      </c>
    </row>
    <row r="79" spans="1:6" x14ac:dyDescent="0.25">
      <c r="A79" s="4">
        <v>44824</v>
      </c>
      <c r="B79" s="6" t="s">
        <v>47</v>
      </c>
      <c r="C79" s="6" t="s">
        <v>47</v>
      </c>
      <c r="D79" s="6" t="s">
        <v>47</v>
      </c>
      <c r="E79" s="2" t="s">
        <v>587</v>
      </c>
      <c r="F79" s="3"/>
    </row>
    <row r="80" spans="1:6" x14ac:dyDescent="0.25">
      <c r="A80" s="4">
        <v>44825</v>
      </c>
      <c r="B80" s="6" t="s">
        <v>47</v>
      </c>
      <c r="C80" s="6" t="s">
        <v>47</v>
      </c>
      <c r="D80" s="6" t="s">
        <v>47</v>
      </c>
      <c r="E80" s="2" t="s">
        <v>587</v>
      </c>
      <c r="F80" s="3"/>
    </row>
    <row r="81" spans="1:6" x14ac:dyDescent="0.25">
      <c r="A81" s="4">
        <v>44826</v>
      </c>
      <c r="B81" s="6" t="s">
        <v>47</v>
      </c>
      <c r="C81" s="6" t="s">
        <v>47</v>
      </c>
      <c r="D81" s="6" t="s">
        <v>47</v>
      </c>
      <c r="E81" s="2" t="s">
        <v>587</v>
      </c>
      <c r="F81" s="3" t="s">
        <v>732</v>
      </c>
    </row>
    <row r="82" spans="1:6" x14ac:dyDescent="0.25">
      <c r="A82" s="4">
        <v>44827</v>
      </c>
      <c r="B82" s="6" t="s">
        <v>47</v>
      </c>
      <c r="C82" s="6"/>
      <c r="D82" s="6" t="s">
        <v>47</v>
      </c>
      <c r="E82" s="2" t="s">
        <v>944</v>
      </c>
      <c r="F82" s="3" t="s">
        <v>614</v>
      </c>
    </row>
    <row r="83" spans="1:6" x14ac:dyDescent="0.25">
      <c r="A83" s="4">
        <v>44830</v>
      </c>
      <c r="B83" s="6" t="s">
        <v>47</v>
      </c>
      <c r="C83" s="6" t="s">
        <v>47</v>
      </c>
      <c r="D83" s="6" t="s">
        <v>47</v>
      </c>
      <c r="E83" s="2" t="s">
        <v>587</v>
      </c>
      <c r="F83" s="3"/>
    </row>
    <row r="84" spans="1:6" x14ac:dyDescent="0.25">
      <c r="A84" s="4">
        <v>44831</v>
      </c>
      <c r="B84" s="6" t="s">
        <v>47</v>
      </c>
      <c r="C84" s="6" t="s">
        <v>47</v>
      </c>
      <c r="D84" s="6" t="s">
        <v>47</v>
      </c>
      <c r="E84" s="2" t="s">
        <v>587</v>
      </c>
      <c r="F84" s="3"/>
    </row>
    <row r="85" spans="1:6" x14ac:dyDescent="0.25">
      <c r="A85" s="4">
        <v>44832</v>
      </c>
      <c r="B85" s="6" t="s">
        <v>47</v>
      </c>
      <c r="C85" s="6" t="s">
        <v>47</v>
      </c>
      <c r="D85" s="6" t="s">
        <v>47</v>
      </c>
      <c r="E85" s="2" t="s">
        <v>587</v>
      </c>
      <c r="F85" s="3"/>
    </row>
    <row r="86" spans="1:6" x14ac:dyDescent="0.25">
      <c r="A86" s="4">
        <v>44833</v>
      </c>
      <c r="B86" s="6" t="s">
        <v>47</v>
      </c>
      <c r="C86" s="6" t="s">
        <v>47</v>
      </c>
      <c r="D86" s="6" t="s">
        <v>47</v>
      </c>
      <c r="E86" s="2" t="s">
        <v>587</v>
      </c>
      <c r="F86" s="3"/>
    </row>
    <row r="87" spans="1:6" x14ac:dyDescent="0.25">
      <c r="A87" s="4">
        <v>44834</v>
      </c>
      <c r="B87" s="6" t="s">
        <v>47</v>
      </c>
      <c r="C87" s="6" t="s">
        <v>47</v>
      </c>
      <c r="D87" s="6" t="s">
        <v>47</v>
      </c>
      <c r="E87" s="2" t="s">
        <v>587</v>
      </c>
      <c r="F87" s="3"/>
    </row>
    <row r="88" spans="1:6" x14ac:dyDescent="0.25">
      <c r="A88" s="4">
        <v>44837</v>
      </c>
      <c r="B88" s="6" t="s">
        <v>47</v>
      </c>
      <c r="C88" s="6" t="s">
        <v>47</v>
      </c>
      <c r="D88" s="6" t="s">
        <v>47</v>
      </c>
      <c r="E88" s="2" t="s">
        <v>587</v>
      </c>
      <c r="F88" s="3"/>
    </row>
    <row r="89" spans="1:6" x14ac:dyDescent="0.25">
      <c r="A89" s="4">
        <v>44838</v>
      </c>
      <c r="B89" s="6" t="s">
        <v>47</v>
      </c>
      <c r="C89" s="6" t="s">
        <v>47</v>
      </c>
      <c r="D89" s="6" t="s">
        <v>47</v>
      </c>
      <c r="E89" s="2" t="s">
        <v>587</v>
      </c>
      <c r="F89" s="3"/>
    </row>
    <row r="90" spans="1:6" x14ac:dyDescent="0.25">
      <c r="A90" s="4">
        <v>44839</v>
      </c>
      <c r="B90" s="6" t="s">
        <v>47</v>
      </c>
      <c r="C90" s="6" t="s">
        <v>47</v>
      </c>
      <c r="D90" s="6" t="s">
        <v>47</v>
      </c>
      <c r="E90" s="2" t="s">
        <v>587</v>
      </c>
      <c r="F90" s="3"/>
    </row>
    <row r="91" spans="1:6" x14ac:dyDescent="0.25">
      <c r="A91" s="4">
        <v>44840</v>
      </c>
      <c r="B91" s="6" t="s">
        <v>47</v>
      </c>
      <c r="C91" s="6" t="s">
        <v>47</v>
      </c>
      <c r="D91" s="6" t="s">
        <v>47</v>
      </c>
      <c r="E91" s="2" t="s">
        <v>587</v>
      </c>
      <c r="F91" s="3"/>
    </row>
    <row r="92" spans="1:6" x14ac:dyDescent="0.25">
      <c r="A92" s="4">
        <v>44841</v>
      </c>
      <c r="B92" s="6" t="s">
        <v>47</v>
      </c>
      <c r="C92" s="6" t="s">
        <v>47</v>
      </c>
      <c r="D92" s="6" t="s">
        <v>47</v>
      </c>
      <c r="E92" s="2" t="s">
        <v>587</v>
      </c>
      <c r="F92" s="3"/>
    </row>
    <row r="93" spans="1:6" x14ac:dyDescent="0.25">
      <c r="A93" s="4">
        <v>44844</v>
      </c>
      <c r="B93" s="6" t="s">
        <v>47</v>
      </c>
      <c r="C93" s="6" t="s">
        <v>47</v>
      </c>
      <c r="D93" s="6" t="s">
        <v>47</v>
      </c>
      <c r="E93" s="2" t="s">
        <v>587</v>
      </c>
      <c r="F93" s="3"/>
    </row>
    <row r="94" spans="1:6" x14ac:dyDescent="0.25">
      <c r="A94" s="4">
        <v>44845</v>
      </c>
      <c r="B94" s="6" t="s">
        <v>47</v>
      </c>
      <c r="C94" s="6" t="s">
        <v>47</v>
      </c>
      <c r="D94" s="6" t="s">
        <v>47</v>
      </c>
      <c r="E94" s="2" t="s">
        <v>587</v>
      </c>
      <c r="F94" s="3"/>
    </row>
    <row r="95" spans="1:6" x14ac:dyDescent="0.25">
      <c r="A95" s="4">
        <v>44847</v>
      </c>
      <c r="B95" s="6" t="s">
        <v>47</v>
      </c>
      <c r="C95" s="6" t="s">
        <v>47</v>
      </c>
      <c r="D95" s="6" t="s">
        <v>47</v>
      </c>
      <c r="E95" s="2" t="s">
        <v>587</v>
      </c>
      <c r="F95" s="3"/>
    </row>
    <row r="96" spans="1:6" x14ac:dyDescent="0.25">
      <c r="A96" s="4">
        <v>44848</v>
      </c>
      <c r="B96" s="6" t="s">
        <v>47</v>
      </c>
      <c r="C96" s="6" t="s">
        <v>47</v>
      </c>
      <c r="D96" s="6" t="s">
        <v>47</v>
      </c>
      <c r="E96" s="2" t="s">
        <v>587</v>
      </c>
      <c r="F96" s="3"/>
    </row>
    <row r="97" spans="1:6" x14ac:dyDescent="0.25">
      <c r="A97" s="4">
        <v>44851</v>
      </c>
      <c r="B97" s="6" t="s">
        <v>47</v>
      </c>
      <c r="C97" s="6" t="s">
        <v>47</v>
      </c>
      <c r="D97" s="6" t="s">
        <v>47</v>
      </c>
      <c r="E97" s="2" t="s">
        <v>587</v>
      </c>
      <c r="F97" s="3"/>
    </row>
    <row r="98" spans="1:6" x14ac:dyDescent="0.25">
      <c r="A98" s="4">
        <v>44852</v>
      </c>
      <c r="B98" s="6" t="s">
        <v>47</v>
      </c>
      <c r="C98" s="6" t="s">
        <v>47</v>
      </c>
      <c r="D98" s="6" t="s">
        <v>47</v>
      </c>
      <c r="E98" s="2" t="s">
        <v>587</v>
      </c>
      <c r="F98" s="3"/>
    </row>
    <row r="99" spans="1:6" x14ac:dyDescent="0.25">
      <c r="A99" s="4">
        <v>44853</v>
      </c>
      <c r="B99" s="6" t="s">
        <v>47</v>
      </c>
      <c r="C99" s="6" t="s">
        <v>47</v>
      </c>
      <c r="D99" s="6" t="s">
        <v>47</v>
      </c>
      <c r="E99" s="2" t="s">
        <v>587</v>
      </c>
      <c r="F99" s="3"/>
    </row>
    <row r="100" spans="1:6" x14ac:dyDescent="0.25">
      <c r="A100" s="4">
        <v>44854</v>
      </c>
      <c r="B100" s="6" t="s">
        <v>47</v>
      </c>
      <c r="C100" s="6" t="s">
        <v>47</v>
      </c>
      <c r="D100" s="6" t="s">
        <v>47</v>
      </c>
      <c r="E100" s="2" t="s">
        <v>587</v>
      </c>
      <c r="F100" s="3"/>
    </row>
    <row r="101" spans="1:6" x14ac:dyDescent="0.25">
      <c r="A101" s="4">
        <v>44855</v>
      </c>
      <c r="B101" s="6" t="s">
        <v>47</v>
      </c>
      <c r="C101" s="6" t="s">
        <v>47</v>
      </c>
      <c r="D101" s="6" t="s">
        <v>47</v>
      </c>
      <c r="E101" s="2" t="s">
        <v>587</v>
      </c>
      <c r="F101" s="3"/>
    </row>
    <row r="102" spans="1:6" x14ac:dyDescent="0.25">
      <c r="A102" s="4">
        <v>44858</v>
      </c>
      <c r="B102" s="6" t="s">
        <v>47</v>
      </c>
      <c r="C102" s="6" t="s">
        <v>47</v>
      </c>
      <c r="D102" s="6" t="s">
        <v>47</v>
      </c>
      <c r="E102" s="2" t="s">
        <v>587</v>
      </c>
      <c r="F102" s="3"/>
    </row>
    <row r="103" spans="1:6" x14ac:dyDescent="0.25">
      <c r="A103" s="4">
        <v>44859</v>
      </c>
      <c r="B103" s="6" t="s">
        <v>47</v>
      </c>
      <c r="C103" s="6" t="s">
        <v>47</v>
      </c>
      <c r="D103" s="6" t="s">
        <v>47</v>
      </c>
      <c r="E103" s="2" t="s">
        <v>587</v>
      </c>
      <c r="F103" s="3"/>
    </row>
    <row r="104" spans="1:6" x14ac:dyDescent="0.25">
      <c r="A104" s="4">
        <v>44860</v>
      </c>
      <c r="B104" s="6" t="s">
        <v>47</v>
      </c>
      <c r="C104" s="6" t="s">
        <v>47</v>
      </c>
      <c r="D104" s="6" t="s">
        <v>47</v>
      </c>
      <c r="E104" s="2" t="s">
        <v>587</v>
      </c>
      <c r="F104" s="3"/>
    </row>
    <row r="105" spans="1:6" x14ac:dyDescent="0.25">
      <c r="A105" s="4">
        <v>44861</v>
      </c>
      <c r="B105" s="6" t="s">
        <v>47</v>
      </c>
      <c r="C105" s="6" t="s">
        <v>47</v>
      </c>
      <c r="D105" s="6" t="s">
        <v>47</v>
      </c>
      <c r="E105" s="2" t="s">
        <v>587</v>
      </c>
      <c r="F105" s="3"/>
    </row>
    <row r="106" spans="1:6" x14ac:dyDescent="0.25">
      <c r="A106" s="4">
        <v>44862</v>
      </c>
      <c r="B106" s="6" t="s">
        <v>47</v>
      </c>
      <c r="C106" s="6" t="s">
        <v>47</v>
      </c>
      <c r="D106" s="6" t="s">
        <v>47</v>
      </c>
      <c r="E106" s="2" t="s">
        <v>587</v>
      </c>
      <c r="F106" s="3"/>
    </row>
    <row r="107" spans="1:6" x14ac:dyDescent="0.25">
      <c r="A107" s="4">
        <v>44865</v>
      </c>
      <c r="B107" s="6" t="s">
        <v>47</v>
      </c>
      <c r="C107" s="6" t="s">
        <v>47</v>
      </c>
      <c r="D107" s="6" t="s">
        <v>47</v>
      </c>
      <c r="E107" s="2" t="s">
        <v>587</v>
      </c>
      <c r="F107" s="3"/>
    </row>
    <row r="108" spans="1:6" x14ac:dyDescent="0.25">
      <c r="A108" s="4">
        <v>44866</v>
      </c>
      <c r="B108" s="6" t="s">
        <v>47</v>
      </c>
      <c r="C108" s="6" t="s">
        <v>47</v>
      </c>
      <c r="D108" s="6" t="s">
        <v>47</v>
      </c>
      <c r="E108" s="2" t="s">
        <v>587</v>
      </c>
      <c r="F108" s="3"/>
    </row>
    <row r="109" spans="1:6" x14ac:dyDescent="0.25">
      <c r="A109" s="4">
        <v>44868</v>
      </c>
      <c r="B109" s="6" t="s">
        <v>47</v>
      </c>
      <c r="C109" s="6" t="s">
        <v>47</v>
      </c>
      <c r="D109" s="6" t="s">
        <v>47</v>
      </c>
      <c r="E109" s="2" t="s">
        <v>587</v>
      </c>
      <c r="F109" s="3"/>
    </row>
    <row r="110" spans="1:6" x14ac:dyDescent="0.25">
      <c r="A110" s="4">
        <v>44869</v>
      </c>
      <c r="B110" s="6" t="s">
        <v>47</v>
      </c>
      <c r="C110" s="6" t="s">
        <v>47</v>
      </c>
      <c r="D110" s="6" t="s">
        <v>47</v>
      </c>
      <c r="E110" s="2" t="s">
        <v>587</v>
      </c>
      <c r="F110" s="3"/>
    </row>
    <row r="111" spans="1:6" x14ac:dyDescent="0.25">
      <c r="A111" s="4">
        <v>44872</v>
      </c>
      <c r="B111" s="6" t="s">
        <v>47</v>
      </c>
      <c r="C111" s="6" t="s">
        <v>47</v>
      </c>
      <c r="D111" s="6" t="s">
        <v>47</v>
      </c>
      <c r="E111" s="2" t="s">
        <v>587</v>
      </c>
      <c r="F111" s="3"/>
    </row>
    <row r="112" spans="1:6" x14ac:dyDescent="0.25">
      <c r="A112" s="4">
        <v>44873</v>
      </c>
      <c r="B112" s="6" t="s">
        <v>47</v>
      </c>
      <c r="C112" s="6" t="s">
        <v>47</v>
      </c>
      <c r="D112" s="6" t="s">
        <v>47</v>
      </c>
      <c r="E112" s="2" t="s">
        <v>587</v>
      </c>
      <c r="F112" s="3"/>
    </row>
    <row r="113" spans="1:6" x14ac:dyDescent="0.25">
      <c r="A113" s="4">
        <v>44874</v>
      </c>
      <c r="B113" s="6" t="s">
        <v>47</v>
      </c>
      <c r="C113" s="6" t="s">
        <v>47</v>
      </c>
      <c r="D113" s="6" t="s">
        <v>47</v>
      </c>
      <c r="E113" s="2" t="s">
        <v>587</v>
      </c>
      <c r="F113" s="3"/>
    </row>
    <row r="114" spans="1:6" x14ac:dyDescent="0.25">
      <c r="A114" s="4">
        <v>44875</v>
      </c>
      <c r="B114" s="6" t="s">
        <v>47</v>
      </c>
      <c r="C114" s="6" t="s">
        <v>47</v>
      </c>
      <c r="D114" s="6" t="s">
        <v>47</v>
      </c>
      <c r="E114" s="2" t="s">
        <v>587</v>
      </c>
      <c r="F114" s="3"/>
    </row>
    <row r="115" spans="1:6" x14ac:dyDescent="0.25">
      <c r="A115" s="4">
        <v>44876</v>
      </c>
      <c r="B115" s="6" t="s">
        <v>47</v>
      </c>
      <c r="C115" s="6" t="s">
        <v>47</v>
      </c>
      <c r="D115" s="6" t="s">
        <v>47</v>
      </c>
      <c r="E115" s="2" t="s">
        <v>587</v>
      </c>
      <c r="F115" s="3"/>
    </row>
    <row r="116" spans="1:6" x14ac:dyDescent="0.25">
      <c r="A116" s="4">
        <v>44879</v>
      </c>
      <c r="B116" s="6" t="s">
        <v>47</v>
      </c>
      <c r="C116" s="6" t="s">
        <v>47</v>
      </c>
      <c r="D116" s="6" t="s">
        <v>47</v>
      </c>
      <c r="E116" s="2" t="s">
        <v>587</v>
      </c>
      <c r="F116" s="3"/>
    </row>
    <row r="117" spans="1:6" x14ac:dyDescent="0.25">
      <c r="A117" s="4">
        <v>44880</v>
      </c>
      <c r="B117" s="6" t="s">
        <v>47</v>
      </c>
      <c r="C117" s="6" t="s">
        <v>47</v>
      </c>
      <c r="D117" s="6" t="s">
        <v>47</v>
      </c>
      <c r="E117" s="2" t="s">
        <v>587</v>
      </c>
      <c r="F117" s="3"/>
    </row>
    <row r="118" spans="1:6" x14ac:dyDescent="0.25">
      <c r="A118" s="4">
        <v>44881</v>
      </c>
      <c r="B118" s="6" t="s">
        <v>47</v>
      </c>
      <c r="C118" s="6" t="s">
        <v>47</v>
      </c>
      <c r="D118" s="6" t="s">
        <v>47</v>
      </c>
      <c r="E118" s="2" t="s">
        <v>587</v>
      </c>
      <c r="F118" s="3"/>
    </row>
    <row r="119" spans="1:6" x14ac:dyDescent="0.25">
      <c r="A119" s="4">
        <v>44882</v>
      </c>
      <c r="B119" s="6" t="s">
        <v>47</v>
      </c>
      <c r="C119" s="6" t="s">
        <v>47</v>
      </c>
      <c r="D119" s="6" t="s">
        <v>47</v>
      </c>
      <c r="E119" s="2" t="s">
        <v>587</v>
      </c>
      <c r="F119" s="3"/>
    </row>
    <row r="120" spans="1:6" x14ac:dyDescent="0.25">
      <c r="A120" s="4">
        <v>44883</v>
      </c>
      <c r="B120" s="6" t="s">
        <v>47</v>
      </c>
      <c r="C120" s="6" t="s">
        <v>47</v>
      </c>
      <c r="D120" s="6" t="s">
        <v>47</v>
      </c>
      <c r="E120" s="2" t="s">
        <v>587</v>
      </c>
      <c r="F120" s="3"/>
    </row>
    <row r="121" spans="1:6" x14ac:dyDescent="0.25">
      <c r="A121" s="4">
        <v>44886</v>
      </c>
      <c r="B121" s="6" t="s">
        <v>47</v>
      </c>
      <c r="C121" s="6" t="s">
        <v>47</v>
      </c>
      <c r="D121" s="6" t="s">
        <v>47</v>
      </c>
      <c r="E121" s="2" t="s">
        <v>587</v>
      </c>
      <c r="F121" s="3"/>
    </row>
    <row r="122" spans="1:6" x14ac:dyDescent="0.25">
      <c r="A122" s="4">
        <v>44887</v>
      </c>
      <c r="B122" s="6" t="s">
        <v>47</v>
      </c>
      <c r="C122" s="6" t="s">
        <v>47</v>
      </c>
      <c r="D122" s="6" t="s">
        <v>47</v>
      </c>
      <c r="E122" s="2" t="s">
        <v>587</v>
      </c>
      <c r="F122" s="3"/>
    </row>
    <row r="123" spans="1:6" x14ac:dyDescent="0.25">
      <c r="A123" s="4">
        <v>44888</v>
      </c>
      <c r="B123" s="6" t="s">
        <v>47</v>
      </c>
      <c r="C123" s="6" t="s">
        <v>47</v>
      </c>
      <c r="D123" s="6" t="s">
        <v>47</v>
      </c>
      <c r="E123" s="2" t="s">
        <v>587</v>
      </c>
      <c r="F123" s="3"/>
    </row>
    <row r="124" spans="1:6" x14ac:dyDescent="0.25">
      <c r="A124" s="4">
        <v>44889</v>
      </c>
      <c r="B124" s="6" t="s">
        <v>47</v>
      </c>
      <c r="C124" s="6" t="s">
        <v>47</v>
      </c>
      <c r="D124" s="6" t="s">
        <v>47</v>
      </c>
      <c r="E124" s="2" t="s">
        <v>587</v>
      </c>
      <c r="F124" s="3"/>
    </row>
    <row r="125" spans="1:6" x14ac:dyDescent="0.25">
      <c r="A125" s="4">
        <v>44890</v>
      </c>
      <c r="B125" s="6" t="s">
        <v>47</v>
      </c>
      <c r="C125" s="6" t="s">
        <v>47</v>
      </c>
      <c r="D125" s="6" t="s">
        <v>47</v>
      </c>
      <c r="E125" s="2" t="s">
        <v>587</v>
      </c>
      <c r="F125" s="3"/>
    </row>
    <row r="126" spans="1:6" x14ac:dyDescent="0.25">
      <c r="A126" s="4">
        <v>44891</v>
      </c>
      <c r="B126" s="6" t="s">
        <v>47</v>
      </c>
      <c r="C126" s="6" t="s">
        <v>47</v>
      </c>
      <c r="D126" s="6" t="s">
        <v>47</v>
      </c>
      <c r="E126" s="2" t="s">
        <v>587</v>
      </c>
      <c r="F126" s="3"/>
    </row>
    <row r="127" spans="1:6" x14ac:dyDescent="0.25">
      <c r="A127" s="4">
        <v>44892</v>
      </c>
      <c r="B127" s="6" t="s">
        <v>47</v>
      </c>
      <c r="C127" s="6" t="s">
        <v>47</v>
      </c>
      <c r="D127" s="6" t="s">
        <v>47</v>
      </c>
      <c r="E127" s="2" t="s">
        <v>587</v>
      </c>
      <c r="F127" s="3"/>
    </row>
    <row r="128" spans="1:6" x14ac:dyDescent="0.25">
      <c r="A128" s="4">
        <v>44893</v>
      </c>
      <c r="B128" s="6" t="s">
        <v>47</v>
      </c>
      <c r="C128" s="6" t="s">
        <v>47</v>
      </c>
      <c r="D128" s="6" t="s">
        <v>47</v>
      </c>
      <c r="E128" s="2" t="s">
        <v>587</v>
      </c>
      <c r="F128" s="3"/>
    </row>
    <row r="129" spans="1:6" x14ac:dyDescent="0.25">
      <c r="A129" s="4">
        <v>44894</v>
      </c>
      <c r="B129" s="6" t="s">
        <v>47</v>
      </c>
      <c r="C129" s="6" t="s">
        <v>47</v>
      </c>
      <c r="D129" s="6" t="s">
        <v>47</v>
      </c>
      <c r="E129" s="2" t="s">
        <v>587</v>
      </c>
      <c r="F129" s="3"/>
    </row>
    <row r="130" spans="1:6" x14ac:dyDescent="0.25">
      <c r="A130" s="4">
        <v>44895</v>
      </c>
      <c r="B130" s="6" t="s">
        <v>47</v>
      </c>
      <c r="C130" s="6" t="s">
        <v>47</v>
      </c>
      <c r="D130" s="6" t="s">
        <v>47</v>
      </c>
      <c r="E130" s="2" t="s">
        <v>587</v>
      </c>
      <c r="F130" s="3"/>
    </row>
    <row r="131" spans="1:6" x14ac:dyDescent="0.25">
      <c r="A131" s="4">
        <v>44896</v>
      </c>
      <c r="B131" s="6" t="s">
        <v>47</v>
      </c>
      <c r="C131" s="6" t="s">
        <v>47</v>
      </c>
      <c r="D131" s="6" t="s">
        <v>47</v>
      </c>
      <c r="E131" s="2" t="s">
        <v>587</v>
      </c>
      <c r="F131" s="3"/>
    </row>
    <row r="132" spans="1:6" x14ac:dyDescent="0.25">
      <c r="A132" s="4">
        <v>44897</v>
      </c>
      <c r="B132" s="6" t="s">
        <v>47</v>
      </c>
      <c r="C132" s="6" t="s">
        <v>47</v>
      </c>
      <c r="D132" s="6" t="s">
        <v>47</v>
      </c>
      <c r="E132" s="2" t="s">
        <v>587</v>
      </c>
      <c r="F132" s="3"/>
    </row>
    <row r="133" spans="1:6" x14ac:dyDescent="0.25">
      <c r="A133" s="4">
        <v>44900</v>
      </c>
      <c r="B133" s="6" t="s">
        <v>47</v>
      </c>
      <c r="C133" s="6" t="s">
        <v>47</v>
      </c>
      <c r="D133" s="6" t="s">
        <v>47</v>
      </c>
      <c r="E133" s="2" t="s">
        <v>587</v>
      </c>
      <c r="F133" s="3"/>
    </row>
    <row r="134" spans="1:6" x14ac:dyDescent="0.25">
      <c r="A134" s="4">
        <v>44901</v>
      </c>
      <c r="B134" s="6" t="s">
        <v>47</v>
      </c>
      <c r="C134" s="6" t="s">
        <v>47</v>
      </c>
      <c r="D134" s="6" t="s">
        <v>47</v>
      </c>
      <c r="E134" s="2" t="s">
        <v>587</v>
      </c>
      <c r="F134" s="3"/>
    </row>
    <row r="135" spans="1:6" x14ac:dyDescent="0.25">
      <c r="A135" s="4">
        <v>44902</v>
      </c>
      <c r="B135" s="6" t="s">
        <v>47</v>
      </c>
      <c r="C135" s="6" t="s">
        <v>47</v>
      </c>
      <c r="D135" s="6" t="s">
        <v>47</v>
      </c>
      <c r="E135" s="2" t="s">
        <v>587</v>
      </c>
      <c r="F135" s="3"/>
    </row>
    <row r="136" spans="1:6" x14ac:dyDescent="0.25">
      <c r="A136" s="4">
        <v>44903</v>
      </c>
      <c r="B136" s="6" t="s">
        <v>47</v>
      </c>
      <c r="C136" s="6" t="s">
        <v>47</v>
      </c>
      <c r="D136" s="6" t="s">
        <v>47</v>
      </c>
      <c r="E136" s="2" t="s">
        <v>587</v>
      </c>
      <c r="F136" s="3"/>
    </row>
    <row r="137" spans="1:6" x14ac:dyDescent="0.25">
      <c r="A137" s="4">
        <v>44904</v>
      </c>
      <c r="B137" s="6" t="s">
        <v>47</v>
      </c>
      <c r="C137" s="6" t="s">
        <v>47</v>
      </c>
      <c r="D137" s="6" t="s">
        <v>47</v>
      </c>
      <c r="E137" s="2" t="s">
        <v>587</v>
      </c>
      <c r="F137" s="3"/>
    </row>
    <row r="138" spans="1:6" x14ac:dyDescent="0.25">
      <c r="A138" s="4">
        <v>44907</v>
      </c>
      <c r="B138" s="6" t="s">
        <v>47</v>
      </c>
      <c r="C138" s="6" t="s">
        <v>47</v>
      </c>
      <c r="D138" s="6" t="s">
        <v>47</v>
      </c>
      <c r="E138" s="2" t="s">
        <v>587</v>
      </c>
    </row>
    <row r="139" spans="1:6" x14ac:dyDescent="0.25">
      <c r="A139" s="4">
        <v>44908</v>
      </c>
      <c r="B139" s="6" t="s">
        <v>47</v>
      </c>
      <c r="C139" s="6" t="s">
        <v>47</v>
      </c>
      <c r="D139" s="6" t="s">
        <v>47</v>
      </c>
      <c r="E139" s="2" t="s">
        <v>587</v>
      </c>
    </row>
    <row r="140" spans="1:6" x14ac:dyDescent="0.25">
      <c r="A140" s="4">
        <v>44909</v>
      </c>
      <c r="B140" s="6" t="s">
        <v>47</v>
      </c>
      <c r="C140" s="6" t="s">
        <v>47</v>
      </c>
      <c r="D140" s="6" t="s">
        <v>47</v>
      </c>
      <c r="E140" s="2" t="s">
        <v>587</v>
      </c>
    </row>
    <row r="141" spans="1:6" x14ac:dyDescent="0.25">
      <c r="A141" s="4">
        <v>44910</v>
      </c>
      <c r="B141" s="6" t="s">
        <v>47</v>
      </c>
      <c r="C141" s="6" t="s">
        <v>47</v>
      </c>
      <c r="D141" s="6" t="s">
        <v>47</v>
      </c>
      <c r="E141" s="2" t="s">
        <v>587</v>
      </c>
    </row>
    <row r="142" spans="1:6" x14ac:dyDescent="0.25">
      <c r="A142" s="4">
        <v>44911</v>
      </c>
      <c r="B142" s="6" t="s">
        <v>47</v>
      </c>
      <c r="C142" s="6" t="s">
        <v>47</v>
      </c>
      <c r="D142" s="6" t="s">
        <v>47</v>
      </c>
      <c r="E142" s="2" t="s">
        <v>587</v>
      </c>
    </row>
    <row r="143" spans="1:6" x14ac:dyDescent="0.25">
      <c r="A143" s="4">
        <v>44914</v>
      </c>
      <c r="B143" s="6" t="s">
        <v>47</v>
      </c>
      <c r="C143" s="6" t="s">
        <v>47</v>
      </c>
      <c r="D143" s="6" t="s">
        <v>47</v>
      </c>
      <c r="E143" s="2" t="s">
        <v>587</v>
      </c>
    </row>
    <row r="144" spans="1:6" x14ac:dyDescent="0.25">
      <c r="A144" s="4">
        <v>44915</v>
      </c>
      <c r="B144" s="6" t="s">
        <v>47</v>
      </c>
      <c r="C144" s="6" t="s">
        <v>47</v>
      </c>
      <c r="D144" s="6" t="s">
        <v>47</v>
      </c>
      <c r="E144" s="2" t="s">
        <v>587</v>
      </c>
    </row>
    <row r="145" spans="1:5" x14ac:dyDescent="0.25">
      <c r="A145" s="4">
        <v>44916</v>
      </c>
      <c r="B145" s="6" t="s">
        <v>47</v>
      </c>
      <c r="C145" s="6" t="s">
        <v>47</v>
      </c>
      <c r="D145" s="6" t="s">
        <v>47</v>
      </c>
      <c r="E145" s="2" t="s">
        <v>587</v>
      </c>
    </row>
    <row r="146" spans="1:5" x14ac:dyDescent="0.25">
      <c r="A146" s="4">
        <v>44917</v>
      </c>
      <c r="B146" s="6" t="s">
        <v>47</v>
      </c>
      <c r="C146" s="6" t="s">
        <v>47</v>
      </c>
      <c r="D146" s="6" t="s">
        <v>47</v>
      </c>
      <c r="E146" s="2" t="s">
        <v>587</v>
      </c>
    </row>
    <row r="147" spans="1:5" x14ac:dyDescent="0.25">
      <c r="A147" s="4">
        <v>44918</v>
      </c>
      <c r="B147" s="6" t="s">
        <v>47</v>
      </c>
      <c r="C147" s="6" t="s">
        <v>47</v>
      </c>
      <c r="D147" s="6" t="s">
        <v>47</v>
      </c>
      <c r="E147" s="2" t="s">
        <v>587</v>
      </c>
    </row>
    <row r="148" spans="1:5" x14ac:dyDescent="0.25">
      <c r="A148" s="4">
        <v>44921</v>
      </c>
      <c r="B148" s="6" t="s">
        <v>47</v>
      </c>
      <c r="C148" s="6" t="s">
        <v>47</v>
      </c>
      <c r="D148" s="6" t="s">
        <v>47</v>
      </c>
      <c r="E148" s="2" t="s">
        <v>587</v>
      </c>
    </row>
    <row r="149" spans="1:5" x14ac:dyDescent="0.25">
      <c r="A149" s="4">
        <v>44922</v>
      </c>
      <c r="B149" s="6" t="s">
        <v>47</v>
      </c>
      <c r="C149" s="6" t="s">
        <v>47</v>
      </c>
      <c r="D149" s="6" t="s">
        <v>47</v>
      </c>
      <c r="E149" s="2" t="s">
        <v>587</v>
      </c>
    </row>
    <row r="150" spans="1:5" x14ac:dyDescent="0.25">
      <c r="A150" s="4">
        <v>44923</v>
      </c>
      <c r="B150" s="6" t="s">
        <v>47</v>
      </c>
      <c r="C150" s="6" t="s">
        <v>47</v>
      </c>
      <c r="D150" s="6" t="s">
        <v>47</v>
      </c>
      <c r="E150" s="2" t="s">
        <v>587</v>
      </c>
    </row>
    <row r="151" spans="1:5" x14ac:dyDescent="0.25">
      <c r="A151" s="4">
        <v>44924</v>
      </c>
      <c r="B151" s="6" t="s">
        <v>47</v>
      </c>
      <c r="C151" s="6" t="s">
        <v>47</v>
      </c>
      <c r="D151" s="6" t="s">
        <v>47</v>
      </c>
      <c r="E151" s="2" t="s">
        <v>587</v>
      </c>
    </row>
    <row r="152" spans="1:5" x14ac:dyDescent="0.25">
      <c r="A152" s="4">
        <v>44925</v>
      </c>
      <c r="B152" s="6" t="s">
        <v>47</v>
      </c>
      <c r="C152" s="6" t="s">
        <v>47</v>
      </c>
      <c r="D152" s="6" t="s">
        <v>47</v>
      </c>
      <c r="E152" s="2" t="s">
        <v>587</v>
      </c>
    </row>
    <row r="153" spans="1:5" x14ac:dyDescent="0.25">
      <c r="A153" s="4">
        <v>44928</v>
      </c>
      <c r="B153" s="6" t="s">
        <v>47</v>
      </c>
      <c r="C153" s="6" t="s">
        <v>47</v>
      </c>
      <c r="D153" s="6" t="s">
        <v>47</v>
      </c>
      <c r="E153" s="2" t="s">
        <v>587</v>
      </c>
    </row>
    <row r="154" spans="1:5" x14ac:dyDescent="0.25">
      <c r="A154" s="4">
        <v>44929</v>
      </c>
      <c r="B154" s="6" t="s">
        <v>47</v>
      </c>
      <c r="C154" s="6" t="s">
        <v>47</v>
      </c>
      <c r="D154" s="6" t="s">
        <v>47</v>
      </c>
      <c r="E154" s="2" t="s">
        <v>587</v>
      </c>
    </row>
    <row r="155" spans="1:5" x14ac:dyDescent="0.25">
      <c r="A155" s="4">
        <v>44930</v>
      </c>
      <c r="B155" s="6" t="s">
        <v>47</v>
      </c>
      <c r="C155" s="6" t="s">
        <v>47</v>
      </c>
      <c r="D155" s="6" t="s">
        <v>47</v>
      </c>
      <c r="E155" s="2" t="s">
        <v>587</v>
      </c>
    </row>
    <row r="156" spans="1:5" x14ac:dyDescent="0.25">
      <c r="A156" s="4">
        <v>44931</v>
      </c>
      <c r="B156" s="6" t="s">
        <v>47</v>
      </c>
      <c r="C156" s="6" t="s">
        <v>47</v>
      </c>
      <c r="D156" s="6" t="s">
        <v>47</v>
      </c>
      <c r="E156" s="2" t="s">
        <v>587</v>
      </c>
    </row>
    <row r="157" spans="1:5" x14ac:dyDescent="0.25">
      <c r="A157" s="4">
        <v>44932</v>
      </c>
      <c r="B157" s="6" t="s">
        <v>47</v>
      </c>
      <c r="C157" s="6" t="s">
        <v>47</v>
      </c>
      <c r="D157" s="6" t="s">
        <v>47</v>
      </c>
      <c r="E157" s="2" t="s">
        <v>587</v>
      </c>
    </row>
    <row r="158" spans="1:5" x14ac:dyDescent="0.25">
      <c r="A158" s="4">
        <v>44935</v>
      </c>
      <c r="B158" s="6" t="s">
        <v>47</v>
      </c>
      <c r="C158" s="6" t="s">
        <v>47</v>
      </c>
      <c r="D158" s="6" t="s">
        <v>47</v>
      </c>
      <c r="E158" s="2" t="s">
        <v>587</v>
      </c>
    </row>
    <row r="159" spans="1:5" x14ac:dyDescent="0.25">
      <c r="A159" s="4">
        <v>44936</v>
      </c>
      <c r="B159" s="6" t="s">
        <v>47</v>
      </c>
      <c r="C159" s="6" t="s">
        <v>47</v>
      </c>
      <c r="D159" s="6" t="s">
        <v>47</v>
      </c>
      <c r="E159" s="2" t="s">
        <v>587</v>
      </c>
    </row>
    <row r="160" spans="1:5" x14ac:dyDescent="0.25">
      <c r="A160" s="4">
        <v>44937</v>
      </c>
      <c r="B160" s="6" t="s">
        <v>47</v>
      </c>
      <c r="C160" s="6" t="s">
        <v>47</v>
      </c>
      <c r="D160" s="6" t="s">
        <v>47</v>
      </c>
      <c r="E160" s="2" t="s">
        <v>587</v>
      </c>
    </row>
    <row r="161" spans="1:5" x14ac:dyDescent="0.25">
      <c r="A161" s="4">
        <v>44938</v>
      </c>
      <c r="B161" s="6" t="s">
        <v>47</v>
      </c>
      <c r="C161" s="6" t="s">
        <v>47</v>
      </c>
      <c r="D161" s="6" t="s">
        <v>47</v>
      </c>
      <c r="E161" s="2" t="s">
        <v>587</v>
      </c>
    </row>
    <row r="162" spans="1:5" x14ac:dyDescent="0.25">
      <c r="A162" s="4">
        <v>44939</v>
      </c>
      <c r="B162" s="6" t="s">
        <v>47</v>
      </c>
      <c r="C162" s="6" t="s">
        <v>47</v>
      </c>
      <c r="D162" s="6" t="s">
        <v>47</v>
      </c>
      <c r="E162" s="2" t="s">
        <v>587</v>
      </c>
    </row>
    <row r="163" spans="1:5" x14ac:dyDescent="0.25">
      <c r="A163" s="4">
        <v>44942</v>
      </c>
      <c r="B163" s="6" t="s">
        <v>47</v>
      </c>
      <c r="C163" s="6" t="s">
        <v>47</v>
      </c>
      <c r="D163" s="6" t="s">
        <v>47</v>
      </c>
      <c r="E163" s="2" t="s">
        <v>587</v>
      </c>
    </row>
    <row r="164" spans="1:5" x14ac:dyDescent="0.25">
      <c r="A164" s="4">
        <v>44943</v>
      </c>
      <c r="B164" s="6" t="s">
        <v>47</v>
      </c>
      <c r="C164" s="6" t="s">
        <v>47</v>
      </c>
      <c r="D164" s="6" t="s">
        <v>47</v>
      </c>
      <c r="E164" s="2" t="s">
        <v>587</v>
      </c>
    </row>
    <row r="165" spans="1:5" x14ac:dyDescent="0.25">
      <c r="A165" s="4">
        <v>44944</v>
      </c>
      <c r="B165" s="6" t="s">
        <v>47</v>
      </c>
      <c r="C165" s="6" t="s">
        <v>47</v>
      </c>
      <c r="D165" s="6" t="s">
        <v>47</v>
      </c>
      <c r="E165" s="2" t="s">
        <v>587</v>
      </c>
    </row>
    <row r="166" spans="1:5" x14ac:dyDescent="0.25">
      <c r="A166" s="4">
        <v>44945</v>
      </c>
      <c r="B166" s="6" t="s">
        <v>47</v>
      </c>
      <c r="C166" s="6" t="s">
        <v>47</v>
      </c>
      <c r="D166" s="6" t="s">
        <v>47</v>
      </c>
      <c r="E166" s="2" t="s">
        <v>587</v>
      </c>
    </row>
    <row r="167" spans="1:5" x14ac:dyDescent="0.25">
      <c r="A167" s="4">
        <v>44946</v>
      </c>
      <c r="B167" s="6" t="s">
        <v>47</v>
      </c>
      <c r="C167" s="6" t="s">
        <v>47</v>
      </c>
      <c r="D167" s="6" t="s">
        <v>47</v>
      </c>
      <c r="E167" s="2" t="s">
        <v>587</v>
      </c>
    </row>
    <row r="168" spans="1:5" x14ac:dyDescent="0.25">
      <c r="A168" s="4">
        <v>44949</v>
      </c>
      <c r="B168" s="6" t="s">
        <v>47</v>
      </c>
      <c r="C168" s="6" t="s">
        <v>47</v>
      </c>
      <c r="D168" s="6" t="s">
        <v>47</v>
      </c>
      <c r="E168" s="2" t="s">
        <v>587</v>
      </c>
    </row>
    <row r="169" spans="1:5" x14ac:dyDescent="0.25">
      <c r="A169" s="4">
        <v>44950</v>
      </c>
      <c r="B169" s="6" t="s">
        <v>47</v>
      </c>
      <c r="C169" s="6" t="s">
        <v>47</v>
      </c>
      <c r="D169" s="6" t="s">
        <v>47</v>
      </c>
      <c r="E169" s="2" t="s">
        <v>587</v>
      </c>
    </row>
    <row r="170" spans="1:5" x14ac:dyDescent="0.25">
      <c r="A170" s="4">
        <v>44951</v>
      </c>
      <c r="B170" s="6" t="s">
        <v>47</v>
      </c>
      <c r="C170" s="6" t="s">
        <v>47</v>
      </c>
      <c r="D170" s="6" t="s">
        <v>47</v>
      </c>
      <c r="E170" s="2" t="s">
        <v>587</v>
      </c>
    </row>
    <row r="171" spans="1:5" x14ac:dyDescent="0.25">
      <c r="A171" s="4">
        <v>44952</v>
      </c>
      <c r="B171" s="6" t="s">
        <v>47</v>
      </c>
      <c r="C171" s="6" t="s">
        <v>47</v>
      </c>
      <c r="D171" s="6" t="s">
        <v>47</v>
      </c>
      <c r="E171" s="2" t="s">
        <v>587</v>
      </c>
    </row>
    <row r="172" spans="1:5" x14ac:dyDescent="0.25">
      <c r="A172" s="4">
        <v>44953</v>
      </c>
      <c r="B172" s="6" t="s">
        <v>47</v>
      </c>
      <c r="C172" s="6" t="s">
        <v>47</v>
      </c>
      <c r="D172" s="6" t="s">
        <v>47</v>
      </c>
      <c r="E172" s="2" t="s">
        <v>587</v>
      </c>
    </row>
    <row r="173" spans="1:5" x14ac:dyDescent="0.25">
      <c r="A173" s="4">
        <v>44956</v>
      </c>
      <c r="B173" s="6" t="s">
        <v>47</v>
      </c>
      <c r="C173" s="6" t="s">
        <v>47</v>
      </c>
      <c r="D173" s="6" t="s">
        <v>47</v>
      </c>
      <c r="E173" s="2" t="s">
        <v>587</v>
      </c>
    </row>
    <row r="174" spans="1:5" x14ac:dyDescent="0.25">
      <c r="A174" s="4">
        <v>44957</v>
      </c>
      <c r="B174" s="6" t="s">
        <v>47</v>
      </c>
      <c r="C174" s="6" t="s">
        <v>47</v>
      </c>
      <c r="D174" s="6" t="s">
        <v>47</v>
      </c>
      <c r="E174" s="2" t="s">
        <v>587</v>
      </c>
    </row>
    <row r="175" spans="1:5" x14ac:dyDescent="0.25">
      <c r="A175" s="4">
        <v>44958</v>
      </c>
      <c r="B175" s="6" t="s">
        <v>47</v>
      </c>
      <c r="C175" s="6" t="s">
        <v>47</v>
      </c>
      <c r="D175" s="6" t="s">
        <v>47</v>
      </c>
      <c r="E175" s="2" t="s">
        <v>587</v>
      </c>
    </row>
    <row r="176" spans="1:5" x14ac:dyDescent="0.25">
      <c r="A176" s="4">
        <v>44959</v>
      </c>
      <c r="B176" s="6" t="s">
        <v>47</v>
      </c>
      <c r="C176" s="6" t="s">
        <v>47</v>
      </c>
      <c r="D176" s="6" t="s">
        <v>47</v>
      </c>
      <c r="E176" s="2" t="s">
        <v>587</v>
      </c>
    </row>
    <row r="177" spans="1:6" x14ac:dyDescent="0.25">
      <c r="A177" s="4">
        <v>44960</v>
      </c>
      <c r="B177" s="6" t="s">
        <v>47</v>
      </c>
      <c r="C177" s="6" t="s">
        <v>47</v>
      </c>
      <c r="D177" s="6" t="s">
        <v>47</v>
      </c>
      <c r="E177" s="2" t="s">
        <v>587</v>
      </c>
    </row>
    <row r="178" spans="1:6" x14ac:dyDescent="0.25">
      <c r="A178" s="4">
        <v>44963</v>
      </c>
      <c r="B178" s="6" t="s">
        <v>47</v>
      </c>
      <c r="C178" s="6" t="s">
        <v>47</v>
      </c>
      <c r="D178" s="6" t="s">
        <v>47</v>
      </c>
      <c r="E178" s="2" t="s">
        <v>587</v>
      </c>
    </row>
    <row r="179" spans="1:6" x14ac:dyDescent="0.25">
      <c r="A179" s="4">
        <v>44964</v>
      </c>
      <c r="B179" s="6" t="s">
        <v>47</v>
      </c>
      <c r="C179" s="6" t="s">
        <v>47</v>
      </c>
      <c r="D179" s="6" t="s">
        <v>47</v>
      </c>
      <c r="E179" s="2" t="s">
        <v>587</v>
      </c>
    </row>
    <row r="180" spans="1:6" x14ac:dyDescent="0.25">
      <c r="A180" s="4">
        <v>44965</v>
      </c>
      <c r="B180" s="6" t="s">
        <v>47</v>
      </c>
      <c r="C180" s="6" t="s">
        <v>47</v>
      </c>
      <c r="D180" s="6" t="s">
        <v>47</v>
      </c>
      <c r="E180" s="2" t="s">
        <v>587</v>
      </c>
    </row>
    <row r="181" spans="1:6" x14ac:dyDescent="0.25">
      <c r="A181" s="4">
        <v>44966</v>
      </c>
      <c r="B181" s="6" t="s">
        <v>47</v>
      </c>
      <c r="C181" s="6" t="s">
        <v>47</v>
      </c>
      <c r="D181" s="6" t="s">
        <v>47</v>
      </c>
      <c r="E181" s="2" t="s">
        <v>587</v>
      </c>
    </row>
    <row r="182" spans="1:6" x14ac:dyDescent="0.25">
      <c r="A182" s="4">
        <v>44967</v>
      </c>
      <c r="B182" s="6" t="s">
        <v>47</v>
      </c>
      <c r="C182" s="6" t="s">
        <v>47</v>
      </c>
      <c r="D182" s="6" t="s">
        <v>47</v>
      </c>
      <c r="E182" s="2" t="s">
        <v>587</v>
      </c>
    </row>
    <row r="183" spans="1:6" x14ac:dyDescent="0.25">
      <c r="A183" s="4">
        <v>44970</v>
      </c>
      <c r="B183" s="6" t="s">
        <v>47</v>
      </c>
      <c r="C183" s="6" t="s">
        <v>47</v>
      </c>
      <c r="D183" s="6" t="s">
        <v>47</v>
      </c>
      <c r="E183" s="2" t="s">
        <v>587</v>
      </c>
    </row>
    <row r="184" spans="1:6" x14ac:dyDescent="0.25">
      <c r="A184" s="4">
        <v>44971</v>
      </c>
      <c r="B184" s="6" t="s">
        <v>47</v>
      </c>
      <c r="C184" s="6" t="s">
        <v>47</v>
      </c>
      <c r="D184" s="6" t="s">
        <v>47</v>
      </c>
      <c r="E184" s="2" t="s">
        <v>587</v>
      </c>
    </row>
    <row r="185" spans="1:6" x14ac:dyDescent="0.25">
      <c r="A185" s="4">
        <v>44972</v>
      </c>
      <c r="B185" s="6" t="s">
        <v>47</v>
      </c>
      <c r="C185" s="6" t="s">
        <v>47</v>
      </c>
      <c r="D185" s="6" t="s">
        <v>47</v>
      </c>
      <c r="E185" s="2" t="s">
        <v>587</v>
      </c>
    </row>
    <row r="186" spans="1:6" x14ac:dyDescent="0.25">
      <c r="A186" s="4">
        <v>44973</v>
      </c>
      <c r="B186" s="6" t="s">
        <v>47</v>
      </c>
      <c r="C186" s="6" t="s">
        <v>47</v>
      </c>
      <c r="D186" s="6" t="s">
        <v>47</v>
      </c>
      <c r="E186" s="2" t="s">
        <v>587</v>
      </c>
    </row>
    <row r="187" spans="1:6" x14ac:dyDescent="0.25">
      <c r="A187" s="4">
        <v>44974</v>
      </c>
      <c r="B187" s="6" t="s">
        <v>47</v>
      </c>
      <c r="C187" s="6" t="s">
        <v>47</v>
      </c>
      <c r="D187" s="6" t="s">
        <v>47</v>
      </c>
      <c r="E187" s="2" t="s">
        <v>587</v>
      </c>
    </row>
    <row r="188" spans="1:6" x14ac:dyDescent="0.25">
      <c r="A188" s="4">
        <v>44977</v>
      </c>
      <c r="B188" s="6" t="s">
        <v>47</v>
      </c>
      <c r="C188" s="6" t="s">
        <v>47</v>
      </c>
      <c r="D188" s="6" t="s">
        <v>47</v>
      </c>
      <c r="E188" s="2" t="s">
        <v>587</v>
      </c>
    </row>
    <row r="189" spans="1:6" x14ac:dyDescent="0.25">
      <c r="A189" s="4">
        <v>44978</v>
      </c>
      <c r="B189" s="6" t="s">
        <v>47</v>
      </c>
      <c r="C189" s="6" t="s">
        <v>47</v>
      </c>
      <c r="D189" s="6" t="s">
        <v>47</v>
      </c>
      <c r="E189" s="2" t="s">
        <v>587</v>
      </c>
    </row>
    <row r="190" spans="1:6" x14ac:dyDescent="0.25">
      <c r="A190" s="4">
        <v>44979</v>
      </c>
      <c r="B190" s="6" t="s">
        <v>47</v>
      </c>
      <c r="C190" s="6" t="s">
        <v>47</v>
      </c>
      <c r="D190" s="6" t="s">
        <v>47</v>
      </c>
      <c r="E190" s="2" t="s">
        <v>587</v>
      </c>
      <c r="F190" t="s">
        <v>958</v>
      </c>
    </row>
    <row r="191" spans="1:6" x14ac:dyDescent="0.25">
      <c r="A191" s="4">
        <v>44980</v>
      </c>
      <c r="B191" s="6" t="s">
        <v>47</v>
      </c>
      <c r="C191" s="6" t="s">
        <v>47</v>
      </c>
      <c r="D191" s="6" t="s">
        <v>47</v>
      </c>
      <c r="E191" s="2" t="s">
        <v>587</v>
      </c>
      <c r="F191" t="s">
        <v>958</v>
      </c>
    </row>
    <row r="192" spans="1:6" x14ac:dyDescent="0.25">
      <c r="A192" s="4">
        <v>44981</v>
      </c>
      <c r="B192" s="6" t="s">
        <v>47</v>
      </c>
      <c r="C192" s="6" t="s">
        <v>47</v>
      </c>
      <c r="D192" s="6" t="s">
        <v>47</v>
      </c>
      <c r="E192" s="2" t="s">
        <v>587</v>
      </c>
    </row>
    <row r="193" spans="1:5" x14ac:dyDescent="0.25">
      <c r="A193" s="4">
        <v>44984</v>
      </c>
      <c r="B193" s="6" t="s">
        <v>47</v>
      </c>
      <c r="C193" s="6" t="s">
        <v>47</v>
      </c>
      <c r="D193" s="6" t="s">
        <v>47</v>
      </c>
      <c r="E193" s="2" t="s">
        <v>587</v>
      </c>
    </row>
    <row r="194" spans="1:5" x14ac:dyDescent="0.25">
      <c r="A194" s="4">
        <v>44985</v>
      </c>
      <c r="B194" s="6" t="s">
        <v>47</v>
      </c>
      <c r="C194" s="6" t="s">
        <v>47</v>
      </c>
      <c r="D194" s="6" t="s">
        <v>47</v>
      </c>
      <c r="E194" s="2" t="s">
        <v>587</v>
      </c>
    </row>
    <row r="195" spans="1:5" x14ac:dyDescent="0.25">
      <c r="A195" s="4">
        <v>44986</v>
      </c>
      <c r="B195" s="6" t="s">
        <v>47</v>
      </c>
      <c r="C195" s="6" t="s">
        <v>47</v>
      </c>
      <c r="D195" s="6" t="s">
        <v>47</v>
      </c>
      <c r="E195" s="2" t="s">
        <v>587</v>
      </c>
    </row>
    <row r="196" spans="1:5" x14ac:dyDescent="0.25">
      <c r="A196" s="4">
        <v>44987</v>
      </c>
      <c r="B196" s="6" t="s">
        <v>47</v>
      </c>
      <c r="C196" s="6" t="s">
        <v>47</v>
      </c>
      <c r="D196" s="6" t="s">
        <v>47</v>
      </c>
      <c r="E196" s="2" t="s">
        <v>587</v>
      </c>
    </row>
    <row r="197" spans="1:5" x14ac:dyDescent="0.25">
      <c r="A197" s="4">
        <v>44988</v>
      </c>
      <c r="B197" s="6" t="s">
        <v>47</v>
      </c>
      <c r="C197" s="6" t="s">
        <v>47</v>
      </c>
      <c r="D197" s="6" t="s">
        <v>47</v>
      </c>
      <c r="E197" s="2" t="s">
        <v>587</v>
      </c>
    </row>
    <row r="198" spans="1:5" x14ac:dyDescent="0.25">
      <c r="A198" s="4">
        <v>44991</v>
      </c>
      <c r="B198" s="6" t="s">
        <v>47</v>
      </c>
      <c r="C198" s="6" t="s">
        <v>47</v>
      </c>
      <c r="D198" s="6" t="s">
        <v>47</v>
      </c>
      <c r="E198" s="2" t="s">
        <v>587</v>
      </c>
    </row>
    <row r="199" spans="1:5" x14ac:dyDescent="0.25">
      <c r="A199" s="4">
        <v>44992</v>
      </c>
      <c r="B199" s="6" t="s">
        <v>47</v>
      </c>
      <c r="C199" s="6" t="s">
        <v>47</v>
      </c>
      <c r="D199" s="6" t="s">
        <v>47</v>
      </c>
      <c r="E199" s="2" t="s">
        <v>587</v>
      </c>
    </row>
    <row r="200" spans="1:5" x14ac:dyDescent="0.25">
      <c r="A200" s="4">
        <v>44993</v>
      </c>
      <c r="B200" s="6" t="s">
        <v>47</v>
      </c>
      <c r="C200" s="6" t="s">
        <v>47</v>
      </c>
      <c r="D200" s="6" t="s">
        <v>47</v>
      </c>
      <c r="E200" s="2" t="s">
        <v>587</v>
      </c>
    </row>
    <row r="201" spans="1:5" x14ac:dyDescent="0.25">
      <c r="A201" s="4">
        <v>44994</v>
      </c>
      <c r="B201" s="6" t="s">
        <v>47</v>
      </c>
      <c r="C201" s="6" t="s">
        <v>47</v>
      </c>
      <c r="D201" s="6" t="s">
        <v>47</v>
      </c>
      <c r="E201" s="2" t="s">
        <v>587</v>
      </c>
    </row>
    <row r="202" spans="1:5" x14ac:dyDescent="0.25">
      <c r="A202" s="4">
        <v>44995</v>
      </c>
      <c r="B202" s="6" t="s">
        <v>47</v>
      </c>
      <c r="C202" s="6" t="s">
        <v>47</v>
      </c>
      <c r="D202" s="6" t="s">
        <v>47</v>
      </c>
      <c r="E202" s="2" t="s">
        <v>587</v>
      </c>
    </row>
    <row r="203" spans="1:5" x14ac:dyDescent="0.25">
      <c r="A203" s="4">
        <v>44998</v>
      </c>
      <c r="B203" s="6" t="s">
        <v>47</v>
      </c>
      <c r="C203" s="6" t="s">
        <v>47</v>
      </c>
      <c r="D203" s="6" t="s">
        <v>47</v>
      </c>
      <c r="E203" s="2" t="s">
        <v>587</v>
      </c>
    </row>
    <row r="204" spans="1:5" x14ac:dyDescent="0.25">
      <c r="A204" s="4">
        <v>44999</v>
      </c>
      <c r="B204" s="6" t="s">
        <v>47</v>
      </c>
      <c r="C204" s="6" t="s">
        <v>47</v>
      </c>
      <c r="D204" s="6" t="s">
        <v>47</v>
      </c>
      <c r="E204" s="2" t="s">
        <v>587</v>
      </c>
    </row>
    <row r="205" spans="1:5" x14ac:dyDescent="0.25">
      <c r="A205" s="4">
        <v>45000</v>
      </c>
      <c r="B205" s="6" t="s">
        <v>47</v>
      </c>
      <c r="C205" s="6" t="s">
        <v>47</v>
      </c>
      <c r="D205" s="6" t="s">
        <v>47</v>
      </c>
      <c r="E205" s="2" t="s">
        <v>587</v>
      </c>
    </row>
    <row r="206" spans="1:5" x14ac:dyDescent="0.25">
      <c r="A206" s="4">
        <v>45001</v>
      </c>
      <c r="B206" s="6" t="s">
        <v>47</v>
      </c>
      <c r="C206" s="6" t="s">
        <v>47</v>
      </c>
      <c r="D206" s="6" t="s">
        <v>47</v>
      </c>
      <c r="E206" s="2" t="s">
        <v>587</v>
      </c>
    </row>
    <row r="207" spans="1:5" x14ac:dyDescent="0.25">
      <c r="A207" s="4">
        <v>45002</v>
      </c>
      <c r="B207" s="6" t="s">
        <v>47</v>
      </c>
      <c r="C207" s="6" t="s">
        <v>47</v>
      </c>
      <c r="D207" s="6" t="s">
        <v>47</v>
      </c>
      <c r="E207" s="2" t="s">
        <v>587</v>
      </c>
    </row>
    <row r="208" spans="1:5" x14ac:dyDescent="0.25">
      <c r="A208" s="4">
        <v>45005</v>
      </c>
      <c r="B208" s="6" t="s">
        <v>47</v>
      </c>
      <c r="C208" s="6" t="s">
        <v>47</v>
      </c>
      <c r="D208" s="6" t="s">
        <v>47</v>
      </c>
      <c r="E208" s="2" t="s">
        <v>587</v>
      </c>
    </row>
    <row r="209" spans="1:5" x14ac:dyDescent="0.25">
      <c r="A209" s="4">
        <v>45006</v>
      </c>
      <c r="B209" s="6" t="s">
        <v>47</v>
      </c>
      <c r="C209" s="6" t="s">
        <v>47</v>
      </c>
      <c r="D209" s="6" t="s">
        <v>47</v>
      </c>
      <c r="E209" s="2" t="s">
        <v>587</v>
      </c>
    </row>
    <row r="210" spans="1:5" x14ac:dyDescent="0.25">
      <c r="A210" s="4">
        <v>45007</v>
      </c>
      <c r="B210" s="6" t="s">
        <v>47</v>
      </c>
      <c r="C210" s="6" t="s">
        <v>47</v>
      </c>
      <c r="D210" s="6" t="s">
        <v>47</v>
      </c>
      <c r="E210" s="2" t="s">
        <v>587</v>
      </c>
    </row>
    <row r="211" spans="1:5" x14ac:dyDescent="0.25">
      <c r="A211" s="4">
        <v>45008</v>
      </c>
      <c r="B211" s="6" t="s">
        <v>47</v>
      </c>
      <c r="C211" s="6" t="s">
        <v>47</v>
      </c>
      <c r="D211" s="6" t="s">
        <v>47</v>
      </c>
      <c r="E211" s="2" t="s">
        <v>587</v>
      </c>
    </row>
    <row r="212" spans="1:5" x14ac:dyDescent="0.25">
      <c r="A212" s="4">
        <v>45009</v>
      </c>
      <c r="B212" s="6" t="s">
        <v>47</v>
      </c>
      <c r="C212" s="6" t="s">
        <v>47</v>
      </c>
      <c r="D212" s="6" t="s">
        <v>47</v>
      </c>
      <c r="E212" s="2" t="s">
        <v>587</v>
      </c>
    </row>
    <row r="213" spans="1:5" x14ac:dyDescent="0.25">
      <c r="A213" s="4">
        <v>45012</v>
      </c>
      <c r="B213" s="6" t="s">
        <v>47</v>
      </c>
      <c r="C213" s="6" t="s">
        <v>47</v>
      </c>
      <c r="D213" s="6" t="s">
        <v>47</v>
      </c>
      <c r="E213" s="2" t="s">
        <v>587</v>
      </c>
    </row>
    <row r="214" spans="1:5" x14ac:dyDescent="0.25">
      <c r="A214" s="4">
        <v>45013</v>
      </c>
      <c r="B214" s="6" t="s">
        <v>47</v>
      </c>
      <c r="C214" s="6" t="s">
        <v>47</v>
      </c>
      <c r="D214" s="6" t="s">
        <v>47</v>
      </c>
      <c r="E214" s="2" t="s">
        <v>587</v>
      </c>
    </row>
    <row r="215" spans="1:5" x14ac:dyDescent="0.25">
      <c r="A215" s="4">
        <v>45014</v>
      </c>
      <c r="B215" s="6" t="s">
        <v>47</v>
      </c>
      <c r="C215" s="6" t="s">
        <v>47</v>
      </c>
      <c r="D215" s="6" t="s">
        <v>47</v>
      </c>
      <c r="E215" s="2" t="s">
        <v>587</v>
      </c>
    </row>
    <row r="216" spans="1:5" x14ac:dyDescent="0.25">
      <c r="A216" s="4">
        <v>45015</v>
      </c>
      <c r="B216" s="6" t="s">
        <v>47</v>
      </c>
      <c r="C216" s="6" t="s">
        <v>47</v>
      </c>
      <c r="D216" s="6" t="s">
        <v>47</v>
      </c>
      <c r="E216" s="2" t="s">
        <v>587</v>
      </c>
    </row>
    <row r="217" spans="1:5" x14ac:dyDescent="0.25">
      <c r="A217" s="4">
        <v>45016</v>
      </c>
      <c r="B217" s="6" t="s">
        <v>47</v>
      </c>
      <c r="C217" s="6" t="s">
        <v>47</v>
      </c>
      <c r="D217" s="6" t="s">
        <v>47</v>
      </c>
      <c r="E217" s="2" t="s">
        <v>587</v>
      </c>
    </row>
    <row r="218" spans="1:5" x14ac:dyDescent="0.25">
      <c r="A218" s="4">
        <v>45019</v>
      </c>
      <c r="B218" s="6" t="s">
        <v>47</v>
      </c>
      <c r="C218" s="6" t="s">
        <v>47</v>
      </c>
      <c r="D218" s="6" t="s">
        <v>47</v>
      </c>
      <c r="E218" s="2" t="s">
        <v>587</v>
      </c>
    </row>
    <row r="219" spans="1:5" x14ac:dyDescent="0.25">
      <c r="A219" s="4">
        <v>45020</v>
      </c>
      <c r="B219" s="6" t="s">
        <v>47</v>
      </c>
      <c r="C219" s="6" t="s">
        <v>47</v>
      </c>
      <c r="D219" s="6" t="s">
        <v>47</v>
      </c>
      <c r="E219" s="2" t="s">
        <v>587</v>
      </c>
    </row>
    <row r="220" spans="1:5" x14ac:dyDescent="0.25">
      <c r="A220" s="4">
        <v>45021</v>
      </c>
      <c r="B220" s="6" t="s">
        <v>47</v>
      </c>
      <c r="C220" s="6" t="s">
        <v>47</v>
      </c>
      <c r="D220" s="6" t="s">
        <v>47</v>
      </c>
      <c r="E220" s="2" t="s">
        <v>587</v>
      </c>
    </row>
    <row r="221" spans="1:5" x14ac:dyDescent="0.25">
      <c r="A221" s="4">
        <v>45022</v>
      </c>
      <c r="B221" s="6" t="s">
        <v>47</v>
      </c>
      <c r="C221" s="6" t="s">
        <v>47</v>
      </c>
      <c r="D221" s="6" t="s">
        <v>47</v>
      </c>
      <c r="E221" s="2" t="s">
        <v>587</v>
      </c>
    </row>
    <row r="222" spans="1:5" x14ac:dyDescent="0.25">
      <c r="A222" s="4">
        <v>45023</v>
      </c>
      <c r="B222" s="6" t="s">
        <v>47</v>
      </c>
      <c r="C222" s="6" t="s">
        <v>47</v>
      </c>
      <c r="D222" s="6" t="s">
        <v>47</v>
      </c>
      <c r="E222" s="2" t="s">
        <v>587</v>
      </c>
    </row>
    <row r="223" spans="1:5" x14ac:dyDescent="0.25">
      <c r="A223" s="4">
        <v>45026</v>
      </c>
      <c r="B223" s="6" t="s">
        <v>47</v>
      </c>
      <c r="C223" s="6" t="s">
        <v>47</v>
      </c>
      <c r="D223" s="6" t="s">
        <v>47</v>
      </c>
      <c r="E223" s="2" t="s">
        <v>587</v>
      </c>
    </row>
    <row r="224" spans="1:5" x14ac:dyDescent="0.25">
      <c r="A224" s="4">
        <v>45027</v>
      </c>
      <c r="B224" s="6" t="s">
        <v>47</v>
      </c>
      <c r="C224" s="6" t="s">
        <v>47</v>
      </c>
      <c r="D224" s="6" t="s">
        <v>47</v>
      </c>
      <c r="E224" s="2" t="s">
        <v>587</v>
      </c>
    </row>
    <row r="225" spans="1:5" x14ac:dyDescent="0.25">
      <c r="A225" s="4">
        <v>45028</v>
      </c>
      <c r="B225" s="6" t="s">
        <v>47</v>
      </c>
      <c r="C225" s="6" t="s">
        <v>47</v>
      </c>
      <c r="D225" s="6" t="s">
        <v>47</v>
      </c>
      <c r="E225" s="2" t="s">
        <v>587</v>
      </c>
    </row>
    <row r="226" spans="1:5" x14ac:dyDescent="0.25">
      <c r="A226" s="4">
        <v>45029</v>
      </c>
      <c r="B226" s="6" t="s">
        <v>47</v>
      </c>
      <c r="C226" s="6" t="s">
        <v>47</v>
      </c>
      <c r="D226" s="6" t="s">
        <v>47</v>
      </c>
      <c r="E226" s="2" t="s">
        <v>587</v>
      </c>
    </row>
    <row r="227" spans="1:5" x14ac:dyDescent="0.25">
      <c r="A227" s="4">
        <v>45030</v>
      </c>
      <c r="B227" s="6" t="s">
        <v>47</v>
      </c>
      <c r="C227" s="6" t="s">
        <v>47</v>
      </c>
      <c r="D227" s="6" t="s">
        <v>47</v>
      </c>
      <c r="E227" s="2" t="s">
        <v>587</v>
      </c>
    </row>
    <row r="228" spans="1:5" x14ac:dyDescent="0.25">
      <c r="A228" s="4">
        <v>45033</v>
      </c>
      <c r="B228" s="6" t="s">
        <v>47</v>
      </c>
      <c r="C228" s="6" t="s">
        <v>47</v>
      </c>
      <c r="D228" s="6" t="s">
        <v>47</v>
      </c>
      <c r="E228" s="2" t="s">
        <v>587</v>
      </c>
    </row>
    <row r="229" spans="1:5" x14ac:dyDescent="0.25">
      <c r="A229" s="4">
        <v>45034</v>
      </c>
      <c r="B229" s="6" t="s">
        <v>47</v>
      </c>
      <c r="C229" s="6" t="s">
        <v>47</v>
      </c>
      <c r="D229" s="6" t="s">
        <v>47</v>
      </c>
      <c r="E229" s="2" t="s">
        <v>587</v>
      </c>
    </row>
    <row r="230" spans="1:5" x14ac:dyDescent="0.25">
      <c r="A230" s="4">
        <v>45035</v>
      </c>
      <c r="B230" s="6" t="s">
        <v>47</v>
      </c>
      <c r="C230" s="6" t="s">
        <v>47</v>
      </c>
      <c r="D230" s="6" t="s">
        <v>47</v>
      </c>
      <c r="E230" s="2" t="s">
        <v>587</v>
      </c>
    </row>
    <row r="231" spans="1:5" x14ac:dyDescent="0.25">
      <c r="A231" s="4">
        <v>45036</v>
      </c>
      <c r="B231" s="6" t="s">
        <v>47</v>
      </c>
      <c r="C231" s="6" t="s">
        <v>47</v>
      </c>
      <c r="D231" s="6" t="s">
        <v>47</v>
      </c>
      <c r="E231" s="2" t="s">
        <v>587</v>
      </c>
    </row>
    <row r="232" spans="1:5" x14ac:dyDescent="0.25">
      <c r="A232" s="4">
        <v>45037</v>
      </c>
      <c r="B232" s="6" t="s">
        <v>47</v>
      </c>
      <c r="C232" s="6" t="s">
        <v>47</v>
      </c>
      <c r="D232" s="6" t="s">
        <v>47</v>
      </c>
      <c r="E232" s="2" t="s">
        <v>587</v>
      </c>
    </row>
    <row r="233" spans="1:5" x14ac:dyDescent="0.25">
      <c r="A233" s="4">
        <v>45040</v>
      </c>
      <c r="B233" s="6" t="s">
        <v>47</v>
      </c>
      <c r="C233" s="6" t="s">
        <v>47</v>
      </c>
      <c r="D233" s="6" t="s">
        <v>47</v>
      </c>
      <c r="E233" s="2" t="s">
        <v>587</v>
      </c>
    </row>
    <row r="234" spans="1:5" x14ac:dyDescent="0.25">
      <c r="A234" s="4">
        <v>45041</v>
      </c>
      <c r="B234" s="6" t="s">
        <v>47</v>
      </c>
      <c r="C234" s="6" t="s">
        <v>47</v>
      </c>
      <c r="D234" s="6" t="s">
        <v>47</v>
      </c>
      <c r="E234" s="2" t="s">
        <v>587</v>
      </c>
    </row>
    <row r="235" spans="1:5" x14ac:dyDescent="0.25">
      <c r="A235" s="4">
        <v>45042</v>
      </c>
      <c r="B235" s="6" t="s">
        <v>47</v>
      </c>
      <c r="C235" s="6" t="s">
        <v>47</v>
      </c>
      <c r="D235" s="6" t="s">
        <v>47</v>
      </c>
      <c r="E235" s="2" t="s">
        <v>587</v>
      </c>
    </row>
    <row r="236" spans="1:5" x14ac:dyDescent="0.25">
      <c r="A236" s="4">
        <v>45043</v>
      </c>
      <c r="B236" s="6" t="s">
        <v>47</v>
      </c>
      <c r="C236" s="6" t="s">
        <v>47</v>
      </c>
      <c r="D236" s="6" t="s">
        <v>47</v>
      </c>
      <c r="E236" s="2" t="s">
        <v>587</v>
      </c>
    </row>
    <row r="237" spans="1:5" x14ac:dyDescent="0.25">
      <c r="A237" s="4">
        <v>45044</v>
      </c>
      <c r="B237" s="6" t="s">
        <v>47</v>
      </c>
      <c r="C237" s="6" t="s">
        <v>47</v>
      </c>
      <c r="D237" s="6" t="s">
        <v>47</v>
      </c>
      <c r="E237" s="2" t="s">
        <v>587</v>
      </c>
    </row>
    <row r="238" spans="1:5" x14ac:dyDescent="0.25">
      <c r="A238" s="4">
        <v>45047</v>
      </c>
      <c r="B238" s="6" t="s">
        <v>47</v>
      </c>
      <c r="C238" s="6" t="s">
        <v>47</v>
      </c>
      <c r="D238" s="6" t="s">
        <v>47</v>
      </c>
      <c r="E238" s="2" t="s">
        <v>587</v>
      </c>
    </row>
    <row r="239" spans="1:5" x14ac:dyDescent="0.25">
      <c r="A239" s="4">
        <v>45048</v>
      </c>
      <c r="B239" s="6" t="s">
        <v>47</v>
      </c>
      <c r="C239" s="6" t="s">
        <v>47</v>
      </c>
      <c r="D239" s="6" t="s">
        <v>47</v>
      </c>
      <c r="E239" s="2" t="s">
        <v>587</v>
      </c>
    </row>
    <row r="240" spans="1:5" x14ac:dyDescent="0.25">
      <c r="A240" s="4">
        <v>45049</v>
      </c>
      <c r="B240" s="6" t="s">
        <v>47</v>
      </c>
      <c r="C240" s="6" t="s">
        <v>47</v>
      </c>
      <c r="D240" s="6" t="s">
        <v>47</v>
      </c>
      <c r="E240" s="2" t="s">
        <v>587</v>
      </c>
    </row>
    <row r="241" spans="1:5" x14ac:dyDescent="0.25">
      <c r="A241" s="4">
        <v>45050</v>
      </c>
      <c r="B241" s="6" t="s">
        <v>47</v>
      </c>
      <c r="C241" s="6" t="s">
        <v>47</v>
      </c>
      <c r="D241" s="6" t="s">
        <v>47</v>
      </c>
      <c r="E241" s="2" t="s">
        <v>587</v>
      </c>
    </row>
    <row r="242" spans="1:5" x14ac:dyDescent="0.25">
      <c r="A242" s="4">
        <v>45051</v>
      </c>
      <c r="B242" s="6" t="s">
        <v>47</v>
      </c>
      <c r="C242" s="6" t="s">
        <v>47</v>
      </c>
      <c r="D242" s="6" t="s">
        <v>47</v>
      </c>
      <c r="E242" s="2" t="s">
        <v>587</v>
      </c>
    </row>
    <row r="243" spans="1:5" x14ac:dyDescent="0.25">
      <c r="A243" s="4">
        <v>45054</v>
      </c>
      <c r="B243" s="6" t="s">
        <v>47</v>
      </c>
      <c r="C243" s="6" t="s">
        <v>47</v>
      </c>
      <c r="D243" s="6" t="s">
        <v>47</v>
      </c>
      <c r="E243" s="2" t="s">
        <v>587</v>
      </c>
    </row>
    <row r="244" spans="1:5" x14ac:dyDescent="0.25">
      <c r="A244" s="4">
        <v>45055</v>
      </c>
      <c r="B244" s="6" t="s">
        <v>47</v>
      </c>
      <c r="C244" s="6" t="s">
        <v>47</v>
      </c>
      <c r="D244" s="6" t="s">
        <v>47</v>
      </c>
      <c r="E244" s="2" t="s">
        <v>587</v>
      </c>
    </row>
    <row r="245" spans="1:5" x14ac:dyDescent="0.25">
      <c r="A245" s="4">
        <v>45056</v>
      </c>
      <c r="B245" s="6" t="s">
        <v>47</v>
      </c>
      <c r="C245" s="6" t="s">
        <v>47</v>
      </c>
      <c r="D245" s="6" t="s">
        <v>47</v>
      </c>
      <c r="E245" s="2" t="s">
        <v>587</v>
      </c>
    </row>
    <row r="246" spans="1:5" x14ac:dyDescent="0.25">
      <c r="A246" s="4">
        <v>45057</v>
      </c>
      <c r="B246" s="6" t="s">
        <v>47</v>
      </c>
      <c r="C246" s="6" t="s">
        <v>47</v>
      </c>
      <c r="D246" s="6" t="s">
        <v>47</v>
      </c>
      <c r="E246" s="2" t="s">
        <v>587</v>
      </c>
    </row>
    <row r="247" spans="1:5" x14ac:dyDescent="0.25">
      <c r="A247" s="4">
        <v>45058</v>
      </c>
      <c r="B247" s="6" t="s">
        <v>47</v>
      </c>
      <c r="C247" s="6" t="s">
        <v>47</v>
      </c>
      <c r="D247" s="6" t="s">
        <v>47</v>
      </c>
      <c r="E247" s="2" t="s">
        <v>587</v>
      </c>
    </row>
    <row r="248" spans="1:5" x14ac:dyDescent="0.25">
      <c r="A248" s="4">
        <v>45059</v>
      </c>
      <c r="B248" s="6" t="s">
        <v>47</v>
      </c>
      <c r="C248" s="6" t="s">
        <v>47</v>
      </c>
      <c r="D248" s="6" t="s">
        <v>47</v>
      </c>
      <c r="E248" s="2" t="s">
        <v>587</v>
      </c>
    </row>
    <row r="249" spans="1:5" x14ac:dyDescent="0.25">
      <c r="A249" s="4">
        <v>45060</v>
      </c>
      <c r="B249" s="6" t="s">
        <v>47</v>
      </c>
      <c r="C249" s="6" t="s">
        <v>47</v>
      </c>
      <c r="D249" s="6" t="s">
        <v>47</v>
      </c>
      <c r="E249" s="2" t="s">
        <v>587</v>
      </c>
    </row>
    <row r="250" spans="1:5" x14ac:dyDescent="0.25">
      <c r="A250" s="4">
        <v>45061</v>
      </c>
      <c r="B250" s="6" t="s">
        <v>47</v>
      </c>
      <c r="C250" s="6" t="s">
        <v>47</v>
      </c>
      <c r="D250" s="6" t="s">
        <v>47</v>
      </c>
      <c r="E250" s="2" t="s">
        <v>587</v>
      </c>
    </row>
    <row r="251" spans="1:5" x14ac:dyDescent="0.25">
      <c r="A251" s="4">
        <v>45062</v>
      </c>
      <c r="B251" s="6" t="s">
        <v>47</v>
      </c>
      <c r="C251" s="6" t="s">
        <v>47</v>
      </c>
      <c r="D251" s="6" t="s">
        <v>47</v>
      </c>
      <c r="E251" s="2" t="s">
        <v>587</v>
      </c>
    </row>
    <row r="252" spans="1:5" x14ac:dyDescent="0.25">
      <c r="A252" s="4">
        <v>45063</v>
      </c>
      <c r="B252" s="6" t="s">
        <v>47</v>
      </c>
      <c r="C252" s="6" t="s">
        <v>47</v>
      </c>
      <c r="D252" s="6" t="s">
        <v>47</v>
      </c>
      <c r="E252" s="2" t="s">
        <v>587</v>
      </c>
    </row>
    <row r="253" spans="1:5" x14ac:dyDescent="0.25">
      <c r="A253" s="4">
        <v>45064</v>
      </c>
      <c r="B253" s="6" t="s">
        <v>47</v>
      </c>
      <c r="C253" s="6" t="s">
        <v>47</v>
      </c>
      <c r="D253" s="6" t="s">
        <v>47</v>
      </c>
      <c r="E253" s="2" t="s">
        <v>587</v>
      </c>
    </row>
    <row r="254" spans="1:5" x14ac:dyDescent="0.25">
      <c r="A254" s="4">
        <v>45065</v>
      </c>
      <c r="B254" s="6" t="s">
        <v>47</v>
      </c>
      <c r="C254" s="6" t="s">
        <v>47</v>
      </c>
      <c r="D254" s="6" t="s">
        <v>47</v>
      </c>
      <c r="E254" s="2" t="s">
        <v>587</v>
      </c>
    </row>
    <row r="255" spans="1:5" x14ac:dyDescent="0.25">
      <c r="A255" s="4">
        <v>45066</v>
      </c>
      <c r="B255" s="6" t="s">
        <v>47</v>
      </c>
      <c r="C255" s="6" t="s">
        <v>47</v>
      </c>
      <c r="D255" s="6" t="s">
        <v>47</v>
      </c>
      <c r="E255" s="2" t="s">
        <v>587</v>
      </c>
    </row>
    <row r="256" spans="1:5" x14ac:dyDescent="0.25">
      <c r="A256" s="4">
        <v>45067</v>
      </c>
      <c r="B256" s="6" t="s">
        <v>47</v>
      </c>
      <c r="C256" s="6" t="s">
        <v>47</v>
      </c>
      <c r="D256" s="6" t="s">
        <v>47</v>
      </c>
      <c r="E256" s="2" t="s">
        <v>587</v>
      </c>
    </row>
    <row r="257" spans="1:5" x14ac:dyDescent="0.25">
      <c r="A257" s="4">
        <v>45068</v>
      </c>
      <c r="B257" s="6" t="s">
        <v>47</v>
      </c>
      <c r="C257" s="6" t="s">
        <v>47</v>
      </c>
      <c r="D257" s="6" t="s">
        <v>47</v>
      </c>
      <c r="E257" s="2" t="s">
        <v>587</v>
      </c>
    </row>
    <row r="258" spans="1:5" x14ac:dyDescent="0.25">
      <c r="A258" s="4">
        <v>45069</v>
      </c>
      <c r="B258" s="6" t="s">
        <v>47</v>
      </c>
      <c r="C258" s="6" t="s">
        <v>47</v>
      </c>
      <c r="D258" s="6" t="s">
        <v>47</v>
      </c>
      <c r="E258" s="2" t="s">
        <v>587</v>
      </c>
    </row>
    <row r="259" spans="1:5" x14ac:dyDescent="0.25">
      <c r="A259" s="4">
        <v>45070</v>
      </c>
      <c r="B259" s="6" t="s">
        <v>47</v>
      </c>
      <c r="C259" s="6" t="s">
        <v>47</v>
      </c>
      <c r="D259" s="6" t="s">
        <v>47</v>
      </c>
      <c r="E259" s="2" t="s">
        <v>587</v>
      </c>
    </row>
    <row r="260" spans="1:5" x14ac:dyDescent="0.25">
      <c r="A260" s="4">
        <v>45071</v>
      </c>
      <c r="B260" s="6" t="s">
        <v>47</v>
      </c>
      <c r="C260" s="6" t="s">
        <v>47</v>
      </c>
      <c r="D260" s="6" t="s">
        <v>47</v>
      </c>
      <c r="E260" s="2" t="s">
        <v>587</v>
      </c>
    </row>
    <row r="261" spans="1:5" x14ac:dyDescent="0.25">
      <c r="A261" s="4">
        <v>45072</v>
      </c>
      <c r="B261" s="6" t="s">
        <v>47</v>
      </c>
      <c r="C261" s="6" t="s">
        <v>47</v>
      </c>
      <c r="D261" s="6" t="s">
        <v>47</v>
      </c>
      <c r="E261" s="2" t="s">
        <v>587</v>
      </c>
    </row>
    <row r="262" spans="1:5" x14ac:dyDescent="0.25">
      <c r="A262" s="4">
        <v>45075</v>
      </c>
      <c r="B262" s="6" t="s">
        <v>47</v>
      </c>
      <c r="C262" s="6" t="s">
        <v>47</v>
      </c>
      <c r="D262" s="6" t="s">
        <v>47</v>
      </c>
      <c r="E262" s="2" t="s">
        <v>587</v>
      </c>
    </row>
    <row r="263" spans="1:5" x14ac:dyDescent="0.25">
      <c r="A263" s="4">
        <v>45076</v>
      </c>
      <c r="B263" s="6" t="s">
        <v>47</v>
      </c>
      <c r="C263" s="6" t="s">
        <v>47</v>
      </c>
      <c r="D263" s="6" t="s">
        <v>47</v>
      </c>
      <c r="E263" s="2" t="s">
        <v>587</v>
      </c>
    </row>
    <row r="264" spans="1:5" x14ac:dyDescent="0.25">
      <c r="A264" s="4">
        <v>45077</v>
      </c>
      <c r="B264" s="6" t="s">
        <v>47</v>
      </c>
      <c r="C264" s="6" t="s">
        <v>47</v>
      </c>
      <c r="D264" s="6" t="s">
        <v>47</v>
      </c>
      <c r="E264" s="2" t="s">
        <v>587</v>
      </c>
    </row>
    <row r="265" spans="1:5" x14ac:dyDescent="0.25">
      <c r="A265" s="4">
        <v>45078</v>
      </c>
      <c r="B265" s="6" t="s">
        <v>47</v>
      </c>
      <c r="C265" s="6" t="s">
        <v>47</v>
      </c>
      <c r="D265" s="6" t="s">
        <v>47</v>
      </c>
      <c r="E265" s="2" t="s">
        <v>587</v>
      </c>
    </row>
    <row r="266" spans="1:5" x14ac:dyDescent="0.25">
      <c r="A266" s="4">
        <v>45079</v>
      </c>
      <c r="B266" s="6" t="s">
        <v>47</v>
      </c>
      <c r="C266" s="6" t="s">
        <v>47</v>
      </c>
      <c r="D266" s="6" t="s">
        <v>47</v>
      </c>
      <c r="E266" s="2" t="s">
        <v>587</v>
      </c>
    </row>
    <row r="267" spans="1:5" x14ac:dyDescent="0.25">
      <c r="A267" s="4">
        <v>45082</v>
      </c>
      <c r="B267" s="6" t="s">
        <v>47</v>
      </c>
      <c r="C267" s="6" t="s">
        <v>47</v>
      </c>
      <c r="D267" s="6" t="s">
        <v>47</v>
      </c>
      <c r="E267" s="2" t="s">
        <v>587</v>
      </c>
    </row>
    <row r="268" spans="1:5" x14ac:dyDescent="0.25">
      <c r="A268" s="4">
        <v>45083</v>
      </c>
      <c r="B268" s="6" t="s">
        <v>47</v>
      </c>
      <c r="C268" s="6" t="s">
        <v>47</v>
      </c>
      <c r="D268" s="6" t="s">
        <v>47</v>
      </c>
      <c r="E268" s="2" t="s">
        <v>587</v>
      </c>
    </row>
    <row r="269" spans="1:5" x14ac:dyDescent="0.25">
      <c r="A269" s="4">
        <v>45084</v>
      </c>
      <c r="B269" s="6" t="s">
        <v>47</v>
      </c>
      <c r="C269" s="6" t="s">
        <v>47</v>
      </c>
      <c r="D269" s="6" t="s">
        <v>47</v>
      </c>
      <c r="E269" s="2" t="s">
        <v>587</v>
      </c>
    </row>
    <row r="270" spans="1:5" x14ac:dyDescent="0.25">
      <c r="A270" s="4">
        <v>45085</v>
      </c>
      <c r="B270" s="6" t="s">
        <v>47</v>
      </c>
      <c r="C270" s="6" t="s">
        <v>47</v>
      </c>
      <c r="D270" s="6" t="s">
        <v>47</v>
      </c>
      <c r="E270" s="2" t="s">
        <v>587</v>
      </c>
    </row>
    <row r="271" spans="1:5" x14ac:dyDescent="0.25">
      <c r="A271" s="4">
        <v>45086</v>
      </c>
      <c r="B271" s="6" t="s">
        <v>47</v>
      </c>
      <c r="C271" s="6" t="s">
        <v>47</v>
      </c>
      <c r="D271" s="6" t="s">
        <v>47</v>
      </c>
      <c r="E271" s="2" t="s">
        <v>587</v>
      </c>
    </row>
    <row r="272" spans="1:5" x14ac:dyDescent="0.25">
      <c r="A272" s="4">
        <v>45087</v>
      </c>
      <c r="B272" s="6" t="s">
        <v>47</v>
      </c>
      <c r="C272" s="6" t="s">
        <v>47</v>
      </c>
      <c r="D272" s="6" t="s">
        <v>47</v>
      </c>
      <c r="E272" s="2" t="s">
        <v>587</v>
      </c>
    </row>
    <row r="273" spans="1:5" x14ac:dyDescent="0.25">
      <c r="A273" s="4">
        <v>45088</v>
      </c>
      <c r="B273" s="6" t="s">
        <v>47</v>
      </c>
      <c r="C273" s="6" t="s">
        <v>47</v>
      </c>
      <c r="D273" s="6" t="s">
        <v>47</v>
      </c>
      <c r="E273" s="2" t="s">
        <v>587</v>
      </c>
    </row>
    <row r="274" spans="1:5" x14ac:dyDescent="0.25">
      <c r="A274" s="4">
        <v>45089</v>
      </c>
      <c r="B274" s="6" t="s">
        <v>47</v>
      </c>
      <c r="C274" s="6" t="s">
        <v>47</v>
      </c>
      <c r="D274" s="6" t="s">
        <v>47</v>
      </c>
      <c r="E274" s="2" t="s">
        <v>587</v>
      </c>
    </row>
    <row r="275" spans="1:5" x14ac:dyDescent="0.25">
      <c r="A275" s="4">
        <v>45090</v>
      </c>
      <c r="B275" s="6" t="s">
        <v>47</v>
      </c>
      <c r="C275" s="6" t="s">
        <v>47</v>
      </c>
      <c r="D275" s="6" t="s">
        <v>47</v>
      </c>
      <c r="E275" s="2" t="s">
        <v>587</v>
      </c>
    </row>
    <row r="276" spans="1:5" x14ac:dyDescent="0.25">
      <c r="A276" s="4">
        <v>45091</v>
      </c>
      <c r="B276" s="6" t="s">
        <v>47</v>
      </c>
      <c r="C276" s="6" t="s">
        <v>47</v>
      </c>
      <c r="D276" s="6" t="s">
        <v>47</v>
      </c>
      <c r="E276" s="2" t="s">
        <v>587</v>
      </c>
    </row>
    <row r="277" spans="1:5" x14ac:dyDescent="0.25">
      <c r="A277" s="4">
        <v>45092</v>
      </c>
      <c r="B277" s="6" t="s">
        <v>47</v>
      </c>
      <c r="C277" s="6" t="s">
        <v>47</v>
      </c>
      <c r="D277" s="6" t="s">
        <v>47</v>
      </c>
      <c r="E277" s="2" t="s">
        <v>587</v>
      </c>
    </row>
    <row r="278" spans="1:5" x14ac:dyDescent="0.25">
      <c r="A278" s="4">
        <v>45093</v>
      </c>
      <c r="B278" s="6" t="s">
        <v>47</v>
      </c>
      <c r="C278" s="6" t="s">
        <v>47</v>
      </c>
      <c r="D278" s="6" t="s">
        <v>47</v>
      </c>
      <c r="E278" s="2" t="s">
        <v>587</v>
      </c>
    </row>
    <row r="279" spans="1:5" x14ac:dyDescent="0.25">
      <c r="A279" s="4">
        <v>45096</v>
      </c>
      <c r="B279" s="6" t="s">
        <v>47</v>
      </c>
      <c r="C279" s="6" t="s">
        <v>47</v>
      </c>
      <c r="D279" s="6" t="s">
        <v>47</v>
      </c>
      <c r="E279" s="2" t="s">
        <v>587</v>
      </c>
    </row>
    <row r="280" spans="1:5" x14ac:dyDescent="0.25">
      <c r="A280" s="4">
        <v>45097</v>
      </c>
      <c r="B280" s="6" t="s">
        <v>47</v>
      </c>
      <c r="C280" s="6" t="s">
        <v>47</v>
      </c>
      <c r="D280" s="6" t="s">
        <v>47</v>
      </c>
      <c r="E280" s="2" t="s">
        <v>587</v>
      </c>
    </row>
    <row r="281" spans="1:5" x14ac:dyDescent="0.25">
      <c r="A281" s="4">
        <v>45098</v>
      </c>
      <c r="B281" s="6" t="s">
        <v>47</v>
      </c>
      <c r="C281" s="6" t="s">
        <v>47</v>
      </c>
      <c r="D281" s="6" t="s">
        <v>47</v>
      </c>
      <c r="E281" s="2" t="s">
        <v>587</v>
      </c>
    </row>
    <row r="282" spans="1:5" x14ac:dyDescent="0.25">
      <c r="A282" s="4">
        <v>45099</v>
      </c>
      <c r="B282" s="6" t="s">
        <v>47</v>
      </c>
      <c r="C282" s="6" t="s">
        <v>47</v>
      </c>
      <c r="D282" s="6" t="s">
        <v>47</v>
      </c>
      <c r="E282" s="2" t="s">
        <v>587</v>
      </c>
    </row>
    <row r="283" spans="1:5" x14ac:dyDescent="0.25">
      <c r="A283" s="4">
        <v>45100</v>
      </c>
      <c r="B283" s="6" t="s">
        <v>47</v>
      </c>
      <c r="C283" s="6" t="s">
        <v>47</v>
      </c>
      <c r="D283" s="6" t="s">
        <v>47</v>
      </c>
      <c r="E283" s="2" t="s">
        <v>587</v>
      </c>
    </row>
    <row r="284" spans="1:5" x14ac:dyDescent="0.25">
      <c r="A284" s="4">
        <v>45103</v>
      </c>
      <c r="B284" s="6" t="s">
        <v>47</v>
      </c>
      <c r="C284" s="6" t="s">
        <v>47</v>
      </c>
      <c r="D284" s="6" t="s">
        <v>47</v>
      </c>
      <c r="E284" s="2" t="s">
        <v>587</v>
      </c>
    </row>
    <row r="285" spans="1:5" x14ac:dyDescent="0.25">
      <c r="A285" s="4">
        <v>45104</v>
      </c>
      <c r="B285" s="6" t="s">
        <v>47</v>
      </c>
      <c r="C285" s="6" t="s">
        <v>47</v>
      </c>
      <c r="D285" s="6" t="s">
        <v>47</v>
      </c>
      <c r="E285" s="2" t="s">
        <v>587</v>
      </c>
    </row>
    <row r="286" spans="1:5" x14ac:dyDescent="0.25">
      <c r="A286" s="4">
        <v>45105</v>
      </c>
      <c r="B286" s="6" t="s">
        <v>47</v>
      </c>
      <c r="C286" s="6" t="s">
        <v>47</v>
      </c>
      <c r="D286" s="6" t="s">
        <v>47</v>
      </c>
      <c r="E286" s="2" t="s">
        <v>587</v>
      </c>
    </row>
    <row r="287" spans="1:5" x14ac:dyDescent="0.25">
      <c r="A287" s="4">
        <v>45106</v>
      </c>
      <c r="B287" s="6" t="s">
        <v>47</v>
      </c>
      <c r="C287" s="6" t="s">
        <v>47</v>
      </c>
      <c r="D287" s="6" t="s">
        <v>47</v>
      </c>
      <c r="E287" s="2" t="s">
        <v>587</v>
      </c>
    </row>
    <row r="288" spans="1:5" x14ac:dyDescent="0.25">
      <c r="A288" s="4">
        <v>45107</v>
      </c>
      <c r="B288" s="6" t="s">
        <v>47</v>
      </c>
      <c r="C288" s="6" t="s">
        <v>47</v>
      </c>
      <c r="D288" s="6" t="s">
        <v>47</v>
      </c>
      <c r="E288" s="2" t="s">
        <v>587</v>
      </c>
    </row>
    <row r="289" spans="1:5" x14ac:dyDescent="0.25">
      <c r="A289" s="4">
        <v>45110</v>
      </c>
      <c r="B289" s="6" t="s">
        <v>47</v>
      </c>
      <c r="C289" s="6" t="s">
        <v>47</v>
      </c>
      <c r="D289" s="6" t="s">
        <v>47</v>
      </c>
      <c r="E289" s="2" t="s">
        <v>587</v>
      </c>
    </row>
    <row r="290" spans="1:5" x14ac:dyDescent="0.25">
      <c r="A290" s="4">
        <v>45111</v>
      </c>
      <c r="B290" s="6" t="s">
        <v>47</v>
      </c>
      <c r="C290" s="6" t="s">
        <v>47</v>
      </c>
      <c r="D290" s="6" t="s">
        <v>47</v>
      </c>
      <c r="E290" s="2" t="s">
        <v>587</v>
      </c>
    </row>
    <row r="291" spans="1:5" x14ac:dyDescent="0.25">
      <c r="A291" s="4">
        <v>45112</v>
      </c>
      <c r="B291" s="6" t="s">
        <v>47</v>
      </c>
      <c r="C291" s="6" t="s">
        <v>47</v>
      </c>
      <c r="D291" s="6" t="s">
        <v>47</v>
      </c>
      <c r="E291" s="2" t="s">
        <v>587</v>
      </c>
    </row>
    <row r="292" spans="1:5" x14ac:dyDescent="0.25">
      <c r="A292" s="4">
        <v>45113</v>
      </c>
      <c r="B292" s="6" t="s">
        <v>47</v>
      </c>
      <c r="C292" s="6" t="s">
        <v>47</v>
      </c>
      <c r="D292" s="6" t="s">
        <v>47</v>
      </c>
      <c r="E292" s="2" t="s">
        <v>587</v>
      </c>
    </row>
    <row r="293" spans="1:5" x14ac:dyDescent="0.25">
      <c r="A293" s="4">
        <v>45114</v>
      </c>
      <c r="B293" s="6" t="s">
        <v>47</v>
      </c>
      <c r="C293" s="6" t="s">
        <v>47</v>
      </c>
      <c r="D293" s="6" t="s">
        <v>47</v>
      </c>
      <c r="E293" s="2" t="s">
        <v>587</v>
      </c>
    </row>
    <row r="294" spans="1:5" x14ac:dyDescent="0.25">
      <c r="A294" s="4">
        <v>45117</v>
      </c>
      <c r="B294" s="6" t="s">
        <v>47</v>
      </c>
      <c r="C294" s="6" t="s">
        <v>47</v>
      </c>
      <c r="D294" s="6" t="s">
        <v>47</v>
      </c>
      <c r="E294" s="2" t="s">
        <v>587</v>
      </c>
    </row>
    <row r="295" spans="1:5" x14ac:dyDescent="0.25">
      <c r="A295" s="4">
        <v>45118</v>
      </c>
      <c r="B295" s="6" t="s">
        <v>47</v>
      </c>
      <c r="C295" s="6" t="s">
        <v>47</v>
      </c>
      <c r="D295" s="6" t="s">
        <v>47</v>
      </c>
      <c r="E295" s="2" t="s">
        <v>587</v>
      </c>
    </row>
    <row r="296" spans="1:5" x14ac:dyDescent="0.25">
      <c r="A296" s="4">
        <v>45119</v>
      </c>
      <c r="B296" s="6" t="s">
        <v>47</v>
      </c>
      <c r="C296" s="6" t="s">
        <v>47</v>
      </c>
      <c r="D296" s="6" t="s">
        <v>47</v>
      </c>
      <c r="E296" s="2" t="s">
        <v>587</v>
      </c>
    </row>
    <row r="297" spans="1:5" x14ac:dyDescent="0.25">
      <c r="A297" s="4">
        <v>45120</v>
      </c>
      <c r="B297" s="6" t="s">
        <v>47</v>
      </c>
      <c r="C297" s="6" t="s">
        <v>47</v>
      </c>
      <c r="D297" s="6" t="s">
        <v>47</v>
      </c>
      <c r="E297" s="2" t="s">
        <v>587</v>
      </c>
    </row>
    <row r="298" spans="1:5" x14ac:dyDescent="0.25">
      <c r="A298" s="4">
        <v>45121</v>
      </c>
      <c r="B298" s="6" t="s">
        <v>47</v>
      </c>
      <c r="C298" s="6" t="s">
        <v>47</v>
      </c>
      <c r="D298" s="6" t="s">
        <v>47</v>
      </c>
      <c r="E298" s="2" t="s">
        <v>587</v>
      </c>
    </row>
    <row r="299" spans="1:5" x14ac:dyDescent="0.25">
      <c r="A299" s="4">
        <v>45124</v>
      </c>
      <c r="B299" s="6" t="s">
        <v>47</v>
      </c>
      <c r="C299" s="6" t="s">
        <v>47</v>
      </c>
      <c r="D299" s="6" t="s">
        <v>47</v>
      </c>
      <c r="E299" s="2" t="s">
        <v>587</v>
      </c>
    </row>
    <row r="300" spans="1:5" x14ac:dyDescent="0.25">
      <c r="A300" s="4">
        <v>45125</v>
      </c>
      <c r="B300" s="6" t="s">
        <v>47</v>
      </c>
      <c r="C300" s="6" t="s">
        <v>47</v>
      </c>
      <c r="D300" s="6" t="s">
        <v>47</v>
      </c>
      <c r="E300" s="2" t="s">
        <v>587</v>
      </c>
    </row>
    <row r="301" spans="1:5" x14ac:dyDescent="0.25">
      <c r="A301" s="4">
        <v>45126</v>
      </c>
      <c r="B301" s="6" t="s">
        <v>47</v>
      </c>
      <c r="C301" s="6" t="s">
        <v>47</v>
      </c>
      <c r="D301" s="6" t="s">
        <v>47</v>
      </c>
      <c r="E301" s="2" t="s">
        <v>587</v>
      </c>
    </row>
    <row r="302" spans="1:5" x14ac:dyDescent="0.25">
      <c r="A302" s="4">
        <v>45127</v>
      </c>
      <c r="B302" s="6" t="s">
        <v>47</v>
      </c>
      <c r="C302" s="6" t="s">
        <v>47</v>
      </c>
      <c r="D302" s="6" t="s">
        <v>47</v>
      </c>
      <c r="E302" s="2" t="s">
        <v>587</v>
      </c>
    </row>
    <row r="303" spans="1:5" x14ac:dyDescent="0.25">
      <c r="A303" s="4">
        <v>45128</v>
      </c>
      <c r="B303" s="6" t="s">
        <v>47</v>
      </c>
      <c r="C303" s="6" t="s">
        <v>47</v>
      </c>
      <c r="D303" s="6" t="s">
        <v>47</v>
      </c>
      <c r="E303" s="2" t="s">
        <v>587</v>
      </c>
    </row>
    <row r="304" spans="1:5" x14ac:dyDescent="0.25">
      <c r="A304" s="4">
        <v>45131</v>
      </c>
      <c r="B304" s="6" t="s">
        <v>47</v>
      </c>
      <c r="C304" s="6" t="s">
        <v>47</v>
      </c>
      <c r="D304" s="6" t="s">
        <v>47</v>
      </c>
      <c r="E304" s="2" t="s">
        <v>587</v>
      </c>
    </row>
    <row r="305" spans="1:5" x14ac:dyDescent="0.25">
      <c r="A305" s="4">
        <v>45132</v>
      </c>
      <c r="B305" s="6" t="s">
        <v>47</v>
      </c>
      <c r="C305" s="6" t="s">
        <v>47</v>
      </c>
      <c r="D305" s="6" t="s">
        <v>47</v>
      </c>
      <c r="E305" s="2" t="s">
        <v>587</v>
      </c>
    </row>
    <row r="306" spans="1:5" x14ac:dyDescent="0.25">
      <c r="A306" s="4">
        <v>45133</v>
      </c>
      <c r="B306" s="6" t="s">
        <v>47</v>
      </c>
      <c r="C306" s="6" t="s">
        <v>47</v>
      </c>
      <c r="D306" s="6" t="s">
        <v>47</v>
      </c>
      <c r="E306" s="2" t="s">
        <v>587</v>
      </c>
    </row>
    <row r="307" spans="1:5" x14ac:dyDescent="0.25">
      <c r="A307" s="4">
        <v>45134</v>
      </c>
      <c r="B307" s="6" t="s">
        <v>47</v>
      </c>
      <c r="C307" s="6" t="s">
        <v>47</v>
      </c>
      <c r="D307" s="6" t="s">
        <v>47</v>
      </c>
      <c r="E307" s="2" t="s">
        <v>587</v>
      </c>
    </row>
    <row r="308" spans="1:5" x14ac:dyDescent="0.25">
      <c r="A308" s="4">
        <v>45135</v>
      </c>
      <c r="B308" s="6" t="s">
        <v>47</v>
      </c>
      <c r="C308" s="6" t="s">
        <v>47</v>
      </c>
      <c r="D308" s="6" t="s">
        <v>47</v>
      </c>
      <c r="E308" s="2" t="s">
        <v>587</v>
      </c>
    </row>
    <row r="309" spans="1:5" x14ac:dyDescent="0.25">
      <c r="A309" s="4">
        <v>45136</v>
      </c>
      <c r="B309" s="6" t="s">
        <v>47</v>
      </c>
      <c r="C309" s="6" t="s">
        <v>47</v>
      </c>
      <c r="D309" s="6" t="s">
        <v>47</v>
      </c>
      <c r="E309" s="2" t="s">
        <v>587</v>
      </c>
    </row>
    <row r="310" spans="1:5" x14ac:dyDescent="0.25">
      <c r="A310" s="4">
        <v>45137</v>
      </c>
      <c r="B310" s="6" t="s">
        <v>47</v>
      </c>
      <c r="C310" s="6" t="s">
        <v>47</v>
      </c>
      <c r="D310" s="6" t="s">
        <v>47</v>
      </c>
      <c r="E310" s="2" t="s">
        <v>587</v>
      </c>
    </row>
    <row r="311" spans="1:5" x14ac:dyDescent="0.25">
      <c r="A311" s="4">
        <v>45138</v>
      </c>
      <c r="B311" s="6" t="s">
        <v>47</v>
      </c>
      <c r="C311" s="6" t="s">
        <v>47</v>
      </c>
      <c r="D311" s="6" t="s">
        <v>47</v>
      </c>
      <c r="E311" s="2" t="s">
        <v>587</v>
      </c>
    </row>
    <row r="312" spans="1:5" x14ac:dyDescent="0.25">
      <c r="A312" s="4">
        <v>45139</v>
      </c>
      <c r="B312" s="6" t="s">
        <v>47</v>
      </c>
      <c r="C312" s="6" t="s">
        <v>47</v>
      </c>
      <c r="D312" s="6" t="s">
        <v>47</v>
      </c>
      <c r="E312" s="2" t="s">
        <v>587</v>
      </c>
    </row>
    <row r="313" spans="1:5" x14ac:dyDescent="0.25">
      <c r="A313" s="4">
        <v>45140</v>
      </c>
      <c r="B313" s="6" t="s">
        <v>47</v>
      </c>
      <c r="C313" s="6" t="s">
        <v>47</v>
      </c>
      <c r="D313" s="6" t="s">
        <v>47</v>
      </c>
      <c r="E313" s="2" t="s">
        <v>587</v>
      </c>
    </row>
    <row r="314" spans="1:5" x14ac:dyDescent="0.25">
      <c r="A314" s="4">
        <v>45141</v>
      </c>
      <c r="B314" s="6" t="s">
        <v>47</v>
      </c>
      <c r="C314" s="6" t="s">
        <v>47</v>
      </c>
      <c r="D314" s="6" t="s">
        <v>47</v>
      </c>
      <c r="E314" s="2" t="s">
        <v>587</v>
      </c>
    </row>
    <row r="315" spans="1:5" x14ac:dyDescent="0.25">
      <c r="A315" s="4">
        <v>45142</v>
      </c>
      <c r="B315" s="6" t="s">
        <v>47</v>
      </c>
      <c r="C315" s="6" t="s">
        <v>47</v>
      </c>
      <c r="D315" s="6" t="s">
        <v>47</v>
      </c>
      <c r="E315" s="2" t="s">
        <v>587</v>
      </c>
    </row>
    <row r="316" spans="1:5" x14ac:dyDescent="0.25">
      <c r="A316" s="4">
        <v>45143</v>
      </c>
      <c r="B316" s="6" t="s">
        <v>47</v>
      </c>
      <c r="C316" s="6" t="s">
        <v>47</v>
      </c>
      <c r="D316" s="6" t="s">
        <v>47</v>
      </c>
      <c r="E316" s="2" t="s">
        <v>587</v>
      </c>
    </row>
    <row r="317" spans="1:5" x14ac:dyDescent="0.25">
      <c r="A317" s="4">
        <v>45144</v>
      </c>
      <c r="B317" s="6" t="s">
        <v>47</v>
      </c>
      <c r="C317" s="6" t="s">
        <v>47</v>
      </c>
      <c r="D317" s="6" t="s">
        <v>47</v>
      </c>
      <c r="E317" s="2" t="s">
        <v>587</v>
      </c>
    </row>
    <row r="318" spans="1:5" x14ac:dyDescent="0.25">
      <c r="A318" s="4">
        <v>45145</v>
      </c>
      <c r="B318" s="6" t="s">
        <v>47</v>
      </c>
      <c r="C318" s="6" t="s">
        <v>47</v>
      </c>
      <c r="D318" s="6" t="s">
        <v>47</v>
      </c>
      <c r="E318" s="2" t="s">
        <v>587</v>
      </c>
    </row>
    <row r="319" spans="1:5" x14ac:dyDescent="0.25">
      <c r="A319" s="4">
        <v>45146</v>
      </c>
      <c r="B319" s="6" t="s">
        <v>47</v>
      </c>
      <c r="C319" s="6" t="s">
        <v>47</v>
      </c>
      <c r="D319" s="6" t="s">
        <v>47</v>
      </c>
      <c r="E319" s="2" t="s">
        <v>587</v>
      </c>
    </row>
    <row r="320" spans="1:5" x14ac:dyDescent="0.25">
      <c r="A320" s="4">
        <v>45147</v>
      </c>
      <c r="B320" s="6" t="s">
        <v>47</v>
      </c>
      <c r="C320" s="6" t="s">
        <v>47</v>
      </c>
      <c r="D320" s="6" t="s">
        <v>47</v>
      </c>
      <c r="E320" s="2" t="s">
        <v>587</v>
      </c>
    </row>
    <row r="321" spans="1:5" x14ac:dyDescent="0.25">
      <c r="A321" s="4">
        <v>45148</v>
      </c>
      <c r="B321" s="6" t="s">
        <v>47</v>
      </c>
      <c r="C321" s="6" t="s">
        <v>47</v>
      </c>
      <c r="D321" s="6" t="s">
        <v>47</v>
      </c>
      <c r="E321" s="2" t="s">
        <v>587</v>
      </c>
    </row>
    <row r="322" spans="1:5" x14ac:dyDescent="0.25">
      <c r="A322" s="4">
        <v>45149</v>
      </c>
      <c r="B322" s="6" t="s">
        <v>47</v>
      </c>
      <c r="C322" s="6" t="s">
        <v>47</v>
      </c>
      <c r="D322" s="6" t="s">
        <v>47</v>
      </c>
      <c r="E322" s="2" t="s">
        <v>587</v>
      </c>
    </row>
    <row r="323" spans="1:5" x14ac:dyDescent="0.25">
      <c r="A323" s="4">
        <v>45152</v>
      </c>
      <c r="B323" s="6" t="s">
        <v>47</v>
      </c>
      <c r="C323" s="6" t="s">
        <v>47</v>
      </c>
      <c r="D323" s="6" t="s">
        <v>47</v>
      </c>
      <c r="E323" s="2" t="s">
        <v>587</v>
      </c>
    </row>
    <row r="324" spans="1:5" x14ac:dyDescent="0.25">
      <c r="A324" s="4">
        <v>45153</v>
      </c>
      <c r="B324" s="6" t="s">
        <v>47</v>
      </c>
      <c r="C324" s="6" t="s">
        <v>47</v>
      </c>
      <c r="D324" s="6" t="s">
        <v>47</v>
      </c>
      <c r="E324" s="2" t="s">
        <v>587</v>
      </c>
    </row>
    <row r="325" spans="1:5" x14ac:dyDescent="0.25">
      <c r="A325" s="4">
        <v>45154</v>
      </c>
      <c r="B325" s="6" t="s">
        <v>47</v>
      </c>
      <c r="C325" s="6" t="s">
        <v>47</v>
      </c>
      <c r="D325" s="6" t="s">
        <v>47</v>
      </c>
      <c r="E325" s="2" t="s">
        <v>587</v>
      </c>
    </row>
    <row r="326" spans="1:5" x14ac:dyDescent="0.25">
      <c r="A326" s="4">
        <v>45155</v>
      </c>
      <c r="B326" s="6" t="s">
        <v>47</v>
      </c>
      <c r="C326" s="6" t="s">
        <v>47</v>
      </c>
      <c r="D326" s="6" t="s">
        <v>47</v>
      </c>
      <c r="E326" s="2" t="s">
        <v>587</v>
      </c>
    </row>
    <row r="327" spans="1:5" x14ac:dyDescent="0.25">
      <c r="A327" s="4">
        <v>45156</v>
      </c>
      <c r="B327" s="6" t="s">
        <v>47</v>
      </c>
      <c r="C327" s="6" t="s">
        <v>47</v>
      </c>
      <c r="D327" s="6" t="s">
        <v>47</v>
      </c>
      <c r="E327" s="2" t="s">
        <v>587</v>
      </c>
    </row>
    <row r="328" spans="1:5" x14ac:dyDescent="0.25">
      <c r="A328" s="4">
        <v>45157</v>
      </c>
      <c r="B328" s="6" t="s">
        <v>47</v>
      </c>
      <c r="C328" s="6" t="s">
        <v>47</v>
      </c>
      <c r="D328" s="6" t="s">
        <v>47</v>
      </c>
      <c r="E328" s="2" t="s">
        <v>587</v>
      </c>
    </row>
    <row r="329" spans="1:5" x14ac:dyDescent="0.25">
      <c r="A329" s="4">
        <v>45158</v>
      </c>
      <c r="B329" s="6" t="s">
        <v>47</v>
      </c>
      <c r="C329" s="6" t="s">
        <v>47</v>
      </c>
      <c r="D329" s="6" t="s">
        <v>47</v>
      </c>
      <c r="E329" s="2" t="s">
        <v>587</v>
      </c>
    </row>
    <row r="330" spans="1:5" x14ac:dyDescent="0.25">
      <c r="A330" s="4">
        <v>45159</v>
      </c>
      <c r="B330" s="6" t="s">
        <v>47</v>
      </c>
      <c r="C330" s="6" t="s">
        <v>47</v>
      </c>
      <c r="D330" s="6" t="s">
        <v>47</v>
      </c>
      <c r="E330" s="2" t="s">
        <v>587</v>
      </c>
    </row>
    <row r="331" spans="1:5" x14ac:dyDescent="0.25">
      <c r="A331" s="4">
        <v>45160</v>
      </c>
      <c r="B331" s="6" t="s">
        <v>47</v>
      </c>
      <c r="C331" s="6" t="s">
        <v>47</v>
      </c>
      <c r="D331" s="6" t="s">
        <v>47</v>
      </c>
      <c r="E331" s="2" t="s">
        <v>587</v>
      </c>
    </row>
    <row r="332" spans="1:5" x14ac:dyDescent="0.25">
      <c r="A332" s="4">
        <v>45161</v>
      </c>
      <c r="B332" s="6" t="s">
        <v>47</v>
      </c>
      <c r="C332" s="6" t="s">
        <v>47</v>
      </c>
      <c r="D332" s="6" t="s">
        <v>47</v>
      </c>
      <c r="E332" s="2" t="s">
        <v>587</v>
      </c>
    </row>
    <row r="333" spans="1:5" x14ac:dyDescent="0.25">
      <c r="A333" s="4">
        <v>45162</v>
      </c>
      <c r="B333" s="6" t="s">
        <v>47</v>
      </c>
      <c r="C333" s="6" t="s">
        <v>47</v>
      </c>
      <c r="D333" s="6" t="s">
        <v>47</v>
      </c>
      <c r="E333" s="2" t="s">
        <v>587</v>
      </c>
    </row>
    <row r="334" spans="1:5" x14ac:dyDescent="0.25">
      <c r="A334" s="4">
        <v>45163</v>
      </c>
      <c r="B334" s="6" t="s">
        <v>47</v>
      </c>
      <c r="C334" s="6" t="s">
        <v>47</v>
      </c>
      <c r="D334" s="6" t="s">
        <v>47</v>
      </c>
      <c r="E334" s="2" t="s">
        <v>587</v>
      </c>
    </row>
    <row r="335" spans="1:5" x14ac:dyDescent="0.25">
      <c r="A335" s="4">
        <v>45164</v>
      </c>
      <c r="B335" s="6" t="s">
        <v>47</v>
      </c>
      <c r="C335" s="6" t="s">
        <v>47</v>
      </c>
      <c r="D335" s="6" t="s">
        <v>47</v>
      </c>
      <c r="E335" s="2" t="s">
        <v>587</v>
      </c>
    </row>
    <row r="336" spans="1:5" x14ac:dyDescent="0.25">
      <c r="A336" s="4">
        <v>45165</v>
      </c>
      <c r="B336" s="6" t="s">
        <v>47</v>
      </c>
      <c r="C336" s="6" t="s">
        <v>47</v>
      </c>
      <c r="D336" s="6" t="s">
        <v>47</v>
      </c>
      <c r="E336" s="2" t="s">
        <v>587</v>
      </c>
    </row>
    <row r="337" spans="1:6" x14ac:dyDescent="0.25">
      <c r="A337" s="4">
        <v>45166</v>
      </c>
      <c r="B337" s="6" t="s">
        <v>47</v>
      </c>
      <c r="C337" s="6" t="s">
        <v>47</v>
      </c>
      <c r="D337" s="6" t="s">
        <v>47</v>
      </c>
      <c r="E337" s="2" t="s">
        <v>587</v>
      </c>
    </row>
    <row r="338" spans="1:6" x14ac:dyDescent="0.25">
      <c r="A338" s="4">
        <v>45167</v>
      </c>
      <c r="B338" s="6" t="s">
        <v>47</v>
      </c>
      <c r="C338" s="6" t="s">
        <v>47</v>
      </c>
      <c r="D338" s="6" t="s">
        <v>47</v>
      </c>
      <c r="E338" s="2" t="s">
        <v>587</v>
      </c>
    </row>
    <row r="339" spans="1:6" x14ac:dyDescent="0.25">
      <c r="A339" s="4">
        <v>45168</v>
      </c>
      <c r="B339" s="6" t="s">
        <v>47</v>
      </c>
      <c r="C339" s="6" t="s">
        <v>47</v>
      </c>
      <c r="D339" s="6" t="s">
        <v>47</v>
      </c>
      <c r="E339" s="2" t="s">
        <v>587</v>
      </c>
    </row>
    <row r="340" spans="1:6" x14ac:dyDescent="0.25">
      <c r="A340" s="4">
        <v>45169</v>
      </c>
      <c r="B340" s="6" t="s">
        <v>47</v>
      </c>
      <c r="C340" s="6" t="s">
        <v>47</v>
      </c>
      <c r="D340" s="6" t="s">
        <v>47</v>
      </c>
      <c r="E340" s="2" t="s">
        <v>587</v>
      </c>
    </row>
    <row r="341" spans="1:6" x14ac:dyDescent="0.25">
      <c r="A341" s="4">
        <v>45170</v>
      </c>
      <c r="B341" s="6" t="s">
        <v>47</v>
      </c>
      <c r="C341" s="6" t="s">
        <v>47</v>
      </c>
      <c r="D341" s="6" t="s">
        <v>47</v>
      </c>
      <c r="E341" s="2" t="s">
        <v>587</v>
      </c>
      <c r="F341" s="2"/>
    </row>
    <row r="342" spans="1:6" x14ac:dyDescent="0.25">
      <c r="A342" s="4">
        <v>45171</v>
      </c>
      <c r="B342" s="6" t="s">
        <v>47</v>
      </c>
      <c r="C342" s="6" t="s">
        <v>47</v>
      </c>
      <c r="D342" s="6" t="s">
        <v>47</v>
      </c>
      <c r="E342" s="2" t="s">
        <v>587</v>
      </c>
    </row>
    <row r="343" spans="1:6" x14ac:dyDescent="0.25">
      <c r="A343" s="4">
        <v>45172</v>
      </c>
      <c r="B343" s="6" t="s">
        <v>47</v>
      </c>
      <c r="C343" s="6" t="s">
        <v>47</v>
      </c>
      <c r="D343" s="6" t="s">
        <v>47</v>
      </c>
      <c r="E343" s="2" t="s">
        <v>587</v>
      </c>
    </row>
    <row r="344" spans="1:6" x14ac:dyDescent="0.25">
      <c r="A344" s="4">
        <v>45173</v>
      </c>
      <c r="B344" s="6" t="s">
        <v>47</v>
      </c>
      <c r="C344" s="6" t="s">
        <v>47</v>
      </c>
      <c r="D344" s="6" t="s">
        <v>47</v>
      </c>
      <c r="E344" s="2" t="s">
        <v>587</v>
      </c>
    </row>
    <row r="345" spans="1:6" x14ac:dyDescent="0.25">
      <c r="A345" s="4">
        <v>45174</v>
      </c>
      <c r="B345" s="6" t="s">
        <v>47</v>
      </c>
      <c r="C345" s="6" t="s">
        <v>47</v>
      </c>
      <c r="D345" s="6" t="s">
        <v>47</v>
      </c>
      <c r="E345" s="2" t="s">
        <v>587</v>
      </c>
    </row>
    <row r="346" spans="1:6" x14ac:dyDescent="0.25">
      <c r="A346" s="4">
        <v>45175</v>
      </c>
      <c r="B346" s="6" t="s">
        <v>47</v>
      </c>
      <c r="C346" s="6" t="s">
        <v>47</v>
      </c>
      <c r="D346" s="6" t="s">
        <v>47</v>
      </c>
      <c r="E346" s="2" t="s">
        <v>587</v>
      </c>
    </row>
    <row r="347" spans="1:6" x14ac:dyDescent="0.25">
      <c r="A347" s="4">
        <v>45176</v>
      </c>
      <c r="B347" s="6" t="s">
        <v>47</v>
      </c>
      <c r="C347" s="6" t="s">
        <v>47</v>
      </c>
      <c r="D347" s="6" t="s">
        <v>47</v>
      </c>
      <c r="E347" s="2" t="s">
        <v>587</v>
      </c>
    </row>
    <row r="348" spans="1:6" x14ac:dyDescent="0.25">
      <c r="A348" s="4">
        <v>45177</v>
      </c>
      <c r="B348" s="6" t="s">
        <v>47</v>
      </c>
      <c r="C348" s="6" t="s">
        <v>47</v>
      </c>
      <c r="D348" s="6" t="s">
        <v>47</v>
      </c>
      <c r="E348" s="2" t="s">
        <v>587</v>
      </c>
    </row>
    <row r="349" spans="1:6" x14ac:dyDescent="0.25">
      <c r="A349" s="4">
        <v>45178</v>
      </c>
      <c r="B349" s="6" t="s">
        <v>47</v>
      </c>
      <c r="C349" s="6" t="s">
        <v>47</v>
      </c>
      <c r="D349" s="6" t="s">
        <v>47</v>
      </c>
      <c r="E349" s="2" t="s">
        <v>587</v>
      </c>
    </row>
    <row r="350" spans="1:6" x14ac:dyDescent="0.25">
      <c r="A350" s="4">
        <v>45179</v>
      </c>
      <c r="B350" s="6" t="s">
        <v>47</v>
      </c>
      <c r="C350" s="6" t="s">
        <v>47</v>
      </c>
      <c r="D350" s="6" t="s">
        <v>47</v>
      </c>
      <c r="E350" s="2" t="s">
        <v>587</v>
      </c>
    </row>
    <row r="351" spans="1:6" x14ac:dyDescent="0.25">
      <c r="A351" s="4">
        <v>45180</v>
      </c>
      <c r="B351" s="6" t="s">
        <v>47</v>
      </c>
      <c r="C351" s="6" t="s">
        <v>47</v>
      </c>
      <c r="D351" s="6" t="s">
        <v>47</v>
      </c>
      <c r="E351" s="2" t="s">
        <v>587</v>
      </c>
    </row>
    <row r="352" spans="1:6" x14ac:dyDescent="0.25">
      <c r="A352" s="4">
        <v>45181</v>
      </c>
      <c r="B352" s="6" t="s">
        <v>47</v>
      </c>
      <c r="C352" s="6" t="s">
        <v>47</v>
      </c>
      <c r="D352" s="6" t="s">
        <v>47</v>
      </c>
      <c r="E352" s="2" t="s">
        <v>587</v>
      </c>
    </row>
    <row r="353" spans="1:5" x14ac:dyDescent="0.25">
      <c r="A353" s="4">
        <v>45182</v>
      </c>
      <c r="B353" s="6" t="s">
        <v>47</v>
      </c>
      <c r="C353" s="6" t="s">
        <v>47</v>
      </c>
      <c r="D353" s="6" t="s">
        <v>47</v>
      </c>
      <c r="E353" s="2" t="s">
        <v>587</v>
      </c>
    </row>
    <row r="354" spans="1:5" x14ac:dyDescent="0.25">
      <c r="A354" s="4">
        <v>45183</v>
      </c>
      <c r="B354" s="6" t="s">
        <v>47</v>
      </c>
      <c r="C354" s="6" t="s">
        <v>47</v>
      </c>
      <c r="D354" s="6" t="s">
        <v>47</v>
      </c>
      <c r="E354" s="2" t="s">
        <v>587</v>
      </c>
    </row>
    <row r="355" spans="1:5" x14ac:dyDescent="0.25">
      <c r="A355" s="4">
        <v>45184</v>
      </c>
      <c r="B355" s="6" t="s">
        <v>47</v>
      </c>
      <c r="C355" s="6" t="s">
        <v>47</v>
      </c>
      <c r="D355" s="6" t="s">
        <v>47</v>
      </c>
      <c r="E355" s="2" t="s">
        <v>587</v>
      </c>
    </row>
    <row r="356" spans="1:5" x14ac:dyDescent="0.25">
      <c r="A356" s="4">
        <v>45185</v>
      </c>
      <c r="B356" s="6" t="s">
        <v>47</v>
      </c>
      <c r="C356" s="6" t="s">
        <v>47</v>
      </c>
      <c r="D356" s="6" t="s">
        <v>47</v>
      </c>
      <c r="E356" s="2" t="s">
        <v>587</v>
      </c>
    </row>
    <row r="357" spans="1:5" x14ac:dyDescent="0.25">
      <c r="A357" s="4">
        <v>45186</v>
      </c>
      <c r="B357" s="6" t="s">
        <v>47</v>
      </c>
      <c r="C357" s="6" t="s">
        <v>47</v>
      </c>
      <c r="D357" s="6" t="s">
        <v>47</v>
      </c>
      <c r="E357" s="2" t="s">
        <v>587</v>
      </c>
    </row>
    <row r="358" spans="1:5" x14ac:dyDescent="0.25">
      <c r="A358" s="4">
        <v>45187</v>
      </c>
      <c r="B358" s="6" t="s">
        <v>47</v>
      </c>
      <c r="C358" s="6" t="s">
        <v>47</v>
      </c>
      <c r="D358" s="6" t="s">
        <v>47</v>
      </c>
      <c r="E358" s="2" t="s">
        <v>587</v>
      </c>
    </row>
    <row r="359" spans="1:5" x14ac:dyDescent="0.25">
      <c r="A359" s="4">
        <v>45188</v>
      </c>
      <c r="B359" s="6" t="s">
        <v>47</v>
      </c>
      <c r="C359" s="6" t="s">
        <v>47</v>
      </c>
      <c r="D359" s="6" t="s">
        <v>47</v>
      </c>
      <c r="E359" s="2" t="s">
        <v>587</v>
      </c>
    </row>
    <row r="360" spans="1:5" x14ac:dyDescent="0.25">
      <c r="A360" s="4">
        <v>45189</v>
      </c>
      <c r="B360" s="6" t="s">
        <v>47</v>
      </c>
      <c r="C360" s="6" t="s">
        <v>47</v>
      </c>
      <c r="D360" s="6" t="s">
        <v>47</v>
      </c>
      <c r="E360" s="2" t="s">
        <v>587</v>
      </c>
    </row>
    <row r="361" spans="1:5" x14ac:dyDescent="0.25">
      <c r="A361" s="4">
        <v>45190</v>
      </c>
      <c r="B361" s="6" t="s">
        <v>47</v>
      </c>
      <c r="C361" s="6" t="s">
        <v>47</v>
      </c>
      <c r="D361" s="6" t="s">
        <v>47</v>
      </c>
      <c r="E361" s="2" t="s">
        <v>587</v>
      </c>
    </row>
    <row r="362" spans="1:5" x14ac:dyDescent="0.25">
      <c r="A362" s="4">
        <v>45191</v>
      </c>
      <c r="B362" s="6" t="s">
        <v>47</v>
      </c>
      <c r="C362" s="6" t="s">
        <v>47</v>
      </c>
      <c r="D362" s="6" t="s">
        <v>47</v>
      </c>
      <c r="E362" s="2" t="s">
        <v>587</v>
      </c>
    </row>
    <row r="363" spans="1:5" x14ac:dyDescent="0.25">
      <c r="A363" s="4">
        <v>45192</v>
      </c>
      <c r="B363" s="6" t="s">
        <v>47</v>
      </c>
      <c r="C363" s="6" t="s">
        <v>47</v>
      </c>
      <c r="D363" s="6" t="s">
        <v>47</v>
      </c>
      <c r="E363" s="2" t="s">
        <v>587</v>
      </c>
    </row>
    <row r="364" spans="1:5" x14ac:dyDescent="0.25">
      <c r="A364" s="4">
        <v>45193</v>
      </c>
      <c r="B364" s="6" t="s">
        <v>47</v>
      </c>
      <c r="C364" s="6" t="s">
        <v>47</v>
      </c>
      <c r="D364" s="6" t="s">
        <v>47</v>
      </c>
      <c r="E364" s="2" t="s">
        <v>587</v>
      </c>
    </row>
    <row r="365" spans="1:5" x14ac:dyDescent="0.25">
      <c r="A365" s="4">
        <v>45194</v>
      </c>
      <c r="B365" s="6" t="s">
        <v>47</v>
      </c>
      <c r="C365" s="6" t="s">
        <v>47</v>
      </c>
      <c r="D365" s="6" t="s">
        <v>47</v>
      </c>
      <c r="E365" s="2" t="s">
        <v>587</v>
      </c>
    </row>
    <row r="366" spans="1:5" x14ac:dyDescent="0.25">
      <c r="A366" s="4">
        <v>45195</v>
      </c>
      <c r="B366" s="6" t="s">
        <v>47</v>
      </c>
      <c r="C366" s="6" t="s">
        <v>47</v>
      </c>
      <c r="D366" s="6" t="s">
        <v>47</v>
      </c>
      <c r="E366" s="2" t="s">
        <v>587</v>
      </c>
    </row>
    <row r="367" spans="1:5" x14ac:dyDescent="0.25">
      <c r="A367" s="4">
        <v>45196</v>
      </c>
      <c r="B367" s="6" t="s">
        <v>47</v>
      </c>
      <c r="C367" s="6" t="s">
        <v>47</v>
      </c>
      <c r="D367" s="6" t="s">
        <v>47</v>
      </c>
      <c r="E367" s="2" t="s">
        <v>587</v>
      </c>
    </row>
    <row r="368" spans="1:5" x14ac:dyDescent="0.25">
      <c r="A368" s="4">
        <v>45197</v>
      </c>
      <c r="B368" s="6" t="s">
        <v>47</v>
      </c>
      <c r="C368" s="6" t="s">
        <v>47</v>
      </c>
      <c r="D368" s="6" t="s">
        <v>47</v>
      </c>
      <c r="E368" s="2" t="s">
        <v>587</v>
      </c>
    </row>
    <row r="369" spans="1:5" x14ac:dyDescent="0.25">
      <c r="A369" s="4">
        <v>45198</v>
      </c>
      <c r="B369" s="6" t="s">
        <v>47</v>
      </c>
      <c r="C369" s="6" t="s">
        <v>47</v>
      </c>
      <c r="D369" s="6" t="s">
        <v>47</v>
      </c>
      <c r="E369" s="2" t="s">
        <v>587</v>
      </c>
    </row>
    <row r="370" spans="1:5" x14ac:dyDescent="0.25">
      <c r="A370" s="4">
        <v>45199</v>
      </c>
      <c r="B370" s="6" t="s">
        <v>47</v>
      </c>
      <c r="C370" s="6" t="s">
        <v>47</v>
      </c>
      <c r="D370" s="6" t="s">
        <v>47</v>
      </c>
      <c r="E370" s="2" t="s">
        <v>587</v>
      </c>
    </row>
    <row r="371" spans="1:5" x14ac:dyDescent="0.25">
      <c r="A371" s="59"/>
      <c r="B371" s="6"/>
      <c r="C371" s="6"/>
      <c r="D371" s="6"/>
      <c r="E371" s="2"/>
    </row>
    <row r="372" spans="1:5" x14ac:dyDescent="0.25">
      <c r="A372" s="59"/>
      <c r="B372" s="6"/>
      <c r="C372" s="6"/>
      <c r="D372" s="6"/>
      <c r="E372" s="2"/>
    </row>
    <row r="373" spans="1:5" x14ac:dyDescent="0.25">
      <c r="A373" s="59"/>
      <c r="B373" s="6"/>
      <c r="C373" s="6"/>
      <c r="D373" s="6"/>
      <c r="E373" s="2"/>
    </row>
    <row r="374" spans="1:5" x14ac:dyDescent="0.25">
      <c r="A374" s="59"/>
      <c r="B374" s="6"/>
      <c r="C374" s="6"/>
      <c r="D374" s="6"/>
      <c r="E374" s="2"/>
    </row>
    <row r="375" spans="1:5" x14ac:dyDescent="0.25">
      <c r="A375" s="59"/>
      <c r="B375" s="6"/>
      <c r="C375" s="6"/>
      <c r="D375" s="6"/>
      <c r="E375" s="2"/>
    </row>
    <row r="376" spans="1:5" x14ac:dyDescent="0.25">
      <c r="A376" s="59"/>
      <c r="B376" s="6"/>
      <c r="C376" s="6"/>
      <c r="D376" s="6"/>
      <c r="E376" s="2"/>
    </row>
    <row r="377" spans="1:5" x14ac:dyDescent="0.25">
      <c r="A377" s="59"/>
      <c r="B377" s="6"/>
      <c r="C377" s="6"/>
      <c r="D377" s="6"/>
      <c r="E377" s="2"/>
    </row>
    <row r="378" spans="1:5" x14ac:dyDescent="0.25">
      <c r="A378" s="59"/>
      <c r="B378" s="6"/>
      <c r="C378" s="6"/>
      <c r="D378" s="6"/>
      <c r="E378" s="2"/>
    </row>
    <row r="379" spans="1:5" x14ac:dyDescent="0.25">
      <c r="A379" s="59"/>
      <c r="B379" s="6"/>
      <c r="C379" s="6"/>
      <c r="D379" s="6"/>
      <c r="E379" s="2"/>
    </row>
    <row r="380" spans="1:5" x14ac:dyDescent="0.25">
      <c r="A380" s="59"/>
      <c r="B380" s="6"/>
      <c r="C380" s="6"/>
      <c r="D380" s="6"/>
      <c r="E380" s="2"/>
    </row>
    <row r="381" spans="1:5" x14ac:dyDescent="0.25">
      <c r="A381" s="59"/>
      <c r="B381" s="6"/>
      <c r="C381" s="6"/>
      <c r="D381" s="6"/>
      <c r="E381" s="2"/>
    </row>
    <row r="382" spans="1:5" x14ac:dyDescent="0.25">
      <c r="A382" s="59"/>
      <c r="B382" s="6"/>
      <c r="C382" s="6"/>
      <c r="D382" s="6"/>
      <c r="E382" s="2"/>
    </row>
    <row r="383" spans="1:5" x14ac:dyDescent="0.25">
      <c r="A383" s="59"/>
      <c r="B383" s="6"/>
      <c r="C383" s="6"/>
      <c r="D383" s="6"/>
      <c r="E383" s="2"/>
    </row>
    <row r="384" spans="1:5" x14ac:dyDescent="0.25">
      <c r="A384" s="59"/>
      <c r="B384" s="6"/>
      <c r="C384" s="6"/>
      <c r="D384" s="6"/>
      <c r="E384" s="2"/>
    </row>
    <row r="385" spans="1:5" x14ac:dyDescent="0.25">
      <c r="A385" s="59"/>
      <c r="B385" s="6"/>
      <c r="C385" s="6"/>
      <c r="D385" s="6"/>
      <c r="E385" s="2"/>
    </row>
    <row r="386" spans="1:5" x14ac:dyDescent="0.25">
      <c r="A386" s="59"/>
      <c r="B386" s="6"/>
      <c r="C386" s="6"/>
      <c r="D386" s="6"/>
      <c r="E386" s="2"/>
    </row>
    <row r="387" spans="1:5" x14ac:dyDescent="0.25">
      <c r="A387" s="59"/>
      <c r="B387" s="6"/>
      <c r="C387" s="6"/>
      <c r="D387" s="6"/>
      <c r="E387" s="2"/>
    </row>
    <row r="388" spans="1:5" x14ac:dyDescent="0.25">
      <c r="A388" s="59"/>
      <c r="B388" s="6"/>
      <c r="C388" s="6"/>
      <c r="D388" s="6"/>
      <c r="E388" s="2"/>
    </row>
    <row r="389" spans="1:5" x14ac:dyDescent="0.25">
      <c r="A389" s="59"/>
      <c r="B389" s="6"/>
      <c r="C389" s="6"/>
      <c r="D389" s="6"/>
      <c r="E389" s="2"/>
    </row>
    <row r="390" spans="1:5" x14ac:dyDescent="0.25">
      <c r="A390" s="59"/>
      <c r="B390" s="6"/>
      <c r="C390" s="6"/>
      <c r="D390" s="6"/>
      <c r="E390" s="2"/>
    </row>
    <row r="391" spans="1:5" x14ac:dyDescent="0.25">
      <c r="A391" s="59"/>
      <c r="B391" s="6"/>
      <c r="C391" s="6"/>
      <c r="D391" s="6"/>
      <c r="E391" s="2"/>
    </row>
    <row r="392" spans="1:5" x14ac:dyDescent="0.25">
      <c r="A392" s="59"/>
      <c r="B392" s="6"/>
      <c r="C392" s="6"/>
      <c r="D392" s="6"/>
      <c r="E392" s="2"/>
    </row>
    <row r="393" spans="1:5" x14ac:dyDescent="0.25">
      <c r="A393" s="59"/>
      <c r="B393" s="6"/>
      <c r="C393" s="6"/>
      <c r="D393" s="6"/>
      <c r="E393" s="2"/>
    </row>
    <row r="394" spans="1:5" x14ac:dyDescent="0.25">
      <c r="A394" s="59"/>
      <c r="B394" s="6"/>
      <c r="C394" s="6"/>
      <c r="D394" s="6"/>
      <c r="E394" s="2"/>
    </row>
    <row r="395" spans="1:5" x14ac:dyDescent="0.25">
      <c r="A395" s="59"/>
      <c r="B395" s="6"/>
      <c r="C395" s="6"/>
      <c r="D395" s="6"/>
      <c r="E395" s="2"/>
    </row>
    <row r="396" spans="1:5" x14ac:dyDescent="0.25">
      <c r="A396" s="59"/>
      <c r="B396" s="6"/>
      <c r="C396" s="6"/>
      <c r="D396" s="6"/>
      <c r="E396" s="2"/>
    </row>
    <row r="397" spans="1:5" x14ac:dyDescent="0.25">
      <c r="A397" s="59"/>
      <c r="B397" s="6"/>
      <c r="C397" s="6"/>
      <c r="D397" s="6"/>
      <c r="E397" s="2"/>
    </row>
    <row r="398" spans="1:5" x14ac:dyDescent="0.25">
      <c r="A398" s="59"/>
      <c r="B398" s="6"/>
      <c r="C398" s="6"/>
      <c r="D398" s="6"/>
      <c r="E398" s="2"/>
    </row>
    <row r="399" spans="1:5" x14ac:dyDescent="0.25">
      <c r="A399" s="59"/>
      <c r="B399" s="6"/>
      <c r="C399" s="6"/>
      <c r="D399" s="6"/>
      <c r="E399" s="2"/>
    </row>
    <row r="400" spans="1:5" x14ac:dyDescent="0.25">
      <c r="A400" s="59"/>
      <c r="B400" s="6"/>
      <c r="C400" s="6"/>
      <c r="D400" s="6"/>
      <c r="E400" s="2"/>
    </row>
    <row r="401" spans="1:5" x14ac:dyDescent="0.25">
      <c r="A401" s="59"/>
      <c r="B401" s="6"/>
      <c r="C401" s="6"/>
      <c r="D401" s="6"/>
      <c r="E401" s="2"/>
    </row>
    <row r="402" spans="1:5" x14ac:dyDescent="0.25">
      <c r="A402" s="59"/>
      <c r="B402" s="6"/>
      <c r="C402" s="6"/>
      <c r="D402" s="6"/>
      <c r="E402" s="2"/>
    </row>
    <row r="403" spans="1:5" x14ac:dyDescent="0.25">
      <c r="A403" s="59"/>
      <c r="B403" s="6"/>
      <c r="C403" s="6"/>
      <c r="D403" s="6"/>
      <c r="E403" s="2"/>
    </row>
    <row r="404" spans="1:5" x14ac:dyDescent="0.25">
      <c r="A404" s="59"/>
      <c r="B404" s="6"/>
      <c r="C404" s="6"/>
      <c r="D404" s="6"/>
      <c r="E404" s="2"/>
    </row>
    <row r="405" spans="1:5" x14ac:dyDescent="0.25">
      <c r="A405" s="59"/>
      <c r="B405" s="6"/>
      <c r="C405" s="6"/>
      <c r="D405" s="6"/>
      <c r="E405" s="2"/>
    </row>
    <row r="406" spans="1:5" x14ac:dyDescent="0.25">
      <c r="A406" s="59"/>
      <c r="B406" s="6"/>
      <c r="C406" s="6"/>
      <c r="D406" s="6"/>
      <c r="E406" s="2"/>
    </row>
    <row r="407" spans="1:5" x14ac:dyDescent="0.25">
      <c r="A407" s="59"/>
      <c r="B407" s="6"/>
      <c r="C407" s="6"/>
      <c r="D407" s="6"/>
      <c r="E407" s="2"/>
    </row>
    <row r="408" spans="1:5" x14ac:dyDescent="0.25">
      <c r="A408" s="59"/>
      <c r="B408" s="6"/>
      <c r="C408" s="6"/>
      <c r="D408" s="6"/>
      <c r="E408" s="2"/>
    </row>
    <row r="409" spans="1:5" x14ac:dyDescent="0.25">
      <c r="A409" s="59"/>
      <c r="B409" s="6"/>
      <c r="C409" s="6"/>
      <c r="D409" s="6"/>
      <c r="E409" s="2"/>
    </row>
    <row r="410" spans="1:5" x14ac:dyDescent="0.25">
      <c r="A410" s="59"/>
      <c r="B410" s="6"/>
      <c r="C410" s="6"/>
      <c r="D410" s="6"/>
      <c r="E410" s="2"/>
    </row>
    <row r="411" spans="1:5" x14ac:dyDescent="0.25">
      <c r="A411" s="59"/>
      <c r="B411" s="6"/>
      <c r="C411" s="6"/>
      <c r="D411" s="6"/>
      <c r="E411" s="2"/>
    </row>
    <row r="412" spans="1:5" x14ac:dyDescent="0.25">
      <c r="A412" s="59"/>
      <c r="B412" s="6"/>
      <c r="C412" s="6"/>
      <c r="D412" s="6"/>
      <c r="E412" s="2"/>
    </row>
    <row r="413" spans="1:5" x14ac:dyDescent="0.25">
      <c r="A413" s="59"/>
      <c r="B413" s="6"/>
      <c r="C413" s="6"/>
      <c r="D413" s="6"/>
      <c r="E413" s="2"/>
    </row>
    <row r="414" spans="1:5" x14ac:dyDescent="0.25">
      <c r="A414" s="59"/>
      <c r="B414" s="6"/>
      <c r="C414" s="6"/>
      <c r="D414" s="6"/>
      <c r="E414" s="2"/>
    </row>
    <row r="415" spans="1:5" x14ac:dyDescent="0.25">
      <c r="A415" s="59"/>
      <c r="B415" s="6"/>
      <c r="C415" s="6"/>
      <c r="D415" s="6"/>
      <c r="E415" s="2"/>
    </row>
    <row r="416" spans="1:5" x14ac:dyDescent="0.25">
      <c r="A416" s="59"/>
      <c r="B416" s="6"/>
      <c r="C416" s="6"/>
      <c r="D416" s="6"/>
      <c r="E416" s="2"/>
    </row>
    <row r="417" spans="1:5" x14ac:dyDescent="0.25">
      <c r="A417" s="59"/>
      <c r="B417" s="6"/>
      <c r="C417" s="6"/>
      <c r="D417" s="6"/>
      <c r="E417" s="2"/>
    </row>
    <row r="418" spans="1:5" x14ac:dyDescent="0.25">
      <c r="A418" s="59"/>
      <c r="B418" s="6"/>
      <c r="C418" s="6"/>
      <c r="D418" s="6"/>
      <c r="E418" s="2"/>
    </row>
    <row r="419" spans="1:5" x14ac:dyDescent="0.25">
      <c r="A419" s="59"/>
      <c r="B419" s="6"/>
      <c r="C419" s="6"/>
      <c r="D419" s="6"/>
      <c r="E419" s="2"/>
    </row>
    <row r="420" spans="1:5" x14ac:dyDescent="0.25">
      <c r="A420" s="59"/>
      <c r="B420" s="6"/>
      <c r="C420" s="6"/>
      <c r="D420" s="6"/>
      <c r="E420" s="2"/>
    </row>
    <row r="421" spans="1:5" x14ac:dyDescent="0.25">
      <c r="A421" s="59"/>
      <c r="B421" s="6"/>
      <c r="C421" s="6"/>
      <c r="D421" s="6"/>
      <c r="E421" s="2"/>
    </row>
    <row r="422" spans="1:5" x14ac:dyDescent="0.25">
      <c r="A422" s="59"/>
      <c r="B422" s="6"/>
      <c r="C422" s="6"/>
      <c r="D422" s="6"/>
      <c r="E422" s="2"/>
    </row>
    <row r="423" spans="1:5" x14ac:dyDescent="0.25">
      <c r="A423" s="59"/>
      <c r="B423" s="6"/>
      <c r="C423" s="6"/>
      <c r="D423" s="6"/>
      <c r="E423" s="2"/>
    </row>
    <row r="424" spans="1:5" x14ac:dyDescent="0.25">
      <c r="A424" s="59"/>
      <c r="B424" s="6"/>
      <c r="C424" s="6"/>
      <c r="D424" s="6"/>
      <c r="E424" s="2"/>
    </row>
    <row r="425" spans="1:5" x14ac:dyDescent="0.25">
      <c r="A425" s="59"/>
      <c r="B425" s="6"/>
      <c r="C425" s="6"/>
      <c r="D425" s="6"/>
      <c r="E425" s="2"/>
    </row>
    <row r="426" spans="1:5" x14ac:dyDescent="0.25">
      <c r="A426" s="59"/>
      <c r="B426" s="6"/>
      <c r="C426" s="6"/>
      <c r="D426" s="6"/>
      <c r="E426" s="2"/>
    </row>
    <row r="427" spans="1:5" x14ac:dyDescent="0.25">
      <c r="A427" s="59"/>
      <c r="B427" s="6"/>
      <c r="C427" s="6"/>
      <c r="D427" s="6"/>
      <c r="E427" s="2"/>
    </row>
    <row r="428" spans="1:5" x14ac:dyDescent="0.25">
      <c r="A428" s="59"/>
      <c r="B428" s="6"/>
      <c r="C428" s="6"/>
      <c r="D428" s="6"/>
      <c r="E428" s="2"/>
    </row>
    <row r="429" spans="1:5" x14ac:dyDescent="0.25">
      <c r="A429" s="59"/>
      <c r="B429" s="6"/>
      <c r="C429" s="6"/>
      <c r="D429" s="6"/>
      <c r="E429" s="2"/>
    </row>
    <row r="430" spans="1:5" x14ac:dyDescent="0.25">
      <c r="A430" s="59"/>
      <c r="B430" s="6"/>
      <c r="C430" s="6"/>
      <c r="D430" s="6"/>
      <c r="E430" s="2"/>
    </row>
    <row r="431" spans="1:5" x14ac:dyDescent="0.25">
      <c r="A431" s="59"/>
      <c r="B431" s="6"/>
      <c r="C431" s="6"/>
      <c r="D431" s="6"/>
      <c r="E431" s="2"/>
    </row>
    <row r="432" spans="1:5" x14ac:dyDescent="0.25">
      <c r="A432" s="59"/>
      <c r="B432" s="6"/>
      <c r="C432" s="6"/>
      <c r="D432" s="6"/>
      <c r="E432" s="2"/>
    </row>
    <row r="433" spans="1:5" x14ac:dyDescent="0.25">
      <c r="A433" s="59"/>
      <c r="B433" s="6"/>
      <c r="C433" s="6"/>
      <c r="D433" s="6"/>
      <c r="E433" s="2"/>
    </row>
    <row r="434" spans="1:5" x14ac:dyDescent="0.25">
      <c r="A434" s="59"/>
      <c r="B434" s="6"/>
      <c r="C434" s="6"/>
      <c r="D434" s="6"/>
      <c r="E434" s="2"/>
    </row>
    <row r="435" spans="1:5" x14ac:dyDescent="0.25">
      <c r="A435" s="59"/>
      <c r="B435" s="6"/>
      <c r="C435" s="6"/>
      <c r="D435" s="6"/>
      <c r="E435" s="2"/>
    </row>
    <row r="436" spans="1:5" x14ac:dyDescent="0.25">
      <c r="A436" s="59"/>
      <c r="B436" s="6"/>
      <c r="C436" s="6"/>
      <c r="D436" s="6"/>
      <c r="E436" s="2"/>
    </row>
    <row r="437" spans="1:5" x14ac:dyDescent="0.25">
      <c r="A437" s="59"/>
      <c r="B437" s="6"/>
      <c r="C437" s="6"/>
      <c r="D437" s="6"/>
      <c r="E437" s="2"/>
    </row>
    <row r="438" spans="1:5" x14ac:dyDescent="0.25">
      <c r="A438" s="59"/>
      <c r="B438" s="6"/>
      <c r="C438" s="6"/>
      <c r="D438" s="6"/>
      <c r="E438" s="2"/>
    </row>
    <row r="439" spans="1:5" x14ac:dyDescent="0.25">
      <c r="A439" s="59"/>
      <c r="B439" s="6"/>
      <c r="C439" s="6"/>
      <c r="D439" s="6"/>
      <c r="E439" s="2"/>
    </row>
    <row r="440" spans="1:5" x14ac:dyDescent="0.25">
      <c r="A440" s="59"/>
      <c r="B440" s="6"/>
      <c r="C440" s="6"/>
      <c r="D440" s="6"/>
      <c r="E440" s="2"/>
    </row>
    <row r="441" spans="1:5" x14ac:dyDescent="0.25">
      <c r="A441" s="59"/>
      <c r="B441" s="6"/>
      <c r="C441" s="6"/>
      <c r="D441" s="6"/>
      <c r="E441" s="2"/>
    </row>
    <row r="442" spans="1:5" x14ac:dyDescent="0.25">
      <c r="A442" s="59"/>
      <c r="B442" s="6"/>
      <c r="C442" s="6"/>
      <c r="D442" s="6"/>
      <c r="E442" s="2"/>
    </row>
    <row r="443" spans="1:5" x14ac:dyDescent="0.25">
      <c r="A443" s="59"/>
      <c r="B443" s="6"/>
      <c r="C443" s="6"/>
      <c r="D443" s="6"/>
      <c r="E443" s="2"/>
    </row>
    <row r="444" spans="1:5" x14ac:dyDescent="0.25">
      <c r="A444" s="59"/>
      <c r="B444" s="6"/>
      <c r="C444" s="6"/>
      <c r="D444" s="6"/>
      <c r="E444" s="2"/>
    </row>
    <row r="445" spans="1:5" x14ac:dyDescent="0.25">
      <c r="A445" s="59"/>
      <c r="B445" s="6"/>
      <c r="C445" s="6"/>
      <c r="D445" s="6"/>
      <c r="E445" s="2"/>
    </row>
    <row r="446" spans="1:5" x14ac:dyDescent="0.25">
      <c r="A446" s="59"/>
      <c r="B446" s="6"/>
      <c r="C446" s="6"/>
      <c r="D446" s="6"/>
      <c r="E446" s="2"/>
    </row>
    <row r="447" spans="1:5" x14ac:dyDescent="0.25">
      <c r="A447" s="59"/>
      <c r="B447" s="6"/>
      <c r="C447" s="6"/>
      <c r="D447" s="6"/>
      <c r="E447" s="2"/>
    </row>
    <row r="448" spans="1:5" x14ac:dyDescent="0.25">
      <c r="A448" s="59"/>
      <c r="B448" s="6"/>
      <c r="C448" s="6"/>
      <c r="D448" s="6"/>
      <c r="E448" s="2"/>
    </row>
    <row r="449" spans="1:5" x14ac:dyDescent="0.25">
      <c r="A449" s="59"/>
      <c r="B449" s="6"/>
      <c r="C449" s="6"/>
      <c r="D449" s="6"/>
      <c r="E449" s="2"/>
    </row>
    <row r="450" spans="1:5" x14ac:dyDescent="0.25">
      <c r="A450" s="59"/>
      <c r="B450" s="6"/>
      <c r="C450" s="6"/>
      <c r="D450" s="6"/>
      <c r="E450" s="2"/>
    </row>
    <row r="451" spans="1:5" x14ac:dyDescent="0.25">
      <c r="A451" s="59"/>
      <c r="B451" s="6"/>
      <c r="C451" s="6"/>
      <c r="D451" s="6"/>
      <c r="E451" s="2"/>
    </row>
    <row r="452" spans="1:5" x14ac:dyDescent="0.25">
      <c r="A452" s="59"/>
      <c r="B452" s="6"/>
      <c r="C452" s="6"/>
      <c r="D452" s="6"/>
      <c r="E452" s="2"/>
    </row>
    <row r="453" spans="1:5" x14ac:dyDescent="0.25">
      <c r="A453" s="59"/>
      <c r="B453" s="6"/>
      <c r="C453" s="6"/>
      <c r="D453" s="6"/>
      <c r="E453" s="2"/>
    </row>
    <row r="454" spans="1:5" x14ac:dyDescent="0.25">
      <c r="A454" s="59"/>
      <c r="B454" s="6"/>
      <c r="C454" s="6"/>
      <c r="D454" s="6"/>
      <c r="E454" s="2"/>
    </row>
    <row r="455" spans="1:5" x14ac:dyDescent="0.25">
      <c r="A455" s="59"/>
      <c r="B455" s="6"/>
      <c r="C455" s="6"/>
      <c r="D455" s="6"/>
      <c r="E455" s="2"/>
    </row>
    <row r="456" spans="1:5" x14ac:dyDescent="0.25">
      <c r="A456" s="59"/>
      <c r="B456" s="6"/>
      <c r="C456" s="6"/>
      <c r="D456" s="6"/>
      <c r="E456" s="2"/>
    </row>
    <row r="457" spans="1:5" x14ac:dyDescent="0.25">
      <c r="A457" s="59"/>
      <c r="B457" s="6"/>
      <c r="C457" s="6"/>
      <c r="D457" s="6"/>
      <c r="E457" s="2"/>
    </row>
    <row r="458" spans="1:5" x14ac:dyDescent="0.25">
      <c r="A458" s="59"/>
      <c r="B458" s="6"/>
      <c r="C458" s="6"/>
      <c r="D458" s="6"/>
      <c r="E458" s="2"/>
    </row>
    <row r="459" spans="1:5" x14ac:dyDescent="0.25">
      <c r="A459" s="59"/>
      <c r="B459" s="6"/>
      <c r="C459" s="6"/>
      <c r="D459" s="6"/>
      <c r="E459" s="2"/>
    </row>
    <row r="460" spans="1:5" x14ac:dyDescent="0.25">
      <c r="A460" s="59"/>
      <c r="B460" s="6"/>
      <c r="C460" s="6"/>
      <c r="D460" s="6"/>
      <c r="E460" s="2"/>
    </row>
    <row r="461" spans="1:5" x14ac:dyDescent="0.25">
      <c r="A461" s="59"/>
      <c r="B461" s="6"/>
      <c r="C461" s="6"/>
      <c r="D461" s="6"/>
      <c r="E461" s="2"/>
    </row>
    <row r="462" spans="1:5" x14ac:dyDescent="0.25">
      <c r="A462" s="59"/>
      <c r="B462" s="6"/>
      <c r="C462" s="6"/>
      <c r="D462" s="6"/>
      <c r="E462" s="2"/>
    </row>
    <row r="463" spans="1:5" x14ac:dyDescent="0.25">
      <c r="A463" s="59"/>
      <c r="B463" s="6"/>
      <c r="C463" s="6"/>
      <c r="D463" s="6"/>
      <c r="E463" s="2"/>
    </row>
    <row r="464" spans="1:5" x14ac:dyDescent="0.25">
      <c r="A464" s="59"/>
      <c r="B464" s="6"/>
      <c r="C464" s="6"/>
      <c r="D464" s="6"/>
      <c r="E464" s="2"/>
    </row>
    <row r="465" spans="1:5" x14ac:dyDescent="0.25">
      <c r="A465" s="59"/>
      <c r="B465" s="6"/>
      <c r="C465" s="6"/>
      <c r="D465" s="6"/>
      <c r="E465" s="2"/>
    </row>
    <row r="466" spans="1:5" x14ac:dyDescent="0.25">
      <c r="A466" s="59"/>
      <c r="B466" s="6"/>
      <c r="C466" s="6"/>
      <c r="D466" s="6"/>
      <c r="E466" s="2"/>
    </row>
    <row r="467" spans="1:5" x14ac:dyDescent="0.25">
      <c r="A467" s="59"/>
      <c r="B467" s="6"/>
      <c r="C467" s="6"/>
      <c r="D467" s="6"/>
      <c r="E467" s="2"/>
    </row>
    <row r="468" spans="1:5" x14ac:dyDescent="0.25">
      <c r="A468" s="59"/>
      <c r="B468" s="6"/>
      <c r="C468" s="6"/>
      <c r="D468" s="6"/>
      <c r="E468" s="2"/>
    </row>
    <row r="469" spans="1:5" x14ac:dyDescent="0.25">
      <c r="A469" s="59"/>
      <c r="B469" s="6"/>
      <c r="C469" s="6"/>
      <c r="D469" s="6"/>
      <c r="E469" s="2"/>
    </row>
    <row r="470" spans="1:5" x14ac:dyDescent="0.25">
      <c r="A470" s="59"/>
      <c r="B470" s="6"/>
      <c r="C470" s="6"/>
      <c r="D470" s="6"/>
      <c r="E470" s="2"/>
    </row>
    <row r="471" spans="1:5" x14ac:dyDescent="0.25">
      <c r="A471" s="59"/>
      <c r="B471" s="6"/>
      <c r="C471" s="6"/>
      <c r="D471" s="6"/>
      <c r="E471" s="2"/>
    </row>
    <row r="472" spans="1:5" x14ac:dyDescent="0.25">
      <c r="A472" s="59"/>
      <c r="B472" s="6"/>
      <c r="C472" s="6"/>
      <c r="D472" s="6"/>
      <c r="E472" s="2"/>
    </row>
    <row r="473" spans="1:5" x14ac:dyDescent="0.25">
      <c r="A473" s="59"/>
      <c r="B473" s="6"/>
      <c r="C473" s="6"/>
      <c r="D473" s="6"/>
      <c r="E473" s="2"/>
    </row>
    <row r="474" spans="1:5" x14ac:dyDescent="0.25">
      <c r="A474" s="59"/>
      <c r="B474" s="6"/>
      <c r="C474" s="6"/>
      <c r="D474" s="6"/>
      <c r="E474" s="2"/>
    </row>
    <row r="475" spans="1:5" x14ac:dyDescent="0.25">
      <c r="A475" s="59"/>
      <c r="B475" s="6"/>
      <c r="C475" s="6"/>
      <c r="D475" s="6"/>
      <c r="E475" s="2"/>
    </row>
    <row r="476" spans="1:5" x14ac:dyDescent="0.25">
      <c r="A476" s="59"/>
      <c r="B476" s="6"/>
      <c r="C476" s="6"/>
      <c r="D476" s="6"/>
      <c r="E476" s="2"/>
    </row>
    <row r="477" spans="1:5" x14ac:dyDescent="0.25">
      <c r="A477" s="59"/>
      <c r="B477" s="6"/>
      <c r="C477" s="6"/>
      <c r="D477" s="6"/>
      <c r="E477" s="2"/>
    </row>
    <row r="478" spans="1:5" x14ac:dyDescent="0.25">
      <c r="A478" s="59"/>
      <c r="B478" s="6"/>
      <c r="C478" s="6"/>
      <c r="D478" s="6"/>
      <c r="E478" s="2"/>
    </row>
    <row r="479" spans="1:5" x14ac:dyDescent="0.25">
      <c r="A479" s="59"/>
      <c r="B479" s="6"/>
      <c r="C479" s="6"/>
      <c r="D479" s="6"/>
      <c r="E479" s="2"/>
    </row>
    <row r="480" spans="1:5" x14ac:dyDescent="0.25">
      <c r="A480" s="59"/>
      <c r="B480" s="6"/>
      <c r="C480" s="6"/>
      <c r="D480" s="6"/>
      <c r="E480" s="2"/>
    </row>
    <row r="481" spans="1:5" x14ac:dyDescent="0.25">
      <c r="A481" s="59"/>
      <c r="B481" s="6"/>
      <c r="C481" s="6"/>
      <c r="D481" s="6"/>
      <c r="E481" s="2"/>
    </row>
    <row r="482" spans="1:5" x14ac:dyDescent="0.25">
      <c r="A482" s="59"/>
      <c r="B482" s="6"/>
      <c r="C482" s="6"/>
      <c r="D482" s="6"/>
      <c r="E482" s="2"/>
    </row>
    <row r="483" spans="1:5" x14ac:dyDescent="0.25">
      <c r="A483" s="59"/>
      <c r="B483" s="6"/>
      <c r="C483" s="6"/>
      <c r="D483" s="6"/>
      <c r="E483" s="2"/>
    </row>
    <row r="484" spans="1:5" x14ac:dyDescent="0.25">
      <c r="A484" s="59"/>
      <c r="B484" s="6"/>
      <c r="C484" s="6"/>
      <c r="D484" s="6"/>
      <c r="E484" s="2"/>
    </row>
    <row r="485" spans="1:5" x14ac:dyDescent="0.25">
      <c r="A485" s="59"/>
      <c r="B485" s="6"/>
      <c r="C485" s="6"/>
      <c r="D485" s="6"/>
      <c r="E485" s="2"/>
    </row>
    <row r="486" spans="1:5" x14ac:dyDescent="0.25">
      <c r="A486" s="59"/>
      <c r="B486" s="6"/>
      <c r="C486" s="6"/>
      <c r="D486" s="6"/>
      <c r="E486" s="2"/>
    </row>
    <row r="487" spans="1:5" x14ac:dyDescent="0.25">
      <c r="A487" s="59"/>
      <c r="B487" s="6"/>
      <c r="C487" s="6"/>
      <c r="D487" s="6"/>
      <c r="E487" s="2"/>
    </row>
    <row r="488" spans="1:5" x14ac:dyDescent="0.25">
      <c r="A488" s="59"/>
      <c r="B488" s="6"/>
      <c r="C488" s="6"/>
      <c r="D488" s="6"/>
      <c r="E488" s="2"/>
    </row>
    <row r="489" spans="1:5" x14ac:dyDescent="0.25">
      <c r="A489" s="59"/>
      <c r="B489" s="6"/>
      <c r="C489" s="6"/>
      <c r="D489" s="6"/>
      <c r="E489" s="2"/>
    </row>
    <row r="490" spans="1:5" x14ac:dyDescent="0.25">
      <c r="A490" s="59"/>
      <c r="B490" s="6"/>
      <c r="C490" s="6"/>
      <c r="D490" s="6"/>
      <c r="E490" s="2"/>
    </row>
    <row r="491" spans="1:5" x14ac:dyDescent="0.25">
      <c r="A491" s="59"/>
      <c r="B491" s="6"/>
      <c r="C491" s="6"/>
      <c r="D491" s="6"/>
      <c r="E491" s="2"/>
    </row>
    <row r="492" spans="1:5" x14ac:dyDescent="0.25">
      <c r="A492" s="59"/>
      <c r="B492" s="6"/>
      <c r="C492" s="6"/>
      <c r="D492" s="6"/>
      <c r="E492" s="2"/>
    </row>
    <row r="493" spans="1:5" x14ac:dyDescent="0.25">
      <c r="A493" s="59"/>
      <c r="B493" s="6"/>
      <c r="C493" s="6"/>
      <c r="D493" s="6"/>
      <c r="E493" s="2"/>
    </row>
    <row r="494" spans="1:5" x14ac:dyDescent="0.25">
      <c r="A494" s="59"/>
      <c r="B494" s="6"/>
      <c r="C494" s="6"/>
      <c r="D494" s="6"/>
      <c r="E494" s="2"/>
    </row>
    <row r="495" spans="1:5" x14ac:dyDescent="0.25">
      <c r="A495" s="59"/>
      <c r="B495" s="6"/>
      <c r="C495" s="6"/>
      <c r="D495" s="6"/>
      <c r="E495" s="2"/>
    </row>
    <row r="496" spans="1:5" x14ac:dyDescent="0.25">
      <c r="A496" s="59"/>
      <c r="B496" s="6"/>
      <c r="C496" s="6"/>
      <c r="D496" s="6"/>
      <c r="E496" s="2"/>
    </row>
    <row r="497" spans="1:5" x14ac:dyDescent="0.25">
      <c r="A497" s="59"/>
      <c r="B497" s="6"/>
      <c r="C497" s="6"/>
      <c r="D497" s="6"/>
      <c r="E497" s="2"/>
    </row>
    <row r="498" spans="1:5" x14ac:dyDescent="0.25">
      <c r="A498" s="59"/>
      <c r="B498" s="6"/>
      <c r="C498" s="6"/>
      <c r="D498" s="6"/>
      <c r="E498" s="2"/>
    </row>
    <row r="499" spans="1:5" x14ac:dyDescent="0.25">
      <c r="A499" s="59"/>
      <c r="B499" s="6"/>
      <c r="C499" s="6"/>
      <c r="D499" s="6"/>
      <c r="E499" s="2"/>
    </row>
    <row r="500" spans="1:5" x14ac:dyDescent="0.25">
      <c r="A500" s="59"/>
      <c r="B500" s="6"/>
      <c r="C500" s="6"/>
      <c r="D500" s="6"/>
      <c r="E500" s="2"/>
    </row>
    <row r="501" spans="1:5" x14ac:dyDescent="0.25">
      <c r="A501" s="59"/>
      <c r="B501" s="6"/>
      <c r="C501" s="6"/>
      <c r="D501" s="6"/>
      <c r="E501" s="2"/>
    </row>
    <row r="502" spans="1:5" x14ac:dyDescent="0.25">
      <c r="A502" s="59"/>
      <c r="B502" s="6"/>
      <c r="C502" s="6"/>
      <c r="D502" s="6"/>
      <c r="E502" s="2"/>
    </row>
    <row r="503" spans="1:5" x14ac:dyDescent="0.25">
      <c r="A503" s="59"/>
      <c r="B503" s="6"/>
      <c r="C503" s="6"/>
      <c r="D503" s="6"/>
      <c r="E503" s="2"/>
    </row>
    <row r="504" spans="1:5" x14ac:dyDescent="0.25">
      <c r="A504" s="59"/>
      <c r="B504" s="6"/>
      <c r="C504" s="6"/>
      <c r="D504" s="6"/>
      <c r="E504" s="2"/>
    </row>
    <row r="505" spans="1:5" x14ac:dyDescent="0.25">
      <c r="A505" s="59"/>
      <c r="B505" s="6"/>
      <c r="C505" s="6"/>
      <c r="D505" s="6"/>
      <c r="E505" s="2"/>
    </row>
    <row r="506" spans="1:5" x14ac:dyDescent="0.25">
      <c r="A506" s="59"/>
      <c r="B506" s="6"/>
      <c r="C506" s="6"/>
      <c r="D506" s="6"/>
      <c r="E506" s="2"/>
    </row>
    <row r="507" spans="1:5" x14ac:dyDescent="0.25">
      <c r="A507" s="59"/>
      <c r="B507" s="6"/>
      <c r="C507" s="6"/>
      <c r="D507" s="6"/>
      <c r="E507" s="2"/>
    </row>
    <row r="508" spans="1:5" x14ac:dyDescent="0.25">
      <c r="A508" s="59"/>
      <c r="B508" s="6"/>
      <c r="C508" s="6"/>
      <c r="D508" s="6"/>
      <c r="E508" s="2"/>
    </row>
    <row r="509" spans="1:5" x14ac:dyDescent="0.25">
      <c r="A509" s="59"/>
      <c r="B509" s="6"/>
      <c r="C509" s="6"/>
      <c r="D509" s="6"/>
      <c r="E509" s="2"/>
    </row>
    <row r="510" spans="1:5" x14ac:dyDescent="0.25">
      <c r="A510" s="59"/>
      <c r="B510" s="6"/>
      <c r="C510" s="6"/>
      <c r="D510" s="6"/>
      <c r="E510" s="2"/>
    </row>
    <row r="511" spans="1:5" x14ac:dyDescent="0.25">
      <c r="A511" s="59"/>
      <c r="B511" s="6"/>
      <c r="C511" s="6"/>
      <c r="D511" s="6"/>
      <c r="E511" s="2"/>
    </row>
    <row r="512" spans="1:5" x14ac:dyDescent="0.25">
      <c r="A512" s="59"/>
      <c r="B512" s="6"/>
      <c r="C512" s="6"/>
      <c r="D512" s="6"/>
      <c r="E512" s="2"/>
    </row>
    <row r="513" spans="1:5" x14ac:dyDescent="0.25">
      <c r="A513" s="59"/>
      <c r="B513" s="6"/>
      <c r="C513" s="6"/>
      <c r="D513" s="6"/>
      <c r="E513" s="2"/>
    </row>
    <row r="514" spans="1:5" x14ac:dyDescent="0.25">
      <c r="A514" s="59"/>
      <c r="B514" s="6"/>
      <c r="C514" s="6"/>
      <c r="D514" s="6"/>
      <c r="E514" s="2"/>
    </row>
    <row r="515" spans="1:5" x14ac:dyDescent="0.25">
      <c r="A515" s="59"/>
      <c r="B515" s="6"/>
      <c r="C515" s="6"/>
      <c r="D515" s="6"/>
      <c r="E515" s="2"/>
    </row>
    <row r="516" spans="1:5" x14ac:dyDescent="0.25">
      <c r="A516" s="59"/>
      <c r="B516" s="6"/>
      <c r="C516" s="6"/>
      <c r="D516" s="6"/>
      <c r="E516" s="2"/>
    </row>
    <row r="517" spans="1:5" x14ac:dyDescent="0.25">
      <c r="A517" s="59"/>
      <c r="B517" s="6"/>
      <c r="C517" s="6"/>
      <c r="D517" s="6"/>
      <c r="E517" s="2"/>
    </row>
    <row r="518" spans="1:5" x14ac:dyDescent="0.25">
      <c r="A518" s="59"/>
      <c r="B518" s="6"/>
      <c r="C518" s="6"/>
      <c r="D518" s="6"/>
      <c r="E518" s="2"/>
    </row>
    <row r="519" spans="1:5" x14ac:dyDescent="0.25">
      <c r="A519" s="59"/>
      <c r="B519" s="6"/>
      <c r="C519" s="6"/>
      <c r="D519" s="6"/>
      <c r="E519" s="2"/>
    </row>
    <row r="520" spans="1:5" x14ac:dyDescent="0.25">
      <c r="A520" s="59"/>
      <c r="B520" s="6"/>
      <c r="C520" s="6"/>
      <c r="D520" s="6"/>
      <c r="E520" s="2"/>
    </row>
    <row r="521" spans="1:5" x14ac:dyDescent="0.25">
      <c r="A521" s="59"/>
      <c r="B521" s="6"/>
      <c r="C521" s="6"/>
      <c r="D521" s="6"/>
      <c r="E521" s="2"/>
    </row>
    <row r="522" spans="1:5" x14ac:dyDescent="0.25">
      <c r="A522" s="59"/>
      <c r="B522" s="6"/>
      <c r="C522" s="6"/>
      <c r="D522" s="6"/>
      <c r="E522" s="2"/>
    </row>
    <row r="523" spans="1:5" x14ac:dyDescent="0.25">
      <c r="A523" s="59"/>
      <c r="B523" s="6"/>
      <c r="C523" s="6"/>
      <c r="D523" s="6"/>
      <c r="E523" s="2"/>
    </row>
    <row r="524" spans="1:5" x14ac:dyDescent="0.25">
      <c r="A524" s="59"/>
      <c r="B524" s="6"/>
      <c r="C524" s="6"/>
      <c r="D524" s="6"/>
      <c r="E524" s="2"/>
    </row>
    <row r="525" spans="1:5" x14ac:dyDescent="0.25">
      <c r="A525" s="59"/>
      <c r="B525" s="6"/>
      <c r="C525" s="6"/>
      <c r="D525" s="6"/>
      <c r="E525" s="2"/>
    </row>
    <row r="526" spans="1:5" x14ac:dyDescent="0.25">
      <c r="A526" s="59"/>
      <c r="B526" s="6"/>
      <c r="C526" s="6"/>
      <c r="D526" s="6"/>
      <c r="E526" s="2"/>
    </row>
    <row r="527" spans="1:5" x14ac:dyDescent="0.25">
      <c r="A527" s="59"/>
      <c r="B527" s="6"/>
      <c r="C527" s="6"/>
      <c r="D527" s="6"/>
      <c r="E527" s="2"/>
    </row>
    <row r="528" spans="1:5" x14ac:dyDescent="0.25">
      <c r="A528" s="59"/>
      <c r="B528" s="6"/>
      <c r="C528" s="6"/>
      <c r="D528" s="6"/>
      <c r="E528" s="2"/>
    </row>
    <row r="529" spans="1:5" x14ac:dyDescent="0.25">
      <c r="A529" s="59"/>
      <c r="B529" s="6"/>
      <c r="C529" s="6"/>
      <c r="D529" s="6"/>
      <c r="E529" s="2"/>
    </row>
    <row r="530" spans="1:5" x14ac:dyDescent="0.25">
      <c r="A530" s="59"/>
      <c r="B530" s="6"/>
      <c r="C530" s="6"/>
      <c r="D530" s="6"/>
      <c r="E530" s="2"/>
    </row>
    <row r="531" spans="1:5" x14ac:dyDescent="0.25">
      <c r="A531" s="59"/>
      <c r="B531" s="6"/>
      <c r="C531" s="6"/>
      <c r="D531" s="6"/>
      <c r="E531" s="2"/>
    </row>
    <row r="532" spans="1:5" x14ac:dyDescent="0.25">
      <c r="A532" s="59"/>
      <c r="B532" s="6"/>
      <c r="C532" s="6"/>
      <c r="D532" s="6"/>
      <c r="E532" s="2"/>
    </row>
    <row r="533" spans="1:5" x14ac:dyDescent="0.25">
      <c r="A533" s="59"/>
      <c r="B533" s="6"/>
      <c r="C533" s="6"/>
      <c r="D533" s="6"/>
      <c r="E533" s="2"/>
    </row>
    <row r="534" spans="1:5" x14ac:dyDescent="0.25">
      <c r="A534" s="59"/>
      <c r="B534" s="6"/>
      <c r="C534" s="6"/>
      <c r="D534" s="6"/>
      <c r="E534" s="2"/>
    </row>
    <row r="535" spans="1:5" x14ac:dyDescent="0.25">
      <c r="A535" s="59"/>
      <c r="B535" s="6"/>
      <c r="C535" s="6"/>
      <c r="D535" s="6"/>
      <c r="E535" s="2"/>
    </row>
    <row r="536" spans="1:5" x14ac:dyDescent="0.25">
      <c r="A536" s="59"/>
      <c r="B536" s="6"/>
      <c r="C536" s="6"/>
      <c r="D536" s="6"/>
      <c r="E536" s="2"/>
    </row>
    <row r="537" spans="1:5" x14ac:dyDescent="0.25">
      <c r="A537" s="59"/>
      <c r="B537" s="6"/>
      <c r="C537" s="6"/>
      <c r="D537" s="6"/>
      <c r="E537" s="2"/>
    </row>
    <row r="538" spans="1:5" x14ac:dyDescent="0.25">
      <c r="A538" s="59"/>
      <c r="B538" s="6"/>
      <c r="C538" s="6"/>
      <c r="D538" s="6"/>
      <c r="E538" s="2"/>
    </row>
    <row r="539" spans="1:5" x14ac:dyDescent="0.25">
      <c r="A539" s="59"/>
      <c r="B539" s="6"/>
      <c r="C539" s="6"/>
      <c r="D539" s="6"/>
      <c r="E539" s="2"/>
    </row>
    <row r="540" spans="1:5" x14ac:dyDescent="0.25">
      <c r="A540" s="59"/>
      <c r="B540" s="6"/>
      <c r="C540" s="6"/>
      <c r="D540" s="6"/>
      <c r="E540" s="2"/>
    </row>
    <row r="541" spans="1:5" x14ac:dyDescent="0.25">
      <c r="A541" s="59"/>
      <c r="B541" s="6"/>
      <c r="C541" s="6"/>
      <c r="D541" s="6"/>
      <c r="E541" s="2"/>
    </row>
    <row r="542" spans="1:5" x14ac:dyDescent="0.25">
      <c r="A542" s="59"/>
      <c r="B542" s="6"/>
      <c r="C542" s="6"/>
      <c r="D542" s="6"/>
      <c r="E542" s="2"/>
    </row>
    <row r="543" spans="1:5" x14ac:dyDescent="0.25">
      <c r="A543" s="59"/>
      <c r="B543" s="6"/>
      <c r="C543" s="6"/>
      <c r="D543" s="6"/>
      <c r="E543" s="2"/>
    </row>
    <row r="544" spans="1:5" x14ac:dyDescent="0.25">
      <c r="A544" s="59"/>
      <c r="B544" s="6"/>
      <c r="C544" s="6"/>
      <c r="D544" s="6"/>
      <c r="E544" s="2"/>
    </row>
    <row r="545" spans="1:5" x14ac:dyDescent="0.25">
      <c r="A545" s="59"/>
      <c r="B545" s="6"/>
      <c r="C545" s="6"/>
      <c r="D545" s="6"/>
      <c r="E545" s="2"/>
    </row>
    <row r="546" spans="1:5" x14ac:dyDescent="0.25">
      <c r="A546" s="59"/>
      <c r="B546" s="6"/>
      <c r="C546" s="6"/>
      <c r="D546" s="6"/>
      <c r="E546" s="2"/>
    </row>
    <row r="547" spans="1:5" x14ac:dyDescent="0.25">
      <c r="A547" s="59"/>
      <c r="B547" s="6"/>
      <c r="C547" s="6"/>
      <c r="D547" s="6"/>
      <c r="E547" s="2"/>
    </row>
    <row r="548" spans="1:5" x14ac:dyDescent="0.25">
      <c r="A548" s="59"/>
      <c r="B548" s="6"/>
      <c r="C548" s="6"/>
      <c r="D548" s="6"/>
      <c r="E548" s="2"/>
    </row>
    <row r="549" spans="1:5" x14ac:dyDescent="0.25">
      <c r="A549" s="59"/>
      <c r="B549" s="6"/>
      <c r="C549" s="6"/>
      <c r="D549" s="6"/>
      <c r="E549" s="2"/>
    </row>
    <row r="550" spans="1:5" x14ac:dyDescent="0.25">
      <c r="A550" s="59"/>
      <c r="B550" s="6"/>
      <c r="C550" s="6"/>
      <c r="D550" s="6"/>
      <c r="E550" s="2"/>
    </row>
    <row r="551" spans="1:5" x14ac:dyDescent="0.25">
      <c r="A551" s="59"/>
      <c r="B551" s="6"/>
      <c r="C551" s="6"/>
      <c r="D551" s="6"/>
      <c r="E551" s="2"/>
    </row>
    <row r="552" spans="1:5" x14ac:dyDescent="0.25">
      <c r="A552" s="59"/>
      <c r="B552" s="6"/>
      <c r="C552" s="6"/>
      <c r="D552" s="6"/>
      <c r="E552" s="2"/>
    </row>
    <row r="553" spans="1:5" x14ac:dyDescent="0.25">
      <c r="A553" s="59"/>
      <c r="B553" s="6"/>
      <c r="C553" s="6"/>
      <c r="D553" s="6"/>
      <c r="E553" s="2"/>
    </row>
    <row r="554" spans="1:5" x14ac:dyDescent="0.25">
      <c r="A554" s="59"/>
      <c r="B554" s="6"/>
      <c r="C554" s="6"/>
      <c r="D554" s="6"/>
      <c r="E554" s="2"/>
    </row>
    <row r="555" spans="1:5" x14ac:dyDescent="0.25">
      <c r="A555" s="59"/>
      <c r="B555" s="6"/>
      <c r="C555" s="6"/>
      <c r="D555" s="6"/>
      <c r="E555" s="2"/>
    </row>
    <row r="556" spans="1:5" x14ac:dyDescent="0.25">
      <c r="A556" s="59"/>
      <c r="B556" s="6"/>
      <c r="C556" s="6"/>
      <c r="D556" s="6"/>
      <c r="E556" s="2"/>
    </row>
    <row r="557" spans="1:5" x14ac:dyDescent="0.25">
      <c r="A557" s="59"/>
      <c r="B557" s="6"/>
      <c r="C557" s="6"/>
      <c r="D557" s="6"/>
      <c r="E557" s="2"/>
    </row>
    <row r="558" spans="1:5" x14ac:dyDescent="0.25">
      <c r="A558" s="59"/>
      <c r="B558" s="6"/>
      <c r="C558" s="6"/>
      <c r="D558" s="6"/>
      <c r="E558" s="2"/>
    </row>
    <row r="559" spans="1:5" x14ac:dyDescent="0.25">
      <c r="A559" s="59"/>
      <c r="B559" s="6"/>
      <c r="C559" s="6"/>
      <c r="D559" s="6"/>
      <c r="E559" s="2"/>
    </row>
    <row r="560" spans="1:5" x14ac:dyDescent="0.25">
      <c r="A560" s="59"/>
      <c r="B560" s="6"/>
      <c r="C560" s="6"/>
      <c r="D560" s="6"/>
      <c r="E560" s="2"/>
    </row>
    <row r="561" spans="1:5" x14ac:dyDescent="0.25">
      <c r="A561" s="59"/>
      <c r="B561" s="6"/>
      <c r="C561" s="6"/>
      <c r="D561" s="6"/>
      <c r="E561" s="2"/>
    </row>
    <row r="562" spans="1:5" x14ac:dyDescent="0.25">
      <c r="A562" s="59"/>
      <c r="B562" s="6"/>
      <c r="C562" s="6"/>
      <c r="D562" s="6"/>
      <c r="E562" s="2"/>
    </row>
    <row r="563" spans="1:5" x14ac:dyDescent="0.25">
      <c r="A563" s="59"/>
      <c r="B563" s="6"/>
      <c r="C563" s="6"/>
      <c r="D563" s="6"/>
      <c r="E563" s="2"/>
    </row>
    <row r="564" spans="1:5" x14ac:dyDescent="0.25">
      <c r="A564" s="59"/>
      <c r="B564" s="6"/>
      <c r="C564" s="6"/>
      <c r="D564" s="6"/>
      <c r="E564" s="2"/>
    </row>
    <row r="565" spans="1:5" x14ac:dyDescent="0.25">
      <c r="A565" s="59"/>
      <c r="B565" s="6"/>
      <c r="C565" s="6"/>
      <c r="D565" s="6"/>
      <c r="E565" s="2"/>
    </row>
    <row r="566" spans="1:5" x14ac:dyDescent="0.25">
      <c r="A566" s="59"/>
      <c r="B566" s="6"/>
      <c r="C566" s="6"/>
      <c r="D566" s="6"/>
      <c r="E566" s="2"/>
    </row>
    <row r="567" spans="1:5" x14ac:dyDescent="0.25">
      <c r="A567" s="59"/>
      <c r="B567" s="6"/>
      <c r="C567" s="6"/>
      <c r="D567" s="6"/>
      <c r="E567" s="2"/>
    </row>
    <row r="568" spans="1:5" x14ac:dyDescent="0.25">
      <c r="A568" s="59"/>
      <c r="B568" s="6"/>
      <c r="C568" s="6"/>
      <c r="D568" s="6"/>
      <c r="E568" s="2"/>
    </row>
    <row r="569" spans="1:5" x14ac:dyDescent="0.25">
      <c r="A569" s="59"/>
      <c r="B569" s="6"/>
      <c r="C569" s="6"/>
      <c r="D569" s="6"/>
      <c r="E569" s="2"/>
    </row>
    <row r="570" spans="1:5" x14ac:dyDescent="0.25">
      <c r="A570" s="59"/>
      <c r="B570" s="6"/>
      <c r="C570" s="6"/>
      <c r="D570" s="6"/>
      <c r="E570" s="2"/>
    </row>
    <row r="571" spans="1:5" x14ac:dyDescent="0.25">
      <c r="A571" s="59"/>
      <c r="B571" s="6"/>
      <c r="C571" s="6"/>
      <c r="D571" s="6"/>
      <c r="E571" s="2"/>
    </row>
    <row r="572" spans="1:5" x14ac:dyDescent="0.25">
      <c r="A572" s="59"/>
      <c r="B572" s="6"/>
      <c r="C572" s="6"/>
      <c r="D572" s="6"/>
      <c r="E572" s="2"/>
    </row>
    <row r="573" spans="1:5" x14ac:dyDescent="0.25">
      <c r="A573" s="59"/>
      <c r="B573" s="6"/>
      <c r="C573" s="6"/>
      <c r="D573" s="6"/>
      <c r="E573" s="2"/>
    </row>
    <row r="574" spans="1:5" x14ac:dyDescent="0.25">
      <c r="A574" s="59"/>
      <c r="B574" s="6"/>
      <c r="C574" s="6"/>
      <c r="D574" s="6"/>
      <c r="E574" s="2"/>
    </row>
    <row r="575" spans="1:5" x14ac:dyDescent="0.25">
      <c r="A575" s="59"/>
      <c r="B575" s="6"/>
      <c r="C575" s="6"/>
      <c r="D575" s="6"/>
      <c r="E575" s="2"/>
    </row>
    <row r="576" spans="1:5" x14ac:dyDescent="0.25">
      <c r="A576" s="59"/>
      <c r="B576" s="6"/>
      <c r="C576" s="6"/>
      <c r="D576" s="6"/>
      <c r="E576" s="2"/>
    </row>
    <row r="577" spans="1:5" x14ac:dyDescent="0.25">
      <c r="A577" s="59"/>
      <c r="B577" s="6"/>
      <c r="C577" s="6"/>
      <c r="D577" s="6"/>
      <c r="E577" s="2"/>
    </row>
    <row r="578" spans="1:5" x14ac:dyDescent="0.25">
      <c r="A578" s="59"/>
      <c r="B578" s="6"/>
      <c r="C578" s="6"/>
      <c r="D578" s="6"/>
      <c r="E578" s="2"/>
    </row>
    <row r="579" spans="1:5" x14ac:dyDescent="0.25">
      <c r="A579" s="59"/>
      <c r="B579" s="6"/>
      <c r="C579" s="6"/>
      <c r="D579" s="6"/>
      <c r="E579" s="2"/>
    </row>
    <row r="580" spans="1:5" x14ac:dyDescent="0.25">
      <c r="A580" s="59"/>
      <c r="B580" s="6"/>
      <c r="C580" s="6"/>
      <c r="D580" s="6"/>
      <c r="E580" s="2"/>
    </row>
    <row r="581" spans="1:5" x14ac:dyDescent="0.25">
      <c r="A581" s="59"/>
      <c r="B581" s="6"/>
      <c r="C581" s="6"/>
      <c r="D581" s="6"/>
      <c r="E581" s="2"/>
    </row>
    <row r="582" spans="1:5" x14ac:dyDescent="0.25">
      <c r="A582" s="59"/>
      <c r="B582" s="6"/>
      <c r="C582" s="6"/>
      <c r="D582" s="6"/>
      <c r="E582" s="2"/>
    </row>
    <row r="583" spans="1:5" x14ac:dyDescent="0.25">
      <c r="A583" s="59"/>
      <c r="B583" s="6"/>
      <c r="C583" s="6"/>
      <c r="D583" s="6"/>
      <c r="E583" s="2"/>
    </row>
    <row r="584" spans="1:5" x14ac:dyDescent="0.25">
      <c r="A584" s="59"/>
      <c r="B584" s="6"/>
      <c r="C584" s="6"/>
      <c r="D584" s="6"/>
      <c r="E584" s="2"/>
    </row>
    <row r="585" spans="1:5" x14ac:dyDescent="0.25">
      <c r="A585" s="59"/>
      <c r="B585" s="6"/>
      <c r="C585" s="6"/>
      <c r="D585" s="6"/>
      <c r="E585" s="2"/>
    </row>
    <row r="586" spans="1:5" x14ac:dyDescent="0.25">
      <c r="A586" s="59"/>
      <c r="B586" s="6"/>
      <c r="C586" s="6"/>
      <c r="D586" s="6"/>
      <c r="E586" s="2"/>
    </row>
    <row r="587" spans="1:5" x14ac:dyDescent="0.25">
      <c r="A587" s="59"/>
      <c r="B587" s="6"/>
      <c r="C587" s="6"/>
      <c r="D587" s="6"/>
      <c r="E587" s="2"/>
    </row>
    <row r="588" spans="1:5" x14ac:dyDescent="0.25">
      <c r="A588" s="59"/>
      <c r="B588" s="6"/>
      <c r="C588" s="6"/>
      <c r="D588" s="6"/>
      <c r="E588" s="2"/>
    </row>
    <row r="589" spans="1:5" x14ac:dyDescent="0.25">
      <c r="A589" s="59"/>
      <c r="B589" s="6"/>
      <c r="C589" s="6"/>
      <c r="D589" s="6"/>
      <c r="E589" s="2"/>
    </row>
    <row r="590" spans="1:5" x14ac:dyDescent="0.25">
      <c r="A590" s="59"/>
      <c r="B590" s="6"/>
      <c r="C590" s="6"/>
      <c r="D590" s="6"/>
      <c r="E590" s="2"/>
    </row>
    <row r="591" spans="1:5" x14ac:dyDescent="0.25">
      <c r="A591" s="59"/>
      <c r="B591" s="6"/>
      <c r="C591" s="6"/>
      <c r="D591" s="6"/>
      <c r="E591" s="2"/>
    </row>
    <row r="592" spans="1:5" x14ac:dyDescent="0.25">
      <c r="A592" s="59"/>
      <c r="B592" s="6"/>
      <c r="C592" s="6"/>
      <c r="D592" s="6"/>
      <c r="E592" s="2"/>
    </row>
    <row r="593" spans="1:5" x14ac:dyDescent="0.25">
      <c r="A593" s="59"/>
      <c r="B593" s="6"/>
      <c r="C593" s="6"/>
      <c r="D593" s="6"/>
      <c r="E593" s="2"/>
    </row>
    <row r="594" spans="1:5" x14ac:dyDescent="0.25">
      <c r="A594" s="59"/>
      <c r="B594" s="6"/>
      <c r="C594" s="6"/>
      <c r="D594" s="6"/>
      <c r="E594" s="2"/>
    </row>
    <row r="595" spans="1:5" x14ac:dyDescent="0.25">
      <c r="A595" s="59"/>
      <c r="B595" s="6"/>
      <c r="C595" s="6"/>
      <c r="D595" s="6"/>
      <c r="E595" s="2"/>
    </row>
    <row r="596" spans="1:5" x14ac:dyDescent="0.25">
      <c r="A596" s="59"/>
      <c r="B596" s="6"/>
      <c r="C596" s="6"/>
      <c r="D596" s="6"/>
      <c r="E596" s="2"/>
    </row>
    <row r="597" spans="1:5" x14ac:dyDescent="0.25">
      <c r="A597" s="59"/>
      <c r="B597" s="6"/>
      <c r="C597" s="6"/>
      <c r="D597" s="6"/>
      <c r="E597" s="2"/>
    </row>
    <row r="598" spans="1:5" x14ac:dyDescent="0.25">
      <c r="A598" s="59"/>
      <c r="B598" s="6"/>
      <c r="C598" s="6"/>
      <c r="D598" s="6"/>
      <c r="E598" s="2"/>
    </row>
    <row r="599" spans="1:5" x14ac:dyDescent="0.25">
      <c r="A599" s="59"/>
      <c r="B599" s="6"/>
      <c r="C599" s="6"/>
      <c r="D599" s="6"/>
      <c r="E599" s="2"/>
    </row>
    <row r="600" spans="1:5" x14ac:dyDescent="0.25">
      <c r="A600" s="59"/>
      <c r="B600" s="6"/>
      <c r="C600" s="6"/>
      <c r="D600" s="6"/>
      <c r="E600" s="2"/>
    </row>
    <row r="601" spans="1:5" x14ac:dyDescent="0.25">
      <c r="A601" s="59"/>
      <c r="B601" s="6"/>
      <c r="C601" s="6"/>
      <c r="D601" s="6"/>
      <c r="E601" s="2"/>
    </row>
    <row r="602" spans="1:5" x14ac:dyDescent="0.25">
      <c r="A602" s="59"/>
      <c r="B602" s="6"/>
      <c r="C602" s="6"/>
      <c r="D602" s="6"/>
      <c r="E602" s="2"/>
    </row>
    <row r="603" spans="1:5" x14ac:dyDescent="0.25">
      <c r="A603" s="59"/>
      <c r="B603" s="6"/>
      <c r="C603" s="6"/>
      <c r="D603" s="6"/>
      <c r="E603" s="2"/>
    </row>
    <row r="604" spans="1:5" x14ac:dyDescent="0.25">
      <c r="A604" s="59"/>
      <c r="B604" s="6"/>
      <c r="C604" s="6"/>
      <c r="D604" s="6"/>
      <c r="E604" s="2"/>
    </row>
    <row r="605" spans="1:5" x14ac:dyDescent="0.25">
      <c r="A605" s="59"/>
      <c r="B605" s="6"/>
      <c r="C605" s="6"/>
      <c r="D605" s="6"/>
      <c r="E605" s="2"/>
    </row>
    <row r="606" spans="1:5" x14ac:dyDescent="0.25">
      <c r="A606" s="59"/>
      <c r="B606" s="6"/>
      <c r="C606" s="6"/>
      <c r="D606" s="6"/>
      <c r="E606" s="2"/>
    </row>
    <row r="607" spans="1:5" x14ac:dyDescent="0.25">
      <c r="A607" s="59"/>
      <c r="B607" s="6"/>
      <c r="C607" s="6"/>
      <c r="D607" s="6"/>
      <c r="E607" s="2"/>
    </row>
    <row r="608" spans="1:5" x14ac:dyDescent="0.25">
      <c r="A608" s="59"/>
      <c r="B608" s="6"/>
      <c r="C608" s="6"/>
      <c r="D608" s="6"/>
      <c r="E608" s="2"/>
    </row>
    <row r="609" spans="1:5" x14ac:dyDescent="0.25">
      <c r="A609" s="59"/>
      <c r="B609" s="6"/>
      <c r="C609" s="6"/>
      <c r="D609" s="6"/>
      <c r="E609" s="2"/>
    </row>
    <row r="610" spans="1:5" x14ac:dyDescent="0.25">
      <c r="A610" s="59"/>
      <c r="B610" s="6"/>
      <c r="C610" s="6"/>
      <c r="D610" s="6"/>
      <c r="E610" s="2"/>
    </row>
    <row r="611" spans="1:5" x14ac:dyDescent="0.25">
      <c r="A611" s="59"/>
      <c r="B611" s="6"/>
      <c r="C611" s="6"/>
      <c r="D611" s="6"/>
      <c r="E611" s="2"/>
    </row>
    <row r="612" spans="1:5" x14ac:dyDescent="0.25">
      <c r="A612" s="59"/>
      <c r="B612" s="6"/>
      <c r="C612" s="6"/>
      <c r="D612" s="6"/>
      <c r="E612" s="2"/>
    </row>
    <row r="613" spans="1:5" x14ac:dyDescent="0.25">
      <c r="A613" s="59"/>
      <c r="B613" s="6"/>
      <c r="C613" s="6"/>
      <c r="D613" s="6"/>
      <c r="E613" s="2"/>
    </row>
    <row r="614" spans="1:5" x14ac:dyDescent="0.25">
      <c r="A614" s="59"/>
      <c r="B614" s="6"/>
      <c r="C614" s="6"/>
      <c r="D614" s="6"/>
      <c r="E614" s="2"/>
    </row>
    <row r="615" spans="1:5" x14ac:dyDescent="0.25">
      <c r="A615" s="59"/>
      <c r="B615" s="6"/>
      <c r="C615" s="6"/>
      <c r="D615" s="6"/>
      <c r="E615" s="2"/>
    </row>
    <row r="616" spans="1:5" x14ac:dyDescent="0.25">
      <c r="A616" s="59"/>
      <c r="B616" s="6"/>
      <c r="C616" s="6"/>
      <c r="D616" s="6"/>
      <c r="E616" s="2"/>
    </row>
    <row r="617" spans="1:5" x14ac:dyDescent="0.25">
      <c r="A617" s="59"/>
      <c r="B617" s="6"/>
      <c r="C617" s="6"/>
      <c r="D617" s="6"/>
      <c r="E617" s="2"/>
    </row>
    <row r="618" spans="1:5" x14ac:dyDescent="0.25">
      <c r="A618" s="59"/>
      <c r="B618" s="6"/>
      <c r="C618" s="6"/>
      <c r="D618" s="6"/>
      <c r="E618" s="2"/>
    </row>
    <row r="619" spans="1:5" x14ac:dyDescent="0.25">
      <c r="A619" s="59"/>
      <c r="B619" s="6"/>
      <c r="C619" s="6"/>
      <c r="D619" s="6"/>
      <c r="E619" s="2"/>
    </row>
    <row r="620" spans="1:5" x14ac:dyDescent="0.25">
      <c r="A620" s="59"/>
      <c r="B620" s="6"/>
      <c r="C620" s="6"/>
      <c r="D620" s="6"/>
      <c r="E620" s="2"/>
    </row>
    <row r="621" spans="1:5" x14ac:dyDescent="0.25">
      <c r="A621" s="59"/>
      <c r="B621" s="6"/>
      <c r="C621" s="6"/>
      <c r="D621" s="6"/>
      <c r="E621" s="2"/>
    </row>
    <row r="622" spans="1:5" x14ac:dyDescent="0.25">
      <c r="A622" s="59"/>
      <c r="B622" s="6"/>
      <c r="C622" s="6"/>
      <c r="D622" s="6"/>
      <c r="E622" s="2"/>
    </row>
    <row r="623" spans="1:5" x14ac:dyDescent="0.25">
      <c r="A623" s="59"/>
      <c r="B623" s="6"/>
      <c r="C623" s="6"/>
      <c r="D623" s="6"/>
      <c r="E623" s="2"/>
    </row>
    <row r="624" spans="1:5" x14ac:dyDescent="0.25">
      <c r="A624" s="59"/>
      <c r="B624" s="6"/>
      <c r="C624" s="6"/>
      <c r="D624" s="6"/>
      <c r="E624" s="2"/>
    </row>
    <row r="625" spans="1:5" x14ac:dyDescent="0.25">
      <c r="A625" s="59"/>
      <c r="B625" s="6"/>
      <c r="C625" s="6"/>
      <c r="D625" s="6"/>
      <c r="E625" s="2"/>
    </row>
    <row r="626" spans="1:5" x14ac:dyDescent="0.25">
      <c r="A626" s="59"/>
      <c r="B626" s="6"/>
      <c r="C626" s="6"/>
      <c r="D626" s="6"/>
      <c r="E626" s="2"/>
    </row>
    <row r="627" spans="1:5" x14ac:dyDescent="0.25">
      <c r="A627" s="59"/>
      <c r="B627" s="6"/>
      <c r="C627" s="6"/>
      <c r="D627" s="6"/>
      <c r="E627" s="2"/>
    </row>
    <row r="628" spans="1:5" x14ac:dyDescent="0.25">
      <c r="A628" s="59"/>
      <c r="B628" s="6"/>
      <c r="C628" s="6"/>
      <c r="D628" s="6"/>
      <c r="E628" s="2"/>
    </row>
    <row r="629" spans="1:5" x14ac:dyDescent="0.25">
      <c r="A629" s="59"/>
      <c r="B629" s="6"/>
      <c r="C629" s="6"/>
      <c r="D629" s="6"/>
      <c r="E629" s="2"/>
    </row>
    <row r="630" spans="1:5" x14ac:dyDescent="0.25">
      <c r="A630" s="59"/>
      <c r="B630" s="6"/>
      <c r="C630" s="6"/>
      <c r="D630" s="6"/>
      <c r="E630" s="2"/>
    </row>
    <row r="631" spans="1:5" x14ac:dyDescent="0.25">
      <c r="A631" s="59"/>
      <c r="B631" s="6"/>
      <c r="C631" s="6"/>
      <c r="D631" s="6"/>
      <c r="E631" s="2"/>
    </row>
    <row r="632" spans="1:5" x14ac:dyDescent="0.25">
      <c r="A632" s="59"/>
      <c r="B632" s="6"/>
      <c r="C632" s="6"/>
      <c r="D632" s="6"/>
      <c r="E632" s="2"/>
    </row>
    <row r="633" spans="1:5" x14ac:dyDescent="0.25">
      <c r="A633" s="59"/>
      <c r="B633" s="6"/>
      <c r="C633" s="6"/>
      <c r="D633" s="6"/>
      <c r="E633" s="2"/>
    </row>
    <row r="634" spans="1:5" x14ac:dyDescent="0.25">
      <c r="A634" s="59"/>
      <c r="B634" s="6"/>
      <c r="C634" s="6"/>
      <c r="D634" s="6"/>
      <c r="E634" s="2"/>
    </row>
    <row r="635" spans="1:5" x14ac:dyDescent="0.25">
      <c r="A635" s="59"/>
      <c r="B635" s="6"/>
      <c r="C635" s="6"/>
      <c r="D635" s="6"/>
      <c r="E635" s="2"/>
    </row>
    <row r="636" spans="1:5" x14ac:dyDescent="0.25">
      <c r="A636" s="59"/>
      <c r="B636" s="6"/>
      <c r="C636" s="6"/>
      <c r="D636" s="6"/>
      <c r="E636" s="2"/>
    </row>
    <row r="637" spans="1:5" x14ac:dyDescent="0.25">
      <c r="A637" s="59"/>
      <c r="B637" s="6"/>
      <c r="C637" s="6"/>
      <c r="D637" s="6"/>
      <c r="E637" s="2"/>
    </row>
    <row r="638" spans="1:5" x14ac:dyDescent="0.25">
      <c r="A638" s="59"/>
      <c r="B638" s="6"/>
      <c r="C638" s="6"/>
      <c r="D638" s="6"/>
      <c r="E638" s="2"/>
    </row>
    <row r="639" spans="1:5" x14ac:dyDescent="0.25">
      <c r="A639" s="59"/>
      <c r="B639" s="6"/>
      <c r="C639" s="6"/>
      <c r="D639" s="6"/>
      <c r="E639" s="2"/>
    </row>
    <row r="640" spans="1:5" x14ac:dyDescent="0.25">
      <c r="A640" s="59"/>
      <c r="B640" s="6"/>
      <c r="C640" s="6"/>
      <c r="D640" s="6"/>
      <c r="E640" s="2"/>
    </row>
    <row r="641" spans="1:5" x14ac:dyDescent="0.25">
      <c r="A641" s="59"/>
      <c r="B641" s="6"/>
      <c r="C641" s="6"/>
      <c r="D641" s="6"/>
      <c r="E641" s="2"/>
    </row>
    <row r="642" spans="1:5" x14ac:dyDescent="0.25">
      <c r="A642" s="59"/>
      <c r="B642" s="6"/>
      <c r="C642" s="6"/>
      <c r="D642" s="6"/>
      <c r="E642" s="2"/>
    </row>
    <row r="643" spans="1:5" x14ac:dyDescent="0.25">
      <c r="A643" s="59"/>
      <c r="B643" s="6"/>
      <c r="C643" s="6"/>
      <c r="D643" s="6"/>
      <c r="E643" s="2"/>
    </row>
    <row r="644" spans="1:5" x14ac:dyDescent="0.25">
      <c r="A644" s="59"/>
      <c r="B644" s="6"/>
      <c r="C644" s="6"/>
      <c r="D644" s="6"/>
      <c r="E644" s="2"/>
    </row>
    <row r="645" spans="1:5" x14ac:dyDescent="0.25">
      <c r="A645" s="59"/>
      <c r="B645" s="6"/>
      <c r="C645" s="6"/>
      <c r="D645" s="6"/>
      <c r="E645" s="2"/>
    </row>
    <row r="646" spans="1:5" x14ac:dyDescent="0.25">
      <c r="A646" s="59"/>
      <c r="B646" s="6"/>
      <c r="C646" s="6"/>
      <c r="D646" s="6"/>
      <c r="E646" s="2"/>
    </row>
    <row r="647" spans="1:5" x14ac:dyDescent="0.25">
      <c r="A647" s="59"/>
      <c r="B647" s="6"/>
      <c r="C647" s="6"/>
      <c r="D647" s="6"/>
      <c r="E647" s="2"/>
    </row>
    <row r="648" spans="1:5" x14ac:dyDescent="0.25">
      <c r="A648" s="59"/>
      <c r="B648" s="6"/>
      <c r="C648" s="6"/>
      <c r="D648" s="6"/>
      <c r="E648" s="2"/>
    </row>
    <row r="649" spans="1:5" x14ac:dyDescent="0.25">
      <c r="A649" s="59"/>
      <c r="B649" s="6"/>
      <c r="C649" s="6"/>
      <c r="D649" s="6"/>
      <c r="E649" s="2"/>
    </row>
    <row r="650" spans="1:5" x14ac:dyDescent="0.25">
      <c r="A650" s="59"/>
      <c r="B650" s="6"/>
      <c r="C650" s="6"/>
      <c r="D650" s="6"/>
      <c r="E650" s="2"/>
    </row>
    <row r="651" spans="1:5" x14ac:dyDescent="0.25">
      <c r="A651" s="59"/>
      <c r="B651" s="6"/>
      <c r="C651" s="6"/>
      <c r="D651" s="6"/>
      <c r="E651" s="2"/>
    </row>
    <row r="652" spans="1:5" x14ac:dyDescent="0.25">
      <c r="A652" s="59"/>
      <c r="B652" s="6"/>
      <c r="C652" s="6"/>
      <c r="D652" s="6"/>
      <c r="E652" s="2"/>
    </row>
    <row r="653" spans="1:5" x14ac:dyDescent="0.25">
      <c r="A653" s="59"/>
      <c r="B653" s="6"/>
      <c r="C653" s="6"/>
      <c r="D653" s="6"/>
      <c r="E653" s="2"/>
    </row>
    <row r="654" spans="1:5" x14ac:dyDescent="0.25">
      <c r="A654" s="59"/>
      <c r="B654" s="6"/>
      <c r="C654" s="6"/>
      <c r="D654" s="6"/>
      <c r="E654" s="2"/>
    </row>
    <row r="655" spans="1:5" x14ac:dyDescent="0.25">
      <c r="A655" s="59"/>
      <c r="B655" s="6"/>
      <c r="C655" s="6"/>
      <c r="D655" s="6"/>
      <c r="E655" s="2"/>
    </row>
    <row r="656" spans="1:5" x14ac:dyDescent="0.25">
      <c r="A656" s="59"/>
      <c r="B656" s="6"/>
      <c r="C656" s="6"/>
      <c r="D656" s="6"/>
      <c r="E656" s="2"/>
    </row>
    <row r="657" spans="1:5" x14ac:dyDescent="0.25">
      <c r="A657" s="59"/>
      <c r="B657" s="6"/>
      <c r="C657" s="6"/>
      <c r="D657" s="6"/>
      <c r="E657" s="2"/>
    </row>
    <row r="658" spans="1:5" x14ac:dyDescent="0.25">
      <c r="A658" s="59"/>
      <c r="B658" s="6"/>
      <c r="C658" s="6"/>
      <c r="D658" s="6"/>
      <c r="E658" s="2"/>
    </row>
    <row r="659" spans="1:5" x14ac:dyDescent="0.25">
      <c r="A659" s="59"/>
      <c r="B659" s="6"/>
      <c r="C659" s="6"/>
      <c r="D659" s="6"/>
      <c r="E659" s="2"/>
    </row>
    <row r="660" spans="1:5" x14ac:dyDescent="0.25">
      <c r="A660" s="59"/>
      <c r="B660" s="6"/>
      <c r="C660" s="6"/>
      <c r="D660" s="6"/>
      <c r="E660" s="2"/>
    </row>
    <row r="661" spans="1:5" x14ac:dyDescent="0.25">
      <c r="A661" s="59"/>
      <c r="B661" s="6"/>
      <c r="C661" s="6"/>
      <c r="D661" s="6"/>
      <c r="E661" s="2"/>
    </row>
    <row r="662" spans="1:5" x14ac:dyDescent="0.25">
      <c r="A662" s="59"/>
      <c r="B662" s="6"/>
      <c r="C662" s="6"/>
      <c r="D662" s="6"/>
      <c r="E662" s="2"/>
    </row>
    <row r="663" spans="1:5" x14ac:dyDescent="0.25">
      <c r="A663" s="59"/>
      <c r="B663" s="6"/>
      <c r="C663" s="6"/>
      <c r="D663" s="6"/>
      <c r="E663" s="2"/>
    </row>
    <row r="664" spans="1:5" x14ac:dyDescent="0.25">
      <c r="A664" s="59"/>
      <c r="B664" s="6"/>
      <c r="C664" s="6"/>
      <c r="D664" s="6"/>
      <c r="E664" s="2"/>
    </row>
    <row r="665" spans="1:5" x14ac:dyDescent="0.25">
      <c r="A665" s="59"/>
      <c r="B665" s="6"/>
      <c r="C665" s="6"/>
      <c r="D665" s="6"/>
      <c r="E665" s="2"/>
    </row>
    <row r="666" spans="1:5" x14ac:dyDescent="0.25">
      <c r="A666" s="59"/>
      <c r="B666" s="6"/>
      <c r="C666" s="6"/>
      <c r="D666" s="6"/>
      <c r="E666" s="2"/>
    </row>
    <row r="667" spans="1:5" x14ac:dyDescent="0.25">
      <c r="A667" s="59"/>
      <c r="B667" s="6"/>
      <c r="C667" s="6"/>
      <c r="D667" s="6"/>
      <c r="E667" s="2"/>
    </row>
    <row r="668" spans="1:5" x14ac:dyDescent="0.25">
      <c r="A668" s="59"/>
      <c r="B668" s="6"/>
      <c r="C668" s="6"/>
      <c r="D668" s="6"/>
      <c r="E668" s="2"/>
    </row>
    <row r="669" spans="1:5" x14ac:dyDescent="0.25">
      <c r="A669" s="59"/>
      <c r="B669" s="6"/>
      <c r="C669" s="6"/>
      <c r="D669" s="6"/>
      <c r="E669" s="2"/>
    </row>
    <row r="670" spans="1:5" x14ac:dyDescent="0.25">
      <c r="A670" s="59"/>
      <c r="B670" s="6"/>
      <c r="C670" s="6"/>
      <c r="D670" s="6"/>
      <c r="E670" s="2"/>
    </row>
    <row r="671" spans="1:5" x14ac:dyDescent="0.25">
      <c r="A671" s="59"/>
      <c r="B671" s="6"/>
      <c r="C671" s="6"/>
      <c r="D671" s="6"/>
      <c r="E671" s="2"/>
    </row>
    <row r="672" spans="1:5" x14ac:dyDescent="0.25">
      <c r="A672" s="59"/>
      <c r="B672" s="6"/>
      <c r="C672" s="6"/>
      <c r="D672" s="6"/>
      <c r="E672" s="2"/>
    </row>
    <row r="673" spans="1:5" x14ac:dyDescent="0.25">
      <c r="A673" s="59"/>
      <c r="B673" s="6"/>
      <c r="C673" s="6"/>
      <c r="D673" s="6"/>
      <c r="E673" s="2"/>
    </row>
    <row r="674" spans="1:5" x14ac:dyDescent="0.25">
      <c r="A674" s="59"/>
      <c r="B674" s="6"/>
      <c r="C674" s="6"/>
      <c r="D674" s="6"/>
      <c r="E674" s="2"/>
    </row>
    <row r="675" spans="1:5" x14ac:dyDescent="0.25">
      <c r="A675" s="59"/>
      <c r="B675" s="6"/>
      <c r="C675" s="6"/>
      <c r="D675" s="6"/>
      <c r="E675" s="2"/>
    </row>
    <row r="676" spans="1:5" x14ac:dyDescent="0.25">
      <c r="A676" s="59"/>
      <c r="B676" s="6"/>
      <c r="C676" s="6"/>
      <c r="D676" s="6"/>
      <c r="E676" s="2"/>
    </row>
    <row r="677" spans="1:5" x14ac:dyDescent="0.25">
      <c r="A677" s="59"/>
      <c r="B677" s="6"/>
      <c r="C677" s="6"/>
      <c r="D677" s="6"/>
      <c r="E677" s="2"/>
    </row>
    <row r="678" spans="1:5" x14ac:dyDescent="0.25">
      <c r="A678" s="59"/>
      <c r="B678" s="6"/>
      <c r="C678" s="6"/>
      <c r="D678" s="6"/>
      <c r="E678" s="2"/>
    </row>
    <row r="679" spans="1:5" x14ac:dyDescent="0.25">
      <c r="A679" s="59"/>
      <c r="B679" s="6"/>
      <c r="C679" s="6"/>
      <c r="D679" s="6"/>
      <c r="E679" s="2"/>
    </row>
    <row r="680" spans="1:5" x14ac:dyDescent="0.25">
      <c r="A680" s="59"/>
      <c r="B680" s="6"/>
      <c r="C680" s="6"/>
      <c r="D680" s="6"/>
      <c r="E680" s="2"/>
    </row>
    <row r="681" spans="1:5" x14ac:dyDescent="0.25">
      <c r="A681" s="59"/>
      <c r="B681" s="6"/>
      <c r="C681" s="6"/>
      <c r="D681" s="6"/>
      <c r="E681" s="2"/>
    </row>
    <row r="682" spans="1:5" x14ac:dyDescent="0.25">
      <c r="A682" s="59"/>
      <c r="B682" s="6"/>
      <c r="C682" s="6"/>
      <c r="D682" s="6"/>
      <c r="E682" s="2"/>
    </row>
    <row r="683" spans="1:5" x14ac:dyDescent="0.25">
      <c r="A683" s="59"/>
      <c r="B683" s="6"/>
      <c r="C683" s="6"/>
      <c r="D683" s="6"/>
      <c r="E683" s="2"/>
    </row>
    <row r="684" spans="1:5" x14ac:dyDescent="0.25">
      <c r="A684" s="59"/>
      <c r="B684" s="6"/>
      <c r="C684" s="6"/>
      <c r="D684" s="6"/>
      <c r="E684" s="2"/>
    </row>
    <row r="685" spans="1:5" x14ac:dyDescent="0.25">
      <c r="A685" s="59"/>
      <c r="B685" s="6"/>
      <c r="C685" s="6"/>
      <c r="D685" s="6"/>
      <c r="E685" s="2"/>
    </row>
    <row r="686" spans="1:5" x14ac:dyDescent="0.25">
      <c r="A686" s="59"/>
      <c r="B686" s="6"/>
      <c r="C686" s="6"/>
      <c r="D686" s="6"/>
      <c r="E686" s="2"/>
    </row>
    <row r="687" spans="1:5" x14ac:dyDescent="0.25">
      <c r="A687" s="59"/>
      <c r="B687" s="6"/>
      <c r="C687" s="6"/>
      <c r="D687" s="6"/>
      <c r="E687" s="2"/>
    </row>
    <row r="688" spans="1:5" x14ac:dyDescent="0.25">
      <c r="A688" s="59"/>
      <c r="B688" s="6"/>
      <c r="C688" s="6"/>
      <c r="D688" s="6"/>
      <c r="E688" s="2"/>
    </row>
    <row r="689" spans="1:5" x14ac:dyDescent="0.25">
      <c r="A689" s="59"/>
      <c r="B689" s="6"/>
      <c r="C689" s="6"/>
      <c r="D689" s="6"/>
      <c r="E689" s="2"/>
    </row>
    <row r="690" spans="1:5" x14ac:dyDescent="0.25">
      <c r="A690" s="59"/>
      <c r="B690" s="6"/>
      <c r="C690" s="6"/>
      <c r="D690" s="6"/>
      <c r="E690" s="2"/>
    </row>
    <row r="691" spans="1:5" x14ac:dyDescent="0.25">
      <c r="A691" s="59"/>
      <c r="B691" s="6"/>
      <c r="C691" s="6"/>
      <c r="D691" s="6"/>
      <c r="E691" s="2"/>
    </row>
    <row r="692" spans="1:5" x14ac:dyDescent="0.25">
      <c r="A692" s="59"/>
      <c r="B692" s="6"/>
      <c r="C692" s="6"/>
      <c r="D692" s="6"/>
      <c r="E692" s="2"/>
    </row>
    <row r="693" spans="1:5" x14ac:dyDescent="0.25">
      <c r="A693" s="59"/>
      <c r="B693" s="6"/>
      <c r="C693" s="6"/>
      <c r="D693" s="6"/>
      <c r="E693" s="2"/>
    </row>
    <row r="694" spans="1:5" x14ac:dyDescent="0.25">
      <c r="A694" s="59"/>
      <c r="B694" s="6"/>
      <c r="C694" s="6"/>
      <c r="D694" s="6"/>
      <c r="E694" s="2"/>
    </row>
    <row r="695" spans="1:5" x14ac:dyDescent="0.25">
      <c r="A695" s="59"/>
      <c r="B695" s="6"/>
      <c r="C695" s="6"/>
      <c r="D695" s="6"/>
      <c r="E695" s="2"/>
    </row>
    <row r="696" spans="1:5" x14ac:dyDescent="0.25">
      <c r="A696" s="59"/>
      <c r="B696" s="6"/>
      <c r="C696" s="6"/>
      <c r="D696" s="6"/>
      <c r="E696" s="2"/>
    </row>
    <row r="697" spans="1:5" x14ac:dyDescent="0.25">
      <c r="A697" s="59"/>
      <c r="B697" s="6"/>
      <c r="C697" s="6"/>
      <c r="D697" s="6"/>
      <c r="E697" s="2"/>
    </row>
    <row r="698" spans="1:5" x14ac:dyDescent="0.25">
      <c r="A698" s="59"/>
      <c r="B698" s="6"/>
      <c r="C698" s="6"/>
      <c r="D698" s="6"/>
      <c r="E698" s="2"/>
    </row>
    <row r="699" spans="1:5" x14ac:dyDescent="0.25">
      <c r="A699" s="59"/>
      <c r="B699" s="6"/>
      <c r="C699" s="6"/>
      <c r="D699" s="6"/>
      <c r="E699" s="2"/>
    </row>
    <row r="700" spans="1:5" x14ac:dyDescent="0.25">
      <c r="A700" s="59"/>
      <c r="B700" s="6"/>
      <c r="C700" s="6"/>
      <c r="D700" s="6"/>
      <c r="E700" s="2"/>
    </row>
    <row r="701" spans="1:5" x14ac:dyDescent="0.25">
      <c r="A701" s="59"/>
      <c r="B701" s="6"/>
      <c r="C701" s="6"/>
      <c r="D701" s="6"/>
      <c r="E701" s="2"/>
    </row>
    <row r="702" spans="1:5" x14ac:dyDescent="0.25">
      <c r="A702" s="59"/>
      <c r="B702" s="6"/>
      <c r="C702" s="6"/>
      <c r="D702" s="6"/>
      <c r="E702" s="2"/>
    </row>
    <row r="703" spans="1:5" x14ac:dyDescent="0.25">
      <c r="A703" s="59"/>
      <c r="B703" s="6"/>
      <c r="C703" s="6"/>
      <c r="D703" s="6"/>
      <c r="E703" s="2"/>
    </row>
    <row r="704" spans="1:5" x14ac:dyDescent="0.25">
      <c r="A704" s="59"/>
      <c r="B704" s="6"/>
      <c r="C704" s="6"/>
      <c r="D704" s="6"/>
      <c r="E704" s="2"/>
    </row>
    <row r="705" spans="1:5" x14ac:dyDescent="0.25">
      <c r="A705" s="59"/>
      <c r="B705" s="6"/>
      <c r="C705" s="6"/>
      <c r="D705" s="6"/>
      <c r="E705" s="2"/>
    </row>
    <row r="706" spans="1:5" x14ac:dyDescent="0.25">
      <c r="A706" s="59"/>
      <c r="B706" s="6"/>
      <c r="C706" s="6"/>
      <c r="D706" s="6"/>
      <c r="E706" s="2"/>
    </row>
    <row r="707" spans="1:5" x14ac:dyDescent="0.25">
      <c r="A707" s="59"/>
      <c r="B707" s="6"/>
      <c r="C707" s="6"/>
      <c r="D707" s="6"/>
      <c r="E707" s="2"/>
    </row>
    <row r="708" spans="1:5" x14ac:dyDescent="0.25">
      <c r="A708" s="59"/>
      <c r="B708" s="6"/>
      <c r="C708" s="6"/>
      <c r="D708" s="6"/>
      <c r="E708" s="2"/>
    </row>
    <row r="709" spans="1:5" x14ac:dyDescent="0.25">
      <c r="A709" s="59"/>
      <c r="B709" s="6"/>
      <c r="C709" s="6"/>
      <c r="D709" s="6"/>
      <c r="E709" s="2"/>
    </row>
    <row r="710" spans="1:5" x14ac:dyDescent="0.25">
      <c r="A710" s="59"/>
      <c r="B710" s="6"/>
      <c r="C710" s="6"/>
      <c r="D710" s="6"/>
      <c r="E710" s="2"/>
    </row>
    <row r="711" spans="1:5" x14ac:dyDescent="0.25">
      <c r="A711" s="59"/>
      <c r="B711" s="6"/>
      <c r="C711" s="6"/>
      <c r="D711" s="6"/>
      <c r="E711" s="2"/>
    </row>
    <row r="712" spans="1:5" x14ac:dyDescent="0.25">
      <c r="A712" s="59"/>
      <c r="B712" s="6"/>
      <c r="C712" s="6"/>
      <c r="D712" s="6"/>
      <c r="E712" s="2"/>
    </row>
    <row r="713" spans="1:5" x14ac:dyDescent="0.25">
      <c r="A713" s="59"/>
      <c r="B713" s="6"/>
      <c r="C713" s="6"/>
      <c r="D713" s="6"/>
      <c r="E713" s="2"/>
    </row>
    <row r="714" spans="1:5" x14ac:dyDescent="0.25">
      <c r="A714" s="59"/>
      <c r="B714" s="6"/>
      <c r="C714" s="6"/>
      <c r="D714" s="6"/>
      <c r="E714" s="2"/>
    </row>
    <row r="715" spans="1:5" x14ac:dyDescent="0.25">
      <c r="A715" s="59"/>
      <c r="B715" s="6"/>
      <c r="C715" s="6"/>
      <c r="D715" s="6"/>
      <c r="E715" s="2"/>
    </row>
    <row r="716" spans="1:5" x14ac:dyDescent="0.25">
      <c r="A716" s="59"/>
      <c r="B716" s="6"/>
      <c r="C716" s="6"/>
      <c r="D716" s="6"/>
      <c r="E716" s="2"/>
    </row>
    <row r="717" spans="1:5" x14ac:dyDescent="0.25">
      <c r="A717" s="59"/>
      <c r="B717" s="6"/>
      <c r="C717" s="6"/>
      <c r="D717" s="6"/>
      <c r="E717" s="2"/>
    </row>
    <row r="718" spans="1:5" x14ac:dyDescent="0.25">
      <c r="A718" s="59"/>
      <c r="B718" s="6"/>
      <c r="C718" s="6"/>
      <c r="D718" s="6"/>
      <c r="E718" s="2"/>
    </row>
    <row r="719" spans="1:5" x14ac:dyDescent="0.25">
      <c r="A719" s="59"/>
      <c r="B719" s="6"/>
      <c r="C719" s="6"/>
      <c r="D719" s="6"/>
      <c r="E719" s="2"/>
    </row>
    <row r="720" spans="1:5" x14ac:dyDescent="0.25">
      <c r="A720" s="59"/>
      <c r="B720" s="6"/>
      <c r="C720" s="6"/>
      <c r="D720" s="6"/>
      <c r="E720" s="2"/>
    </row>
    <row r="721" spans="1:5" x14ac:dyDescent="0.25">
      <c r="A721" s="59"/>
      <c r="B721" s="6"/>
      <c r="C721" s="6"/>
      <c r="D721" s="6"/>
      <c r="E721" s="2"/>
    </row>
    <row r="722" spans="1:5" x14ac:dyDescent="0.25">
      <c r="A722" s="59"/>
      <c r="B722" s="6"/>
      <c r="C722" s="6"/>
      <c r="D722" s="6"/>
      <c r="E722" s="2"/>
    </row>
    <row r="723" spans="1:5" x14ac:dyDescent="0.25">
      <c r="A723" s="59"/>
      <c r="B723" s="6"/>
      <c r="C723" s="6"/>
      <c r="D723" s="6"/>
      <c r="E723" s="2"/>
    </row>
    <row r="724" spans="1:5" x14ac:dyDescent="0.25">
      <c r="A724" s="59"/>
      <c r="B724" s="6"/>
      <c r="C724" s="6"/>
      <c r="D724" s="6"/>
      <c r="E724" s="2"/>
    </row>
    <row r="725" spans="1:5" x14ac:dyDescent="0.25">
      <c r="A725" s="59"/>
      <c r="B725" s="6"/>
      <c r="C725" s="6"/>
      <c r="D725" s="6"/>
      <c r="E725" s="2"/>
    </row>
    <row r="726" spans="1:5" x14ac:dyDescent="0.25">
      <c r="A726" s="59"/>
      <c r="B726" s="6"/>
      <c r="C726" s="6"/>
      <c r="D726" s="6"/>
      <c r="E726" s="2"/>
    </row>
    <row r="727" spans="1:5" x14ac:dyDescent="0.25">
      <c r="A727" s="59"/>
      <c r="B727" s="6"/>
      <c r="C727" s="6"/>
      <c r="D727" s="6"/>
      <c r="E727" s="2"/>
    </row>
    <row r="728" spans="1:5" x14ac:dyDescent="0.25">
      <c r="A728" s="59"/>
      <c r="B728" s="6"/>
      <c r="C728" s="6"/>
      <c r="D728" s="6"/>
      <c r="E728" s="2"/>
    </row>
    <row r="729" spans="1:5" x14ac:dyDescent="0.25">
      <c r="A729" s="59"/>
      <c r="B729" s="6"/>
      <c r="C729" s="6"/>
      <c r="D729" s="6"/>
      <c r="E729" s="2"/>
    </row>
    <row r="730" spans="1:5" x14ac:dyDescent="0.25">
      <c r="A730" s="59"/>
      <c r="B730" s="6"/>
      <c r="C730" s="6"/>
      <c r="D730" s="6"/>
      <c r="E730" s="2"/>
    </row>
    <row r="731" spans="1:5" x14ac:dyDescent="0.25">
      <c r="A731" s="59"/>
      <c r="B731" s="6"/>
      <c r="C731" s="6"/>
      <c r="D731" s="6"/>
      <c r="E731" s="2"/>
    </row>
    <row r="732" spans="1:5" x14ac:dyDescent="0.25">
      <c r="A732" s="59"/>
      <c r="B732" s="6"/>
      <c r="C732" s="6"/>
      <c r="D732" s="6"/>
      <c r="E732" s="2"/>
    </row>
    <row r="733" spans="1:5" x14ac:dyDescent="0.25">
      <c r="A733" s="59"/>
      <c r="B733" s="6"/>
      <c r="C733" s="6"/>
      <c r="D733" s="6"/>
      <c r="E733" s="2"/>
    </row>
    <row r="734" spans="1:5" x14ac:dyDescent="0.25">
      <c r="A734" s="59"/>
      <c r="B734" s="6"/>
      <c r="C734" s="6"/>
      <c r="D734" s="6"/>
      <c r="E734" s="2"/>
    </row>
    <row r="735" spans="1:5" x14ac:dyDescent="0.25">
      <c r="A735" s="59"/>
      <c r="B735" s="6"/>
      <c r="C735" s="6"/>
      <c r="D735" s="6"/>
      <c r="E735" s="2"/>
    </row>
    <row r="736" spans="1:5" x14ac:dyDescent="0.25">
      <c r="A736" s="59"/>
      <c r="B736" s="6"/>
      <c r="C736" s="6"/>
      <c r="D736" s="6"/>
      <c r="E736" s="2"/>
    </row>
    <row r="737" spans="1:5" x14ac:dyDescent="0.25">
      <c r="A737" s="59"/>
      <c r="B737" s="6"/>
      <c r="C737" s="6"/>
      <c r="D737" s="6"/>
      <c r="E737" s="2"/>
    </row>
    <row r="738" spans="1:5" x14ac:dyDescent="0.25">
      <c r="A738" s="59"/>
      <c r="B738" s="6"/>
      <c r="C738" s="6"/>
      <c r="D738" s="6"/>
      <c r="E738" s="2"/>
    </row>
    <row r="739" spans="1:5" x14ac:dyDescent="0.25">
      <c r="A739" s="59"/>
      <c r="B739" s="6"/>
      <c r="C739" s="6"/>
      <c r="D739" s="6"/>
      <c r="E739" s="2"/>
    </row>
    <row r="740" spans="1:5" x14ac:dyDescent="0.25">
      <c r="A740" s="59"/>
      <c r="B740" s="6"/>
      <c r="C740" s="6"/>
      <c r="D740" s="6"/>
      <c r="E740" s="2"/>
    </row>
    <row r="741" spans="1:5" x14ac:dyDescent="0.25">
      <c r="A741" s="59"/>
      <c r="B741" s="6"/>
      <c r="C741" s="6"/>
      <c r="D741" s="6"/>
      <c r="E741" s="2"/>
    </row>
    <row r="742" spans="1:5" x14ac:dyDescent="0.25">
      <c r="A742" s="59"/>
      <c r="B742" s="6"/>
      <c r="C742" s="6"/>
      <c r="D742" s="6"/>
      <c r="E742" s="2"/>
    </row>
    <row r="743" spans="1:5" x14ac:dyDescent="0.25">
      <c r="A743" s="59"/>
      <c r="B743" s="6"/>
      <c r="C743" s="6"/>
      <c r="D743" s="6"/>
      <c r="E743" s="2"/>
    </row>
    <row r="744" spans="1:5" x14ac:dyDescent="0.25">
      <c r="A744" s="59"/>
      <c r="B744" s="6"/>
      <c r="C744" s="6"/>
      <c r="D744" s="6"/>
      <c r="E744" s="2"/>
    </row>
    <row r="745" spans="1:5" x14ac:dyDescent="0.25">
      <c r="A745" s="59"/>
      <c r="B745" s="6"/>
      <c r="C745" s="6"/>
      <c r="D745" s="6"/>
      <c r="E745" s="2"/>
    </row>
    <row r="746" spans="1:5" x14ac:dyDescent="0.25">
      <c r="A746" s="59"/>
      <c r="B746" s="6"/>
      <c r="C746" s="6"/>
      <c r="D746" s="6"/>
      <c r="E746" s="2"/>
    </row>
    <row r="747" spans="1:5" x14ac:dyDescent="0.25">
      <c r="A747" s="59"/>
      <c r="B747" s="6"/>
      <c r="C747" s="6"/>
      <c r="D747" s="6"/>
      <c r="E747" s="2"/>
    </row>
    <row r="748" spans="1:5" x14ac:dyDescent="0.25">
      <c r="A748" s="59"/>
      <c r="B748" s="6"/>
      <c r="C748" s="6"/>
      <c r="D748" s="6"/>
      <c r="E748" s="2"/>
    </row>
    <row r="749" spans="1:5" x14ac:dyDescent="0.25">
      <c r="A749" s="59"/>
      <c r="B749" s="6"/>
      <c r="C749" s="6"/>
      <c r="D749" s="6"/>
      <c r="E749" s="2"/>
    </row>
    <row r="750" spans="1:5" x14ac:dyDescent="0.25">
      <c r="A750" s="59"/>
      <c r="B750" s="6"/>
      <c r="C750" s="6"/>
      <c r="D750" s="6"/>
      <c r="E750" s="2"/>
    </row>
    <row r="751" spans="1:5" x14ac:dyDescent="0.25">
      <c r="A751" s="59"/>
      <c r="B751" s="6"/>
      <c r="C751" s="6"/>
      <c r="D751" s="6"/>
      <c r="E751" s="2"/>
    </row>
    <row r="752" spans="1:5" x14ac:dyDescent="0.25">
      <c r="A752" s="59"/>
      <c r="B752" s="6"/>
      <c r="C752" s="6"/>
      <c r="D752" s="6"/>
      <c r="E752" s="2"/>
    </row>
    <row r="753" spans="1:5" x14ac:dyDescent="0.25">
      <c r="A753" s="59"/>
      <c r="B753" s="6"/>
      <c r="C753" s="6"/>
      <c r="D753" s="6"/>
      <c r="E753" s="2"/>
    </row>
    <row r="754" spans="1:5" x14ac:dyDescent="0.25">
      <c r="A754" s="59"/>
      <c r="B754" s="6"/>
      <c r="C754" s="6"/>
      <c r="D754" s="6"/>
      <c r="E754" s="2"/>
    </row>
    <row r="755" spans="1:5" x14ac:dyDescent="0.25">
      <c r="A755" s="59"/>
      <c r="B755" s="6"/>
      <c r="C755" s="6"/>
      <c r="D755" s="6"/>
      <c r="E755" s="2"/>
    </row>
    <row r="756" spans="1:5" x14ac:dyDescent="0.25">
      <c r="A756" s="59"/>
      <c r="B756" s="6"/>
      <c r="C756" s="6"/>
      <c r="D756" s="6"/>
      <c r="E756" s="2"/>
    </row>
    <row r="757" spans="1:5" x14ac:dyDescent="0.25">
      <c r="A757" s="59"/>
      <c r="B757" s="6"/>
      <c r="C757" s="6"/>
      <c r="D757" s="6"/>
      <c r="E757" s="2"/>
    </row>
    <row r="758" spans="1:5" x14ac:dyDescent="0.25">
      <c r="A758" s="59"/>
      <c r="B758" s="6"/>
      <c r="C758" s="6"/>
      <c r="D758" s="6"/>
      <c r="E758" s="2"/>
    </row>
    <row r="759" spans="1:5" x14ac:dyDescent="0.25">
      <c r="A759" s="59"/>
      <c r="B759" s="6"/>
      <c r="C759" s="6"/>
      <c r="D759" s="6"/>
      <c r="E759" s="2"/>
    </row>
    <row r="760" spans="1:5" x14ac:dyDescent="0.25">
      <c r="A760" s="59"/>
      <c r="B760" s="6"/>
      <c r="C760" s="6"/>
      <c r="D760" s="6"/>
      <c r="E760" s="2"/>
    </row>
  </sheetData>
  <conditionalFormatting sqref="B2:D760">
    <cfRule type="cellIs" dxfId="26" priority="3" operator="notEqual">
      <formula>0</formula>
    </cfRule>
    <cfRule type="cellIs" dxfId="25" priority="4" operator="equal">
      <formula>0</formula>
    </cfRule>
  </conditionalFormatting>
  <conditionalFormatting sqref="E2:E760">
    <cfRule type="beginsWith" dxfId="24" priority="5" operator="beginsWith" text="Conforme">
      <formula>LEFT(E2,LEN("Conforme"))="Conforme"</formula>
    </cfRule>
    <cfRule type="containsText" dxfId="23" priority="6" operator="containsText" text="Não">
      <formula>NOT(ISERROR(SEARCH("Não",E2)))</formula>
    </cfRule>
  </conditionalFormatting>
  <conditionalFormatting sqref="F341">
    <cfRule type="beginsWith" dxfId="22" priority="1" operator="beginsWith" text="Conforme">
      <formula>LEFT(F341,LEN("Conforme"))="Conforme"</formula>
    </cfRule>
    <cfRule type="containsText" dxfId="21" priority="2" operator="containsText" text="Não">
      <formula>NOT(ISERROR(SEARCH("Não",F341)))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6823F-63D1-4E8B-8546-8D9EFD2828DD}">
  <sheetPr codeName="Sheet28"/>
  <dimension ref="A1:E97"/>
  <sheetViews>
    <sheetView workbookViewId="0"/>
  </sheetViews>
  <sheetFormatPr defaultRowHeight="15" x14ac:dyDescent="0.25"/>
  <cols>
    <col min="2" max="4" width="32.28515625" bestFit="1" customWidth="1"/>
    <col min="5" max="5" width="39.28515625" customWidth="1"/>
  </cols>
  <sheetData>
    <row r="1" spans="1:5" x14ac:dyDescent="0.25">
      <c r="A1" s="5" t="s">
        <v>0</v>
      </c>
      <c r="B1" s="5" t="s">
        <v>144</v>
      </c>
      <c r="C1" s="5" t="s">
        <v>145</v>
      </c>
      <c r="D1" s="5" t="s">
        <v>11</v>
      </c>
      <c r="E1" s="5" t="s">
        <v>5</v>
      </c>
    </row>
    <row r="2" spans="1:5" x14ac:dyDescent="0.25">
      <c r="A2" s="4">
        <v>44711</v>
      </c>
      <c r="B2" s="6" t="s">
        <v>47</v>
      </c>
      <c r="C2" s="6" t="s">
        <v>47</v>
      </c>
      <c r="D2" s="2" t="s">
        <v>587</v>
      </c>
      <c r="E2" s="3"/>
    </row>
    <row r="3" spans="1:5" x14ac:dyDescent="0.25">
      <c r="A3" s="4">
        <v>44718</v>
      </c>
      <c r="B3" s="6" t="s">
        <v>47</v>
      </c>
      <c r="C3" s="6" t="s">
        <v>47</v>
      </c>
      <c r="D3" s="2" t="s">
        <v>587</v>
      </c>
      <c r="E3" s="3"/>
    </row>
    <row r="4" spans="1:5" x14ac:dyDescent="0.25">
      <c r="A4" s="4">
        <v>44725</v>
      </c>
      <c r="B4" s="6"/>
      <c r="C4" s="6" t="s">
        <v>47</v>
      </c>
      <c r="D4" s="2" t="s">
        <v>944</v>
      </c>
      <c r="E4" s="3" t="s">
        <v>416</v>
      </c>
    </row>
    <row r="5" spans="1:5" x14ac:dyDescent="0.25">
      <c r="A5" s="4">
        <v>44732</v>
      </c>
      <c r="B5" s="6" t="s">
        <v>47</v>
      </c>
      <c r="C5" s="6" t="s">
        <v>47</v>
      </c>
      <c r="D5" s="2" t="s">
        <v>587</v>
      </c>
      <c r="E5" s="3"/>
    </row>
    <row r="6" spans="1:5" x14ac:dyDescent="0.25">
      <c r="A6" s="4">
        <v>44739</v>
      </c>
      <c r="B6" s="6" t="s">
        <v>47</v>
      </c>
      <c r="C6" s="6" t="s">
        <v>47</v>
      </c>
      <c r="D6" s="2" t="s">
        <v>587</v>
      </c>
      <c r="E6" s="3"/>
    </row>
    <row r="7" spans="1:5" x14ac:dyDescent="0.25">
      <c r="A7" s="4">
        <v>44746</v>
      </c>
      <c r="B7" s="6" t="s">
        <v>47</v>
      </c>
      <c r="C7" s="6" t="s">
        <v>47</v>
      </c>
      <c r="D7" s="2" t="s">
        <v>587</v>
      </c>
      <c r="E7" s="3"/>
    </row>
    <row r="8" spans="1:5" x14ac:dyDescent="0.25">
      <c r="A8" s="4">
        <v>44753</v>
      </c>
      <c r="B8" s="6" t="s">
        <v>47</v>
      </c>
      <c r="C8" s="6" t="s">
        <v>47</v>
      </c>
      <c r="D8" s="2" t="s">
        <v>587</v>
      </c>
      <c r="E8" s="3"/>
    </row>
    <row r="9" spans="1:5" x14ac:dyDescent="0.25">
      <c r="A9" s="4">
        <v>44760</v>
      </c>
      <c r="B9" s="6" t="s">
        <v>47</v>
      </c>
      <c r="C9" s="6" t="s">
        <v>47</v>
      </c>
      <c r="D9" s="2" t="s">
        <v>587</v>
      </c>
      <c r="E9" s="3"/>
    </row>
    <row r="10" spans="1:5" x14ac:dyDescent="0.25">
      <c r="A10" s="4">
        <v>44767</v>
      </c>
      <c r="B10" s="6" t="s">
        <v>47</v>
      </c>
      <c r="C10" s="6" t="s">
        <v>47</v>
      </c>
      <c r="D10" s="2" t="s">
        <v>587</v>
      </c>
      <c r="E10" s="3"/>
    </row>
    <row r="11" spans="1:5" x14ac:dyDescent="0.25">
      <c r="A11" s="4">
        <v>44774</v>
      </c>
      <c r="B11" s="6" t="s">
        <v>47</v>
      </c>
      <c r="C11" s="6" t="s">
        <v>47</v>
      </c>
      <c r="D11" s="2" t="s">
        <v>587</v>
      </c>
      <c r="E11" s="3"/>
    </row>
    <row r="12" spans="1:5" x14ac:dyDescent="0.25">
      <c r="A12" s="4">
        <v>44781</v>
      </c>
      <c r="B12" s="6" t="s">
        <v>47</v>
      </c>
      <c r="C12" s="6" t="s">
        <v>47</v>
      </c>
      <c r="D12" s="2" t="s">
        <v>587</v>
      </c>
      <c r="E12" s="3"/>
    </row>
    <row r="13" spans="1:5" x14ac:dyDescent="0.25">
      <c r="A13" s="4">
        <v>44788</v>
      </c>
      <c r="B13" s="6" t="s">
        <v>47</v>
      </c>
      <c r="C13" s="6" t="s">
        <v>47</v>
      </c>
      <c r="D13" s="2" t="s">
        <v>587</v>
      </c>
      <c r="E13" s="3"/>
    </row>
    <row r="14" spans="1:5" x14ac:dyDescent="0.25">
      <c r="A14" s="4">
        <v>44795</v>
      </c>
      <c r="B14" s="6" t="s">
        <v>47</v>
      </c>
      <c r="C14" s="6"/>
      <c r="D14" s="2" t="s">
        <v>944</v>
      </c>
      <c r="E14" s="3" t="s">
        <v>582</v>
      </c>
    </row>
    <row r="15" spans="1:5" x14ac:dyDescent="0.25">
      <c r="A15" s="4">
        <v>44802</v>
      </c>
      <c r="B15" s="6" t="s">
        <v>47</v>
      </c>
      <c r="C15" s="6" t="s">
        <v>47</v>
      </c>
      <c r="D15" s="2" t="s">
        <v>587</v>
      </c>
      <c r="E15" s="3"/>
    </row>
    <row r="16" spans="1:5" x14ac:dyDescent="0.25">
      <c r="A16" s="4">
        <v>44809</v>
      </c>
      <c r="B16" s="6" t="s">
        <v>47</v>
      </c>
      <c r="C16" s="6" t="s">
        <v>47</v>
      </c>
      <c r="D16" s="2" t="s">
        <v>587</v>
      </c>
      <c r="E16" s="3"/>
    </row>
    <row r="17" spans="1:5" x14ac:dyDescent="0.25">
      <c r="A17" s="4">
        <v>44816</v>
      </c>
      <c r="B17" s="6" t="s">
        <v>47</v>
      </c>
      <c r="C17" s="6"/>
      <c r="D17" s="2" t="s">
        <v>944</v>
      </c>
      <c r="E17" s="3" t="s">
        <v>582</v>
      </c>
    </row>
    <row r="18" spans="1:5" x14ac:dyDescent="0.25">
      <c r="A18" s="4">
        <v>44823</v>
      </c>
      <c r="B18" s="6" t="s">
        <v>47</v>
      </c>
      <c r="C18" s="6" t="s">
        <v>47</v>
      </c>
      <c r="D18" s="2" t="s">
        <v>587</v>
      </c>
      <c r="E18" s="3"/>
    </row>
    <row r="19" spans="1:5" x14ac:dyDescent="0.25">
      <c r="A19" s="4">
        <v>44830</v>
      </c>
      <c r="B19" s="6" t="s">
        <v>47</v>
      </c>
      <c r="C19" s="6" t="s">
        <v>47</v>
      </c>
      <c r="D19" s="2" t="s">
        <v>587</v>
      </c>
      <c r="E19" s="3"/>
    </row>
    <row r="20" spans="1:5" x14ac:dyDescent="0.25">
      <c r="A20" s="4">
        <v>44837</v>
      </c>
      <c r="B20" s="6" t="s">
        <v>47</v>
      </c>
      <c r="C20" s="6" t="s">
        <v>47</v>
      </c>
      <c r="D20" s="2" t="s">
        <v>587</v>
      </c>
      <c r="E20" s="3"/>
    </row>
    <row r="21" spans="1:5" x14ac:dyDescent="0.25">
      <c r="A21" s="4">
        <v>44844</v>
      </c>
      <c r="B21" s="6" t="s">
        <v>47</v>
      </c>
      <c r="C21" s="6" t="s">
        <v>47</v>
      </c>
      <c r="D21" s="2" t="s">
        <v>587</v>
      </c>
      <c r="E21" s="3" t="s">
        <v>792</v>
      </c>
    </row>
    <row r="22" spans="1:5" x14ac:dyDescent="0.25">
      <c r="A22" s="4">
        <v>44851</v>
      </c>
      <c r="B22" s="6" t="s">
        <v>47</v>
      </c>
      <c r="C22" s="6" t="s">
        <v>47</v>
      </c>
      <c r="D22" s="2" t="s">
        <v>587</v>
      </c>
      <c r="E22" s="3"/>
    </row>
    <row r="23" spans="1:5" x14ac:dyDescent="0.25">
      <c r="A23" s="4">
        <v>44858</v>
      </c>
      <c r="B23" s="6" t="s">
        <v>47</v>
      </c>
      <c r="C23" s="6" t="s">
        <v>47</v>
      </c>
      <c r="D23" s="2" t="s">
        <v>587</v>
      </c>
      <c r="E23" s="3"/>
    </row>
    <row r="24" spans="1:5" x14ac:dyDescent="0.25">
      <c r="A24" s="4">
        <v>44865</v>
      </c>
      <c r="B24" s="6" t="s">
        <v>47</v>
      </c>
      <c r="C24" s="6" t="s">
        <v>47</v>
      </c>
      <c r="D24" s="2" t="s">
        <v>587</v>
      </c>
      <c r="E24" s="3"/>
    </row>
    <row r="25" spans="1:5" x14ac:dyDescent="0.25">
      <c r="A25" s="4">
        <v>44872</v>
      </c>
      <c r="B25" s="6" t="s">
        <v>47</v>
      </c>
      <c r="C25" s="6" t="s">
        <v>47</v>
      </c>
      <c r="D25" s="2" t="s">
        <v>587</v>
      </c>
      <c r="E25" s="3"/>
    </row>
    <row r="26" spans="1:5" x14ac:dyDescent="0.25">
      <c r="A26" s="4">
        <v>44879</v>
      </c>
      <c r="B26" s="6" t="s">
        <v>47</v>
      </c>
      <c r="C26" s="6" t="s">
        <v>47</v>
      </c>
      <c r="D26" s="2" t="s">
        <v>587</v>
      </c>
      <c r="E26" s="3"/>
    </row>
    <row r="27" spans="1:5" x14ac:dyDescent="0.25">
      <c r="A27" s="4">
        <v>44886</v>
      </c>
      <c r="B27" s="6" t="s">
        <v>47</v>
      </c>
      <c r="C27" s="6" t="s">
        <v>47</v>
      </c>
      <c r="D27" s="2" t="s">
        <v>587</v>
      </c>
      <c r="E27" s="3"/>
    </row>
    <row r="28" spans="1:5" x14ac:dyDescent="0.25">
      <c r="A28" s="4">
        <v>44893</v>
      </c>
      <c r="B28" s="6"/>
      <c r="C28" s="6"/>
      <c r="D28" s="2" t="s">
        <v>944</v>
      </c>
      <c r="E28" s="3" t="s">
        <v>837</v>
      </c>
    </row>
    <row r="29" spans="1:5" x14ac:dyDescent="0.25">
      <c r="A29" s="4">
        <v>44900</v>
      </c>
      <c r="B29" s="6" t="s">
        <v>47</v>
      </c>
      <c r="C29" s="6"/>
      <c r="D29" s="2" t="s">
        <v>944</v>
      </c>
      <c r="E29" s="3" t="s">
        <v>838</v>
      </c>
    </row>
    <row r="30" spans="1:5" x14ac:dyDescent="0.25">
      <c r="A30" s="4">
        <v>44907</v>
      </c>
      <c r="B30" s="6"/>
      <c r="C30" s="6"/>
      <c r="D30" s="2" t="s">
        <v>944</v>
      </c>
      <c r="E30" s="3" t="s">
        <v>837</v>
      </c>
    </row>
    <row r="31" spans="1:5" x14ac:dyDescent="0.25">
      <c r="A31" s="4">
        <v>44914</v>
      </c>
      <c r="B31" s="6" t="s">
        <v>47</v>
      </c>
      <c r="C31" s="6" t="s">
        <v>47</v>
      </c>
      <c r="D31" s="2" t="s">
        <v>587</v>
      </c>
      <c r="E31" s="3"/>
    </row>
    <row r="32" spans="1:5" x14ac:dyDescent="0.25">
      <c r="A32" s="4">
        <v>44921</v>
      </c>
      <c r="B32" s="6" t="s">
        <v>47</v>
      </c>
      <c r="C32" s="6" t="s">
        <v>47</v>
      </c>
      <c r="D32" s="2" t="s">
        <v>587</v>
      </c>
      <c r="E32" s="3"/>
    </row>
    <row r="33" spans="1:5" x14ac:dyDescent="0.25">
      <c r="A33" s="4">
        <v>44928</v>
      </c>
      <c r="B33" s="6" t="s">
        <v>47</v>
      </c>
      <c r="C33" s="6" t="s">
        <v>47</v>
      </c>
      <c r="D33" s="2" t="s">
        <v>587</v>
      </c>
      <c r="E33" s="3"/>
    </row>
    <row r="34" spans="1:5" x14ac:dyDescent="0.25">
      <c r="A34" s="4">
        <v>44935</v>
      </c>
      <c r="B34" s="6" t="s">
        <v>47</v>
      </c>
      <c r="C34" s="6" t="s">
        <v>47</v>
      </c>
      <c r="D34" s="2" t="s">
        <v>587</v>
      </c>
      <c r="E34" s="3"/>
    </row>
    <row r="35" spans="1:5" x14ac:dyDescent="0.25">
      <c r="A35" s="4">
        <v>44942</v>
      </c>
      <c r="B35" s="6" t="s">
        <v>47</v>
      </c>
      <c r="C35" s="6" t="s">
        <v>47</v>
      </c>
      <c r="D35" s="2" t="s">
        <v>587</v>
      </c>
      <c r="E35" s="3"/>
    </row>
    <row r="36" spans="1:5" x14ac:dyDescent="0.25">
      <c r="A36" s="4">
        <v>44949</v>
      </c>
      <c r="B36" s="6" t="s">
        <v>47</v>
      </c>
      <c r="C36" s="6" t="s">
        <v>47</v>
      </c>
      <c r="D36" s="2" t="s">
        <v>587</v>
      </c>
      <c r="E36" s="3"/>
    </row>
    <row r="37" spans="1:5" x14ac:dyDescent="0.25">
      <c r="A37" s="4">
        <v>44956</v>
      </c>
      <c r="B37" s="6" t="s">
        <v>47</v>
      </c>
      <c r="C37" s="6" t="s">
        <v>47</v>
      </c>
      <c r="D37" s="2" t="s">
        <v>587</v>
      </c>
      <c r="E37" s="3"/>
    </row>
    <row r="38" spans="1:5" x14ac:dyDescent="0.25">
      <c r="A38" s="4">
        <v>44963</v>
      </c>
      <c r="B38" s="6"/>
      <c r="C38" s="6"/>
      <c r="D38" s="2" t="s">
        <v>944</v>
      </c>
      <c r="E38" s="3" t="s">
        <v>837</v>
      </c>
    </row>
    <row r="39" spans="1:5" x14ac:dyDescent="0.25">
      <c r="A39" s="4">
        <v>44970</v>
      </c>
      <c r="B39" s="6" t="s">
        <v>47</v>
      </c>
      <c r="C39" s="6" t="s">
        <v>47</v>
      </c>
      <c r="D39" s="2" t="s">
        <v>587</v>
      </c>
      <c r="E39" s="3"/>
    </row>
    <row r="40" spans="1:5" x14ac:dyDescent="0.25">
      <c r="A40" s="4">
        <v>44977</v>
      </c>
      <c r="B40" s="6" t="s">
        <v>47</v>
      </c>
      <c r="C40" s="6" t="s">
        <v>47</v>
      </c>
      <c r="D40" s="2" t="s">
        <v>587</v>
      </c>
      <c r="E40" s="3"/>
    </row>
    <row r="41" spans="1:5" x14ac:dyDescent="0.25">
      <c r="A41" s="4">
        <v>44984</v>
      </c>
      <c r="B41" s="6" t="s">
        <v>47</v>
      </c>
      <c r="C41" s="6" t="s">
        <v>47</v>
      </c>
      <c r="D41" s="2" t="s">
        <v>587</v>
      </c>
      <c r="E41" s="3"/>
    </row>
    <row r="42" spans="1:5" x14ac:dyDescent="0.25">
      <c r="A42" s="4">
        <v>44991</v>
      </c>
      <c r="B42" s="6"/>
      <c r="C42" s="6"/>
      <c r="D42" s="2" t="s">
        <v>944</v>
      </c>
      <c r="E42" s="3" t="s">
        <v>837</v>
      </c>
    </row>
    <row r="43" spans="1:5" x14ac:dyDescent="0.25">
      <c r="A43" s="4">
        <v>44998</v>
      </c>
      <c r="B43" s="6"/>
      <c r="C43" s="6"/>
      <c r="D43" s="2" t="s">
        <v>944</v>
      </c>
      <c r="E43" s="3" t="s">
        <v>837</v>
      </c>
    </row>
    <row r="44" spans="1:5" x14ac:dyDescent="0.25">
      <c r="A44" s="4">
        <v>45005</v>
      </c>
      <c r="B44" s="6"/>
      <c r="C44" s="6"/>
      <c r="D44" s="2" t="s">
        <v>944</v>
      </c>
      <c r="E44" s="3" t="s">
        <v>837</v>
      </c>
    </row>
    <row r="45" spans="1:5" x14ac:dyDescent="0.25">
      <c r="A45" s="4">
        <v>45012</v>
      </c>
      <c r="B45" s="6" t="s">
        <v>47</v>
      </c>
      <c r="C45" s="6" t="s">
        <v>47</v>
      </c>
      <c r="D45" s="2" t="s">
        <v>587</v>
      </c>
      <c r="E45" s="3"/>
    </row>
    <row r="46" spans="1:5" x14ac:dyDescent="0.25">
      <c r="A46" s="4">
        <v>45019</v>
      </c>
      <c r="B46" s="6" t="s">
        <v>47</v>
      </c>
      <c r="C46" s="6" t="s">
        <v>47</v>
      </c>
      <c r="D46" s="2" t="s">
        <v>587</v>
      </c>
      <c r="E46" s="3"/>
    </row>
    <row r="47" spans="1:5" x14ac:dyDescent="0.25">
      <c r="A47" s="4">
        <v>45026</v>
      </c>
      <c r="B47" s="6" t="s">
        <v>47</v>
      </c>
      <c r="C47" s="6" t="s">
        <v>47</v>
      </c>
      <c r="D47" s="2" t="s">
        <v>587</v>
      </c>
      <c r="E47" s="3"/>
    </row>
    <row r="48" spans="1:5" x14ac:dyDescent="0.25">
      <c r="A48" s="4">
        <v>45033</v>
      </c>
      <c r="B48" s="6"/>
      <c r="C48" s="6"/>
      <c r="D48" s="2" t="s">
        <v>944</v>
      </c>
      <c r="E48" s="3"/>
    </row>
    <row r="49" spans="1:5" x14ac:dyDescent="0.25">
      <c r="A49" s="4">
        <v>45040</v>
      </c>
      <c r="B49" s="6" t="s">
        <v>47</v>
      </c>
      <c r="C49" s="6" t="s">
        <v>47</v>
      </c>
      <c r="D49" s="2" t="s">
        <v>587</v>
      </c>
      <c r="E49" s="3"/>
    </row>
    <row r="50" spans="1:5" x14ac:dyDescent="0.25">
      <c r="A50" s="4">
        <v>45047</v>
      </c>
      <c r="B50" s="6" t="s">
        <v>47</v>
      </c>
      <c r="C50" s="6" t="s">
        <v>47</v>
      </c>
      <c r="D50" s="2" t="s">
        <v>587</v>
      </c>
      <c r="E50" s="3"/>
    </row>
    <row r="51" spans="1:5" x14ac:dyDescent="0.25">
      <c r="A51" s="4">
        <v>45054</v>
      </c>
      <c r="B51" s="6"/>
      <c r="C51" s="6"/>
      <c r="D51" s="2" t="s">
        <v>944</v>
      </c>
      <c r="E51" s="3"/>
    </row>
    <row r="52" spans="1:5" x14ac:dyDescent="0.25">
      <c r="A52" s="4">
        <v>45061</v>
      </c>
      <c r="B52" s="6" t="s">
        <v>47</v>
      </c>
      <c r="C52" s="6" t="s">
        <v>47</v>
      </c>
      <c r="D52" s="2" t="s">
        <v>587</v>
      </c>
      <c r="E52" s="3"/>
    </row>
    <row r="53" spans="1:5" x14ac:dyDescent="0.25">
      <c r="A53" s="4">
        <v>45068</v>
      </c>
      <c r="B53" s="6"/>
      <c r="C53" s="6"/>
      <c r="D53" s="2" t="s">
        <v>944</v>
      </c>
      <c r="E53" s="3"/>
    </row>
    <row r="54" spans="1:5" x14ac:dyDescent="0.25">
      <c r="A54" s="4">
        <v>45075</v>
      </c>
      <c r="B54" s="6"/>
      <c r="C54" s="6"/>
      <c r="D54" s="2" t="s">
        <v>944</v>
      </c>
      <c r="E54" s="3"/>
    </row>
    <row r="55" spans="1:5" x14ac:dyDescent="0.25">
      <c r="A55" s="4">
        <v>45082</v>
      </c>
      <c r="B55" s="6" t="s">
        <v>47</v>
      </c>
      <c r="C55" s="6" t="s">
        <v>47</v>
      </c>
      <c r="D55" s="2" t="s">
        <v>587</v>
      </c>
      <c r="E55" s="3"/>
    </row>
    <row r="56" spans="1:5" x14ac:dyDescent="0.25">
      <c r="A56" s="4">
        <v>45089</v>
      </c>
      <c r="B56" s="6" t="s">
        <v>47</v>
      </c>
      <c r="C56" s="6" t="s">
        <v>47</v>
      </c>
      <c r="D56" s="2" t="s">
        <v>587</v>
      </c>
      <c r="E56" s="3"/>
    </row>
    <row r="57" spans="1:5" x14ac:dyDescent="0.25">
      <c r="A57" s="4">
        <v>45096</v>
      </c>
      <c r="B57" s="6" t="s">
        <v>47</v>
      </c>
      <c r="C57" s="6" t="s">
        <v>47</v>
      </c>
      <c r="D57" s="2" t="s">
        <v>587</v>
      </c>
      <c r="E57" s="3"/>
    </row>
    <row r="58" spans="1:5" x14ac:dyDescent="0.25">
      <c r="A58" s="4">
        <v>45103</v>
      </c>
      <c r="B58" s="6"/>
      <c r="C58" s="6"/>
      <c r="D58" s="2" t="s">
        <v>944</v>
      </c>
      <c r="E58" s="3" t="s">
        <v>837</v>
      </c>
    </row>
    <row r="59" spans="1:5" x14ac:dyDescent="0.25">
      <c r="A59" s="4">
        <v>45110</v>
      </c>
      <c r="B59" s="6" t="s">
        <v>47</v>
      </c>
      <c r="C59" s="6" t="s">
        <v>47</v>
      </c>
      <c r="D59" s="2" t="s">
        <v>587</v>
      </c>
      <c r="E59" s="3"/>
    </row>
    <row r="60" spans="1:5" x14ac:dyDescent="0.25">
      <c r="A60" s="4">
        <v>45117</v>
      </c>
      <c r="B60" s="6" t="s">
        <v>47</v>
      </c>
      <c r="C60" s="6" t="s">
        <v>47</v>
      </c>
      <c r="D60" s="2" t="s">
        <v>587</v>
      </c>
      <c r="E60" s="3"/>
    </row>
    <row r="61" spans="1:5" x14ac:dyDescent="0.25">
      <c r="A61" s="4">
        <v>45124</v>
      </c>
      <c r="B61" s="6" t="s">
        <v>47</v>
      </c>
      <c r="C61" s="6" t="s">
        <v>47</v>
      </c>
      <c r="D61" s="2" t="s">
        <v>587</v>
      </c>
      <c r="E61" s="3"/>
    </row>
    <row r="62" spans="1:5" x14ac:dyDescent="0.25">
      <c r="A62" s="4">
        <v>45131</v>
      </c>
      <c r="B62" s="6" t="s">
        <v>47</v>
      </c>
      <c r="C62" s="6" t="s">
        <v>47</v>
      </c>
      <c r="D62" s="2" t="s">
        <v>587</v>
      </c>
      <c r="E62" s="3"/>
    </row>
    <row r="63" spans="1:5" x14ac:dyDescent="0.25">
      <c r="A63" s="4">
        <v>45138</v>
      </c>
      <c r="B63" s="6" t="s">
        <v>47</v>
      </c>
      <c r="C63" s="6" t="s">
        <v>47</v>
      </c>
      <c r="D63" s="2" t="s">
        <v>587</v>
      </c>
      <c r="E63" s="3"/>
    </row>
    <row r="64" spans="1:5" x14ac:dyDescent="0.25">
      <c r="A64" s="4">
        <v>45145</v>
      </c>
      <c r="B64" s="6" t="s">
        <v>47</v>
      </c>
      <c r="C64" s="6" t="s">
        <v>47</v>
      </c>
      <c r="D64" s="2" t="s">
        <v>587</v>
      </c>
      <c r="E64" s="3"/>
    </row>
    <row r="65" spans="1:5" x14ac:dyDescent="0.25">
      <c r="A65" s="4">
        <v>45152</v>
      </c>
      <c r="B65" s="6" t="s">
        <v>47</v>
      </c>
      <c r="C65" s="6" t="s">
        <v>47</v>
      </c>
      <c r="D65" s="2" t="s">
        <v>587</v>
      </c>
      <c r="E65" s="3"/>
    </row>
    <row r="66" spans="1:5" x14ac:dyDescent="0.25">
      <c r="A66" s="4">
        <v>45159</v>
      </c>
      <c r="B66" s="6" t="s">
        <v>47</v>
      </c>
      <c r="C66" s="6" t="s">
        <v>47</v>
      </c>
      <c r="D66" s="2" t="s">
        <v>587</v>
      </c>
      <c r="E66" s="3"/>
    </row>
    <row r="67" spans="1:5" x14ac:dyDescent="0.25">
      <c r="A67" s="4">
        <v>45166</v>
      </c>
      <c r="B67" s="6" t="s">
        <v>47</v>
      </c>
      <c r="C67" s="6" t="s">
        <v>47</v>
      </c>
      <c r="D67" s="2" t="s">
        <v>587</v>
      </c>
      <c r="E67" s="3"/>
    </row>
    <row r="68" spans="1:5" x14ac:dyDescent="0.25">
      <c r="A68" s="4">
        <v>45173</v>
      </c>
      <c r="B68" s="6" t="s">
        <v>47</v>
      </c>
      <c r="C68" s="6" t="s">
        <v>47</v>
      </c>
      <c r="D68" s="2" t="s">
        <v>587</v>
      </c>
      <c r="E68" s="3"/>
    </row>
    <row r="69" spans="1:5" x14ac:dyDescent="0.25">
      <c r="A69" s="4">
        <v>45183</v>
      </c>
      <c r="B69" s="6" t="s">
        <v>47</v>
      </c>
      <c r="C69" s="6" t="s">
        <v>47</v>
      </c>
      <c r="D69" s="2" t="str">
        <f t="shared" ref="D69:D97" ca="1" si="0">IF(A69&lt;=TODAY(),IF(COUNTBLANK(B69:C69)=0,"Conforme","Não conforme"),"")</f>
        <v>Conforme</v>
      </c>
      <c r="E69" s="3"/>
    </row>
    <row r="70" spans="1:5" x14ac:dyDescent="0.25">
      <c r="A70" s="4">
        <v>45191</v>
      </c>
      <c r="B70" s="6" t="s">
        <v>47</v>
      </c>
      <c r="C70" s="6" t="s">
        <v>47</v>
      </c>
      <c r="D70" s="2" t="str">
        <f t="shared" ca="1" si="0"/>
        <v>Conforme</v>
      </c>
      <c r="E70" s="3"/>
    </row>
    <row r="71" spans="1:5" x14ac:dyDescent="0.25">
      <c r="A71" s="4">
        <v>45198</v>
      </c>
      <c r="B71" s="6" t="s">
        <v>47</v>
      </c>
      <c r="C71" s="6" t="s">
        <v>47</v>
      </c>
      <c r="D71" s="2" t="str">
        <f t="shared" ca="1" si="0"/>
        <v>Conforme</v>
      </c>
      <c r="E71" s="3"/>
    </row>
    <row r="72" spans="1:5" x14ac:dyDescent="0.25">
      <c r="A72" s="4">
        <v>45195</v>
      </c>
      <c r="B72" s="6" t="s">
        <v>47</v>
      </c>
      <c r="C72" s="6" t="s">
        <v>47</v>
      </c>
      <c r="D72" s="2" t="str">
        <f t="shared" ca="1" si="0"/>
        <v>Conforme</v>
      </c>
      <c r="E72" s="3"/>
    </row>
    <row r="73" spans="1:5" x14ac:dyDescent="0.25">
      <c r="A73" s="4">
        <v>45205</v>
      </c>
      <c r="B73" s="6" t="s">
        <v>47</v>
      </c>
      <c r="C73" s="6" t="s">
        <v>47</v>
      </c>
      <c r="D73" s="2" t="str">
        <f t="shared" ca="1" si="0"/>
        <v>Conforme</v>
      </c>
      <c r="E73" s="3"/>
    </row>
    <row r="74" spans="1:5" x14ac:dyDescent="0.25">
      <c r="A74" s="4">
        <v>45182</v>
      </c>
      <c r="B74" s="6" t="s">
        <v>47</v>
      </c>
      <c r="C74" s="6" t="s">
        <v>47</v>
      </c>
      <c r="D74" s="2" t="str">
        <f t="shared" ca="1" si="0"/>
        <v>Conforme</v>
      </c>
      <c r="E74" s="3"/>
    </row>
    <row r="75" spans="1:5" x14ac:dyDescent="0.25">
      <c r="A75" s="4"/>
      <c r="B75" s="6"/>
      <c r="C75" s="6"/>
      <c r="D75" s="2" t="str">
        <f t="shared" ca="1" si="0"/>
        <v>Não conforme</v>
      </c>
      <c r="E75" s="3"/>
    </row>
    <row r="76" spans="1:5" x14ac:dyDescent="0.25">
      <c r="A76" s="4"/>
      <c r="B76" s="6"/>
      <c r="C76" s="6"/>
      <c r="D76" s="2" t="str">
        <f t="shared" ca="1" si="0"/>
        <v>Não conforme</v>
      </c>
      <c r="E76" s="3"/>
    </row>
    <row r="77" spans="1:5" x14ac:dyDescent="0.25">
      <c r="A77" s="4"/>
      <c r="B77" s="6"/>
      <c r="C77" s="6"/>
      <c r="D77" s="2" t="str">
        <f t="shared" ca="1" si="0"/>
        <v>Não conforme</v>
      </c>
      <c r="E77" s="3"/>
    </row>
    <row r="78" spans="1:5" x14ac:dyDescent="0.25">
      <c r="A78" s="4"/>
      <c r="B78" s="6"/>
      <c r="C78" s="6"/>
      <c r="D78" s="2" t="str">
        <f t="shared" ca="1" si="0"/>
        <v>Não conforme</v>
      </c>
      <c r="E78" s="3"/>
    </row>
    <row r="79" spans="1:5" x14ac:dyDescent="0.25">
      <c r="A79" s="4"/>
      <c r="B79" s="6"/>
      <c r="C79" s="6"/>
      <c r="D79" s="2" t="str">
        <f t="shared" ca="1" si="0"/>
        <v>Não conforme</v>
      </c>
      <c r="E79" s="3"/>
    </row>
    <row r="80" spans="1:5" x14ac:dyDescent="0.25">
      <c r="A80" s="4"/>
      <c r="B80" s="6"/>
      <c r="C80" s="6"/>
      <c r="D80" s="2" t="str">
        <f t="shared" ca="1" si="0"/>
        <v>Não conforme</v>
      </c>
      <c r="E80" s="3"/>
    </row>
    <row r="81" spans="1:5" x14ac:dyDescent="0.25">
      <c r="A81" s="4"/>
      <c r="B81" s="6"/>
      <c r="C81" s="6"/>
      <c r="D81" s="2" t="str">
        <f t="shared" ca="1" si="0"/>
        <v>Não conforme</v>
      </c>
      <c r="E81" s="3"/>
    </row>
    <row r="82" spans="1:5" x14ac:dyDescent="0.25">
      <c r="A82" s="4"/>
      <c r="B82" s="6"/>
      <c r="C82" s="6"/>
      <c r="D82" s="2" t="str">
        <f t="shared" ca="1" si="0"/>
        <v>Não conforme</v>
      </c>
      <c r="E82" s="3"/>
    </row>
    <row r="83" spans="1:5" x14ac:dyDescent="0.25">
      <c r="A83" s="4"/>
      <c r="B83" s="6"/>
      <c r="C83" s="6"/>
      <c r="D83" s="2" t="str">
        <f t="shared" ca="1" si="0"/>
        <v>Não conforme</v>
      </c>
      <c r="E83" s="3"/>
    </row>
    <row r="84" spans="1:5" x14ac:dyDescent="0.25">
      <c r="A84" s="4"/>
      <c r="B84" s="6"/>
      <c r="C84" s="6"/>
      <c r="D84" s="2" t="str">
        <f t="shared" ca="1" si="0"/>
        <v>Não conforme</v>
      </c>
      <c r="E84" s="3"/>
    </row>
    <row r="85" spans="1:5" x14ac:dyDescent="0.25">
      <c r="A85" s="4"/>
      <c r="B85" s="6"/>
      <c r="C85" s="6"/>
      <c r="D85" s="2" t="str">
        <f t="shared" ca="1" si="0"/>
        <v>Não conforme</v>
      </c>
      <c r="E85" s="3"/>
    </row>
    <row r="86" spans="1:5" x14ac:dyDescent="0.25">
      <c r="A86" s="4"/>
      <c r="B86" s="6"/>
      <c r="C86" s="6"/>
      <c r="D86" s="2" t="str">
        <f t="shared" ca="1" si="0"/>
        <v>Não conforme</v>
      </c>
      <c r="E86" s="3"/>
    </row>
    <row r="87" spans="1:5" x14ac:dyDescent="0.25">
      <c r="A87" s="4"/>
      <c r="B87" s="6"/>
      <c r="C87" s="6"/>
      <c r="D87" s="2" t="str">
        <f t="shared" ca="1" si="0"/>
        <v>Não conforme</v>
      </c>
      <c r="E87" s="3"/>
    </row>
    <row r="88" spans="1:5" x14ac:dyDescent="0.25">
      <c r="A88" s="4"/>
      <c r="B88" s="6"/>
      <c r="C88" s="6"/>
      <c r="D88" s="2" t="str">
        <f t="shared" ca="1" si="0"/>
        <v>Não conforme</v>
      </c>
      <c r="E88" s="3"/>
    </row>
    <row r="89" spans="1:5" x14ac:dyDescent="0.25">
      <c r="A89" s="4"/>
      <c r="B89" s="6"/>
      <c r="C89" s="6"/>
      <c r="D89" s="2" t="str">
        <f t="shared" ca="1" si="0"/>
        <v>Não conforme</v>
      </c>
      <c r="E89" s="3"/>
    </row>
    <row r="90" spans="1:5" x14ac:dyDescent="0.25">
      <c r="A90" s="4"/>
      <c r="B90" s="6"/>
      <c r="C90" s="6"/>
      <c r="D90" s="2" t="str">
        <f t="shared" ca="1" si="0"/>
        <v>Não conforme</v>
      </c>
      <c r="E90" s="3"/>
    </row>
    <row r="91" spans="1:5" x14ac:dyDescent="0.25">
      <c r="A91" s="4"/>
      <c r="B91" s="6"/>
      <c r="C91" s="6"/>
      <c r="D91" s="2" t="str">
        <f t="shared" ca="1" si="0"/>
        <v>Não conforme</v>
      </c>
      <c r="E91" s="3"/>
    </row>
    <row r="92" spans="1:5" x14ac:dyDescent="0.25">
      <c r="A92" s="4"/>
      <c r="B92" s="6"/>
      <c r="C92" s="6"/>
      <c r="D92" s="2" t="str">
        <f t="shared" ca="1" si="0"/>
        <v>Não conforme</v>
      </c>
      <c r="E92" s="3"/>
    </row>
    <row r="93" spans="1:5" x14ac:dyDescent="0.25">
      <c r="A93" s="4"/>
      <c r="B93" s="6"/>
      <c r="C93" s="6"/>
      <c r="D93" s="2" t="str">
        <f t="shared" ca="1" si="0"/>
        <v>Não conforme</v>
      </c>
      <c r="E93" s="3"/>
    </row>
    <row r="94" spans="1:5" x14ac:dyDescent="0.25">
      <c r="A94" s="4"/>
      <c r="B94" s="6"/>
      <c r="C94" s="6"/>
      <c r="D94" s="2" t="str">
        <f t="shared" ca="1" si="0"/>
        <v>Não conforme</v>
      </c>
      <c r="E94" s="3"/>
    </row>
    <row r="95" spans="1:5" x14ac:dyDescent="0.25">
      <c r="A95" s="4"/>
      <c r="B95" s="6"/>
      <c r="C95" s="6"/>
      <c r="D95" s="2" t="str">
        <f t="shared" ca="1" si="0"/>
        <v>Não conforme</v>
      </c>
      <c r="E95" s="3"/>
    </row>
    <row r="96" spans="1:5" x14ac:dyDescent="0.25">
      <c r="A96" s="4"/>
      <c r="B96" s="6"/>
      <c r="C96" s="6"/>
      <c r="D96" s="2" t="str">
        <f t="shared" ca="1" si="0"/>
        <v>Não conforme</v>
      </c>
      <c r="E96" s="3"/>
    </row>
    <row r="97" spans="1:5" x14ac:dyDescent="0.25">
      <c r="A97" s="4"/>
      <c r="B97" s="6"/>
      <c r="C97" s="6"/>
      <c r="D97" s="2" t="str">
        <f t="shared" ca="1" si="0"/>
        <v>Não conforme</v>
      </c>
      <c r="E97" s="3"/>
    </row>
  </sheetData>
  <conditionalFormatting sqref="B2:C97">
    <cfRule type="cellIs" dxfId="20" priority="1" operator="notEqual">
      <formula>0</formula>
    </cfRule>
    <cfRule type="cellIs" dxfId="19" priority="2" operator="equal">
      <formula>0</formula>
    </cfRule>
  </conditionalFormatting>
  <conditionalFormatting sqref="D2:D97">
    <cfRule type="beginsWith" dxfId="18" priority="3" operator="beginsWith" text="Conforme">
      <formula>LEFT(D2,LEN("Conforme"))="Conforme"</formula>
    </cfRule>
    <cfRule type="containsText" dxfId="17" priority="4" operator="containsText" text="Não">
      <formula>NOT(ISERROR(SEARCH("Não",D2)))</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CC526-2C20-4176-92FA-4CA1CB7C993D}">
  <sheetPr codeName="Sheet30"/>
  <dimension ref="A1:P5"/>
  <sheetViews>
    <sheetView showGridLines="0" workbookViewId="0">
      <selection activeCell="H20" sqref="H20"/>
    </sheetView>
  </sheetViews>
  <sheetFormatPr defaultRowHeight="15" x14ac:dyDescent="0.25"/>
  <cols>
    <col min="17" max="17" width="21.85546875" bestFit="1" customWidth="1"/>
  </cols>
  <sheetData>
    <row r="1" spans="1:16" x14ac:dyDescent="0.25">
      <c r="A1" t="s">
        <v>1985</v>
      </c>
      <c r="B1" t="s">
        <v>2133</v>
      </c>
      <c r="O1" t="s">
        <v>3657</v>
      </c>
    </row>
    <row r="2" spans="1:16" x14ac:dyDescent="0.25">
      <c r="A2" t="s">
        <v>1977</v>
      </c>
      <c r="O2" t="s">
        <v>2812</v>
      </c>
      <c r="P2" t="s">
        <v>3685</v>
      </c>
    </row>
    <row r="3" spans="1:16" x14ac:dyDescent="0.25">
      <c r="A3" t="s">
        <v>1978</v>
      </c>
      <c r="O3" t="s">
        <v>3658</v>
      </c>
      <c r="P3" t="s">
        <v>2892</v>
      </c>
    </row>
    <row r="4" spans="1:16" x14ac:dyDescent="0.25">
      <c r="A4" t="s">
        <v>3630</v>
      </c>
      <c r="O4" t="s">
        <v>3055</v>
      </c>
    </row>
    <row r="5" spans="1:16" x14ac:dyDescent="0.25">
      <c r="A5" t="s">
        <v>1980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8EBB3-072C-43FE-9F7C-F9D7978E8BD4}">
  <sheetPr codeName="Sheet31"/>
  <dimension ref="A1:C694"/>
  <sheetViews>
    <sheetView showGridLines="0" workbookViewId="0">
      <selection activeCell="E13" sqref="E13"/>
    </sheetView>
  </sheetViews>
  <sheetFormatPr defaultRowHeight="15" x14ac:dyDescent="0.25"/>
  <cols>
    <col min="1" max="1" width="9.7109375" bestFit="1" customWidth="1"/>
    <col min="2" max="2" width="23.85546875" bestFit="1" customWidth="1"/>
    <col min="3" max="3" width="28" bestFit="1" customWidth="1"/>
  </cols>
  <sheetData>
    <row r="1" spans="1:3" x14ac:dyDescent="0.25">
      <c r="A1" t="s">
        <v>0</v>
      </c>
      <c r="B1" t="s">
        <v>3951</v>
      </c>
      <c r="C1" t="s">
        <v>3952</v>
      </c>
    </row>
    <row r="2" spans="1:3" x14ac:dyDescent="0.25">
      <c r="A2" s="27">
        <v>45499</v>
      </c>
      <c r="B2" t="s">
        <v>4030</v>
      </c>
    </row>
    <row r="3" spans="1:3" x14ac:dyDescent="0.25">
      <c r="A3" s="27">
        <v>45499</v>
      </c>
      <c r="B3" t="s">
        <v>4031</v>
      </c>
      <c r="C3" t="s">
        <v>4032</v>
      </c>
    </row>
    <row r="4" spans="1:3" x14ac:dyDescent="0.25">
      <c r="A4" s="27">
        <v>45499</v>
      </c>
      <c r="B4" t="s">
        <v>4033</v>
      </c>
      <c r="C4" t="s">
        <v>4034</v>
      </c>
    </row>
    <row r="5" spans="1:3" x14ac:dyDescent="0.25">
      <c r="A5" s="27">
        <v>45499</v>
      </c>
      <c r="B5" s="266" t="s">
        <v>4035</v>
      </c>
      <c r="C5" t="s">
        <v>3950</v>
      </c>
    </row>
    <row r="6" spans="1:3" x14ac:dyDescent="0.25">
      <c r="A6" s="27">
        <v>45499</v>
      </c>
      <c r="B6" t="s">
        <v>4036</v>
      </c>
      <c r="C6" t="s">
        <v>4037</v>
      </c>
    </row>
    <row r="7" spans="1:3" x14ac:dyDescent="0.25">
      <c r="A7" s="27">
        <v>45499</v>
      </c>
      <c r="B7" t="s">
        <v>4038</v>
      </c>
      <c r="C7" t="s">
        <v>4039</v>
      </c>
    </row>
    <row r="8" spans="1:3" x14ac:dyDescent="0.25">
      <c r="A8" s="27">
        <v>45499</v>
      </c>
      <c r="B8" t="s">
        <v>4040</v>
      </c>
      <c r="C8" t="s">
        <v>4041</v>
      </c>
    </row>
    <row r="9" spans="1:3" x14ac:dyDescent="0.25">
      <c r="A9" s="27">
        <v>45499</v>
      </c>
      <c r="B9" t="s">
        <v>4042</v>
      </c>
      <c r="C9" t="s">
        <v>4043</v>
      </c>
    </row>
    <row r="10" spans="1:3" x14ac:dyDescent="0.25">
      <c r="A10" s="27">
        <v>45499</v>
      </c>
      <c r="B10" t="s">
        <v>4044</v>
      </c>
      <c r="C10" t="s">
        <v>4045</v>
      </c>
    </row>
    <row r="11" spans="1:3" x14ac:dyDescent="0.25">
      <c r="A11" s="27">
        <v>45499</v>
      </c>
      <c r="B11" t="s">
        <v>4046</v>
      </c>
      <c r="C11" t="s">
        <v>4047</v>
      </c>
    </row>
    <row r="12" spans="1:3" x14ac:dyDescent="0.25">
      <c r="A12" s="27">
        <v>45499</v>
      </c>
      <c r="B12" t="s">
        <v>4048</v>
      </c>
      <c r="C12" t="s">
        <v>4049</v>
      </c>
    </row>
    <row r="13" spans="1:3" x14ac:dyDescent="0.25">
      <c r="A13" s="27">
        <v>45499</v>
      </c>
      <c r="B13" t="s">
        <v>4050</v>
      </c>
      <c r="C13" t="s">
        <v>4051</v>
      </c>
    </row>
    <row r="14" spans="1:3" x14ac:dyDescent="0.25">
      <c r="A14" s="27">
        <v>45499</v>
      </c>
      <c r="B14" t="s">
        <v>4052</v>
      </c>
      <c r="C14" t="s">
        <v>4053</v>
      </c>
    </row>
    <row r="15" spans="1:3" x14ac:dyDescent="0.25">
      <c r="A15" s="27">
        <v>45499</v>
      </c>
      <c r="B15" t="s">
        <v>4054</v>
      </c>
      <c r="C15" t="s">
        <v>4055</v>
      </c>
    </row>
    <row r="16" spans="1:3" x14ac:dyDescent="0.25">
      <c r="A16" s="27">
        <v>45499</v>
      </c>
      <c r="B16" s="266" t="s">
        <v>4056</v>
      </c>
      <c r="C16" s="266" t="s">
        <v>4057</v>
      </c>
    </row>
    <row r="17" spans="1:3" x14ac:dyDescent="0.25">
      <c r="A17" s="27">
        <v>45499</v>
      </c>
      <c r="B17" t="s">
        <v>4058</v>
      </c>
      <c r="C17" t="s">
        <v>4059</v>
      </c>
    </row>
    <row r="18" spans="1:3" x14ac:dyDescent="0.25">
      <c r="A18" s="27">
        <v>45499</v>
      </c>
      <c r="B18" t="s">
        <v>4060</v>
      </c>
      <c r="C18" t="s">
        <v>4061</v>
      </c>
    </row>
    <row r="19" spans="1:3" x14ac:dyDescent="0.25">
      <c r="A19" s="27">
        <v>45499</v>
      </c>
      <c r="B19" t="s">
        <v>4062</v>
      </c>
      <c r="C19" t="s">
        <v>4063</v>
      </c>
    </row>
    <row r="20" spans="1:3" x14ac:dyDescent="0.25">
      <c r="A20" s="27">
        <v>45499</v>
      </c>
      <c r="B20" t="s">
        <v>4064</v>
      </c>
      <c r="C20" t="s">
        <v>4065</v>
      </c>
    </row>
    <row r="21" spans="1:3" x14ac:dyDescent="0.25">
      <c r="A21" s="27">
        <v>45499</v>
      </c>
      <c r="B21" t="s">
        <v>4066</v>
      </c>
      <c r="C21" t="s">
        <v>4067</v>
      </c>
    </row>
    <row r="22" spans="1:3" x14ac:dyDescent="0.25">
      <c r="A22" s="27">
        <v>45499</v>
      </c>
      <c r="B22" t="s">
        <v>4068</v>
      </c>
      <c r="C22" t="s">
        <v>4069</v>
      </c>
    </row>
    <row r="23" spans="1:3" x14ac:dyDescent="0.25">
      <c r="A23" s="27">
        <v>45499</v>
      </c>
      <c r="B23" t="s">
        <v>4070</v>
      </c>
      <c r="C23" t="s">
        <v>4071</v>
      </c>
    </row>
    <row r="24" spans="1:3" x14ac:dyDescent="0.25">
      <c r="A24" s="27">
        <v>45499</v>
      </c>
      <c r="B24" t="s">
        <v>4072</v>
      </c>
      <c r="C24" t="s">
        <v>4073</v>
      </c>
    </row>
    <row r="25" spans="1:3" x14ac:dyDescent="0.25">
      <c r="A25" s="27">
        <v>45499</v>
      </c>
      <c r="B25" t="s">
        <v>4074</v>
      </c>
      <c r="C25" t="s">
        <v>4075</v>
      </c>
    </row>
    <row r="26" spans="1:3" x14ac:dyDescent="0.25">
      <c r="A26" s="27">
        <v>45499</v>
      </c>
      <c r="B26" t="s">
        <v>4076</v>
      </c>
      <c r="C26" t="s">
        <v>4077</v>
      </c>
    </row>
    <row r="27" spans="1:3" x14ac:dyDescent="0.25">
      <c r="A27" s="27">
        <v>45499</v>
      </c>
      <c r="B27" t="s">
        <v>4078</v>
      </c>
      <c r="C27" t="s">
        <v>4079</v>
      </c>
    </row>
    <row r="28" spans="1:3" x14ac:dyDescent="0.25">
      <c r="A28" s="27">
        <v>45499</v>
      </c>
      <c r="B28" t="s">
        <v>4080</v>
      </c>
      <c r="C28" t="s">
        <v>4081</v>
      </c>
    </row>
    <row r="29" spans="1:3" x14ac:dyDescent="0.25">
      <c r="A29" s="27">
        <v>45499</v>
      </c>
      <c r="B29" t="s">
        <v>4082</v>
      </c>
      <c r="C29" t="s">
        <v>4083</v>
      </c>
    </row>
    <row r="30" spans="1:3" x14ac:dyDescent="0.25">
      <c r="A30" s="27">
        <v>45499</v>
      </c>
      <c r="B30" t="s">
        <v>4084</v>
      </c>
    </row>
    <row r="31" spans="1:3" x14ac:dyDescent="0.25">
      <c r="A31" s="27">
        <v>45499</v>
      </c>
      <c r="B31" t="s">
        <v>4085</v>
      </c>
      <c r="C31" t="s">
        <v>4086</v>
      </c>
    </row>
    <row r="32" spans="1:3" x14ac:dyDescent="0.25">
      <c r="A32" s="27">
        <v>45499</v>
      </c>
      <c r="B32" t="s">
        <v>4087</v>
      </c>
      <c r="C32" t="s">
        <v>4088</v>
      </c>
    </row>
    <row r="33" spans="1:3" x14ac:dyDescent="0.25">
      <c r="A33" s="27">
        <v>45499</v>
      </c>
      <c r="B33" t="s">
        <v>4089</v>
      </c>
      <c r="C33" t="s">
        <v>4090</v>
      </c>
    </row>
    <row r="34" spans="1:3" x14ac:dyDescent="0.25">
      <c r="A34" s="27">
        <v>45499</v>
      </c>
      <c r="B34" t="s">
        <v>4091</v>
      </c>
      <c r="C34" t="s">
        <v>4092</v>
      </c>
    </row>
    <row r="35" spans="1:3" x14ac:dyDescent="0.25">
      <c r="A35" s="27">
        <v>45499</v>
      </c>
      <c r="B35" t="s">
        <v>4093</v>
      </c>
      <c r="C35" t="s">
        <v>4094</v>
      </c>
    </row>
    <row r="36" spans="1:3" x14ac:dyDescent="0.25">
      <c r="A36" s="27">
        <v>45499</v>
      </c>
      <c r="B36" t="s">
        <v>4095</v>
      </c>
      <c r="C36" t="s">
        <v>4096</v>
      </c>
    </row>
    <row r="37" spans="1:3" x14ac:dyDescent="0.25">
      <c r="A37" s="27">
        <v>45499</v>
      </c>
      <c r="B37" t="s">
        <v>4097</v>
      </c>
      <c r="C37" s="266" t="s">
        <v>4098</v>
      </c>
    </row>
    <row r="38" spans="1:3" x14ac:dyDescent="0.25">
      <c r="A38" s="27">
        <v>45499</v>
      </c>
      <c r="B38" t="s">
        <v>4099</v>
      </c>
      <c r="C38" t="s">
        <v>4100</v>
      </c>
    </row>
    <row r="39" spans="1:3" x14ac:dyDescent="0.25">
      <c r="A39" s="27">
        <v>45499</v>
      </c>
      <c r="B39" t="s">
        <v>4101</v>
      </c>
      <c r="C39" t="s">
        <v>4102</v>
      </c>
    </row>
    <row r="40" spans="1:3" x14ac:dyDescent="0.25">
      <c r="A40" s="27">
        <v>45499</v>
      </c>
      <c r="B40" t="s">
        <v>4103</v>
      </c>
      <c r="C40" t="s">
        <v>4104</v>
      </c>
    </row>
    <row r="41" spans="1:3" x14ac:dyDescent="0.25">
      <c r="A41" s="27">
        <v>45499</v>
      </c>
      <c r="B41" t="s">
        <v>4105</v>
      </c>
      <c r="C41" t="s">
        <v>4106</v>
      </c>
    </row>
    <row r="42" spans="1:3" x14ac:dyDescent="0.25">
      <c r="A42" s="27">
        <v>45499</v>
      </c>
      <c r="B42" t="s">
        <v>4107</v>
      </c>
      <c r="C42" t="s">
        <v>4108</v>
      </c>
    </row>
    <row r="43" spans="1:3" x14ac:dyDescent="0.25">
      <c r="A43" s="27">
        <v>45499</v>
      </c>
      <c r="B43" t="s">
        <v>4109</v>
      </c>
      <c r="C43" t="s">
        <v>4110</v>
      </c>
    </row>
    <row r="44" spans="1:3" x14ac:dyDescent="0.25">
      <c r="A44" s="27">
        <v>45499</v>
      </c>
      <c r="B44" t="s">
        <v>4111</v>
      </c>
      <c r="C44" t="s">
        <v>4112</v>
      </c>
    </row>
    <row r="45" spans="1:3" x14ac:dyDescent="0.25">
      <c r="A45" s="27">
        <v>45499</v>
      </c>
      <c r="B45" t="s">
        <v>4113</v>
      </c>
      <c r="C45" t="s">
        <v>4113</v>
      </c>
    </row>
    <row r="46" spans="1:3" x14ac:dyDescent="0.25">
      <c r="A46" s="27">
        <v>45499</v>
      </c>
      <c r="B46" t="s">
        <v>4114</v>
      </c>
      <c r="C46" t="s">
        <v>4115</v>
      </c>
    </row>
    <row r="47" spans="1:3" x14ac:dyDescent="0.25">
      <c r="A47" s="27">
        <v>45499</v>
      </c>
      <c r="B47" t="s">
        <v>4116</v>
      </c>
      <c r="C47" t="s">
        <v>4117</v>
      </c>
    </row>
    <row r="48" spans="1:3" x14ac:dyDescent="0.25">
      <c r="A48" s="27">
        <v>45499</v>
      </c>
      <c r="B48" t="s">
        <v>4118</v>
      </c>
      <c r="C48" t="s">
        <v>4119</v>
      </c>
    </row>
    <row r="49" spans="1:3" x14ac:dyDescent="0.25">
      <c r="A49" s="27">
        <v>45499</v>
      </c>
      <c r="B49" t="s">
        <v>4120</v>
      </c>
      <c r="C49" t="s">
        <v>4121</v>
      </c>
    </row>
    <row r="50" spans="1:3" x14ac:dyDescent="0.25">
      <c r="A50" s="27">
        <v>45499</v>
      </c>
      <c r="B50" t="s">
        <v>4122</v>
      </c>
      <c r="C50" t="s">
        <v>4122</v>
      </c>
    </row>
    <row r="51" spans="1:3" x14ac:dyDescent="0.25">
      <c r="A51" s="27">
        <v>45499</v>
      </c>
      <c r="B51" t="s">
        <v>4123</v>
      </c>
      <c r="C51" t="s">
        <v>4123</v>
      </c>
    </row>
    <row r="52" spans="1:3" x14ac:dyDescent="0.25">
      <c r="A52" s="27">
        <v>45499</v>
      </c>
      <c r="B52" t="s">
        <v>4124</v>
      </c>
      <c r="C52" t="s">
        <v>4124</v>
      </c>
    </row>
    <row r="53" spans="1:3" x14ac:dyDescent="0.25">
      <c r="A53" s="27">
        <v>45499</v>
      </c>
      <c r="B53" t="s">
        <v>4125</v>
      </c>
      <c r="C53" t="s">
        <v>4126</v>
      </c>
    </row>
    <row r="54" spans="1:3" x14ac:dyDescent="0.25">
      <c r="A54" s="27">
        <v>45499</v>
      </c>
      <c r="B54" t="s">
        <v>4127</v>
      </c>
      <c r="C54" t="s">
        <v>4128</v>
      </c>
    </row>
    <row r="55" spans="1:3" x14ac:dyDescent="0.25">
      <c r="A55" s="27">
        <v>45499</v>
      </c>
      <c r="B55" t="s">
        <v>4129</v>
      </c>
      <c r="C55" t="s">
        <v>4130</v>
      </c>
    </row>
    <row r="56" spans="1:3" x14ac:dyDescent="0.25">
      <c r="A56" s="27">
        <v>45499</v>
      </c>
      <c r="B56" t="s">
        <v>4131</v>
      </c>
      <c r="C56" t="s">
        <v>4132</v>
      </c>
    </row>
    <row r="57" spans="1:3" x14ac:dyDescent="0.25">
      <c r="A57" s="27">
        <v>45499</v>
      </c>
      <c r="B57" t="s">
        <v>4133</v>
      </c>
      <c r="C57" t="s">
        <v>4134</v>
      </c>
    </row>
    <row r="58" spans="1:3" x14ac:dyDescent="0.25">
      <c r="A58" s="27">
        <v>45499</v>
      </c>
      <c r="B58" t="s">
        <v>4135</v>
      </c>
      <c r="C58" t="s">
        <v>4136</v>
      </c>
    </row>
    <row r="59" spans="1:3" x14ac:dyDescent="0.25">
      <c r="A59" s="27">
        <v>45499</v>
      </c>
      <c r="B59" t="s">
        <v>4137</v>
      </c>
      <c r="C59" t="s">
        <v>4138</v>
      </c>
    </row>
    <row r="60" spans="1:3" x14ac:dyDescent="0.25">
      <c r="A60" s="27">
        <v>45499</v>
      </c>
      <c r="B60" t="s">
        <v>4139</v>
      </c>
      <c r="C60" t="s">
        <v>4140</v>
      </c>
    </row>
    <row r="61" spans="1:3" x14ac:dyDescent="0.25">
      <c r="A61" s="27">
        <v>45499</v>
      </c>
      <c r="B61" t="s">
        <v>4141</v>
      </c>
      <c r="C61" t="s">
        <v>4142</v>
      </c>
    </row>
    <row r="62" spans="1:3" x14ac:dyDescent="0.25">
      <c r="A62" s="27">
        <v>45499</v>
      </c>
      <c r="B62" t="s">
        <v>4143</v>
      </c>
      <c r="C62" t="s">
        <v>4144</v>
      </c>
    </row>
    <row r="63" spans="1:3" x14ac:dyDescent="0.25">
      <c r="A63" s="27">
        <v>45499</v>
      </c>
      <c r="B63" t="s">
        <v>4145</v>
      </c>
      <c r="C63" t="s">
        <v>4146</v>
      </c>
    </row>
    <row r="64" spans="1:3" x14ac:dyDescent="0.25">
      <c r="A64" s="27">
        <v>45499</v>
      </c>
      <c r="B64" s="269" t="s">
        <v>4147</v>
      </c>
      <c r="C64" s="269" t="s">
        <v>4147</v>
      </c>
    </row>
    <row r="65" spans="1:3" x14ac:dyDescent="0.25">
      <c r="A65" s="27">
        <v>45499</v>
      </c>
      <c r="B65" t="s">
        <v>4148</v>
      </c>
      <c r="C65" t="s">
        <v>4149</v>
      </c>
    </row>
    <row r="66" spans="1:3" x14ac:dyDescent="0.25">
      <c r="A66" s="27">
        <v>45499</v>
      </c>
      <c r="B66" t="s">
        <v>4150</v>
      </c>
      <c r="C66" t="s">
        <v>4151</v>
      </c>
    </row>
    <row r="67" spans="1:3" x14ac:dyDescent="0.25">
      <c r="A67" s="27">
        <v>45499</v>
      </c>
      <c r="B67" t="s">
        <v>4152</v>
      </c>
      <c r="C67" t="s">
        <v>4152</v>
      </c>
    </row>
    <row r="68" spans="1:3" x14ac:dyDescent="0.25">
      <c r="A68" s="27">
        <v>45499</v>
      </c>
      <c r="B68" t="s">
        <v>4153</v>
      </c>
      <c r="C68" t="s">
        <v>4154</v>
      </c>
    </row>
    <row r="69" spans="1:3" x14ac:dyDescent="0.25">
      <c r="A69" s="27">
        <v>45499</v>
      </c>
      <c r="B69" t="s">
        <v>4155</v>
      </c>
      <c r="C69" t="s">
        <v>4156</v>
      </c>
    </row>
    <row r="70" spans="1:3" x14ac:dyDescent="0.25">
      <c r="A70" s="27">
        <v>45499</v>
      </c>
      <c r="B70" t="s">
        <v>4157</v>
      </c>
      <c r="C70" t="s">
        <v>4158</v>
      </c>
    </row>
    <row r="71" spans="1:3" x14ac:dyDescent="0.25">
      <c r="A71" s="27">
        <v>45499</v>
      </c>
      <c r="B71" t="s">
        <v>4159</v>
      </c>
      <c r="C71" t="s">
        <v>4160</v>
      </c>
    </row>
    <row r="72" spans="1:3" x14ac:dyDescent="0.25">
      <c r="A72" s="27">
        <v>45499</v>
      </c>
      <c r="B72" t="s">
        <v>4161</v>
      </c>
      <c r="C72" t="s">
        <v>4162</v>
      </c>
    </row>
    <row r="73" spans="1:3" x14ac:dyDescent="0.25">
      <c r="A73" s="27">
        <v>45499</v>
      </c>
      <c r="B73" t="s">
        <v>4163</v>
      </c>
      <c r="C73" t="s">
        <v>4164</v>
      </c>
    </row>
    <row r="74" spans="1:3" x14ac:dyDescent="0.25">
      <c r="A74" s="27">
        <v>45499</v>
      </c>
      <c r="B74" t="s">
        <v>4165</v>
      </c>
      <c r="C74" t="s">
        <v>4165</v>
      </c>
    </row>
    <row r="75" spans="1:3" x14ac:dyDescent="0.25">
      <c r="A75" s="27">
        <v>45499</v>
      </c>
      <c r="B75" t="s">
        <v>4166</v>
      </c>
      <c r="C75" t="s">
        <v>4167</v>
      </c>
    </row>
    <row r="76" spans="1:3" x14ac:dyDescent="0.25">
      <c r="A76" s="27">
        <v>45499</v>
      </c>
      <c r="B76" t="s">
        <v>4168</v>
      </c>
      <c r="C76" t="s">
        <v>4169</v>
      </c>
    </row>
    <row r="77" spans="1:3" x14ac:dyDescent="0.25">
      <c r="A77" s="27">
        <v>45499</v>
      </c>
      <c r="B77" t="s">
        <v>4170</v>
      </c>
      <c r="C77" t="s">
        <v>4171</v>
      </c>
    </row>
    <row r="78" spans="1:3" x14ac:dyDescent="0.25">
      <c r="A78" s="27">
        <v>45499</v>
      </c>
      <c r="B78" t="s">
        <v>4172</v>
      </c>
      <c r="C78" t="s">
        <v>4173</v>
      </c>
    </row>
    <row r="79" spans="1:3" x14ac:dyDescent="0.25">
      <c r="A79" s="27">
        <v>45499</v>
      </c>
      <c r="B79" t="s">
        <v>4174</v>
      </c>
      <c r="C79" t="s">
        <v>4175</v>
      </c>
    </row>
    <row r="80" spans="1:3" x14ac:dyDescent="0.25">
      <c r="A80" s="27">
        <v>45499</v>
      </c>
      <c r="B80" t="s">
        <v>4176</v>
      </c>
    </row>
    <row r="81" spans="1:3" x14ac:dyDescent="0.25">
      <c r="A81" s="27">
        <v>45499</v>
      </c>
      <c r="B81" t="s">
        <v>4177</v>
      </c>
      <c r="C81" t="s">
        <v>4177</v>
      </c>
    </row>
    <row r="82" spans="1:3" x14ac:dyDescent="0.25">
      <c r="A82" s="27">
        <v>45499</v>
      </c>
      <c r="B82" t="s">
        <v>4178</v>
      </c>
      <c r="C82" t="s">
        <v>4178</v>
      </c>
    </row>
    <row r="83" spans="1:3" x14ac:dyDescent="0.25">
      <c r="A83" s="27">
        <v>45499</v>
      </c>
      <c r="B83" t="s">
        <v>4179</v>
      </c>
      <c r="C83" t="s">
        <v>4179</v>
      </c>
    </row>
    <row r="84" spans="1:3" x14ac:dyDescent="0.25">
      <c r="A84" s="27">
        <v>45499</v>
      </c>
      <c r="B84" t="s">
        <v>4180</v>
      </c>
      <c r="C84" t="s">
        <v>4181</v>
      </c>
    </row>
    <row r="85" spans="1:3" x14ac:dyDescent="0.25">
      <c r="A85" s="27">
        <v>45499</v>
      </c>
      <c r="B85" t="s">
        <v>4182</v>
      </c>
      <c r="C85" t="s">
        <v>4183</v>
      </c>
    </row>
    <row r="86" spans="1:3" x14ac:dyDescent="0.25">
      <c r="A86" s="27">
        <v>45499</v>
      </c>
      <c r="B86" t="s">
        <v>4184</v>
      </c>
      <c r="C86" t="s">
        <v>4184</v>
      </c>
    </row>
    <row r="87" spans="1:3" x14ac:dyDescent="0.25">
      <c r="A87" s="27">
        <v>45499</v>
      </c>
      <c r="B87" t="s">
        <v>4185</v>
      </c>
      <c r="C87" t="s">
        <v>4185</v>
      </c>
    </row>
    <row r="88" spans="1:3" x14ac:dyDescent="0.25">
      <c r="A88" s="27">
        <v>45499</v>
      </c>
      <c r="B88" t="s">
        <v>4186</v>
      </c>
      <c r="C88" t="s">
        <v>4187</v>
      </c>
    </row>
    <row r="89" spans="1:3" x14ac:dyDescent="0.25">
      <c r="A89" s="27">
        <v>45499</v>
      </c>
      <c r="B89" t="s">
        <v>4188</v>
      </c>
      <c r="C89" t="s">
        <v>4189</v>
      </c>
    </row>
    <row r="90" spans="1:3" x14ac:dyDescent="0.25">
      <c r="A90" s="27">
        <v>45499</v>
      </c>
      <c r="B90" t="s">
        <v>4190</v>
      </c>
      <c r="C90" t="s">
        <v>4191</v>
      </c>
    </row>
    <row r="91" spans="1:3" x14ac:dyDescent="0.25">
      <c r="A91" s="27">
        <v>45499</v>
      </c>
      <c r="B91" t="s">
        <v>4192</v>
      </c>
      <c r="C91" t="s">
        <v>4193</v>
      </c>
    </row>
    <row r="92" spans="1:3" x14ac:dyDescent="0.25">
      <c r="A92" s="27">
        <v>45499</v>
      </c>
      <c r="B92" t="s">
        <v>4194</v>
      </c>
      <c r="C92" t="s">
        <v>4195</v>
      </c>
    </row>
    <row r="93" spans="1:3" x14ac:dyDescent="0.25">
      <c r="A93" s="27">
        <v>45499</v>
      </c>
      <c r="B93" t="s">
        <v>4196</v>
      </c>
      <c r="C93" t="s">
        <v>4197</v>
      </c>
    </row>
    <row r="94" spans="1:3" x14ac:dyDescent="0.25">
      <c r="A94" s="27">
        <v>45499</v>
      </c>
      <c r="B94" t="s">
        <v>4198</v>
      </c>
      <c r="C94" t="s">
        <v>4199</v>
      </c>
    </row>
    <row r="95" spans="1:3" x14ac:dyDescent="0.25">
      <c r="A95" s="27">
        <v>45499</v>
      </c>
      <c r="B95" t="s">
        <v>4200</v>
      </c>
      <c r="C95" t="s">
        <v>4201</v>
      </c>
    </row>
    <row r="96" spans="1:3" x14ac:dyDescent="0.25">
      <c r="A96" s="27">
        <v>45499</v>
      </c>
      <c r="B96" t="s">
        <v>4202</v>
      </c>
      <c r="C96" t="s">
        <v>4203</v>
      </c>
    </row>
    <row r="97" spans="1:3" x14ac:dyDescent="0.25">
      <c r="A97" s="27">
        <v>45499</v>
      </c>
      <c r="B97" t="s">
        <v>4204</v>
      </c>
      <c r="C97" t="s">
        <v>4204</v>
      </c>
    </row>
    <row r="98" spans="1:3" x14ac:dyDescent="0.25">
      <c r="A98" s="27">
        <v>45499</v>
      </c>
      <c r="B98" t="s">
        <v>4205</v>
      </c>
      <c r="C98" t="s">
        <v>4205</v>
      </c>
    </row>
    <row r="99" spans="1:3" x14ac:dyDescent="0.25">
      <c r="A99" s="27">
        <v>45499</v>
      </c>
      <c r="B99" t="s">
        <v>4206</v>
      </c>
      <c r="C99" t="s">
        <v>4207</v>
      </c>
    </row>
    <row r="100" spans="1:3" x14ac:dyDescent="0.25">
      <c r="A100" s="27">
        <v>45499</v>
      </c>
      <c r="B100" t="s">
        <v>4208</v>
      </c>
      <c r="C100" t="s">
        <v>4209</v>
      </c>
    </row>
    <row r="101" spans="1:3" x14ac:dyDescent="0.25">
      <c r="A101" s="27">
        <v>45499</v>
      </c>
      <c r="B101" t="s">
        <v>4210</v>
      </c>
      <c r="C101" t="s">
        <v>4210</v>
      </c>
    </row>
    <row r="102" spans="1:3" x14ac:dyDescent="0.25">
      <c r="A102" s="27">
        <v>45499</v>
      </c>
      <c r="B102" t="s">
        <v>4211</v>
      </c>
      <c r="C102" t="s">
        <v>4212</v>
      </c>
    </row>
    <row r="103" spans="1:3" x14ac:dyDescent="0.25">
      <c r="A103" s="27">
        <v>45499</v>
      </c>
      <c r="B103" t="s">
        <v>4213</v>
      </c>
      <c r="C103" t="s">
        <v>4214</v>
      </c>
    </row>
    <row r="104" spans="1:3" x14ac:dyDescent="0.25">
      <c r="A104" s="27">
        <v>45499</v>
      </c>
      <c r="B104" t="s">
        <v>4215</v>
      </c>
      <c r="C104" t="s">
        <v>4216</v>
      </c>
    </row>
    <row r="105" spans="1:3" x14ac:dyDescent="0.25">
      <c r="A105" s="27">
        <v>45499</v>
      </c>
      <c r="B105" t="s">
        <v>4217</v>
      </c>
      <c r="C105" t="s">
        <v>4217</v>
      </c>
    </row>
    <row r="106" spans="1:3" x14ac:dyDescent="0.25">
      <c r="A106" s="27">
        <v>45499</v>
      </c>
      <c r="B106" t="s">
        <v>4218</v>
      </c>
      <c r="C106" t="s">
        <v>4219</v>
      </c>
    </row>
    <row r="107" spans="1:3" x14ac:dyDescent="0.25">
      <c r="A107" s="27">
        <v>45499</v>
      </c>
      <c r="B107" t="s">
        <v>4220</v>
      </c>
      <c r="C107" t="s">
        <v>4221</v>
      </c>
    </row>
    <row r="108" spans="1:3" x14ac:dyDescent="0.25">
      <c r="A108" s="27">
        <v>45499</v>
      </c>
      <c r="B108" t="s">
        <v>4222</v>
      </c>
      <c r="C108" t="s">
        <v>4223</v>
      </c>
    </row>
    <row r="109" spans="1:3" x14ac:dyDescent="0.25">
      <c r="A109" s="27">
        <v>45499</v>
      </c>
      <c r="B109" t="s">
        <v>4224</v>
      </c>
      <c r="C109" t="s">
        <v>4225</v>
      </c>
    </row>
    <row r="110" spans="1:3" x14ac:dyDescent="0.25">
      <c r="A110" s="27">
        <v>45499</v>
      </c>
      <c r="B110" t="s">
        <v>4226</v>
      </c>
      <c r="C110" t="s">
        <v>4227</v>
      </c>
    </row>
    <row r="111" spans="1:3" x14ac:dyDescent="0.25">
      <c r="A111" s="27">
        <v>45499</v>
      </c>
      <c r="B111" t="s">
        <v>4228</v>
      </c>
      <c r="C111" t="s">
        <v>4229</v>
      </c>
    </row>
    <row r="112" spans="1:3" x14ac:dyDescent="0.25">
      <c r="A112" s="27">
        <v>45499</v>
      </c>
      <c r="B112" t="s">
        <v>4230</v>
      </c>
      <c r="C112" t="s">
        <v>4231</v>
      </c>
    </row>
    <row r="113" spans="1:3" x14ac:dyDescent="0.25">
      <c r="A113" s="27">
        <v>45499</v>
      </c>
      <c r="B113" t="s">
        <v>4232</v>
      </c>
      <c r="C113" t="s">
        <v>4233</v>
      </c>
    </row>
    <row r="114" spans="1:3" x14ac:dyDescent="0.25">
      <c r="A114" s="27">
        <v>45499</v>
      </c>
      <c r="B114" t="s">
        <v>4234</v>
      </c>
      <c r="C114" t="s">
        <v>4235</v>
      </c>
    </row>
    <row r="115" spans="1:3" x14ac:dyDescent="0.25">
      <c r="A115" s="27">
        <v>45499</v>
      </c>
      <c r="B115" t="s">
        <v>4236</v>
      </c>
      <c r="C115" t="s">
        <v>4237</v>
      </c>
    </row>
    <row r="116" spans="1:3" x14ac:dyDescent="0.25">
      <c r="A116" s="27">
        <v>45499</v>
      </c>
      <c r="B116" t="s">
        <v>4238</v>
      </c>
      <c r="C116" t="s">
        <v>4239</v>
      </c>
    </row>
    <row r="117" spans="1:3" x14ac:dyDescent="0.25">
      <c r="A117" s="27">
        <v>45499</v>
      </c>
      <c r="B117" t="s">
        <v>4240</v>
      </c>
      <c r="C117" t="s">
        <v>4241</v>
      </c>
    </row>
    <row r="118" spans="1:3" x14ac:dyDescent="0.25">
      <c r="A118" s="27">
        <v>45499</v>
      </c>
      <c r="B118" t="s">
        <v>4242</v>
      </c>
      <c r="C118" t="s">
        <v>4243</v>
      </c>
    </row>
    <row r="119" spans="1:3" x14ac:dyDescent="0.25">
      <c r="A119" s="27">
        <v>45499</v>
      </c>
      <c r="B119" t="s">
        <v>4244</v>
      </c>
      <c r="C119" t="s">
        <v>4245</v>
      </c>
    </row>
    <row r="120" spans="1:3" x14ac:dyDescent="0.25">
      <c r="A120" s="27">
        <v>45499</v>
      </c>
      <c r="B120" t="s">
        <v>4246</v>
      </c>
      <c r="C120" t="s">
        <v>4247</v>
      </c>
    </row>
    <row r="121" spans="1:3" x14ac:dyDescent="0.25">
      <c r="A121" s="27">
        <v>45499</v>
      </c>
      <c r="B121" t="s">
        <v>4248</v>
      </c>
      <c r="C121" t="s">
        <v>4248</v>
      </c>
    </row>
    <row r="122" spans="1:3" x14ac:dyDescent="0.25">
      <c r="A122" s="27">
        <v>45499</v>
      </c>
      <c r="B122" t="s">
        <v>4249</v>
      </c>
      <c r="C122" t="s">
        <v>4249</v>
      </c>
    </row>
    <row r="123" spans="1:3" x14ac:dyDescent="0.25">
      <c r="A123" s="27">
        <v>45499</v>
      </c>
      <c r="B123" t="s">
        <v>4250</v>
      </c>
      <c r="C123" t="s">
        <v>4251</v>
      </c>
    </row>
    <row r="124" spans="1:3" x14ac:dyDescent="0.25">
      <c r="A124" s="27">
        <v>45499</v>
      </c>
      <c r="B124" t="s">
        <v>4252</v>
      </c>
      <c r="C124" t="s">
        <v>4253</v>
      </c>
    </row>
    <row r="125" spans="1:3" x14ac:dyDescent="0.25">
      <c r="A125" s="27">
        <v>45499</v>
      </c>
      <c r="B125" t="s">
        <v>4254</v>
      </c>
      <c r="C125" t="s">
        <v>4255</v>
      </c>
    </row>
    <row r="126" spans="1:3" x14ac:dyDescent="0.25">
      <c r="A126" s="27">
        <v>45499</v>
      </c>
      <c r="B126" t="s">
        <v>4256</v>
      </c>
      <c r="C126" t="s">
        <v>4256</v>
      </c>
    </row>
    <row r="127" spans="1:3" x14ac:dyDescent="0.25">
      <c r="A127" s="27">
        <v>45499</v>
      </c>
      <c r="B127" t="s">
        <v>4257</v>
      </c>
      <c r="C127" t="s">
        <v>4258</v>
      </c>
    </row>
    <row r="128" spans="1:3" x14ac:dyDescent="0.25">
      <c r="A128" s="27">
        <v>45499</v>
      </c>
      <c r="B128" t="s">
        <v>4259</v>
      </c>
      <c r="C128" t="s">
        <v>4260</v>
      </c>
    </row>
    <row r="129" spans="1:3" x14ac:dyDescent="0.25">
      <c r="A129" s="27">
        <v>45499</v>
      </c>
      <c r="B129" t="s">
        <v>4261</v>
      </c>
      <c r="C129" t="s">
        <v>4261</v>
      </c>
    </row>
    <row r="130" spans="1:3" x14ac:dyDescent="0.25">
      <c r="A130" s="27">
        <v>45499</v>
      </c>
      <c r="B130" t="s">
        <v>4262</v>
      </c>
      <c r="C130" t="s">
        <v>4263</v>
      </c>
    </row>
    <row r="131" spans="1:3" x14ac:dyDescent="0.25">
      <c r="A131" s="27">
        <v>45499</v>
      </c>
      <c r="B131" t="s">
        <v>4264</v>
      </c>
      <c r="C131" t="s">
        <v>4265</v>
      </c>
    </row>
    <row r="132" spans="1:3" x14ac:dyDescent="0.25">
      <c r="A132" s="27">
        <v>45499</v>
      </c>
      <c r="B132" t="s">
        <v>4266</v>
      </c>
      <c r="C132" t="s">
        <v>4267</v>
      </c>
    </row>
    <row r="133" spans="1:3" x14ac:dyDescent="0.25">
      <c r="A133" s="27">
        <v>45499</v>
      </c>
      <c r="B133" t="s">
        <v>4268</v>
      </c>
      <c r="C133" t="s">
        <v>4269</v>
      </c>
    </row>
    <row r="134" spans="1:3" x14ac:dyDescent="0.25">
      <c r="A134" s="27">
        <v>45499</v>
      </c>
      <c r="B134" t="s">
        <v>4270</v>
      </c>
      <c r="C134" t="s">
        <v>4271</v>
      </c>
    </row>
    <row r="135" spans="1:3" x14ac:dyDescent="0.25">
      <c r="A135" s="27">
        <v>45499</v>
      </c>
      <c r="B135" t="s">
        <v>4272</v>
      </c>
      <c r="C135" t="s">
        <v>4273</v>
      </c>
    </row>
    <row r="136" spans="1:3" x14ac:dyDescent="0.25">
      <c r="A136" s="27">
        <v>45499</v>
      </c>
      <c r="B136" t="s">
        <v>4274</v>
      </c>
      <c r="C136" t="s">
        <v>4274</v>
      </c>
    </row>
    <row r="137" spans="1:3" x14ac:dyDescent="0.25">
      <c r="A137" s="27">
        <v>45499</v>
      </c>
      <c r="B137" t="s">
        <v>4275</v>
      </c>
      <c r="C137" t="s">
        <v>4276</v>
      </c>
    </row>
    <row r="138" spans="1:3" x14ac:dyDescent="0.25">
      <c r="A138" s="27">
        <v>45499</v>
      </c>
      <c r="B138" t="s">
        <v>4277</v>
      </c>
      <c r="C138" t="s">
        <v>4278</v>
      </c>
    </row>
    <row r="139" spans="1:3" x14ac:dyDescent="0.25">
      <c r="A139" s="27">
        <v>45499</v>
      </c>
      <c r="B139" t="s">
        <v>4279</v>
      </c>
      <c r="C139" t="s">
        <v>4280</v>
      </c>
    </row>
    <row r="140" spans="1:3" x14ac:dyDescent="0.25">
      <c r="A140" s="27">
        <v>45499</v>
      </c>
      <c r="B140" t="s">
        <v>4281</v>
      </c>
      <c r="C140" t="s">
        <v>4281</v>
      </c>
    </row>
    <row r="141" spans="1:3" x14ac:dyDescent="0.25">
      <c r="A141" s="27">
        <v>45499</v>
      </c>
      <c r="B141" t="s">
        <v>4282</v>
      </c>
      <c r="C141" t="s">
        <v>4282</v>
      </c>
    </row>
    <row r="142" spans="1:3" x14ac:dyDescent="0.25">
      <c r="A142" s="27">
        <v>45499</v>
      </c>
      <c r="B142" t="s">
        <v>4283</v>
      </c>
      <c r="C142" t="s">
        <v>4283</v>
      </c>
    </row>
    <row r="143" spans="1:3" x14ac:dyDescent="0.25">
      <c r="A143" s="27">
        <v>45499</v>
      </c>
      <c r="B143" t="s">
        <v>4284</v>
      </c>
      <c r="C143" t="s">
        <v>4285</v>
      </c>
    </row>
    <row r="144" spans="1:3" x14ac:dyDescent="0.25">
      <c r="A144" s="27">
        <v>45499</v>
      </c>
      <c r="B144" t="s">
        <v>4286</v>
      </c>
      <c r="C144" t="s">
        <v>4287</v>
      </c>
    </row>
    <row r="145" spans="1:3" x14ac:dyDescent="0.25">
      <c r="A145" s="27">
        <v>45499</v>
      </c>
      <c r="B145" t="s">
        <v>4288</v>
      </c>
      <c r="C145" t="s">
        <v>4289</v>
      </c>
    </row>
    <row r="146" spans="1:3" x14ac:dyDescent="0.25">
      <c r="A146" s="27">
        <v>45499</v>
      </c>
      <c r="B146" t="s">
        <v>4290</v>
      </c>
      <c r="C146" t="s">
        <v>4291</v>
      </c>
    </row>
    <row r="147" spans="1:3" x14ac:dyDescent="0.25">
      <c r="A147" s="27">
        <v>45499</v>
      </c>
      <c r="B147" t="s">
        <v>4292</v>
      </c>
      <c r="C147" t="s">
        <v>4293</v>
      </c>
    </row>
    <row r="148" spans="1:3" x14ac:dyDescent="0.25">
      <c r="A148" s="27">
        <v>45499</v>
      </c>
      <c r="B148" t="s">
        <v>4294</v>
      </c>
      <c r="C148" t="s">
        <v>4294</v>
      </c>
    </row>
    <row r="149" spans="1:3" x14ac:dyDescent="0.25">
      <c r="A149" s="27">
        <v>45499</v>
      </c>
      <c r="B149" t="s">
        <v>4295</v>
      </c>
      <c r="C149" t="s">
        <v>4296</v>
      </c>
    </row>
    <row r="150" spans="1:3" x14ac:dyDescent="0.25">
      <c r="A150" s="27">
        <v>45499</v>
      </c>
      <c r="B150" t="s">
        <v>4297</v>
      </c>
      <c r="C150" t="s">
        <v>4298</v>
      </c>
    </row>
    <row r="151" spans="1:3" x14ac:dyDescent="0.25">
      <c r="A151" s="27">
        <v>45499</v>
      </c>
      <c r="B151" t="s">
        <v>4299</v>
      </c>
      <c r="C151" t="s">
        <v>4300</v>
      </c>
    </row>
    <row r="152" spans="1:3" x14ac:dyDescent="0.25">
      <c r="A152" s="27">
        <v>45499</v>
      </c>
      <c r="B152" t="s">
        <v>4301</v>
      </c>
      <c r="C152" t="s">
        <v>4302</v>
      </c>
    </row>
    <row r="153" spans="1:3" x14ac:dyDescent="0.25">
      <c r="A153" s="27">
        <v>45499</v>
      </c>
      <c r="B153" t="s">
        <v>4303</v>
      </c>
      <c r="C153" t="s">
        <v>4304</v>
      </c>
    </row>
    <row r="154" spans="1:3" x14ac:dyDescent="0.25">
      <c r="A154" s="27">
        <v>45499</v>
      </c>
      <c r="B154" t="s">
        <v>4305</v>
      </c>
      <c r="C154" t="s">
        <v>4306</v>
      </c>
    </row>
    <row r="155" spans="1:3" x14ac:dyDescent="0.25">
      <c r="A155" s="27">
        <v>45499</v>
      </c>
      <c r="B155" t="s">
        <v>4307</v>
      </c>
      <c r="C155" t="s">
        <v>4308</v>
      </c>
    </row>
    <row r="156" spans="1:3" x14ac:dyDescent="0.25">
      <c r="A156" s="27">
        <v>45499</v>
      </c>
      <c r="B156" t="s">
        <v>4309</v>
      </c>
      <c r="C156" t="s">
        <v>4310</v>
      </c>
    </row>
    <row r="157" spans="1:3" x14ac:dyDescent="0.25">
      <c r="A157" s="27">
        <v>45499</v>
      </c>
      <c r="B157" t="s">
        <v>4311</v>
      </c>
      <c r="C157" t="s">
        <v>4312</v>
      </c>
    </row>
    <row r="158" spans="1:3" x14ac:dyDescent="0.25">
      <c r="A158" s="27">
        <v>45499</v>
      </c>
      <c r="B158" t="s">
        <v>4313</v>
      </c>
      <c r="C158" t="s">
        <v>4313</v>
      </c>
    </row>
    <row r="159" spans="1:3" x14ac:dyDescent="0.25">
      <c r="A159" s="27">
        <v>45499</v>
      </c>
      <c r="B159" t="s">
        <v>4314</v>
      </c>
      <c r="C159" t="s">
        <v>4315</v>
      </c>
    </row>
    <row r="160" spans="1:3" x14ac:dyDescent="0.25">
      <c r="A160" s="27">
        <v>45499</v>
      </c>
      <c r="B160" t="s">
        <v>4316</v>
      </c>
      <c r="C160" t="s">
        <v>4317</v>
      </c>
    </row>
    <row r="161" spans="1:3" x14ac:dyDescent="0.25">
      <c r="A161" s="27">
        <v>45499</v>
      </c>
      <c r="B161" t="s">
        <v>4318</v>
      </c>
      <c r="C161" t="s">
        <v>4319</v>
      </c>
    </row>
    <row r="162" spans="1:3" x14ac:dyDescent="0.25">
      <c r="A162" s="27">
        <v>45499</v>
      </c>
      <c r="B162" t="s">
        <v>4320</v>
      </c>
      <c r="C162" t="s">
        <v>4320</v>
      </c>
    </row>
    <row r="163" spans="1:3" x14ac:dyDescent="0.25">
      <c r="A163" s="27">
        <v>45499</v>
      </c>
      <c r="B163" t="s">
        <v>4316</v>
      </c>
      <c r="C163" t="s">
        <v>4321</v>
      </c>
    </row>
    <row r="164" spans="1:3" x14ac:dyDescent="0.25">
      <c r="A164" s="27">
        <v>45499</v>
      </c>
      <c r="B164" t="s">
        <v>4322</v>
      </c>
      <c r="C164" t="s">
        <v>4323</v>
      </c>
    </row>
    <row r="165" spans="1:3" x14ac:dyDescent="0.25">
      <c r="A165" s="27">
        <v>45499</v>
      </c>
      <c r="B165" t="s">
        <v>4324</v>
      </c>
      <c r="C165" t="s">
        <v>4325</v>
      </c>
    </row>
    <row r="166" spans="1:3" x14ac:dyDescent="0.25">
      <c r="A166" s="27">
        <v>45499</v>
      </c>
      <c r="B166" t="s">
        <v>4326</v>
      </c>
      <c r="C166" t="s">
        <v>4326</v>
      </c>
    </row>
    <row r="167" spans="1:3" x14ac:dyDescent="0.25">
      <c r="A167" s="27">
        <v>45499</v>
      </c>
      <c r="B167" t="s">
        <v>4327</v>
      </c>
      <c r="C167" t="s">
        <v>4327</v>
      </c>
    </row>
    <row r="168" spans="1:3" x14ac:dyDescent="0.25">
      <c r="A168" s="27">
        <v>45499</v>
      </c>
      <c r="B168" t="s">
        <v>4328</v>
      </c>
      <c r="C168" t="s">
        <v>4329</v>
      </c>
    </row>
    <row r="169" spans="1:3" x14ac:dyDescent="0.25">
      <c r="A169" s="27">
        <v>45499</v>
      </c>
      <c r="B169" t="s">
        <v>4330</v>
      </c>
      <c r="C169" t="s">
        <v>4331</v>
      </c>
    </row>
    <row r="170" spans="1:3" x14ac:dyDescent="0.25">
      <c r="A170" s="27">
        <v>45499</v>
      </c>
      <c r="B170" t="s">
        <v>4332</v>
      </c>
      <c r="C170" t="s">
        <v>4332</v>
      </c>
    </row>
    <row r="171" spans="1:3" x14ac:dyDescent="0.25">
      <c r="A171" s="27">
        <v>45499</v>
      </c>
      <c r="B171" t="s">
        <v>4333</v>
      </c>
      <c r="C171" t="s">
        <v>4333</v>
      </c>
    </row>
    <row r="172" spans="1:3" x14ac:dyDescent="0.25">
      <c r="A172" s="27">
        <v>45499</v>
      </c>
      <c r="B172" t="s">
        <v>111</v>
      </c>
      <c r="C172" t="s">
        <v>111</v>
      </c>
    </row>
    <row r="173" spans="1:3" x14ac:dyDescent="0.25">
      <c r="A173" s="27">
        <v>45499</v>
      </c>
      <c r="B173" t="s">
        <v>4334</v>
      </c>
      <c r="C173" t="s">
        <v>4335</v>
      </c>
    </row>
    <row r="174" spans="1:3" x14ac:dyDescent="0.25">
      <c r="A174" s="27">
        <v>45499</v>
      </c>
      <c r="B174" t="s">
        <v>4336</v>
      </c>
      <c r="C174" t="s">
        <v>4337</v>
      </c>
    </row>
    <row r="175" spans="1:3" x14ac:dyDescent="0.25">
      <c r="A175" s="27">
        <v>45499</v>
      </c>
      <c r="B175" t="s">
        <v>4338</v>
      </c>
      <c r="C175" t="s">
        <v>4339</v>
      </c>
    </row>
    <row r="176" spans="1:3" x14ac:dyDescent="0.25">
      <c r="A176" s="27">
        <v>45499</v>
      </c>
      <c r="B176" t="s">
        <v>4340</v>
      </c>
      <c r="C176" t="s">
        <v>4340</v>
      </c>
    </row>
    <row r="177" spans="1:3" x14ac:dyDescent="0.25">
      <c r="A177" s="27">
        <v>45499</v>
      </c>
      <c r="B177" t="s">
        <v>4341</v>
      </c>
      <c r="C177" t="s">
        <v>4341</v>
      </c>
    </row>
    <row r="178" spans="1:3" x14ac:dyDescent="0.25">
      <c r="A178" s="27">
        <v>45499</v>
      </c>
      <c r="B178" t="s">
        <v>4342</v>
      </c>
      <c r="C178" t="s">
        <v>4343</v>
      </c>
    </row>
    <row r="179" spans="1:3" x14ac:dyDescent="0.25">
      <c r="A179" s="27">
        <v>45499</v>
      </c>
      <c r="B179" t="s">
        <v>4344</v>
      </c>
      <c r="C179" t="s">
        <v>4345</v>
      </c>
    </row>
    <row r="180" spans="1:3" x14ac:dyDescent="0.25">
      <c r="A180" s="27">
        <v>45499</v>
      </c>
      <c r="B180" t="s">
        <v>4346</v>
      </c>
      <c r="C180" t="s">
        <v>4347</v>
      </c>
    </row>
    <row r="181" spans="1:3" x14ac:dyDescent="0.25">
      <c r="A181" s="27">
        <v>45499</v>
      </c>
      <c r="B181" t="s">
        <v>4348</v>
      </c>
      <c r="C181" t="s">
        <v>4348</v>
      </c>
    </row>
    <row r="182" spans="1:3" x14ac:dyDescent="0.25">
      <c r="A182" s="27">
        <v>45499</v>
      </c>
      <c r="B182" t="s">
        <v>4349</v>
      </c>
      <c r="C182" t="s">
        <v>4350</v>
      </c>
    </row>
    <row r="183" spans="1:3" x14ac:dyDescent="0.25">
      <c r="A183" s="27">
        <v>45499</v>
      </c>
      <c r="B183" t="s">
        <v>4351</v>
      </c>
      <c r="C183" t="s">
        <v>4350</v>
      </c>
    </row>
    <row r="184" spans="1:3" x14ac:dyDescent="0.25">
      <c r="A184" s="27">
        <v>45499</v>
      </c>
      <c r="B184" t="s">
        <v>4352</v>
      </c>
      <c r="C184" t="s">
        <v>4352</v>
      </c>
    </row>
    <row r="185" spans="1:3" x14ac:dyDescent="0.25">
      <c r="A185" s="27">
        <v>45499</v>
      </c>
      <c r="B185" t="s">
        <v>4353</v>
      </c>
      <c r="C185" t="s">
        <v>4354</v>
      </c>
    </row>
    <row r="186" spans="1:3" x14ac:dyDescent="0.25">
      <c r="A186" s="27">
        <v>45499</v>
      </c>
      <c r="B186" t="s">
        <v>4355</v>
      </c>
      <c r="C186" t="s">
        <v>4356</v>
      </c>
    </row>
    <row r="187" spans="1:3" x14ac:dyDescent="0.25">
      <c r="A187" s="27">
        <v>45499</v>
      </c>
      <c r="B187" t="s">
        <v>4357</v>
      </c>
      <c r="C187" t="s">
        <v>4357</v>
      </c>
    </row>
    <row r="188" spans="1:3" x14ac:dyDescent="0.25">
      <c r="A188" s="27">
        <v>45499</v>
      </c>
      <c r="B188" t="s">
        <v>4358</v>
      </c>
      <c r="C188" t="s">
        <v>4359</v>
      </c>
    </row>
    <row r="189" spans="1:3" x14ac:dyDescent="0.25">
      <c r="A189" s="27">
        <v>45499</v>
      </c>
      <c r="B189" t="s">
        <v>4360</v>
      </c>
      <c r="C189" t="s">
        <v>4361</v>
      </c>
    </row>
    <row r="190" spans="1:3" x14ac:dyDescent="0.25">
      <c r="A190" s="27">
        <v>45499</v>
      </c>
      <c r="B190" t="s">
        <v>4362</v>
      </c>
      <c r="C190" t="s">
        <v>4363</v>
      </c>
    </row>
    <row r="191" spans="1:3" x14ac:dyDescent="0.25">
      <c r="A191" s="27">
        <v>45499</v>
      </c>
      <c r="B191" t="s">
        <v>4364</v>
      </c>
      <c r="C191" t="s">
        <v>4365</v>
      </c>
    </row>
    <row r="192" spans="1:3" x14ac:dyDescent="0.25">
      <c r="A192" s="27">
        <v>45499</v>
      </c>
      <c r="B192" t="s">
        <v>4366</v>
      </c>
      <c r="C192" t="s">
        <v>4367</v>
      </c>
    </row>
    <row r="193" spans="1:3" x14ac:dyDescent="0.25">
      <c r="A193" s="27">
        <v>45499</v>
      </c>
      <c r="B193" t="s">
        <v>4368</v>
      </c>
      <c r="C193" t="s">
        <v>4369</v>
      </c>
    </row>
    <row r="194" spans="1:3" x14ac:dyDescent="0.25">
      <c r="A194" s="27">
        <v>45499</v>
      </c>
      <c r="B194" t="s">
        <v>4370</v>
      </c>
      <c r="C194" t="s">
        <v>4371</v>
      </c>
    </row>
    <row r="195" spans="1:3" x14ac:dyDescent="0.25">
      <c r="A195" s="27">
        <v>45499</v>
      </c>
      <c r="B195" t="s">
        <v>4372</v>
      </c>
      <c r="C195" t="s">
        <v>4373</v>
      </c>
    </row>
    <row r="196" spans="1:3" x14ac:dyDescent="0.25">
      <c r="A196" s="27">
        <v>45499</v>
      </c>
      <c r="B196" t="s">
        <v>4374</v>
      </c>
      <c r="C196" t="s">
        <v>4375</v>
      </c>
    </row>
    <row r="197" spans="1:3" x14ac:dyDescent="0.25">
      <c r="A197" s="27">
        <v>45499</v>
      </c>
      <c r="B197" t="s">
        <v>4376</v>
      </c>
      <c r="C197" t="s">
        <v>4377</v>
      </c>
    </row>
    <row r="198" spans="1:3" x14ac:dyDescent="0.25">
      <c r="A198" s="27">
        <v>45499</v>
      </c>
      <c r="B198" t="s">
        <v>4378</v>
      </c>
      <c r="C198" t="s">
        <v>4379</v>
      </c>
    </row>
    <row r="199" spans="1:3" x14ac:dyDescent="0.25">
      <c r="A199" s="27">
        <v>45499</v>
      </c>
      <c r="B199" t="s">
        <v>4380</v>
      </c>
      <c r="C199" t="s">
        <v>4381</v>
      </c>
    </row>
    <row r="200" spans="1:3" x14ac:dyDescent="0.25">
      <c r="A200" s="27">
        <v>45499</v>
      </c>
      <c r="B200" t="s">
        <v>4382</v>
      </c>
      <c r="C200" t="s">
        <v>4382</v>
      </c>
    </row>
    <row r="201" spans="1:3" x14ac:dyDescent="0.25">
      <c r="A201" s="27">
        <v>45499</v>
      </c>
      <c r="B201" t="s">
        <v>4383</v>
      </c>
      <c r="C201" t="s">
        <v>4383</v>
      </c>
    </row>
    <row r="202" spans="1:3" x14ac:dyDescent="0.25">
      <c r="A202" s="27">
        <v>45499</v>
      </c>
      <c r="B202" t="s">
        <v>4384</v>
      </c>
      <c r="C202" t="s">
        <v>4385</v>
      </c>
    </row>
    <row r="203" spans="1:3" x14ac:dyDescent="0.25">
      <c r="A203" s="27">
        <v>45499</v>
      </c>
      <c r="B203" t="s">
        <v>4386</v>
      </c>
      <c r="C203" t="s">
        <v>4387</v>
      </c>
    </row>
    <row r="204" spans="1:3" x14ac:dyDescent="0.25">
      <c r="A204" s="27">
        <v>45499</v>
      </c>
      <c r="B204" t="s">
        <v>4388</v>
      </c>
      <c r="C204" t="s">
        <v>4389</v>
      </c>
    </row>
    <row r="205" spans="1:3" x14ac:dyDescent="0.25">
      <c r="A205" s="27">
        <v>45499</v>
      </c>
      <c r="B205" t="s">
        <v>4390</v>
      </c>
      <c r="C205" t="s">
        <v>4391</v>
      </c>
    </row>
    <row r="206" spans="1:3" x14ac:dyDescent="0.25">
      <c r="A206" s="27">
        <v>45499</v>
      </c>
      <c r="B206" t="s">
        <v>4392</v>
      </c>
      <c r="C206" t="s">
        <v>4393</v>
      </c>
    </row>
    <row r="207" spans="1:3" x14ac:dyDescent="0.25">
      <c r="A207" s="27">
        <v>45499</v>
      </c>
      <c r="B207" t="s">
        <v>4394</v>
      </c>
      <c r="C207" t="s">
        <v>4395</v>
      </c>
    </row>
    <row r="208" spans="1:3" x14ac:dyDescent="0.25">
      <c r="A208" s="27">
        <v>45499</v>
      </c>
      <c r="B208" t="s">
        <v>4396</v>
      </c>
      <c r="C208" t="s">
        <v>4397</v>
      </c>
    </row>
    <row r="209" spans="1:3" x14ac:dyDescent="0.25">
      <c r="A209" s="27">
        <v>45499</v>
      </c>
      <c r="B209" t="s">
        <v>4398</v>
      </c>
      <c r="C209" t="s">
        <v>4397</v>
      </c>
    </row>
    <row r="210" spans="1:3" x14ac:dyDescent="0.25">
      <c r="A210" s="27">
        <v>45499</v>
      </c>
      <c r="B210" t="s">
        <v>4399</v>
      </c>
      <c r="C210" t="s">
        <v>4399</v>
      </c>
    </row>
    <row r="211" spans="1:3" x14ac:dyDescent="0.25">
      <c r="A211" s="27">
        <v>45499</v>
      </c>
      <c r="B211" t="s">
        <v>4400</v>
      </c>
      <c r="C211" t="s">
        <v>4401</v>
      </c>
    </row>
    <row r="212" spans="1:3" x14ac:dyDescent="0.25">
      <c r="A212" s="27">
        <v>45499</v>
      </c>
      <c r="B212" t="s">
        <v>4402</v>
      </c>
      <c r="C212" t="s">
        <v>4403</v>
      </c>
    </row>
    <row r="213" spans="1:3" x14ac:dyDescent="0.25">
      <c r="A213" s="27">
        <v>45499</v>
      </c>
      <c r="B213" t="s">
        <v>4404</v>
      </c>
      <c r="C213" t="s">
        <v>4405</v>
      </c>
    </row>
    <row r="214" spans="1:3" x14ac:dyDescent="0.25">
      <c r="A214" s="27">
        <v>45499</v>
      </c>
      <c r="B214" t="s">
        <v>4406</v>
      </c>
      <c r="C214" t="s">
        <v>4407</v>
      </c>
    </row>
    <row r="215" spans="1:3" x14ac:dyDescent="0.25">
      <c r="A215" s="27">
        <v>45499</v>
      </c>
      <c r="B215" t="s">
        <v>4408</v>
      </c>
      <c r="C215" t="s">
        <v>4409</v>
      </c>
    </row>
    <row r="216" spans="1:3" x14ac:dyDescent="0.25">
      <c r="A216" s="27">
        <v>45499</v>
      </c>
      <c r="B216" t="s">
        <v>4410</v>
      </c>
      <c r="C216" t="s">
        <v>4410</v>
      </c>
    </row>
    <row r="217" spans="1:3" x14ac:dyDescent="0.25">
      <c r="A217" s="27">
        <v>45499</v>
      </c>
      <c r="B217" t="s">
        <v>4411</v>
      </c>
      <c r="C217" t="s">
        <v>4412</v>
      </c>
    </row>
    <row r="218" spans="1:3" x14ac:dyDescent="0.25">
      <c r="A218" s="27">
        <v>45499</v>
      </c>
      <c r="B218" t="s">
        <v>4413</v>
      </c>
      <c r="C218" t="s">
        <v>4414</v>
      </c>
    </row>
    <row r="219" spans="1:3" x14ac:dyDescent="0.25">
      <c r="A219" s="27">
        <v>45499</v>
      </c>
      <c r="B219" s="269" t="s">
        <v>4415</v>
      </c>
      <c r="C219" s="269" t="s">
        <v>4415</v>
      </c>
    </row>
    <row r="220" spans="1:3" x14ac:dyDescent="0.25">
      <c r="A220" s="27">
        <v>45499</v>
      </c>
      <c r="B220" t="s">
        <v>4416</v>
      </c>
      <c r="C220" t="s">
        <v>4417</v>
      </c>
    </row>
    <row r="221" spans="1:3" x14ac:dyDescent="0.25">
      <c r="A221" s="27">
        <v>45499</v>
      </c>
      <c r="B221" t="s">
        <v>4418</v>
      </c>
      <c r="C221" t="s">
        <v>4419</v>
      </c>
    </row>
    <row r="222" spans="1:3" x14ac:dyDescent="0.25">
      <c r="A222" s="27">
        <v>45499</v>
      </c>
      <c r="B222" t="s">
        <v>4420</v>
      </c>
      <c r="C222" t="s">
        <v>4421</v>
      </c>
    </row>
    <row r="223" spans="1:3" x14ac:dyDescent="0.25">
      <c r="A223" s="27">
        <v>45499</v>
      </c>
      <c r="B223" t="s">
        <v>4422</v>
      </c>
      <c r="C223" t="s">
        <v>4423</v>
      </c>
    </row>
    <row r="224" spans="1:3" x14ac:dyDescent="0.25">
      <c r="A224" s="27">
        <v>45499</v>
      </c>
      <c r="B224" t="s">
        <v>4424</v>
      </c>
      <c r="C224" t="s">
        <v>4425</v>
      </c>
    </row>
    <row r="225" spans="1:3" x14ac:dyDescent="0.25">
      <c r="A225" s="27">
        <v>45499</v>
      </c>
      <c r="B225" t="s">
        <v>4426</v>
      </c>
      <c r="C225" t="s">
        <v>4426</v>
      </c>
    </row>
    <row r="226" spans="1:3" x14ac:dyDescent="0.25">
      <c r="A226" s="27">
        <v>45499</v>
      </c>
      <c r="B226" t="s">
        <v>4427</v>
      </c>
      <c r="C226" t="s">
        <v>4428</v>
      </c>
    </row>
    <row r="227" spans="1:3" x14ac:dyDescent="0.25">
      <c r="A227" s="27">
        <v>45499</v>
      </c>
      <c r="B227" t="s">
        <v>4429</v>
      </c>
      <c r="C227" t="s">
        <v>4430</v>
      </c>
    </row>
    <row r="228" spans="1:3" x14ac:dyDescent="0.25">
      <c r="A228" s="27">
        <v>45499</v>
      </c>
      <c r="B228" t="s">
        <v>4431</v>
      </c>
      <c r="C228" t="s">
        <v>4432</v>
      </c>
    </row>
    <row r="229" spans="1:3" x14ac:dyDescent="0.25">
      <c r="A229" s="27">
        <v>45499</v>
      </c>
      <c r="B229" t="s">
        <v>4433</v>
      </c>
      <c r="C229" t="s">
        <v>4434</v>
      </c>
    </row>
    <row r="230" spans="1:3" x14ac:dyDescent="0.25">
      <c r="A230" s="27">
        <v>45499</v>
      </c>
      <c r="B230" t="s">
        <v>4435</v>
      </c>
      <c r="C230" t="s">
        <v>4435</v>
      </c>
    </row>
    <row r="231" spans="1:3" x14ac:dyDescent="0.25">
      <c r="A231" s="27">
        <v>45499</v>
      </c>
      <c r="B231" t="s">
        <v>4436</v>
      </c>
      <c r="C231" t="s">
        <v>4437</v>
      </c>
    </row>
    <row r="232" spans="1:3" x14ac:dyDescent="0.25">
      <c r="A232" s="27">
        <v>45499</v>
      </c>
      <c r="B232" t="s">
        <v>4438</v>
      </c>
      <c r="C232" t="s">
        <v>4439</v>
      </c>
    </row>
    <row r="233" spans="1:3" x14ac:dyDescent="0.25">
      <c r="A233" s="27">
        <v>45499</v>
      </c>
      <c r="B233" t="s">
        <v>4440</v>
      </c>
      <c r="C233" t="s">
        <v>4441</v>
      </c>
    </row>
    <row r="234" spans="1:3" x14ac:dyDescent="0.25">
      <c r="A234" s="27">
        <v>45499</v>
      </c>
      <c r="B234" t="s">
        <v>4442</v>
      </c>
      <c r="C234" t="s">
        <v>4443</v>
      </c>
    </row>
    <row r="235" spans="1:3" x14ac:dyDescent="0.25">
      <c r="A235" s="27">
        <v>45499</v>
      </c>
      <c r="B235" t="s">
        <v>4444</v>
      </c>
      <c r="C235" t="s">
        <v>4445</v>
      </c>
    </row>
    <row r="236" spans="1:3" x14ac:dyDescent="0.25">
      <c r="A236" s="27">
        <v>45499</v>
      </c>
      <c r="B236" t="s">
        <v>4446</v>
      </c>
      <c r="C236" t="s">
        <v>4447</v>
      </c>
    </row>
    <row r="237" spans="1:3" x14ac:dyDescent="0.25">
      <c r="A237" s="27">
        <v>45499</v>
      </c>
      <c r="B237" t="s">
        <v>4448</v>
      </c>
      <c r="C237" t="s">
        <v>4448</v>
      </c>
    </row>
    <row r="238" spans="1:3" x14ac:dyDescent="0.25">
      <c r="A238" s="27">
        <v>45499</v>
      </c>
      <c r="B238" t="s">
        <v>4449</v>
      </c>
      <c r="C238" t="s">
        <v>4449</v>
      </c>
    </row>
    <row r="239" spans="1:3" x14ac:dyDescent="0.25">
      <c r="A239" s="27">
        <v>45499</v>
      </c>
      <c r="B239" t="s">
        <v>4450</v>
      </c>
      <c r="C239" t="s">
        <v>4450</v>
      </c>
    </row>
    <row r="240" spans="1:3" x14ac:dyDescent="0.25">
      <c r="A240" s="27">
        <v>45499</v>
      </c>
      <c r="B240" t="s">
        <v>4451</v>
      </c>
      <c r="C240" t="s">
        <v>4452</v>
      </c>
    </row>
    <row r="241" spans="1:3" x14ac:dyDescent="0.25">
      <c r="A241" s="27">
        <v>45499</v>
      </c>
      <c r="B241" t="s">
        <v>4453</v>
      </c>
      <c r="C241" t="s">
        <v>4454</v>
      </c>
    </row>
    <row r="242" spans="1:3" x14ac:dyDescent="0.25">
      <c r="A242" s="27">
        <v>45499</v>
      </c>
      <c r="B242" t="s">
        <v>4455</v>
      </c>
      <c r="C242" t="s">
        <v>4456</v>
      </c>
    </row>
    <row r="243" spans="1:3" x14ac:dyDescent="0.25">
      <c r="A243" s="27">
        <v>45499</v>
      </c>
      <c r="B243" t="s">
        <v>4457</v>
      </c>
      <c r="C243" t="s">
        <v>4458</v>
      </c>
    </row>
    <row r="244" spans="1:3" x14ac:dyDescent="0.25">
      <c r="A244" s="27">
        <v>45499</v>
      </c>
      <c r="B244" t="s">
        <v>4459</v>
      </c>
      <c r="C244" t="s">
        <v>4459</v>
      </c>
    </row>
    <row r="245" spans="1:3" x14ac:dyDescent="0.25">
      <c r="A245" s="27">
        <v>45499</v>
      </c>
      <c r="B245" t="s">
        <v>4460</v>
      </c>
      <c r="C245" t="s">
        <v>4461</v>
      </c>
    </row>
    <row r="246" spans="1:3" x14ac:dyDescent="0.25">
      <c r="A246" s="27">
        <v>45499</v>
      </c>
      <c r="B246" t="s">
        <v>4462</v>
      </c>
      <c r="C246" t="s">
        <v>4463</v>
      </c>
    </row>
    <row r="247" spans="1:3" x14ac:dyDescent="0.25">
      <c r="A247" s="27">
        <v>45499</v>
      </c>
      <c r="B247" t="s">
        <v>4464</v>
      </c>
      <c r="C247" t="s">
        <v>4465</v>
      </c>
    </row>
    <row r="248" spans="1:3" x14ac:dyDescent="0.25">
      <c r="A248" s="27">
        <v>45499</v>
      </c>
      <c r="B248" t="s">
        <v>4466</v>
      </c>
      <c r="C248" t="s">
        <v>4467</v>
      </c>
    </row>
    <row r="249" spans="1:3" x14ac:dyDescent="0.25">
      <c r="A249" s="27">
        <v>45499</v>
      </c>
      <c r="B249" t="s">
        <v>4468</v>
      </c>
      <c r="C249" t="s">
        <v>4469</v>
      </c>
    </row>
    <row r="250" spans="1:3" x14ac:dyDescent="0.25">
      <c r="A250" s="27">
        <v>45499</v>
      </c>
      <c r="B250" t="s">
        <v>4470</v>
      </c>
      <c r="C250" t="s">
        <v>4471</v>
      </c>
    </row>
    <row r="251" spans="1:3" x14ac:dyDescent="0.25">
      <c r="A251" s="27">
        <v>45499</v>
      </c>
      <c r="B251" t="s">
        <v>4472</v>
      </c>
      <c r="C251" t="s">
        <v>4473</v>
      </c>
    </row>
    <row r="252" spans="1:3" x14ac:dyDescent="0.25">
      <c r="A252" s="27">
        <v>45499</v>
      </c>
      <c r="B252" t="s">
        <v>4474</v>
      </c>
      <c r="C252" t="s">
        <v>4475</v>
      </c>
    </row>
    <row r="253" spans="1:3" x14ac:dyDescent="0.25">
      <c r="A253" s="27">
        <v>45499</v>
      </c>
      <c r="B253" t="s">
        <v>4476</v>
      </c>
      <c r="C253" t="s">
        <v>4477</v>
      </c>
    </row>
    <row r="254" spans="1:3" x14ac:dyDescent="0.25">
      <c r="A254" s="27">
        <v>45499</v>
      </c>
      <c r="B254" t="s">
        <v>4478</v>
      </c>
      <c r="C254" t="s">
        <v>4478</v>
      </c>
    </row>
    <row r="255" spans="1:3" x14ac:dyDescent="0.25">
      <c r="A255" s="27">
        <v>45499</v>
      </c>
      <c r="B255" t="s">
        <v>4479</v>
      </c>
      <c r="C255" t="s">
        <v>4479</v>
      </c>
    </row>
    <row r="256" spans="1:3" x14ac:dyDescent="0.25">
      <c r="A256" s="27">
        <v>45499</v>
      </c>
      <c r="B256" t="s">
        <v>4480</v>
      </c>
      <c r="C256" t="s">
        <v>4480</v>
      </c>
    </row>
    <row r="257" spans="1:3" x14ac:dyDescent="0.25">
      <c r="A257" s="27">
        <v>45499</v>
      </c>
      <c r="B257" t="s">
        <v>4481</v>
      </c>
      <c r="C257" t="s">
        <v>4482</v>
      </c>
    </row>
    <row r="258" spans="1:3" x14ac:dyDescent="0.25">
      <c r="A258" s="27">
        <v>45499</v>
      </c>
      <c r="B258" t="s">
        <v>4483</v>
      </c>
      <c r="C258" t="s">
        <v>4483</v>
      </c>
    </row>
    <row r="259" spans="1:3" x14ac:dyDescent="0.25">
      <c r="A259" s="27">
        <v>45499</v>
      </c>
      <c r="B259" t="s">
        <v>4484</v>
      </c>
      <c r="C259" t="s">
        <v>4484</v>
      </c>
    </row>
    <row r="260" spans="1:3" x14ac:dyDescent="0.25">
      <c r="A260" s="27">
        <v>45499</v>
      </c>
      <c r="B260" t="s">
        <v>4485</v>
      </c>
      <c r="C260" t="s">
        <v>4486</v>
      </c>
    </row>
    <row r="261" spans="1:3" x14ac:dyDescent="0.25">
      <c r="A261" s="27">
        <v>45499</v>
      </c>
      <c r="B261" t="s">
        <v>4487</v>
      </c>
      <c r="C261" t="s">
        <v>4487</v>
      </c>
    </row>
    <row r="262" spans="1:3" x14ac:dyDescent="0.25">
      <c r="A262" s="27">
        <v>45499</v>
      </c>
      <c r="B262" t="s">
        <v>4488</v>
      </c>
      <c r="C262" t="s">
        <v>4489</v>
      </c>
    </row>
    <row r="263" spans="1:3" x14ac:dyDescent="0.25">
      <c r="A263" s="27">
        <v>45499</v>
      </c>
      <c r="B263" t="s">
        <v>4490</v>
      </c>
      <c r="C263" t="s">
        <v>4490</v>
      </c>
    </row>
    <row r="264" spans="1:3" x14ac:dyDescent="0.25">
      <c r="A264" s="27">
        <v>45499</v>
      </c>
      <c r="B264" t="s">
        <v>4491</v>
      </c>
      <c r="C264" t="s">
        <v>4492</v>
      </c>
    </row>
    <row r="265" spans="1:3" x14ac:dyDescent="0.25">
      <c r="A265" s="27">
        <v>45499</v>
      </c>
      <c r="B265" t="s">
        <v>4493</v>
      </c>
      <c r="C265" t="s">
        <v>4493</v>
      </c>
    </row>
    <row r="266" spans="1:3" x14ac:dyDescent="0.25">
      <c r="A266" s="27">
        <v>45499</v>
      </c>
      <c r="B266" t="s">
        <v>4494</v>
      </c>
      <c r="C266" t="s">
        <v>4494</v>
      </c>
    </row>
    <row r="267" spans="1:3" x14ac:dyDescent="0.25">
      <c r="A267" s="27">
        <v>45499</v>
      </c>
      <c r="B267" t="s">
        <v>4495</v>
      </c>
      <c r="C267" t="s">
        <v>4496</v>
      </c>
    </row>
    <row r="268" spans="1:3" x14ac:dyDescent="0.25">
      <c r="A268" s="27">
        <v>45499</v>
      </c>
      <c r="B268" t="s">
        <v>4497</v>
      </c>
      <c r="C268" t="s">
        <v>4498</v>
      </c>
    </row>
    <row r="269" spans="1:3" x14ac:dyDescent="0.25">
      <c r="A269" s="27">
        <v>45499</v>
      </c>
      <c r="B269" t="s">
        <v>4499</v>
      </c>
      <c r="C269" t="s">
        <v>4499</v>
      </c>
    </row>
    <row r="270" spans="1:3" x14ac:dyDescent="0.25">
      <c r="A270" s="27">
        <v>45499</v>
      </c>
      <c r="B270" t="s">
        <v>4500</v>
      </c>
      <c r="C270" t="s">
        <v>4501</v>
      </c>
    </row>
    <row r="271" spans="1:3" x14ac:dyDescent="0.25">
      <c r="A271" s="27">
        <v>45499</v>
      </c>
      <c r="B271" t="s">
        <v>4502</v>
      </c>
      <c r="C271" t="s">
        <v>4503</v>
      </c>
    </row>
    <row r="272" spans="1:3" x14ac:dyDescent="0.25">
      <c r="A272" s="27">
        <v>45499</v>
      </c>
      <c r="B272" t="s">
        <v>4504</v>
      </c>
      <c r="C272" t="s">
        <v>4505</v>
      </c>
    </row>
    <row r="273" spans="1:3" x14ac:dyDescent="0.25">
      <c r="A273" s="27">
        <v>45499</v>
      </c>
      <c r="B273" t="s">
        <v>4506</v>
      </c>
      <c r="C273" t="s">
        <v>4507</v>
      </c>
    </row>
    <row r="274" spans="1:3" x14ac:dyDescent="0.25">
      <c r="A274" s="27">
        <v>45499</v>
      </c>
      <c r="B274" t="s">
        <v>4508</v>
      </c>
      <c r="C274" t="s">
        <v>4509</v>
      </c>
    </row>
    <row r="275" spans="1:3" x14ac:dyDescent="0.25">
      <c r="A275" s="27">
        <v>45499</v>
      </c>
      <c r="B275" t="s">
        <v>4510</v>
      </c>
      <c r="C275" t="s">
        <v>4511</v>
      </c>
    </row>
    <row r="276" spans="1:3" x14ac:dyDescent="0.25">
      <c r="A276" s="27">
        <v>45499</v>
      </c>
      <c r="B276" t="s">
        <v>4512</v>
      </c>
      <c r="C276" t="s">
        <v>4513</v>
      </c>
    </row>
    <row r="277" spans="1:3" x14ac:dyDescent="0.25">
      <c r="A277" s="27">
        <v>45499</v>
      </c>
      <c r="B277" t="s">
        <v>4514</v>
      </c>
      <c r="C277" t="s">
        <v>4514</v>
      </c>
    </row>
    <row r="278" spans="1:3" x14ac:dyDescent="0.25">
      <c r="A278" s="27">
        <v>45499</v>
      </c>
      <c r="B278" t="s">
        <v>4515</v>
      </c>
      <c r="C278" t="s">
        <v>4515</v>
      </c>
    </row>
    <row r="279" spans="1:3" x14ac:dyDescent="0.25">
      <c r="A279" s="27">
        <v>45499</v>
      </c>
      <c r="B279" t="s">
        <v>4516</v>
      </c>
      <c r="C279" t="s">
        <v>4517</v>
      </c>
    </row>
    <row r="280" spans="1:3" x14ac:dyDescent="0.25">
      <c r="A280" s="27">
        <v>45499</v>
      </c>
      <c r="B280" t="s">
        <v>4518</v>
      </c>
      <c r="C280" t="s">
        <v>4519</v>
      </c>
    </row>
    <row r="281" spans="1:3" x14ac:dyDescent="0.25">
      <c r="A281" s="27">
        <v>45499</v>
      </c>
      <c r="B281" t="s">
        <v>4520</v>
      </c>
      <c r="C281" t="s">
        <v>4520</v>
      </c>
    </row>
    <row r="282" spans="1:3" x14ac:dyDescent="0.25">
      <c r="A282" s="27">
        <v>45499</v>
      </c>
      <c r="B282" t="s">
        <v>4521</v>
      </c>
      <c r="C282" t="s">
        <v>4522</v>
      </c>
    </row>
    <row r="283" spans="1:3" x14ac:dyDescent="0.25">
      <c r="A283" s="27">
        <v>45499</v>
      </c>
      <c r="B283" t="s">
        <v>4523</v>
      </c>
      <c r="C283" t="s">
        <v>4523</v>
      </c>
    </row>
    <row r="284" spans="1:3" x14ac:dyDescent="0.25">
      <c r="A284" s="27">
        <v>45499</v>
      </c>
      <c r="B284" t="s">
        <v>4524</v>
      </c>
      <c r="C284" t="s">
        <v>4525</v>
      </c>
    </row>
    <row r="285" spans="1:3" x14ac:dyDescent="0.25">
      <c r="A285" s="27">
        <v>45499</v>
      </c>
      <c r="B285" t="s">
        <v>4526</v>
      </c>
      <c r="C285" t="s">
        <v>4526</v>
      </c>
    </row>
    <row r="286" spans="1:3" x14ac:dyDescent="0.25">
      <c r="A286" s="27">
        <v>45499</v>
      </c>
      <c r="B286" t="s">
        <v>4527</v>
      </c>
      <c r="C286" t="s">
        <v>4528</v>
      </c>
    </row>
    <row r="287" spans="1:3" x14ac:dyDescent="0.25">
      <c r="A287" s="27">
        <v>45499</v>
      </c>
      <c r="B287" t="s">
        <v>4529</v>
      </c>
      <c r="C287" t="s">
        <v>4530</v>
      </c>
    </row>
    <row r="288" spans="1:3" x14ac:dyDescent="0.25">
      <c r="A288" s="27">
        <v>45499</v>
      </c>
      <c r="B288" t="s">
        <v>4531</v>
      </c>
      <c r="C288" t="s">
        <v>4532</v>
      </c>
    </row>
    <row r="289" spans="1:3" x14ac:dyDescent="0.25">
      <c r="A289" s="27">
        <v>45499</v>
      </c>
      <c r="B289" t="s">
        <v>4533</v>
      </c>
      <c r="C289" t="s">
        <v>4534</v>
      </c>
    </row>
    <row r="290" spans="1:3" x14ac:dyDescent="0.25">
      <c r="A290" s="27">
        <v>45499</v>
      </c>
      <c r="B290" t="s">
        <v>4535</v>
      </c>
      <c r="C290" t="s">
        <v>4536</v>
      </c>
    </row>
    <row r="291" spans="1:3" x14ac:dyDescent="0.25">
      <c r="A291" s="27">
        <v>45499</v>
      </c>
      <c r="B291" t="s">
        <v>4537</v>
      </c>
      <c r="C291" t="s">
        <v>4538</v>
      </c>
    </row>
    <row r="292" spans="1:3" x14ac:dyDescent="0.25">
      <c r="A292" s="27">
        <v>45499</v>
      </c>
      <c r="B292" t="s">
        <v>4539</v>
      </c>
      <c r="C292" t="s">
        <v>4539</v>
      </c>
    </row>
    <row r="293" spans="1:3" x14ac:dyDescent="0.25">
      <c r="A293" s="27">
        <v>45499</v>
      </c>
      <c r="B293" t="s">
        <v>4540</v>
      </c>
      <c r="C293" t="s">
        <v>4540</v>
      </c>
    </row>
    <row r="294" spans="1:3" x14ac:dyDescent="0.25">
      <c r="A294" s="27">
        <v>45499</v>
      </c>
      <c r="B294" t="s">
        <v>4541</v>
      </c>
      <c r="C294" t="s">
        <v>4542</v>
      </c>
    </row>
    <row r="295" spans="1:3" x14ac:dyDescent="0.25">
      <c r="A295" s="27">
        <v>45499</v>
      </c>
      <c r="B295" t="s">
        <v>4543</v>
      </c>
      <c r="C295" t="s">
        <v>4544</v>
      </c>
    </row>
    <row r="296" spans="1:3" x14ac:dyDescent="0.25">
      <c r="A296" s="27">
        <v>45499</v>
      </c>
      <c r="B296" t="s">
        <v>4545</v>
      </c>
      <c r="C296" t="s">
        <v>4546</v>
      </c>
    </row>
    <row r="297" spans="1:3" x14ac:dyDescent="0.25">
      <c r="A297" s="27">
        <v>45499</v>
      </c>
      <c r="B297" t="s">
        <v>4547</v>
      </c>
      <c r="C297" t="s">
        <v>4548</v>
      </c>
    </row>
    <row r="298" spans="1:3" x14ac:dyDescent="0.25">
      <c r="A298" s="27">
        <v>45499</v>
      </c>
      <c r="B298" t="s">
        <v>4549</v>
      </c>
      <c r="C298" t="s">
        <v>4540</v>
      </c>
    </row>
    <row r="299" spans="1:3" x14ac:dyDescent="0.25">
      <c r="A299" s="27">
        <v>45499</v>
      </c>
      <c r="B299" t="s">
        <v>4550</v>
      </c>
      <c r="C299" t="s">
        <v>4551</v>
      </c>
    </row>
    <row r="300" spans="1:3" x14ac:dyDescent="0.25">
      <c r="A300" s="27">
        <v>45499</v>
      </c>
      <c r="B300" t="s">
        <v>4552</v>
      </c>
      <c r="C300" t="s">
        <v>4553</v>
      </c>
    </row>
    <row r="301" spans="1:3" x14ac:dyDescent="0.25">
      <c r="A301" s="27">
        <v>45499</v>
      </c>
      <c r="B301" t="s">
        <v>4554</v>
      </c>
      <c r="C301" t="s">
        <v>4555</v>
      </c>
    </row>
    <row r="302" spans="1:3" x14ac:dyDescent="0.25">
      <c r="A302" s="27">
        <v>45499</v>
      </c>
      <c r="B302" t="s">
        <v>4556</v>
      </c>
      <c r="C302" t="s">
        <v>4557</v>
      </c>
    </row>
    <row r="303" spans="1:3" x14ac:dyDescent="0.25">
      <c r="A303" s="27">
        <v>45499</v>
      </c>
      <c r="B303" t="s">
        <v>4558</v>
      </c>
      <c r="C303" t="s">
        <v>4559</v>
      </c>
    </row>
    <row r="304" spans="1:3" x14ac:dyDescent="0.25">
      <c r="A304" s="27">
        <v>45499</v>
      </c>
      <c r="B304" t="s">
        <v>4560</v>
      </c>
      <c r="C304" t="s">
        <v>4561</v>
      </c>
    </row>
    <row r="305" spans="1:3" x14ac:dyDescent="0.25">
      <c r="A305" s="27">
        <v>45499</v>
      </c>
      <c r="B305" t="s">
        <v>4562</v>
      </c>
      <c r="C305" t="s">
        <v>4563</v>
      </c>
    </row>
    <row r="306" spans="1:3" x14ac:dyDescent="0.25">
      <c r="A306" s="27">
        <v>45499</v>
      </c>
      <c r="B306" t="s">
        <v>4564</v>
      </c>
      <c r="C306" t="s">
        <v>4564</v>
      </c>
    </row>
    <row r="307" spans="1:3" x14ac:dyDescent="0.25">
      <c r="A307" s="27">
        <v>45499</v>
      </c>
      <c r="B307" t="s">
        <v>4565</v>
      </c>
      <c r="C307" t="s">
        <v>4565</v>
      </c>
    </row>
    <row r="308" spans="1:3" x14ac:dyDescent="0.25">
      <c r="A308" s="27">
        <v>45499</v>
      </c>
      <c r="B308" t="s">
        <v>4566</v>
      </c>
      <c r="C308" t="s">
        <v>4567</v>
      </c>
    </row>
    <row r="309" spans="1:3" x14ac:dyDescent="0.25">
      <c r="A309" s="27">
        <v>45499</v>
      </c>
      <c r="B309" t="s">
        <v>4568</v>
      </c>
      <c r="C309" t="s">
        <v>4569</v>
      </c>
    </row>
    <row r="310" spans="1:3" x14ac:dyDescent="0.25">
      <c r="A310" s="27">
        <v>45499</v>
      </c>
      <c r="B310" t="s">
        <v>4570</v>
      </c>
      <c r="C310" t="s">
        <v>4571</v>
      </c>
    </row>
    <row r="311" spans="1:3" x14ac:dyDescent="0.25">
      <c r="A311" s="27">
        <v>45499</v>
      </c>
      <c r="B311" t="s">
        <v>4572</v>
      </c>
      <c r="C311" t="s">
        <v>4573</v>
      </c>
    </row>
    <row r="312" spans="1:3" x14ac:dyDescent="0.25">
      <c r="A312" s="27">
        <v>45499</v>
      </c>
      <c r="B312" t="s">
        <v>4574</v>
      </c>
      <c r="C312" t="s">
        <v>4575</v>
      </c>
    </row>
    <row r="313" spans="1:3" x14ac:dyDescent="0.25">
      <c r="A313" s="27">
        <v>45499</v>
      </c>
      <c r="B313" t="s">
        <v>4576</v>
      </c>
      <c r="C313" t="s">
        <v>4577</v>
      </c>
    </row>
    <row r="314" spans="1:3" x14ac:dyDescent="0.25">
      <c r="A314" s="27">
        <v>45499</v>
      </c>
      <c r="B314" t="s">
        <v>4578</v>
      </c>
      <c r="C314" t="s">
        <v>4578</v>
      </c>
    </row>
    <row r="315" spans="1:3" x14ac:dyDescent="0.25">
      <c r="A315" s="27">
        <v>45499</v>
      </c>
      <c r="B315" t="s">
        <v>4579</v>
      </c>
      <c r="C315" t="s">
        <v>4580</v>
      </c>
    </row>
    <row r="316" spans="1:3" x14ac:dyDescent="0.25">
      <c r="A316" s="27">
        <v>45499</v>
      </c>
      <c r="B316" t="s">
        <v>4581</v>
      </c>
      <c r="C316" t="s">
        <v>4582</v>
      </c>
    </row>
    <row r="317" spans="1:3" x14ac:dyDescent="0.25">
      <c r="A317" s="27">
        <v>45499</v>
      </c>
      <c r="B317" t="s">
        <v>4583</v>
      </c>
      <c r="C317" t="s">
        <v>4584</v>
      </c>
    </row>
    <row r="318" spans="1:3" x14ac:dyDescent="0.25">
      <c r="A318" s="27">
        <v>45499</v>
      </c>
      <c r="B318" t="s">
        <v>4585</v>
      </c>
      <c r="C318" t="s">
        <v>4586</v>
      </c>
    </row>
    <row r="319" spans="1:3" x14ac:dyDescent="0.25">
      <c r="A319" s="27">
        <v>45499</v>
      </c>
      <c r="B319" t="s">
        <v>4587</v>
      </c>
      <c r="C319" t="s">
        <v>4587</v>
      </c>
    </row>
    <row r="320" spans="1:3" x14ac:dyDescent="0.25">
      <c r="A320" s="27">
        <v>45499</v>
      </c>
      <c r="B320" t="s">
        <v>4588</v>
      </c>
      <c r="C320" t="s">
        <v>4588</v>
      </c>
    </row>
    <row r="321" spans="1:3" x14ac:dyDescent="0.25">
      <c r="A321" s="27">
        <v>45499</v>
      </c>
      <c r="B321" t="s">
        <v>4589</v>
      </c>
      <c r="C321" t="s">
        <v>4590</v>
      </c>
    </row>
    <row r="322" spans="1:3" x14ac:dyDescent="0.25">
      <c r="A322" s="27">
        <v>45499</v>
      </c>
      <c r="B322" t="s">
        <v>4591</v>
      </c>
      <c r="C322" t="s">
        <v>4592</v>
      </c>
    </row>
    <row r="323" spans="1:3" x14ac:dyDescent="0.25">
      <c r="A323" s="27">
        <v>45499</v>
      </c>
      <c r="B323" t="s">
        <v>4593</v>
      </c>
      <c r="C323" t="s">
        <v>4594</v>
      </c>
    </row>
    <row r="324" spans="1:3" x14ac:dyDescent="0.25">
      <c r="A324" s="27">
        <v>45499</v>
      </c>
      <c r="B324" t="s">
        <v>4595</v>
      </c>
      <c r="C324" t="s">
        <v>4595</v>
      </c>
    </row>
    <row r="325" spans="1:3" x14ac:dyDescent="0.25">
      <c r="A325" s="27">
        <v>45499</v>
      </c>
      <c r="B325" t="s">
        <v>4596</v>
      </c>
      <c r="C325" t="s">
        <v>4597</v>
      </c>
    </row>
    <row r="326" spans="1:3" x14ac:dyDescent="0.25">
      <c r="A326" s="27">
        <v>45499</v>
      </c>
      <c r="B326" t="s">
        <v>4598</v>
      </c>
      <c r="C326" t="s">
        <v>4599</v>
      </c>
    </row>
    <row r="327" spans="1:3" x14ac:dyDescent="0.25">
      <c r="A327" s="27">
        <v>45499</v>
      </c>
      <c r="B327" t="s">
        <v>4600</v>
      </c>
      <c r="C327" t="s">
        <v>4601</v>
      </c>
    </row>
    <row r="328" spans="1:3" x14ac:dyDescent="0.25">
      <c r="A328" s="27">
        <v>45499</v>
      </c>
      <c r="B328" t="s">
        <v>4602</v>
      </c>
      <c r="C328" t="s">
        <v>4603</v>
      </c>
    </row>
    <row r="329" spans="1:3" x14ac:dyDescent="0.25">
      <c r="A329" s="27">
        <v>45499</v>
      </c>
      <c r="B329" t="s">
        <v>4604</v>
      </c>
      <c r="C329" t="s">
        <v>4605</v>
      </c>
    </row>
    <row r="330" spans="1:3" x14ac:dyDescent="0.25">
      <c r="A330" s="27">
        <v>45499</v>
      </c>
      <c r="B330" t="s">
        <v>4606</v>
      </c>
      <c r="C330" t="s">
        <v>4607</v>
      </c>
    </row>
    <row r="331" spans="1:3" x14ac:dyDescent="0.25">
      <c r="A331" s="27">
        <v>45499</v>
      </c>
      <c r="B331" t="s">
        <v>4608</v>
      </c>
      <c r="C331" t="s">
        <v>4609</v>
      </c>
    </row>
    <row r="332" spans="1:3" x14ac:dyDescent="0.25">
      <c r="A332" s="27">
        <v>45499</v>
      </c>
      <c r="B332" t="s">
        <v>4610</v>
      </c>
      <c r="C332" t="s">
        <v>4610</v>
      </c>
    </row>
    <row r="333" spans="1:3" x14ac:dyDescent="0.25">
      <c r="A333" s="27">
        <v>45499</v>
      </c>
      <c r="B333" t="s">
        <v>4611</v>
      </c>
      <c r="C333" t="s">
        <v>4611</v>
      </c>
    </row>
    <row r="334" spans="1:3" x14ac:dyDescent="0.25">
      <c r="A334" s="27">
        <v>45499</v>
      </c>
      <c r="B334" t="s">
        <v>4612</v>
      </c>
      <c r="C334" t="s">
        <v>4612</v>
      </c>
    </row>
    <row r="335" spans="1:3" x14ac:dyDescent="0.25">
      <c r="A335" s="27">
        <v>45499</v>
      </c>
      <c r="B335" t="s">
        <v>4613</v>
      </c>
      <c r="C335" t="s">
        <v>4613</v>
      </c>
    </row>
    <row r="336" spans="1:3" x14ac:dyDescent="0.25">
      <c r="A336" s="27">
        <v>45499</v>
      </c>
      <c r="B336" t="s">
        <v>4614</v>
      </c>
      <c r="C336" t="s">
        <v>4615</v>
      </c>
    </row>
    <row r="337" spans="1:3" x14ac:dyDescent="0.25">
      <c r="A337" s="27">
        <v>45499</v>
      </c>
      <c r="B337" t="s">
        <v>4616</v>
      </c>
      <c r="C337" t="s">
        <v>4617</v>
      </c>
    </row>
    <row r="338" spans="1:3" x14ac:dyDescent="0.25">
      <c r="A338" s="27">
        <v>45499</v>
      </c>
      <c r="B338" t="s">
        <v>4618</v>
      </c>
      <c r="C338" t="s">
        <v>4618</v>
      </c>
    </row>
    <row r="339" spans="1:3" x14ac:dyDescent="0.25">
      <c r="A339" s="27">
        <v>45499</v>
      </c>
      <c r="B339" t="s">
        <v>4619</v>
      </c>
      <c r="C339" t="s">
        <v>4620</v>
      </c>
    </row>
    <row r="340" spans="1:3" x14ac:dyDescent="0.25">
      <c r="A340" s="27">
        <v>45499</v>
      </c>
      <c r="B340" t="s">
        <v>4621</v>
      </c>
      <c r="C340" t="s">
        <v>4622</v>
      </c>
    </row>
    <row r="341" spans="1:3" x14ac:dyDescent="0.25">
      <c r="A341" s="27">
        <v>45499</v>
      </c>
      <c r="B341" t="s">
        <v>4623</v>
      </c>
      <c r="C341" t="s">
        <v>4623</v>
      </c>
    </row>
    <row r="342" spans="1:3" x14ac:dyDescent="0.25">
      <c r="A342" s="27">
        <v>45499</v>
      </c>
      <c r="B342" t="s">
        <v>4624</v>
      </c>
      <c r="C342" t="s">
        <v>4625</v>
      </c>
    </row>
    <row r="343" spans="1:3" x14ac:dyDescent="0.25">
      <c r="A343" s="27">
        <v>45499</v>
      </c>
      <c r="B343" t="s">
        <v>4626</v>
      </c>
      <c r="C343" t="s">
        <v>4626</v>
      </c>
    </row>
    <row r="344" spans="1:3" x14ac:dyDescent="0.25">
      <c r="A344" s="27">
        <v>45499</v>
      </c>
      <c r="B344" t="s">
        <v>4627</v>
      </c>
      <c r="C344" t="s">
        <v>4628</v>
      </c>
    </row>
    <row r="345" spans="1:3" x14ac:dyDescent="0.25">
      <c r="A345" s="27">
        <v>45499</v>
      </c>
      <c r="B345" t="s">
        <v>4629</v>
      </c>
      <c r="C345" t="s">
        <v>4630</v>
      </c>
    </row>
    <row r="346" spans="1:3" x14ac:dyDescent="0.25">
      <c r="A346" s="27">
        <v>45499</v>
      </c>
      <c r="B346" t="s">
        <v>4631</v>
      </c>
      <c r="C346" t="s">
        <v>4632</v>
      </c>
    </row>
    <row r="347" spans="1:3" x14ac:dyDescent="0.25">
      <c r="A347" s="27">
        <v>45499</v>
      </c>
      <c r="B347" t="s">
        <v>4633</v>
      </c>
      <c r="C347" t="s">
        <v>4634</v>
      </c>
    </row>
    <row r="348" spans="1:3" x14ac:dyDescent="0.25">
      <c r="A348" s="27">
        <v>45499</v>
      </c>
      <c r="B348" t="s">
        <v>4635</v>
      </c>
      <c r="C348" t="s">
        <v>4635</v>
      </c>
    </row>
    <row r="349" spans="1:3" x14ac:dyDescent="0.25">
      <c r="A349" s="27">
        <v>45499</v>
      </c>
      <c r="B349" t="s">
        <v>4636</v>
      </c>
      <c r="C349" t="s">
        <v>4636</v>
      </c>
    </row>
    <row r="350" spans="1:3" x14ac:dyDescent="0.25">
      <c r="A350" s="27">
        <v>45499</v>
      </c>
      <c r="B350" t="s">
        <v>4637</v>
      </c>
      <c r="C350" t="s">
        <v>4637</v>
      </c>
    </row>
    <row r="351" spans="1:3" x14ac:dyDescent="0.25">
      <c r="A351" s="27">
        <v>45499</v>
      </c>
      <c r="B351" t="s">
        <v>4638</v>
      </c>
      <c r="C351" t="s">
        <v>4639</v>
      </c>
    </row>
    <row r="352" spans="1:3" x14ac:dyDescent="0.25">
      <c r="A352" s="27">
        <v>45499</v>
      </c>
      <c r="B352" t="s">
        <v>4640</v>
      </c>
      <c r="C352" t="s">
        <v>4640</v>
      </c>
    </row>
    <row r="353" spans="1:3" x14ac:dyDescent="0.25">
      <c r="A353" s="27">
        <v>45499</v>
      </c>
      <c r="B353" t="s">
        <v>4641</v>
      </c>
      <c r="C353" t="s">
        <v>4642</v>
      </c>
    </row>
    <row r="354" spans="1:3" x14ac:dyDescent="0.25">
      <c r="A354" s="27">
        <v>45499</v>
      </c>
      <c r="B354" t="s">
        <v>4643</v>
      </c>
      <c r="C354" t="s">
        <v>4644</v>
      </c>
    </row>
    <row r="355" spans="1:3" x14ac:dyDescent="0.25">
      <c r="A355" s="27">
        <v>45499</v>
      </c>
      <c r="B355" t="s">
        <v>4645</v>
      </c>
      <c r="C355" t="s">
        <v>4646</v>
      </c>
    </row>
    <row r="356" spans="1:3" x14ac:dyDescent="0.25">
      <c r="A356" s="27">
        <v>45499</v>
      </c>
      <c r="B356" t="s">
        <v>4647</v>
      </c>
      <c r="C356" t="s">
        <v>4648</v>
      </c>
    </row>
    <row r="357" spans="1:3" x14ac:dyDescent="0.25">
      <c r="A357" s="27">
        <v>45499</v>
      </c>
      <c r="B357" t="s">
        <v>4649</v>
      </c>
      <c r="C357" t="s">
        <v>4650</v>
      </c>
    </row>
    <row r="358" spans="1:3" x14ac:dyDescent="0.25">
      <c r="A358" s="27">
        <v>45499</v>
      </c>
      <c r="B358" t="s">
        <v>4651</v>
      </c>
      <c r="C358" t="s">
        <v>4651</v>
      </c>
    </row>
    <row r="359" spans="1:3" x14ac:dyDescent="0.25">
      <c r="A359" s="27">
        <v>45499</v>
      </c>
      <c r="B359" t="s">
        <v>4652</v>
      </c>
      <c r="C359" t="s">
        <v>4653</v>
      </c>
    </row>
    <row r="360" spans="1:3" x14ac:dyDescent="0.25">
      <c r="A360" s="27">
        <v>45499</v>
      </c>
      <c r="B360" t="s">
        <v>4654</v>
      </c>
      <c r="C360" t="s">
        <v>4655</v>
      </c>
    </row>
    <row r="361" spans="1:3" x14ac:dyDescent="0.25">
      <c r="A361" s="27">
        <v>45499</v>
      </c>
      <c r="B361" t="s">
        <v>4656</v>
      </c>
      <c r="C361" t="s">
        <v>4657</v>
      </c>
    </row>
    <row r="362" spans="1:3" x14ac:dyDescent="0.25">
      <c r="A362" s="27">
        <v>45499</v>
      </c>
      <c r="B362" t="s">
        <v>4658</v>
      </c>
      <c r="C362" t="s">
        <v>4659</v>
      </c>
    </row>
    <row r="363" spans="1:3" x14ac:dyDescent="0.25">
      <c r="A363" s="27">
        <v>45499</v>
      </c>
      <c r="B363" t="s">
        <v>4660</v>
      </c>
      <c r="C363" t="s">
        <v>4660</v>
      </c>
    </row>
    <row r="364" spans="1:3" x14ac:dyDescent="0.25">
      <c r="A364" s="27">
        <v>45499</v>
      </c>
      <c r="B364" t="s">
        <v>4661</v>
      </c>
      <c r="C364" t="s">
        <v>4661</v>
      </c>
    </row>
    <row r="365" spans="1:3" x14ac:dyDescent="0.25">
      <c r="A365" s="27">
        <v>45499</v>
      </c>
      <c r="B365" t="s">
        <v>4662</v>
      </c>
      <c r="C365" t="s">
        <v>4663</v>
      </c>
    </row>
    <row r="366" spans="1:3" x14ac:dyDescent="0.25">
      <c r="A366" s="27">
        <v>45499</v>
      </c>
      <c r="B366" t="s">
        <v>4664</v>
      </c>
      <c r="C366" t="s">
        <v>4665</v>
      </c>
    </row>
    <row r="367" spans="1:3" x14ac:dyDescent="0.25">
      <c r="A367" s="27">
        <v>45499</v>
      </c>
      <c r="B367" t="s">
        <v>4666</v>
      </c>
      <c r="C367" t="s">
        <v>4667</v>
      </c>
    </row>
    <row r="368" spans="1:3" x14ac:dyDescent="0.25">
      <c r="A368" s="27">
        <v>45499</v>
      </c>
      <c r="B368" t="s">
        <v>4668</v>
      </c>
      <c r="C368" t="s">
        <v>4668</v>
      </c>
    </row>
    <row r="369" spans="1:3" x14ac:dyDescent="0.25">
      <c r="A369" s="27">
        <v>45499</v>
      </c>
      <c r="B369" t="s">
        <v>4669</v>
      </c>
      <c r="C369" t="s">
        <v>4670</v>
      </c>
    </row>
    <row r="370" spans="1:3" x14ac:dyDescent="0.25">
      <c r="A370" s="27">
        <v>45499</v>
      </c>
      <c r="B370" t="s">
        <v>4671</v>
      </c>
      <c r="C370" t="s">
        <v>4672</v>
      </c>
    </row>
    <row r="371" spans="1:3" x14ac:dyDescent="0.25">
      <c r="A371" s="27">
        <v>45499</v>
      </c>
      <c r="B371" t="s">
        <v>4673</v>
      </c>
      <c r="C371" t="s">
        <v>4673</v>
      </c>
    </row>
    <row r="372" spans="1:3" x14ac:dyDescent="0.25">
      <c r="A372" s="27">
        <v>45499</v>
      </c>
      <c r="B372" t="s">
        <v>4674</v>
      </c>
      <c r="C372" t="s">
        <v>4675</v>
      </c>
    </row>
    <row r="373" spans="1:3" x14ac:dyDescent="0.25">
      <c r="A373" s="27">
        <v>45499</v>
      </c>
      <c r="B373" t="s">
        <v>4676</v>
      </c>
      <c r="C373" t="s">
        <v>4677</v>
      </c>
    </row>
    <row r="374" spans="1:3" x14ac:dyDescent="0.25">
      <c r="A374" s="27">
        <v>45499</v>
      </c>
      <c r="B374" t="s">
        <v>4678</v>
      </c>
      <c r="C374" t="s">
        <v>4678</v>
      </c>
    </row>
    <row r="375" spans="1:3" x14ac:dyDescent="0.25">
      <c r="A375" s="27">
        <v>45499</v>
      </c>
      <c r="B375" t="s">
        <v>4679</v>
      </c>
      <c r="C375" t="s">
        <v>4679</v>
      </c>
    </row>
    <row r="376" spans="1:3" x14ac:dyDescent="0.25">
      <c r="A376" s="27">
        <v>45499</v>
      </c>
      <c r="B376" t="s">
        <v>4680</v>
      </c>
      <c r="C376" t="s">
        <v>4681</v>
      </c>
    </row>
    <row r="377" spans="1:3" x14ac:dyDescent="0.25">
      <c r="A377" s="27">
        <v>45499</v>
      </c>
      <c r="B377" t="s">
        <v>4682</v>
      </c>
      <c r="C377" t="s">
        <v>4682</v>
      </c>
    </row>
    <row r="378" spans="1:3" x14ac:dyDescent="0.25">
      <c r="A378" s="27">
        <v>45499</v>
      </c>
      <c r="B378" t="s">
        <v>4683</v>
      </c>
      <c r="C378" t="s">
        <v>4684</v>
      </c>
    </row>
    <row r="379" spans="1:3" x14ac:dyDescent="0.25">
      <c r="A379" s="27">
        <v>45499</v>
      </c>
      <c r="B379" t="s">
        <v>4685</v>
      </c>
      <c r="C379" t="s">
        <v>4685</v>
      </c>
    </row>
    <row r="380" spans="1:3" x14ac:dyDescent="0.25">
      <c r="A380" s="27">
        <v>45499</v>
      </c>
      <c r="B380" t="s">
        <v>4686</v>
      </c>
      <c r="C380" t="s">
        <v>4687</v>
      </c>
    </row>
    <row r="381" spans="1:3" x14ac:dyDescent="0.25">
      <c r="A381" s="27">
        <v>45499</v>
      </c>
      <c r="B381" t="s">
        <v>4688</v>
      </c>
      <c r="C381" t="s">
        <v>4689</v>
      </c>
    </row>
    <row r="382" spans="1:3" x14ac:dyDescent="0.25">
      <c r="A382" s="27">
        <v>45499</v>
      </c>
      <c r="B382" t="s">
        <v>4690</v>
      </c>
      <c r="C382" t="s">
        <v>4690</v>
      </c>
    </row>
    <row r="383" spans="1:3" x14ac:dyDescent="0.25">
      <c r="A383" s="27">
        <v>45499</v>
      </c>
      <c r="B383" t="s">
        <v>4691</v>
      </c>
      <c r="C383" t="s">
        <v>4692</v>
      </c>
    </row>
    <row r="384" spans="1:3" x14ac:dyDescent="0.25">
      <c r="A384" s="27">
        <v>45499</v>
      </c>
      <c r="B384" t="s">
        <v>4693</v>
      </c>
      <c r="C384" t="s">
        <v>4694</v>
      </c>
    </row>
    <row r="385" spans="1:3" x14ac:dyDescent="0.25">
      <c r="A385" s="27">
        <v>45499</v>
      </c>
      <c r="B385" t="s">
        <v>4695</v>
      </c>
      <c r="C385" t="s">
        <v>4696</v>
      </c>
    </row>
    <row r="386" spans="1:3" x14ac:dyDescent="0.25">
      <c r="A386" s="27">
        <v>45499</v>
      </c>
      <c r="B386" t="s">
        <v>4697</v>
      </c>
      <c r="C386" t="s">
        <v>4698</v>
      </c>
    </row>
    <row r="387" spans="1:3" x14ac:dyDescent="0.25">
      <c r="A387" s="27">
        <v>45499</v>
      </c>
      <c r="B387" t="s">
        <v>4699</v>
      </c>
      <c r="C387" t="s">
        <v>4700</v>
      </c>
    </row>
    <row r="388" spans="1:3" x14ac:dyDescent="0.25">
      <c r="A388" s="27">
        <v>45499</v>
      </c>
      <c r="B388" t="s">
        <v>4701</v>
      </c>
      <c r="C388" t="s">
        <v>4702</v>
      </c>
    </row>
    <row r="389" spans="1:3" x14ac:dyDescent="0.25">
      <c r="A389" s="27">
        <v>45499</v>
      </c>
      <c r="B389" t="s">
        <v>4703</v>
      </c>
      <c r="C389" t="s">
        <v>4703</v>
      </c>
    </row>
    <row r="390" spans="1:3" x14ac:dyDescent="0.25">
      <c r="A390" s="27">
        <v>45499</v>
      </c>
      <c r="B390" t="s">
        <v>4704</v>
      </c>
      <c r="C390" t="s">
        <v>4705</v>
      </c>
    </row>
    <row r="391" spans="1:3" x14ac:dyDescent="0.25">
      <c r="A391" s="27">
        <v>45499</v>
      </c>
      <c r="B391" t="s">
        <v>4706</v>
      </c>
      <c r="C391" t="s">
        <v>4707</v>
      </c>
    </row>
    <row r="392" spans="1:3" x14ac:dyDescent="0.25">
      <c r="A392" s="27">
        <v>45499</v>
      </c>
      <c r="B392" t="s">
        <v>4708</v>
      </c>
      <c r="C392" t="s">
        <v>4709</v>
      </c>
    </row>
    <row r="393" spans="1:3" x14ac:dyDescent="0.25">
      <c r="A393" s="27">
        <v>45499</v>
      </c>
      <c r="B393" t="s">
        <v>4710</v>
      </c>
      <c r="C393" t="s">
        <v>4711</v>
      </c>
    </row>
    <row r="394" spans="1:3" x14ac:dyDescent="0.25">
      <c r="A394" s="27">
        <v>45499</v>
      </c>
      <c r="B394" t="s">
        <v>4712</v>
      </c>
      <c r="C394" t="s">
        <v>4712</v>
      </c>
    </row>
    <row r="395" spans="1:3" x14ac:dyDescent="0.25">
      <c r="A395" s="27">
        <v>45499</v>
      </c>
      <c r="B395" t="s">
        <v>4713</v>
      </c>
      <c r="C395" t="s">
        <v>4713</v>
      </c>
    </row>
    <row r="396" spans="1:3" x14ac:dyDescent="0.25">
      <c r="A396" s="27">
        <v>45499</v>
      </c>
      <c r="B396" t="s">
        <v>4714</v>
      </c>
      <c r="C396" t="s">
        <v>4714</v>
      </c>
    </row>
    <row r="397" spans="1:3" x14ac:dyDescent="0.25">
      <c r="A397" s="27">
        <v>45499</v>
      </c>
      <c r="B397" t="s">
        <v>4715</v>
      </c>
      <c r="C397" t="s">
        <v>4715</v>
      </c>
    </row>
    <row r="398" spans="1:3" x14ac:dyDescent="0.25">
      <c r="A398" s="27">
        <v>45499</v>
      </c>
      <c r="B398" t="s">
        <v>4716</v>
      </c>
      <c r="C398" t="s">
        <v>4717</v>
      </c>
    </row>
    <row r="399" spans="1:3" x14ac:dyDescent="0.25">
      <c r="A399" s="27">
        <v>45499</v>
      </c>
      <c r="B399" t="s">
        <v>4718</v>
      </c>
      <c r="C399" t="s">
        <v>4719</v>
      </c>
    </row>
    <row r="400" spans="1:3" x14ac:dyDescent="0.25">
      <c r="A400" s="27">
        <v>45499</v>
      </c>
      <c r="B400" t="s">
        <v>4720</v>
      </c>
      <c r="C400" t="s">
        <v>4719</v>
      </c>
    </row>
    <row r="401" spans="1:3" x14ac:dyDescent="0.25">
      <c r="A401" s="27">
        <v>45499</v>
      </c>
      <c r="B401" t="s">
        <v>4721</v>
      </c>
      <c r="C401" t="s">
        <v>4721</v>
      </c>
    </row>
    <row r="402" spans="1:3" x14ac:dyDescent="0.25">
      <c r="A402" s="27">
        <v>45499</v>
      </c>
      <c r="B402" t="s">
        <v>4722</v>
      </c>
      <c r="C402" t="s">
        <v>4722</v>
      </c>
    </row>
    <row r="403" spans="1:3" x14ac:dyDescent="0.25">
      <c r="A403" s="27">
        <v>45499</v>
      </c>
      <c r="B403" t="s">
        <v>4723</v>
      </c>
      <c r="C403" t="s">
        <v>4724</v>
      </c>
    </row>
    <row r="404" spans="1:3" x14ac:dyDescent="0.25">
      <c r="A404" s="27">
        <v>45499</v>
      </c>
      <c r="B404" t="s">
        <v>4725</v>
      </c>
      <c r="C404" t="s">
        <v>4725</v>
      </c>
    </row>
    <row r="405" spans="1:3" x14ac:dyDescent="0.25">
      <c r="A405" s="27">
        <v>45499</v>
      </c>
      <c r="B405" t="s">
        <v>4726</v>
      </c>
      <c r="C405" t="s">
        <v>4726</v>
      </c>
    </row>
    <row r="406" spans="1:3" x14ac:dyDescent="0.25">
      <c r="A406" s="27">
        <v>45499</v>
      </c>
      <c r="B406" t="s">
        <v>4727</v>
      </c>
      <c r="C406" t="s">
        <v>4728</v>
      </c>
    </row>
    <row r="407" spans="1:3" x14ac:dyDescent="0.25">
      <c r="A407" s="27">
        <v>45499</v>
      </c>
      <c r="B407" t="s">
        <v>4729</v>
      </c>
      <c r="C407" t="s">
        <v>4729</v>
      </c>
    </row>
    <row r="408" spans="1:3" x14ac:dyDescent="0.25">
      <c r="A408" s="27">
        <v>45499</v>
      </c>
      <c r="B408" t="s">
        <v>4730</v>
      </c>
      <c r="C408" t="s">
        <v>4730</v>
      </c>
    </row>
    <row r="409" spans="1:3" x14ac:dyDescent="0.25">
      <c r="A409" s="27">
        <v>45499</v>
      </c>
      <c r="B409" t="s">
        <v>4731</v>
      </c>
      <c r="C409" t="s">
        <v>4732</v>
      </c>
    </row>
    <row r="410" spans="1:3" x14ac:dyDescent="0.25">
      <c r="A410" s="27">
        <v>45499</v>
      </c>
      <c r="B410" t="s">
        <v>4733</v>
      </c>
      <c r="C410" t="s">
        <v>4734</v>
      </c>
    </row>
    <row r="411" spans="1:3" x14ac:dyDescent="0.25">
      <c r="A411" s="27">
        <v>45499</v>
      </c>
      <c r="B411" t="s">
        <v>4735</v>
      </c>
      <c r="C411" t="s">
        <v>4736</v>
      </c>
    </row>
    <row r="412" spans="1:3" x14ac:dyDescent="0.25">
      <c r="A412" s="27">
        <v>45499</v>
      </c>
      <c r="B412" t="s">
        <v>4737</v>
      </c>
      <c r="C412" t="s">
        <v>4738</v>
      </c>
    </row>
    <row r="413" spans="1:3" x14ac:dyDescent="0.25">
      <c r="A413" s="27">
        <v>45499</v>
      </c>
      <c r="B413" t="s">
        <v>4739</v>
      </c>
      <c r="C413" t="s">
        <v>4740</v>
      </c>
    </row>
    <row r="414" spans="1:3" x14ac:dyDescent="0.25">
      <c r="A414" s="27">
        <v>45499</v>
      </c>
      <c r="B414" t="s">
        <v>4741</v>
      </c>
      <c r="C414" t="s">
        <v>4742</v>
      </c>
    </row>
    <row r="415" spans="1:3" x14ac:dyDescent="0.25">
      <c r="A415" s="27">
        <v>45499</v>
      </c>
      <c r="B415" t="s">
        <v>4743</v>
      </c>
      <c r="C415" t="s">
        <v>4744</v>
      </c>
    </row>
    <row r="416" spans="1:3" x14ac:dyDescent="0.25">
      <c r="A416" s="27">
        <v>45499</v>
      </c>
      <c r="B416" t="s">
        <v>4745</v>
      </c>
      <c r="C416" t="s">
        <v>4746</v>
      </c>
    </row>
    <row r="417" spans="1:3" x14ac:dyDescent="0.25">
      <c r="A417" s="27">
        <v>45499</v>
      </c>
      <c r="B417" t="s">
        <v>4747</v>
      </c>
      <c r="C417" t="s">
        <v>4748</v>
      </c>
    </row>
    <row r="418" spans="1:3" x14ac:dyDescent="0.25">
      <c r="A418" s="27">
        <v>45499</v>
      </c>
      <c r="B418" t="s">
        <v>4749</v>
      </c>
      <c r="C418" t="s">
        <v>4750</v>
      </c>
    </row>
    <row r="419" spans="1:3" x14ac:dyDescent="0.25">
      <c r="A419" s="27">
        <v>45499</v>
      </c>
      <c r="B419" t="s">
        <v>4751</v>
      </c>
      <c r="C419" t="s">
        <v>4752</v>
      </c>
    </row>
    <row r="420" spans="1:3" x14ac:dyDescent="0.25">
      <c r="A420" s="27">
        <v>45499</v>
      </c>
      <c r="B420" t="s">
        <v>4753</v>
      </c>
      <c r="C420" t="s">
        <v>4754</v>
      </c>
    </row>
    <row r="421" spans="1:3" x14ac:dyDescent="0.25">
      <c r="A421" s="27">
        <v>45499</v>
      </c>
      <c r="B421" t="s">
        <v>4755</v>
      </c>
      <c r="C421" t="s">
        <v>4756</v>
      </c>
    </row>
    <row r="422" spans="1:3" x14ac:dyDescent="0.25">
      <c r="A422" s="27">
        <v>45499</v>
      </c>
      <c r="B422" t="s">
        <v>4757</v>
      </c>
      <c r="C422" t="s">
        <v>4758</v>
      </c>
    </row>
    <row r="526" spans="2:3" x14ac:dyDescent="0.25">
      <c r="B526" s="267"/>
      <c r="C526" s="267"/>
    </row>
    <row r="683" spans="3:3" x14ac:dyDescent="0.25">
      <c r="C683" s="266"/>
    </row>
    <row r="686" spans="3:3" x14ac:dyDescent="0.25">
      <c r="C686" s="179"/>
    </row>
    <row r="688" spans="3:3" x14ac:dyDescent="0.25">
      <c r="C688" s="266"/>
    </row>
    <row r="691" spans="2:3" x14ac:dyDescent="0.25">
      <c r="B691" s="266"/>
      <c r="C691" s="266"/>
    </row>
    <row r="694" spans="2:3" x14ac:dyDescent="0.25">
      <c r="B694" s="179"/>
      <c r="C694" s="179"/>
    </row>
  </sheetData>
  <autoFilter ref="B1:C697" xr:uid="{7BF8EBB3-072C-43FE-9F7C-F9D7978E8BD4}"/>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B6461-E9A1-4E59-AD1E-DC44BD3FA27C}">
  <sheetPr codeName="Sheet21">
    <tabColor theme="4" tint="-0.249977111117893"/>
  </sheetPr>
  <dimension ref="A1:Z1021"/>
  <sheetViews>
    <sheetView showGridLines="0" topLeftCell="I1" zoomScale="70" zoomScaleNormal="70" workbookViewId="0">
      <pane ySplit="1" topLeftCell="A980" activePane="bottomLeft" state="frozen"/>
      <selection pane="bottomLeft" activeCell="I988" sqref="I988"/>
    </sheetView>
  </sheetViews>
  <sheetFormatPr defaultRowHeight="15" x14ac:dyDescent="0.25"/>
  <cols>
    <col min="1" max="1" width="66.140625" customWidth="1"/>
    <col min="2" max="2" width="18" style="232" customWidth="1"/>
    <col min="3" max="3" width="25.5703125" customWidth="1"/>
    <col min="4" max="4" width="15.7109375" customWidth="1"/>
    <col min="5" max="5" width="74.5703125" customWidth="1"/>
    <col min="6" max="6" width="25.42578125" customWidth="1"/>
    <col min="7" max="7" width="12.5703125" customWidth="1"/>
    <col min="8" max="8" width="11.28515625" customWidth="1"/>
    <col min="9" max="9" width="19.5703125" bestFit="1" customWidth="1"/>
    <col min="10" max="10" width="19.5703125" style="232" customWidth="1"/>
    <col min="11" max="11" width="154.5703125" style="1" customWidth="1"/>
    <col min="12" max="12" width="8.140625" bestFit="1" customWidth="1"/>
    <col min="13" max="13" width="14.7109375" customWidth="1"/>
    <col min="19" max="19" width="45.42578125" bestFit="1" customWidth="1"/>
    <col min="20" max="20" width="40.28515625" bestFit="1" customWidth="1"/>
    <col min="21" max="21" width="25" bestFit="1" customWidth="1"/>
    <col min="22" max="22" width="41.7109375" bestFit="1" customWidth="1"/>
    <col min="23" max="23" width="41.7109375" customWidth="1"/>
    <col min="24" max="24" width="21.5703125" bestFit="1" customWidth="1"/>
    <col min="25" max="26" width="20.7109375" bestFit="1" customWidth="1"/>
  </cols>
  <sheetData>
    <row r="1" spans="1:26" ht="15.75" thickBot="1" x14ac:dyDescent="0.3">
      <c r="A1" s="224" t="s">
        <v>2549</v>
      </c>
      <c r="B1" s="230"/>
      <c r="C1" s="225"/>
      <c r="D1" s="225"/>
      <c r="E1" s="225"/>
      <c r="F1" s="225"/>
      <c r="G1" s="225"/>
      <c r="H1" s="225"/>
      <c r="I1" s="225"/>
      <c r="J1" s="230"/>
      <c r="K1" s="245"/>
      <c r="L1" s="225"/>
      <c r="M1" s="226"/>
      <c r="N1" s="223"/>
      <c r="O1" s="223"/>
      <c r="P1" s="223"/>
      <c r="S1" s="270" t="s">
        <v>3813</v>
      </c>
      <c r="T1" s="271"/>
      <c r="U1" s="271"/>
      <c r="V1" s="271"/>
      <c r="W1" s="271"/>
      <c r="X1" s="271"/>
      <c r="Y1" s="271"/>
      <c r="Z1" s="271"/>
    </row>
    <row r="2" spans="1:26" ht="15.75" thickBot="1" x14ac:dyDescent="0.3">
      <c r="A2" s="161" t="s">
        <v>3232</v>
      </c>
      <c r="B2" s="231" t="s">
        <v>3233</v>
      </c>
      <c r="C2" s="162" t="s">
        <v>3234</v>
      </c>
      <c r="D2" s="162" t="s">
        <v>2560</v>
      </c>
      <c r="E2" s="162" t="s">
        <v>3236</v>
      </c>
      <c r="F2" s="162" t="s">
        <v>3235</v>
      </c>
      <c r="G2" s="162" t="s">
        <v>1</v>
      </c>
      <c r="H2" s="162" t="s">
        <v>401</v>
      </c>
      <c r="I2" s="162" t="s">
        <v>2551</v>
      </c>
      <c r="J2" s="231" t="s">
        <v>3231</v>
      </c>
      <c r="K2" s="246" t="s">
        <v>2162</v>
      </c>
      <c r="L2" s="162" t="s">
        <v>2550</v>
      </c>
      <c r="M2" s="163" t="s">
        <v>2594</v>
      </c>
      <c r="S2" s="8" t="s">
        <v>3814</v>
      </c>
      <c r="T2" s="8" t="s">
        <v>3815</v>
      </c>
      <c r="U2" s="8" t="s">
        <v>3820</v>
      </c>
      <c r="V2" s="8" t="s">
        <v>3830</v>
      </c>
      <c r="W2" s="8" t="s">
        <v>3839</v>
      </c>
      <c r="X2" s="8" t="s">
        <v>235</v>
      </c>
      <c r="Y2" s="8" t="s">
        <v>3823</v>
      </c>
      <c r="Z2" s="8" t="s">
        <v>3859</v>
      </c>
    </row>
    <row r="3" spans="1:26" x14ac:dyDescent="0.25">
      <c r="A3" t="s">
        <v>2554</v>
      </c>
      <c r="B3" s="232">
        <v>1</v>
      </c>
      <c r="C3" t="s">
        <v>160</v>
      </c>
      <c r="D3" t="s">
        <v>2565</v>
      </c>
      <c r="E3" t="s">
        <v>2890</v>
      </c>
      <c r="F3" t="s">
        <v>2553</v>
      </c>
      <c r="G3" s="27">
        <v>44726</v>
      </c>
      <c r="I3" t="s">
        <v>2593</v>
      </c>
      <c r="J3" s="232">
        <v>1</v>
      </c>
      <c r="K3" s="1" t="s">
        <v>2595</v>
      </c>
      <c r="L3" t="s">
        <v>47</v>
      </c>
      <c r="S3" s="255" t="s">
        <v>3818</v>
      </c>
      <c r="T3" s="255" t="s">
        <v>2553</v>
      </c>
      <c r="U3" s="255" t="s">
        <v>3837</v>
      </c>
      <c r="V3" s="258">
        <v>43031</v>
      </c>
      <c r="W3" s="258">
        <v>43727</v>
      </c>
      <c r="X3" s="255" t="s">
        <v>3840</v>
      </c>
      <c r="Y3" s="255"/>
      <c r="Z3" s="255"/>
    </row>
    <row r="4" spans="1:26" x14ac:dyDescent="0.25">
      <c r="A4" t="s">
        <v>2554</v>
      </c>
      <c r="B4" s="232">
        <v>1</v>
      </c>
      <c r="C4" t="s">
        <v>160</v>
      </c>
      <c r="D4" t="s">
        <v>2565</v>
      </c>
      <c r="E4" t="s">
        <v>2890</v>
      </c>
      <c r="F4" t="s">
        <v>2553</v>
      </c>
      <c r="G4" s="27">
        <v>44726</v>
      </c>
      <c r="I4" t="s">
        <v>2597</v>
      </c>
      <c r="J4" s="232">
        <v>2</v>
      </c>
      <c r="K4" s="1" t="s">
        <v>2596</v>
      </c>
      <c r="L4" t="s">
        <v>1968</v>
      </c>
      <c r="S4" s="255" t="s">
        <v>3816</v>
      </c>
      <c r="T4" s="255" t="s">
        <v>272</v>
      </c>
      <c r="U4" s="255" t="s">
        <v>3837</v>
      </c>
      <c r="V4" s="258">
        <v>44809</v>
      </c>
      <c r="W4" s="258"/>
      <c r="X4" s="255" t="s">
        <v>3838</v>
      </c>
      <c r="Y4" s="255"/>
      <c r="Z4" s="255"/>
    </row>
    <row r="5" spans="1:26" x14ac:dyDescent="0.25">
      <c r="A5" t="s">
        <v>2554</v>
      </c>
      <c r="B5" s="232">
        <v>1</v>
      </c>
      <c r="C5" t="s">
        <v>160</v>
      </c>
      <c r="D5" t="s">
        <v>2565</v>
      </c>
      <c r="E5" t="s">
        <v>2890</v>
      </c>
      <c r="F5" t="s">
        <v>2553</v>
      </c>
      <c r="G5" s="27">
        <v>44726</v>
      </c>
      <c r="I5" t="s">
        <v>2599</v>
      </c>
      <c r="J5" s="232">
        <v>3</v>
      </c>
      <c r="K5" s="1" t="s">
        <v>2598</v>
      </c>
      <c r="L5" t="s">
        <v>47</v>
      </c>
      <c r="S5" s="255" t="s">
        <v>3824</v>
      </c>
      <c r="T5" s="255" t="s">
        <v>3055</v>
      </c>
      <c r="U5" s="255" t="s">
        <v>3837</v>
      </c>
      <c r="V5" s="258">
        <v>42551</v>
      </c>
      <c r="W5" s="258">
        <v>45097</v>
      </c>
      <c r="X5" s="255" t="s">
        <v>3827</v>
      </c>
      <c r="Y5" s="255"/>
      <c r="Z5" s="255"/>
    </row>
    <row r="6" spans="1:26" x14ac:dyDescent="0.25">
      <c r="A6" t="s">
        <v>2554</v>
      </c>
      <c r="B6" s="232">
        <v>1</v>
      </c>
      <c r="C6" t="s">
        <v>160</v>
      </c>
      <c r="D6" t="s">
        <v>2565</v>
      </c>
      <c r="E6" t="s">
        <v>2890</v>
      </c>
      <c r="F6" t="s">
        <v>2553</v>
      </c>
      <c r="G6" s="27">
        <v>44726</v>
      </c>
      <c r="I6" t="s">
        <v>2555</v>
      </c>
      <c r="J6" s="232">
        <v>4</v>
      </c>
      <c r="K6" s="1" t="s">
        <v>2600</v>
      </c>
      <c r="L6" t="s">
        <v>47</v>
      </c>
      <c r="S6" s="256" t="s">
        <v>3816</v>
      </c>
      <c r="T6" s="256" t="s">
        <v>2553</v>
      </c>
      <c r="U6" s="256" t="s">
        <v>818</v>
      </c>
      <c r="V6" s="257">
        <v>43348</v>
      </c>
      <c r="W6" s="257"/>
      <c r="X6" s="256" t="s">
        <v>3821</v>
      </c>
      <c r="Y6" s="256"/>
      <c r="Z6" s="256"/>
    </row>
    <row r="7" spans="1:26" x14ac:dyDescent="0.25">
      <c r="A7" t="s">
        <v>2554</v>
      </c>
      <c r="B7" s="232">
        <v>2</v>
      </c>
      <c r="C7" t="s">
        <v>160</v>
      </c>
      <c r="D7" t="s">
        <v>2565</v>
      </c>
      <c r="E7" t="s">
        <v>2603</v>
      </c>
      <c r="F7" t="s">
        <v>2553</v>
      </c>
      <c r="G7" s="27">
        <v>44726</v>
      </c>
      <c r="I7" t="s">
        <v>2601</v>
      </c>
      <c r="J7" s="232">
        <v>5</v>
      </c>
      <c r="K7" s="1" t="s">
        <v>2602</v>
      </c>
      <c r="L7" t="s">
        <v>47</v>
      </c>
      <c r="S7" s="256" t="s">
        <v>3818</v>
      </c>
      <c r="T7" s="256" t="s">
        <v>2553</v>
      </c>
      <c r="U7" s="256" t="s">
        <v>818</v>
      </c>
      <c r="V7" s="257">
        <v>43348</v>
      </c>
      <c r="W7" s="257"/>
      <c r="X7" s="256" t="s">
        <v>3822</v>
      </c>
      <c r="Y7" s="256"/>
      <c r="Z7" s="256"/>
    </row>
    <row r="8" spans="1:26" x14ac:dyDescent="0.25">
      <c r="A8" t="s">
        <v>2554</v>
      </c>
      <c r="B8" s="232">
        <v>3</v>
      </c>
      <c r="C8" t="s">
        <v>160</v>
      </c>
      <c r="D8" t="s">
        <v>2565</v>
      </c>
      <c r="E8" t="s">
        <v>2604</v>
      </c>
      <c r="F8" t="s">
        <v>2553</v>
      </c>
      <c r="G8" s="27">
        <v>44726</v>
      </c>
      <c r="I8" t="s">
        <v>2605</v>
      </c>
      <c r="J8" s="232">
        <v>6</v>
      </c>
      <c r="K8" s="1" t="s">
        <v>2606</v>
      </c>
      <c r="L8" t="s">
        <v>47</v>
      </c>
      <c r="S8" s="255" t="s">
        <v>3816</v>
      </c>
      <c r="T8" s="255" t="s">
        <v>2553</v>
      </c>
      <c r="U8" s="255" t="s">
        <v>2891</v>
      </c>
      <c r="V8" s="258">
        <v>42558</v>
      </c>
      <c r="W8" s="258"/>
      <c r="X8" s="255" t="s">
        <v>3822</v>
      </c>
      <c r="Y8" s="255"/>
      <c r="Z8" s="255"/>
    </row>
    <row r="9" spans="1:26" x14ac:dyDescent="0.25">
      <c r="A9" t="s">
        <v>2554</v>
      </c>
      <c r="B9" s="232">
        <v>3</v>
      </c>
      <c r="C9" t="s">
        <v>160</v>
      </c>
      <c r="D9" t="s">
        <v>2565</v>
      </c>
      <c r="E9" t="s">
        <v>2604</v>
      </c>
      <c r="F9" t="s">
        <v>2553</v>
      </c>
      <c r="G9" s="27">
        <v>44726</v>
      </c>
      <c r="I9" t="s">
        <v>2607</v>
      </c>
      <c r="J9" s="232">
        <v>7</v>
      </c>
      <c r="K9" s="1" t="s">
        <v>2608</v>
      </c>
      <c r="L9" t="s">
        <v>47</v>
      </c>
      <c r="S9" s="256" t="s">
        <v>3817</v>
      </c>
      <c r="T9" s="256" t="s">
        <v>2553</v>
      </c>
      <c r="U9" s="256" t="s">
        <v>2553</v>
      </c>
      <c r="V9" s="257">
        <v>42739</v>
      </c>
      <c r="W9" s="257"/>
      <c r="X9" s="256" t="s">
        <v>3822</v>
      </c>
      <c r="Y9" s="256"/>
      <c r="Z9" s="256"/>
    </row>
    <row r="10" spans="1:26" x14ac:dyDescent="0.25">
      <c r="A10" t="s">
        <v>2554</v>
      </c>
      <c r="B10" s="232">
        <v>4</v>
      </c>
      <c r="C10" t="s">
        <v>160</v>
      </c>
      <c r="D10" t="s">
        <v>2565</v>
      </c>
      <c r="E10" t="s">
        <v>2609</v>
      </c>
      <c r="F10" t="s">
        <v>2553</v>
      </c>
      <c r="G10" s="27">
        <v>44726</v>
      </c>
      <c r="I10" t="s">
        <v>2610</v>
      </c>
      <c r="J10" s="232">
        <v>8</v>
      </c>
      <c r="K10" s="1" t="s">
        <v>2611</v>
      </c>
      <c r="L10" t="s">
        <v>47</v>
      </c>
      <c r="S10" s="256" t="s">
        <v>3824</v>
      </c>
      <c r="T10" s="256" t="s">
        <v>2553</v>
      </c>
      <c r="U10" s="256" t="s">
        <v>2553</v>
      </c>
      <c r="V10" s="257">
        <v>42485</v>
      </c>
      <c r="W10" s="257"/>
      <c r="X10" s="256" t="s">
        <v>3827</v>
      </c>
      <c r="Y10" s="256"/>
      <c r="Z10" s="256"/>
    </row>
    <row r="11" spans="1:26" x14ac:dyDescent="0.25">
      <c r="A11" t="s">
        <v>2554</v>
      </c>
      <c r="B11" s="232">
        <v>4</v>
      </c>
      <c r="C11" t="s">
        <v>160</v>
      </c>
      <c r="D11" t="s">
        <v>2565</v>
      </c>
      <c r="E11" t="s">
        <v>2609</v>
      </c>
      <c r="F11" t="s">
        <v>2553</v>
      </c>
      <c r="G11" s="27">
        <v>44726</v>
      </c>
      <c r="I11" t="s">
        <v>2612</v>
      </c>
      <c r="J11" s="232">
        <v>9</v>
      </c>
      <c r="K11" s="1" t="s">
        <v>2613</v>
      </c>
      <c r="L11" t="s">
        <v>47</v>
      </c>
      <c r="S11" s="256" t="s">
        <v>3825</v>
      </c>
      <c r="T11" s="256" t="s">
        <v>2553</v>
      </c>
      <c r="U11" s="256" t="s">
        <v>2553</v>
      </c>
      <c r="V11" s="257"/>
      <c r="W11" s="257"/>
      <c r="X11" s="256" t="s">
        <v>3826</v>
      </c>
      <c r="Y11" s="256"/>
      <c r="Z11" s="256"/>
    </row>
    <row r="12" spans="1:26" x14ac:dyDescent="0.25">
      <c r="A12" t="s">
        <v>2554</v>
      </c>
      <c r="B12" s="232">
        <v>4</v>
      </c>
      <c r="C12" t="s">
        <v>160</v>
      </c>
      <c r="D12" t="s">
        <v>2565</v>
      </c>
      <c r="E12" t="s">
        <v>2609</v>
      </c>
      <c r="F12" t="s">
        <v>2553</v>
      </c>
      <c r="G12" s="27">
        <v>44726</v>
      </c>
      <c r="I12" t="s">
        <v>2614</v>
      </c>
      <c r="J12" s="232">
        <v>10</v>
      </c>
      <c r="K12" s="1" t="s">
        <v>2615</v>
      </c>
      <c r="L12" t="s">
        <v>47</v>
      </c>
      <c r="S12" s="255" t="s">
        <v>3818</v>
      </c>
      <c r="T12" s="255" t="s">
        <v>2553</v>
      </c>
      <c r="U12" s="255" t="s">
        <v>3828</v>
      </c>
      <c r="V12" s="258">
        <v>42899</v>
      </c>
      <c r="W12" s="258"/>
      <c r="X12" s="255" t="s">
        <v>3829</v>
      </c>
      <c r="Y12" s="255"/>
      <c r="Z12" s="255"/>
    </row>
    <row r="13" spans="1:26" x14ac:dyDescent="0.25">
      <c r="A13" t="s">
        <v>2554</v>
      </c>
      <c r="B13" s="232">
        <v>4</v>
      </c>
      <c r="C13" t="s">
        <v>160</v>
      </c>
      <c r="D13" t="s">
        <v>2565</v>
      </c>
      <c r="E13" t="s">
        <v>2609</v>
      </c>
      <c r="F13" t="s">
        <v>2553</v>
      </c>
      <c r="G13" s="27">
        <v>44726</v>
      </c>
      <c r="I13" t="s">
        <v>2617</v>
      </c>
      <c r="J13" s="232">
        <v>11</v>
      </c>
      <c r="K13" s="1" t="s">
        <v>2616</v>
      </c>
      <c r="L13" t="s">
        <v>47</v>
      </c>
      <c r="S13" s="256" t="s">
        <v>3816</v>
      </c>
      <c r="T13" s="256" t="s">
        <v>2553</v>
      </c>
      <c r="U13" s="256" t="s">
        <v>240</v>
      </c>
      <c r="V13" s="257">
        <v>44074</v>
      </c>
      <c r="W13" s="257"/>
      <c r="X13" s="256">
        <v>0</v>
      </c>
      <c r="Y13" s="256"/>
      <c r="Z13" s="256"/>
    </row>
    <row r="14" spans="1:26" x14ac:dyDescent="0.25">
      <c r="A14" t="s">
        <v>2554</v>
      </c>
      <c r="B14" s="232">
        <v>4</v>
      </c>
      <c r="C14" t="s">
        <v>160</v>
      </c>
      <c r="D14" t="s">
        <v>2565</v>
      </c>
      <c r="E14" t="s">
        <v>2609</v>
      </c>
      <c r="F14" t="s">
        <v>2553</v>
      </c>
      <c r="G14" s="27">
        <v>44726</v>
      </c>
      <c r="I14" t="s">
        <v>2619</v>
      </c>
      <c r="J14" s="232">
        <v>12</v>
      </c>
      <c r="K14" s="1" t="s">
        <v>2618</v>
      </c>
      <c r="L14" t="s">
        <v>47</v>
      </c>
      <c r="S14" s="256" t="s">
        <v>3818</v>
      </c>
      <c r="T14" s="256" t="s">
        <v>2553</v>
      </c>
      <c r="U14" s="256" t="s">
        <v>240</v>
      </c>
      <c r="V14" s="257">
        <v>43738</v>
      </c>
      <c r="W14" s="257"/>
      <c r="X14" s="256" t="s">
        <v>3829</v>
      </c>
      <c r="Y14" s="256"/>
      <c r="Z14" s="256"/>
    </row>
    <row r="15" spans="1:26" x14ac:dyDescent="0.25">
      <c r="A15" t="s">
        <v>2554</v>
      </c>
      <c r="B15" s="232">
        <v>4</v>
      </c>
      <c r="C15" t="s">
        <v>160</v>
      </c>
      <c r="D15" t="s">
        <v>2565</v>
      </c>
      <c r="E15" t="s">
        <v>2609</v>
      </c>
      <c r="F15" t="s">
        <v>2553</v>
      </c>
      <c r="G15" s="27">
        <v>44726</v>
      </c>
      <c r="I15" t="s">
        <v>2621</v>
      </c>
      <c r="J15" s="232">
        <v>13</v>
      </c>
      <c r="K15" s="1" t="s">
        <v>2620</v>
      </c>
      <c r="L15" t="s">
        <v>47</v>
      </c>
      <c r="S15" s="255" t="s">
        <v>3816</v>
      </c>
      <c r="T15" s="255" t="s">
        <v>2553</v>
      </c>
      <c r="U15" s="255" t="s">
        <v>3831</v>
      </c>
      <c r="V15" s="258">
        <v>42534</v>
      </c>
      <c r="W15" s="258"/>
      <c r="X15" s="255" t="s">
        <v>3829</v>
      </c>
      <c r="Y15" s="255"/>
      <c r="Z15" s="255"/>
    </row>
    <row r="16" spans="1:26" x14ac:dyDescent="0.25">
      <c r="A16" t="s">
        <v>2554</v>
      </c>
      <c r="B16" s="232">
        <v>5</v>
      </c>
      <c r="C16" t="s">
        <v>160</v>
      </c>
      <c r="D16" t="s">
        <v>2565</v>
      </c>
      <c r="E16" t="s">
        <v>2622</v>
      </c>
      <c r="F16" t="s">
        <v>2553</v>
      </c>
      <c r="G16" s="27">
        <v>44726</v>
      </c>
      <c r="I16" t="s">
        <v>2623</v>
      </c>
      <c r="J16" s="232">
        <v>14</v>
      </c>
      <c r="K16" s="1" t="s">
        <v>2624</v>
      </c>
      <c r="L16" t="s">
        <v>1968</v>
      </c>
      <c r="S16" s="255" t="s">
        <v>3818</v>
      </c>
      <c r="T16" s="255" t="s">
        <v>2553</v>
      </c>
      <c r="U16" s="255" t="s">
        <v>3831</v>
      </c>
      <c r="V16" s="258">
        <v>43738</v>
      </c>
      <c r="W16" s="258"/>
      <c r="X16" s="255" t="s">
        <v>3829</v>
      </c>
      <c r="Y16" s="255"/>
      <c r="Z16" s="255"/>
    </row>
    <row r="17" spans="1:26" x14ac:dyDescent="0.25">
      <c r="A17" t="s">
        <v>2554</v>
      </c>
      <c r="B17" s="232">
        <v>5</v>
      </c>
      <c r="C17" t="s">
        <v>160</v>
      </c>
      <c r="D17" t="s">
        <v>2565</v>
      </c>
      <c r="E17" t="s">
        <v>2622</v>
      </c>
      <c r="F17" t="s">
        <v>2553</v>
      </c>
      <c r="G17" s="27">
        <v>44726</v>
      </c>
      <c r="I17" t="s">
        <v>2625</v>
      </c>
      <c r="J17" s="232">
        <v>15</v>
      </c>
      <c r="K17" s="1" t="s">
        <v>2626</v>
      </c>
      <c r="L17" t="s">
        <v>47</v>
      </c>
      <c r="S17" s="255" t="s">
        <v>3832</v>
      </c>
      <c r="T17" s="255" t="s">
        <v>2553</v>
      </c>
      <c r="U17" s="255" t="s">
        <v>3831</v>
      </c>
      <c r="V17" s="258">
        <v>43353</v>
      </c>
      <c r="W17" s="258"/>
      <c r="X17" s="255">
        <v>0</v>
      </c>
      <c r="Y17" s="255"/>
      <c r="Z17" s="255"/>
    </row>
    <row r="18" spans="1:26" ht="17.25" customHeight="1" x14ac:dyDescent="0.25">
      <c r="A18" t="s">
        <v>2554</v>
      </c>
      <c r="B18" s="232">
        <v>5</v>
      </c>
      <c r="C18" t="s">
        <v>160</v>
      </c>
      <c r="D18" t="s">
        <v>2565</v>
      </c>
      <c r="E18" t="s">
        <v>2622</v>
      </c>
      <c r="F18" t="s">
        <v>2553</v>
      </c>
      <c r="G18" s="27">
        <v>44726</v>
      </c>
      <c r="I18" t="s">
        <v>2627</v>
      </c>
      <c r="J18" s="232">
        <v>16</v>
      </c>
      <c r="K18" s="1" t="s">
        <v>2628</v>
      </c>
      <c r="L18" t="s">
        <v>47</v>
      </c>
      <c r="S18" s="256" t="s">
        <v>3816</v>
      </c>
      <c r="T18" s="256" t="s">
        <v>2553</v>
      </c>
      <c r="U18" s="256" t="s">
        <v>2930</v>
      </c>
      <c r="V18" s="257">
        <v>44510</v>
      </c>
      <c r="W18" s="257"/>
      <c r="X18" s="256" t="s">
        <v>3822</v>
      </c>
      <c r="Y18" s="256"/>
      <c r="Z18" s="256"/>
    </row>
    <row r="19" spans="1:26" x14ac:dyDescent="0.25">
      <c r="A19" t="s">
        <v>2554</v>
      </c>
      <c r="B19" s="232">
        <v>6</v>
      </c>
      <c r="C19" t="s">
        <v>160</v>
      </c>
      <c r="D19" t="s">
        <v>2565</v>
      </c>
      <c r="E19" t="s">
        <v>2629</v>
      </c>
      <c r="F19" t="s">
        <v>2553</v>
      </c>
      <c r="G19" s="27">
        <v>44726</v>
      </c>
      <c r="I19" t="s">
        <v>2630</v>
      </c>
      <c r="J19" s="232">
        <v>17</v>
      </c>
      <c r="K19" s="1" t="s">
        <v>2631</v>
      </c>
      <c r="L19" t="s">
        <v>47</v>
      </c>
      <c r="S19" s="256" t="s">
        <v>3818</v>
      </c>
      <c r="T19" s="256" t="s">
        <v>2553</v>
      </c>
      <c r="U19" s="256" t="s">
        <v>2930</v>
      </c>
      <c r="V19" s="257"/>
      <c r="W19" s="257"/>
      <c r="X19" s="256" t="s">
        <v>3829</v>
      </c>
      <c r="Y19" s="256"/>
      <c r="Z19" s="256"/>
    </row>
    <row r="20" spans="1:26" x14ac:dyDescent="0.25">
      <c r="A20" t="s">
        <v>2554</v>
      </c>
      <c r="B20" s="232">
        <v>6</v>
      </c>
      <c r="C20" t="s">
        <v>160</v>
      </c>
      <c r="D20" t="s">
        <v>2565</v>
      </c>
      <c r="E20" t="s">
        <v>2629</v>
      </c>
      <c r="F20" t="s">
        <v>2553</v>
      </c>
      <c r="G20" s="27">
        <v>44726</v>
      </c>
      <c r="I20" t="s">
        <v>2632</v>
      </c>
      <c r="J20" s="232">
        <v>18</v>
      </c>
      <c r="K20" s="1" t="s">
        <v>2633</v>
      </c>
      <c r="L20" t="s">
        <v>47</v>
      </c>
      <c r="S20" s="256" t="s">
        <v>3832</v>
      </c>
      <c r="T20" s="256" t="s">
        <v>2553</v>
      </c>
      <c r="U20" s="256" t="s">
        <v>2930</v>
      </c>
      <c r="V20" s="257"/>
      <c r="W20" s="257"/>
      <c r="X20" s="256">
        <v>0</v>
      </c>
      <c r="Y20" s="256"/>
      <c r="Z20" s="256"/>
    </row>
    <row r="21" spans="1:26" x14ac:dyDescent="0.25">
      <c r="A21" t="s">
        <v>2554</v>
      </c>
      <c r="B21" s="232">
        <v>6</v>
      </c>
      <c r="C21" t="s">
        <v>160</v>
      </c>
      <c r="D21" t="s">
        <v>2565</v>
      </c>
      <c r="E21" t="s">
        <v>2629</v>
      </c>
      <c r="F21" t="s">
        <v>2553</v>
      </c>
      <c r="G21" s="27">
        <v>44726</v>
      </c>
      <c r="I21" t="s">
        <v>2634</v>
      </c>
      <c r="J21" s="232">
        <v>19</v>
      </c>
      <c r="K21" s="1" t="s">
        <v>2635</v>
      </c>
      <c r="L21" t="s">
        <v>47</v>
      </c>
      <c r="S21" s="255" t="s">
        <v>3816</v>
      </c>
      <c r="T21" s="255" t="s">
        <v>2553</v>
      </c>
      <c r="U21" s="255" t="s">
        <v>3833</v>
      </c>
      <c r="V21" s="258" t="s">
        <v>847</v>
      </c>
      <c r="W21" s="258"/>
      <c r="X21" s="255">
        <v>0</v>
      </c>
      <c r="Y21" s="255"/>
      <c r="Z21" s="255"/>
    </row>
    <row r="22" spans="1:26" ht="16.5" customHeight="1" x14ac:dyDescent="0.25">
      <c r="A22" t="s">
        <v>2554</v>
      </c>
      <c r="B22" s="232">
        <v>6</v>
      </c>
      <c r="C22" t="s">
        <v>160</v>
      </c>
      <c r="D22" t="s">
        <v>2565</v>
      </c>
      <c r="E22" t="s">
        <v>2629</v>
      </c>
      <c r="F22" t="s">
        <v>2553</v>
      </c>
      <c r="G22" s="27">
        <v>44726</v>
      </c>
      <c r="I22" t="s">
        <v>2636</v>
      </c>
      <c r="J22" s="232">
        <v>20</v>
      </c>
      <c r="K22" s="1" t="s">
        <v>2637</v>
      </c>
      <c r="L22" t="s">
        <v>47</v>
      </c>
      <c r="S22" s="255" t="s">
        <v>3818</v>
      </c>
      <c r="T22" s="255" t="s">
        <v>2553</v>
      </c>
      <c r="U22" s="255" t="s">
        <v>3833</v>
      </c>
      <c r="V22" s="258">
        <v>42776</v>
      </c>
      <c r="W22" s="258"/>
      <c r="X22" s="255" t="s">
        <v>3834</v>
      </c>
      <c r="Y22" s="255"/>
      <c r="Z22" s="255"/>
    </row>
    <row r="23" spans="1:26" x14ac:dyDescent="0.25">
      <c r="A23" t="s">
        <v>2554</v>
      </c>
      <c r="B23" s="232">
        <v>6</v>
      </c>
      <c r="C23" t="s">
        <v>160</v>
      </c>
      <c r="D23" t="s">
        <v>2565</v>
      </c>
      <c r="E23" t="s">
        <v>2629</v>
      </c>
      <c r="F23" t="s">
        <v>2553</v>
      </c>
      <c r="G23" s="27">
        <v>44726</v>
      </c>
      <c r="I23" t="s">
        <v>2638</v>
      </c>
      <c r="J23" s="232">
        <v>21</v>
      </c>
      <c r="K23" s="1" t="s">
        <v>2639</v>
      </c>
      <c r="L23" t="s">
        <v>47</v>
      </c>
      <c r="S23" s="256" t="s">
        <v>3816</v>
      </c>
      <c r="T23" s="256" t="s">
        <v>272</v>
      </c>
      <c r="U23" s="256" t="s">
        <v>932</v>
      </c>
      <c r="V23" s="257">
        <v>43151</v>
      </c>
      <c r="W23" s="257"/>
      <c r="X23" s="256" t="s">
        <v>3834</v>
      </c>
      <c r="Y23" s="256"/>
      <c r="Z23" s="256"/>
    </row>
    <row r="24" spans="1:26" x14ac:dyDescent="0.25">
      <c r="A24" t="s">
        <v>2554</v>
      </c>
      <c r="B24" s="232">
        <v>6</v>
      </c>
      <c r="C24" t="s">
        <v>160</v>
      </c>
      <c r="D24" t="s">
        <v>2565</v>
      </c>
      <c r="E24" t="s">
        <v>2629</v>
      </c>
      <c r="F24" t="s">
        <v>2553</v>
      </c>
      <c r="G24" s="27">
        <v>44726</v>
      </c>
      <c r="I24" t="s">
        <v>2640</v>
      </c>
      <c r="J24" s="232">
        <v>22</v>
      </c>
      <c r="K24" s="1" t="s">
        <v>2641</v>
      </c>
      <c r="L24" t="s">
        <v>47</v>
      </c>
      <c r="S24" s="256" t="s">
        <v>3816</v>
      </c>
      <c r="T24" s="256" t="s">
        <v>2553</v>
      </c>
      <c r="U24" s="256" t="s">
        <v>932</v>
      </c>
      <c r="V24" s="257">
        <v>42488</v>
      </c>
      <c r="W24" s="257"/>
      <c r="X24" s="256" t="s">
        <v>3835</v>
      </c>
      <c r="Y24" s="256"/>
      <c r="Z24" s="256"/>
    </row>
    <row r="25" spans="1:26" x14ac:dyDescent="0.25">
      <c r="A25" t="s">
        <v>2554</v>
      </c>
      <c r="B25" s="232">
        <v>7</v>
      </c>
      <c r="C25" t="s">
        <v>160</v>
      </c>
      <c r="D25" t="s">
        <v>2565</v>
      </c>
      <c r="E25" t="s">
        <v>2642</v>
      </c>
      <c r="F25" t="s">
        <v>2553</v>
      </c>
      <c r="G25" s="27">
        <v>44726</v>
      </c>
      <c r="I25" t="s">
        <v>2643</v>
      </c>
      <c r="J25" s="232">
        <v>23</v>
      </c>
      <c r="K25" s="1" t="s">
        <v>2645</v>
      </c>
      <c r="L25" t="s">
        <v>47</v>
      </c>
      <c r="S25" s="256" t="s">
        <v>3818</v>
      </c>
      <c r="T25" s="256" t="s">
        <v>2553</v>
      </c>
      <c r="U25" s="256" t="s">
        <v>932</v>
      </c>
      <c r="V25" s="257">
        <v>42767</v>
      </c>
      <c r="W25" s="257"/>
      <c r="X25" s="256">
        <v>0</v>
      </c>
      <c r="Y25" s="256"/>
      <c r="Z25" s="256"/>
    </row>
    <row r="26" spans="1:26" x14ac:dyDescent="0.25">
      <c r="A26" t="s">
        <v>2554</v>
      </c>
      <c r="B26" s="232">
        <v>7</v>
      </c>
      <c r="C26" t="s">
        <v>160</v>
      </c>
      <c r="D26" t="s">
        <v>2565</v>
      </c>
      <c r="E26" t="s">
        <v>2642</v>
      </c>
      <c r="F26" t="s">
        <v>2553</v>
      </c>
      <c r="G26" s="27">
        <v>44726</v>
      </c>
      <c r="I26" t="s">
        <v>2644</v>
      </c>
      <c r="J26" s="232">
        <v>24</v>
      </c>
      <c r="K26" s="1" t="s">
        <v>2646</v>
      </c>
      <c r="L26" t="s">
        <v>1968</v>
      </c>
      <c r="S26" s="255" t="s">
        <v>3816</v>
      </c>
      <c r="T26" s="255" t="s">
        <v>2553</v>
      </c>
      <c r="U26" s="255" t="s">
        <v>3836</v>
      </c>
      <c r="V26" s="258">
        <v>45306</v>
      </c>
      <c r="W26" s="258"/>
      <c r="X26" s="255">
        <v>0</v>
      </c>
      <c r="Y26" s="255"/>
      <c r="Z26" s="255"/>
    </row>
    <row r="27" spans="1:26" x14ac:dyDescent="0.25">
      <c r="A27" t="s">
        <v>2554</v>
      </c>
      <c r="B27" s="232">
        <v>7</v>
      </c>
      <c r="C27" t="s">
        <v>160</v>
      </c>
      <c r="D27" t="s">
        <v>2565</v>
      </c>
      <c r="E27" t="s">
        <v>2642</v>
      </c>
      <c r="F27" t="s">
        <v>2553</v>
      </c>
      <c r="G27" s="27">
        <v>44726</v>
      </c>
      <c r="I27" t="s">
        <v>2647</v>
      </c>
      <c r="J27" s="232">
        <v>25</v>
      </c>
      <c r="K27" s="1" t="s">
        <v>2648</v>
      </c>
      <c r="L27" t="s">
        <v>1968</v>
      </c>
      <c r="S27" s="255" t="s">
        <v>3818</v>
      </c>
      <c r="T27" s="255" t="s">
        <v>2553</v>
      </c>
      <c r="U27" s="255" t="s">
        <v>3836</v>
      </c>
      <c r="V27" s="258">
        <v>42782</v>
      </c>
      <c r="W27" s="258"/>
      <c r="X27" s="255">
        <v>0</v>
      </c>
      <c r="Y27" s="255"/>
      <c r="Z27" s="255"/>
    </row>
    <row r="28" spans="1:26" x14ac:dyDescent="0.25">
      <c r="A28" t="s">
        <v>2554</v>
      </c>
      <c r="B28" s="232">
        <v>7</v>
      </c>
      <c r="C28" t="s">
        <v>160</v>
      </c>
      <c r="D28" t="s">
        <v>2565</v>
      </c>
      <c r="E28" t="s">
        <v>2642</v>
      </c>
      <c r="F28" t="s">
        <v>2553</v>
      </c>
      <c r="G28" s="27">
        <v>44726</v>
      </c>
      <c r="I28" t="s">
        <v>2649</v>
      </c>
      <c r="J28" s="232">
        <v>26</v>
      </c>
      <c r="K28" s="1" t="s">
        <v>2650</v>
      </c>
      <c r="L28" t="s">
        <v>47</v>
      </c>
      <c r="S28" s="256" t="s">
        <v>3816</v>
      </c>
      <c r="T28" s="256" t="s">
        <v>272</v>
      </c>
      <c r="U28" s="256" t="s">
        <v>932</v>
      </c>
      <c r="V28" s="257">
        <v>43151</v>
      </c>
      <c r="W28" s="257"/>
      <c r="X28" s="256" t="s">
        <v>3834</v>
      </c>
      <c r="Y28" s="256"/>
      <c r="Z28" s="256"/>
    </row>
    <row r="29" spans="1:26" ht="18.75" customHeight="1" x14ac:dyDescent="0.25">
      <c r="A29" t="s">
        <v>2554</v>
      </c>
      <c r="B29" s="232">
        <v>7</v>
      </c>
      <c r="C29" t="s">
        <v>160</v>
      </c>
      <c r="D29" t="s">
        <v>2565</v>
      </c>
      <c r="E29" t="s">
        <v>2642</v>
      </c>
      <c r="F29" t="s">
        <v>2553</v>
      </c>
      <c r="G29" s="27">
        <v>44726</v>
      </c>
      <c r="I29" t="s">
        <v>2651</v>
      </c>
      <c r="J29" s="232">
        <v>27</v>
      </c>
      <c r="K29" s="1" t="s">
        <v>2652</v>
      </c>
      <c r="L29" t="s">
        <v>1968</v>
      </c>
      <c r="S29" s="256" t="s">
        <v>3816</v>
      </c>
      <c r="T29" s="256" t="s">
        <v>2553</v>
      </c>
      <c r="U29" s="256" t="s">
        <v>932</v>
      </c>
      <c r="V29" s="257">
        <v>42488</v>
      </c>
      <c r="W29" s="257"/>
      <c r="X29" s="256" t="s">
        <v>3835</v>
      </c>
      <c r="Y29" s="256"/>
      <c r="Z29" s="256"/>
    </row>
    <row r="30" spans="1:26" x14ac:dyDescent="0.25">
      <c r="A30" t="s">
        <v>2554</v>
      </c>
      <c r="B30" s="232">
        <v>7</v>
      </c>
      <c r="C30" t="s">
        <v>160</v>
      </c>
      <c r="D30" t="s">
        <v>2565</v>
      </c>
      <c r="E30" t="s">
        <v>2642</v>
      </c>
      <c r="F30" t="s">
        <v>2553</v>
      </c>
      <c r="G30" s="27">
        <v>44726</v>
      </c>
      <c r="I30" t="s">
        <v>2653</v>
      </c>
      <c r="J30" s="232">
        <v>28</v>
      </c>
      <c r="K30" s="1" t="s">
        <v>2654</v>
      </c>
      <c r="L30" t="s">
        <v>1968</v>
      </c>
      <c r="S30" s="256" t="s">
        <v>3818</v>
      </c>
      <c r="T30" s="256" t="s">
        <v>2553</v>
      </c>
      <c r="U30" s="256" t="s">
        <v>932</v>
      </c>
      <c r="V30" s="257">
        <v>42767</v>
      </c>
      <c r="W30" s="257"/>
      <c r="X30" s="256">
        <v>0</v>
      </c>
      <c r="Y30" s="256"/>
      <c r="Z30" s="256"/>
    </row>
    <row r="31" spans="1:26" x14ac:dyDescent="0.25">
      <c r="A31" t="s">
        <v>2554</v>
      </c>
      <c r="B31" s="232">
        <v>7</v>
      </c>
      <c r="C31" t="s">
        <v>160</v>
      </c>
      <c r="D31" t="s">
        <v>2565</v>
      </c>
      <c r="E31" t="s">
        <v>2642</v>
      </c>
      <c r="F31" t="s">
        <v>2553</v>
      </c>
      <c r="G31" s="27">
        <v>44726</v>
      </c>
      <c r="I31" t="s">
        <v>2655</v>
      </c>
      <c r="J31" s="232">
        <v>29</v>
      </c>
      <c r="K31" s="1" t="s">
        <v>2656</v>
      </c>
      <c r="L31" t="s">
        <v>47</v>
      </c>
      <c r="S31" s="255" t="s">
        <v>3818</v>
      </c>
      <c r="T31" s="255" t="s">
        <v>2553</v>
      </c>
      <c r="U31" s="255" t="s">
        <v>3819</v>
      </c>
      <c r="V31" s="258">
        <v>43313</v>
      </c>
      <c r="W31" s="258"/>
      <c r="X31" s="255">
        <v>0</v>
      </c>
      <c r="Y31" s="255"/>
      <c r="Z31" s="255"/>
    </row>
    <row r="32" spans="1:26" x14ac:dyDescent="0.25">
      <c r="A32" t="s">
        <v>2554</v>
      </c>
      <c r="B32" s="232">
        <v>7</v>
      </c>
      <c r="C32" t="s">
        <v>160</v>
      </c>
      <c r="D32" t="s">
        <v>2565</v>
      </c>
      <c r="E32" t="s">
        <v>2642</v>
      </c>
      <c r="F32" t="s">
        <v>2553</v>
      </c>
      <c r="G32" s="27">
        <v>44726</v>
      </c>
      <c r="I32" t="s">
        <v>2657</v>
      </c>
      <c r="J32" s="232">
        <v>30</v>
      </c>
      <c r="K32" s="1" t="s">
        <v>2658</v>
      </c>
      <c r="L32" t="s">
        <v>47</v>
      </c>
      <c r="S32" s="256" t="s">
        <v>3841</v>
      </c>
      <c r="T32" s="256" t="s">
        <v>272</v>
      </c>
      <c r="U32" s="256" t="s">
        <v>3842</v>
      </c>
      <c r="V32" s="257">
        <v>43454</v>
      </c>
      <c r="W32" s="257">
        <v>45198</v>
      </c>
      <c r="X32" s="256" t="s">
        <v>3835</v>
      </c>
      <c r="Y32" s="256"/>
      <c r="Z32" s="256"/>
    </row>
    <row r="33" spans="1:26" x14ac:dyDescent="0.25">
      <c r="A33" t="s">
        <v>2554</v>
      </c>
      <c r="B33" s="232">
        <v>7</v>
      </c>
      <c r="C33" t="s">
        <v>160</v>
      </c>
      <c r="D33" t="s">
        <v>2565</v>
      </c>
      <c r="E33" t="s">
        <v>2642</v>
      </c>
      <c r="F33" t="s">
        <v>2553</v>
      </c>
      <c r="G33" s="27">
        <v>44726</v>
      </c>
      <c r="I33" t="s">
        <v>2659</v>
      </c>
      <c r="J33" s="232">
        <v>31</v>
      </c>
      <c r="K33" s="1" t="s">
        <v>2660</v>
      </c>
      <c r="L33" t="s">
        <v>47</v>
      </c>
      <c r="S33" s="256" t="s">
        <v>3841</v>
      </c>
      <c r="T33" s="256" t="s">
        <v>3055</v>
      </c>
      <c r="U33" s="256" t="s">
        <v>3842</v>
      </c>
      <c r="V33" s="257">
        <v>42531</v>
      </c>
      <c r="W33" s="257">
        <v>43260</v>
      </c>
      <c r="X33" s="256" t="s">
        <v>3835</v>
      </c>
      <c r="Y33" s="256"/>
      <c r="Z33" s="256"/>
    </row>
    <row r="34" spans="1:26" x14ac:dyDescent="0.25">
      <c r="A34" t="s">
        <v>2554</v>
      </c>
      <c r="B34" s="232">
        <v>8</v>
      </c>
      <c r="C34" t="s">
        <v>160</v>
      </c>
      <c r="D34" t="s">
        <v>2565</v>
      </c>
      <c r="E34" t="s">
        <v>2661</v>
      </c>
      <c r="F34" t="s">
        <v>2553</v>
      </c>
      <c r="G34" s="27">
        <v>44726</v>
      </c>
      <c r="I34" t="s">
        <v>2663</v>
      </c>
      <c r="J34" s="232">
        <v>32</v>
      </c>
      <c r="K34" s="1" t="s">
        <v>2662</v>
      </c>
      <c r="L34" t="s">
        <v>47</v>
      </c>
      <c r="S34" s="255" t="s">
        <v>3846</v>
      </c>
      <c r="T34" s="255" t="s">
        <v>272</v>
      </c>
      <c r="U34" s="255" t="s">
        <v>3843</v>
      </c>
      <c r="V34" s="258">
        <v>45009</v>
      </c>
      <c r="W34" s="258">
        <v>45383</v>
      </c>
      <c r="X34" s="255" t="s">
        <v>3847</v>
      </c>
      <c r="Y34" s="255"/>
      <c r="Z34" s="255"/>
    </row>
    <row r="35" spans="1:26" x14ac:dyDescent="0.25">
      <c r="A35" t="s">
        <v>2554</v>
      </c>
      <c r="B35" s="232">
        <v>8</v>
      </c>
      <c r="C35" t="s">
        <v>160</v>
      </c>
      <c r="D35" t="s">
        <v>2565</v>
      </c>
      <c r="E35" t="s">
        <v>2661</v>
      </c>
      <c r="F35" t="s">
        <v>2553</v>
      </c>
      <c r="G35" s="27">
        <v>44726</v>
      </c>
      <c r="I35" t="s">
        <v>2664</v>
      </c>
      <c r="J35" s="232">
        <v>33</v>
      </c>
      <c r="K35" s="1" t="s">
        <v>2666</v>
      </c>
      <c r="L35" t="s">
        <v>47</v>
      </c>
      <c r="S35" s="255" t="s">
        <v>3816</v>
      </c>
      <c r="T35" s="255" t="s">
        <v>272</v>
      </c>
      <c r="U35" s="255" t="s">
        <v>3843</v>
      </c>
      <c r="V35" s="258">
        <v>42535</v>
      </c>
      <c r="W35" s="258">
        <v>44320</v>
      </c>
      <c r="X35" s="255" t="s">
        <v>3844</v>
      </c>
      <c r="Y35" s="258"/>
      <c r="Z35" s="258"/>
    </row>
    <row r="36" spans="1:26" x14ac:dyDescent="0.25">
      <c r="A36" t="s">
        <v>2554</v>
      </c>
      <c r="B36" s="232">
        <v>8</v>
      </c>
      <c r="C36" t="s">
        <v>160</v>
      </c>
      <c r="D36" t="s">
        <v>2565</v>
      </c>
      <c r="E36" t="s">
        <v>2661</v>
      </c>
      <c r="F36" t="s">
        <v>2553</v>
      </c>
      <c r="G36" s="27">
        <v>44726</v>
      </c>
      <c r="I36" t="s">
        <v>2665</v>
      </c>
      <c r="J36" s="232">
        <v>34</v>
      </c>
      <c r="K36" s="1" t="s">
        <v>2667</v>
      </c>
      <c r="L36" t="s">
        <v>47</v>
      </c>
      <c r="S36" s="255" t="s">
        <v>3824</v>
      </c>
      <c r="T36" s="255" t="s">
        <v>272</v>
      </c>
      <c r="U36" s="255" t="s">
        <v>3843</v>
      </c>
      <c r="V36" s="258">
        <v>43685</v>
      </c>
      <c r="W36" s="258">
        <v>45056</v>
      </c>
      <c r="X36" s="255" t="s">
        <v>3845</v>
      </c>
      <c r="Y36" s="255"/>
      <c r="Z36" s="255"/>
    </row>
    <row r="37" spans="1:26" x14ac:dyDescent="0.25">
      <c r="A37" t="s">
        <v>2554</v>
      </c>
      <c r="B37" s="232">
        <v>9</v>
      </c>
      <c r="C37" t="s">
        <v>160</v>
      </c>
      <c r="D37" t="s">
        <v>2565</v>
      </c>
      <c r="E37" t="s">
        <v>2668</v>
      </c>
      <c r="F37" t="s">
        <v>2553</v>
      </c>
      <c r="G37" s="27">
        <v>44726</v>
      </c>
      <c r="I37" t="s">
        <v>2669</v>
      </c>
      <c r="J37" s="232">
        <v>35</v>
      </c>
      <c r="K37" s="1" t="s">
        <v>2670</v>
      </c>
      <c r="L37" t="s">
        <v>47</v>
      </c>
      <c r="S37" s="255" t="s">
        <v>3818</v>
      </c>
      <c r="T37" s="255" t="s">
        <v>2553</v>
      </c>
      <c r="U37" s="255" t="s">
        <v>272</v>
      </c>
      <c r="V37" s="258">
        <v>43936</v>
      </c>
      <c r="W37" s="258">
        <v>44664</v>
      </c>
      <c r="X37" s="255" t="s">
        <v>3829</v>
      </c>
      <c r="Y37" s="255"/>
      <c r="Z37" s="255"/>
    </row>
    <row r="38" spans="1:26" x14ac:dyDescent="0.25">
      <c r="A38" t="s">
        <v>2554</v>
      </c>
      <c r="B38" s="232">
        <v>9</v>
      </c>
      <c r="C38" t="s">
        <v>160</v>
      </c>
      <c r="D38" t="s">
        <v>2565</v>
      </c>
      <c r="E38" t="s">
        <v>2677</v>
      </c>
      <c r="F38" t="s">
        <v>2553</v>
      </c>
      <c r="G38" s="27">
        <v>44726</v>
      </c>
      <c r="I38" t="s">
        <v>2671</v>
      </c>
      <c r="J38" s="232">
        <v>36</v>
      </c>
      <c r="K38" s="1" t="s">
        <v>2672</v>
      </c>
      <c r="L38" t="s">
        <v>47</v>
      </c>
      <c r="S38" s="255" t="s">
        <v>3816</v>
      </c>
      <c r="T38" s="255" t="s">
        <v>2553</v>
      </c>
      <c r="U38" s="255" t="s">
        <v>272</v>
      </c>
      <c r="V38" s="258">
        <v>43936</v>
      </c>
      <c r="W38" s="258"/>
      <c r="X38" s="255">
        <v>0</v>
      </c>
      <c r="Y38" s="255"/>
      <c r="Z38" s="255"/>
    </row>
    <row r="39" spans="1:26" x14ac:dyDescent="0.25">
      <c r="A39" t="s">
        <v>2554</v>
      </c>
      <c r="B39" s="232">
        <v>9</v>
      </c>
      <c r="C39" t="s">
        <v>160</v>
      </c>
      <c r="D39" t="s">
        <v>2565</v>
      </c>
      <c r="E39" t="s">
        <v>2678</v>
      </c>
      <c r="F39" t="s">
        <v>2553</v>
      </c>
      <c r="G39" s="27">
        <v>44726</v>
      </c>
      <c r="I39" t="s">
        <v>2673</v>
      </c>
      <c r="J39" s="232">
        <v>37</v>
      </c>
      <c r="K39" s="1" t="s">
        <v>2674</v>
      </c>
      <c r="L39" t="s">
        <v>1968</v>
      </c>
      <c r="S39" s="256" t="s">
        <v>3818</v>
      </c>
      <c r="T39" s="256" t="s">
        <v>3850</v>
      </c>
      <c r="U39" s="256" t="s">
        <v>3848</v>
      </c>
      <c r="V39" s="257">
        <v>44389</v>
      </c>
      <c r="W39" s="257"/>
      <c r="X39" s="256" t="s">
        <v>3822</v>
      </c>
      <c r="Y39" s="256"/>
      <c r="Z39" s="256"/>
    </row>
    <row r="40" spans="1:26" x14ac:dyDescent="0.25">
      <c r="A40" t="s">
        <v>2554</v>
      </c>
      <c r="B40" s="232">
        <v>9</v>
      </c>
      <c r="C40" t="s">
        <v>160</v>
      </c>
      <c r="D40" t="s">
        <v>2565</v>
      </c>
      <c r="E40" t="s">
        <v>2678</v>
      </c>
      <c r="F40" t="s">
        <v>2553</v>
      </c>
      <c r="G40" s="27">
        <v>44726</v>
      </c>
      <c r="I40" t="s">
        <v>2675</v>
      </c>
      <c r="J40" s="232">
        <v>38</v>
      </c>
      <c r="K40" s="1" t="s">
        <v>2676</v>
      </c>
      <c r="L40" t="s">
        <v>1968</v>
      </c>
      <c r="S40" s="256" t="s">
        <v>3818</v>
      </c>
      <c r="T40" s="256" t="s">
        <v>3849</v>
      </c>
      <c r="U40" s="256" t="s">
        <v>3848</v>
      </c>
      <c r="V40" s="257">
        <v>44300</v>
      </c>
      <c r="W40" s="257"/>
      <c r="X40" s="256" t="s">
        <v>3851</v>
      </c>
      <c r="Y40" s="256"/>
      <c r="Z40" s="256"/>
    </row>
    <row r="41" spans="1:26" x14ac:dyDescent="0.25">
      <c r="A41" t="s">
        <v>2554</v>
      </c>
      <c r="B41" s="232">
        <v>9</v>
      </c>
      <c r="C41" t="s">
        <v>160</v>
      </c>
      <c r="D41" t="s">
        <v>2565</v>
      </c>
      <c r="E41" t="s">
        <v>2678</v>
      </c>
      <c r="F41" t="s">
        <v>2553</v>
      </c>
      <c r="G41" s="27">
        <v>44726</v>
      </c>
      <c r="I41" t="s">
        <v>2679</v>
      </c>
      <c r="J41" s="232">
        <v>39</v>
      </c>
      <c r="K41" s="1" t="s">
        <v>2680</v>
      </c>
      <c r="L41" t="s">
        <v>1968</v>
      </c>
      <c r="S41" s="256" t="s">
        <v>3818</v>
      </c>
      <c r="T41" s="256" t="s">
        <v>272</v>
      </c>
      <c r="U41" s="256" t="s">
        <v>3848</v>
      </c>
      <c r="V41" s="257">
        <v>44421</v>
      </c>
      <c r="W41" s="257"/>
      <c r="X41" s="256">
        <v>0</v>
      </c>
      <c r="Y41" s="256"/>
      <c r="Z41" s="256"/>
    </row>
    <row r="42" spans="1:26" x14ac:dyDescent="0.25">
      <c r="A42" t="s">
        <v>2554</v>
      </c>
      <c r="B42" s="232">
        <v>9</v>
      </c>
      <c r="C42" t="s">
        <v>160</v>
      </c>
      <c r="D42" t="s">
        <v>2565</v>
      </c>
      <c r="E42" t="s">
        <v>2668</v>
      </c>
      <c r="F42" t="s">
        <v>2553</v>
      </c>
      <c r="G42" s="27">
        <v>44726</v>
      </c>
      <c r="I42" t="s">
        <v>2681</v>
      </c>
      <c r="J42" s="232">
        <v>40</v>
      </c>
      <c r="K42" s="1" t="s">
        <v>2682</v>
      </c>
      <c r="L42" t="s">
        <v>47</v>
      </c>
      <c r="S42" s="256" t="s">
        <v>3818</v>
      </c>
      <c r="T42" s="256" t="s">
        <v>3852</v>
      </c>
      <c r="U42" s="256" t="s">
        <v>3848</v>
      </c>
      <c r="V42" s="257">
        <v>43252</v>
      </c>
      <c r="W42" s="257">
        <v>43739</v>
      </c>
      <c r="X42" s="256" t="s">
        <v>3851</v>
      </c>
      <c r="Y42" s="256"/>
      <c r="Z42" s="256"/>
    </row>
    <row r="43" spans="1:26" x14ac:dyDescent="0.25">
      <c r="A43" t="s">
        <v>2554</v>
      </c>
      <c r="B43" s="232">
        <v>9</v>
      </c>
      <c r="C43" t="s">
        <v>160</v>
      </c>
      <c r="D43" t="s">
        <v>2565</v>
      </c>
      <c r="E43" t="s">
        <v>2668</v>
      </c>
      <c r="F43" t="s">
        <v>2553</v>
      </c>
      <c r="G43" s="27">
        <v>44726</v>
      </c>
      <c r="I43" t="s">
        <v>2683</v>
      </c>
      <c r="J43" s="232">
        <v>41</v>
      </c>
      <c r="K43" s="1" t="s">
        <v>2684</v>
      </c>
      <c r="L43" t="s">
        <v>47</v>
      </c>
      <c r="S43" s="255" t="s">
        <v>3818</v>
      </c>
      <c r="T43" s="255" t="s">
        <v>932</v>
      </c>
      <c r="U43" s="255" t="s">
        <v>3853</v>
      </c>
      <c r="V43" s="258">
        <v>42804</v>
      </c>
      <c r="W43" s="258"/>
      <c r="X43" s="255">
        <v>0</v>
      </c>
      <c r="Y43" s="255"/>
      <c r="Z43" s="255"/>
    </row>
    <row r="44" spans="1:26" x14ac:dyDescent="0.25">
      <c r="A44" t="s">
        <v>2554</v>
      </c>
      <c r="B44" s="232">
        <v>9</v>
      </c>
      <c r="C44" t="s">
        <v>160</v>
      </c>
      <c r="D44" t="s">
        <v>2565</v>
      </c>
      <c r="E44" t="s">
        <v>2668</v>
      </c>
      <c r="F44" t="s">
        <v>2553</v>
      </c>
      <c r="G44" s="27">
        <v>44726</v>
      </c>
      <c r="I44" t="s">
        <v>2685</v>
      </c>
      <c r="J44" s="232">
        <v>42</v>
      </c>
      <c r="K44" s="1" t="s">
        <v>2686</v>
      </c>
      <c r="L44" t="s">
        <v>47</v>
      </c>
      <c r="S44" s="256" t="s">
        <v>3818</v>
      </c>
      <c r="T44" s="256" t="s">
        <v>3854</v>
      </c>
      <c r="U44" s="256" t="s">
        <v>3855</v>
      </c>
      <c r="V44" s="257">
        <v>42858</v>
      </c>
      <c r="W44" s="257"/>
      <c r="X44" s="256">
        <v>0</v>
      </c>
      <c r="Y44" s="256"/>
      <c r="Z44" s="256"/>
    </row>
    <row r="45" spans="1:26" x14ac:dyDescent="0.25">
      <c r="A45" t="s">
        <v>2554</v>
      </c>
      <c r="B45" s="232">
        <v>9</v>
      </c>
      <c r="C45" t="s">
        <v>160</v>
      </c>
      <c r="D45" t="s">
        <v>2565</v>
      </c>
      <c r="E45" t="s">
        <v>2668</v>
      </c>
      <c r="F45" t="s">
        <v>2553</v>
      </c>
      <c r="G45" s="27">
        <v>44726</v>
      </c>
      <c r="I45" t="s">
        <v>2687</v>
      </c>
      <c r="J45" s="232">
        <v>43</v>
      </c>
      <c r="K45" s="1" t="s">
        <v>2688</v>
      </c>
      <c r="L45" t="s">
        <v>47</v>
      </c>
      <c r="S45" s="255" t="s">
        <v>3816</v>
      </c>
      <c r="T45" s="255" t="s">
        <v>2553</v>
      </c>
      <c r="U45" s="255" t="s">
        <v>3206</v>
      </c>
      <c r="V45" s="258">
        <v>42730</v>
      </c>
      <c r="W45" s="258">
        <v>42898</v>
      </c>
      <c r="X45" s="255" t="s">
        <v>3822</v>
      </c>
      <c r="Y45" s="255"/>
      <c r="Z45" s="255"/>
    </row>
    <row r="46" spans="1:26" x14ac:dyDescent="0.25">
      <c r="A46" t="s">
        <v>2554</v>
      </c>
      <c r="B46" s="232">
        <v>9</v>
      </c>
      <c r="C46" t="s">
        <v>160</v>
      </c>
      <c r="D46" t="s">
        <v>2565</v>
      </c>
      <c r="E46" t="s">
        <v>2668</v>
      </c>
      <c r="F46" t="s">
        <v>2553</v>
      </c>
      <c r="G46" s="27">
        <v>44726</v>
      </c>
      <c r="I46" t="s">
        <v>2689</v>
      </c>
      <c r="J46" s="232">
        <v>44</v>
      </c>
      <c r="K46" s="1" t="s">
        <v>2690</v>
      </c>
      <c r="L46" t="s">
        <v>47</v>
      </c>
      <c r="S46" s="256" t="s">
        <v>3816</v>
      </c>
      <c r="T46" s="256" t="s">
        <v>272</v>
      </c>
      <c r="U46" s="256" t="s">
        <v>3856</v>
      </c>
      <c r="V46" s="257">
        <v>43999</v>
      </c>
      <c r="W46" s="257"/>
      <c r="X46" s="256">
        <v>0</v>
      </c>
      <c r="Y46" s="256"/>
      <c r="Z46" s="256"/>
    </row>
    <row r="47" spans="1:26" ht="15" customHeight="1" x14ac:dyDescent="0.25">
      <c r="A47" t="s">
        <v>2554</v>
      </c>
      <c r="B47" s="232">
        <v>9</v>
      </c>
      <c r="C47" t="s">
        <v>160</v>
      </c>
      <c r="D47" t="s">
        <v>2565</v>
      </c>
      <c r="E47" t="s">
        <v>2668</v>
      </c>
      <c r="F47" t="s">
        <v>2553</v>
      </c>
      <c r="G47" s="27">
        <v>44726</v>
      </c>
      <c r="I47" t="s">
        <v>2691</v>
      </c>
      <c r="J47" s="232">
        <v>45</v>
      </c>
      <c r="K47" s="1" t="s">
        <v>3560</v>
      </c>
      <c r="L47" t="s">
        <v>47</v>
      </c>
      <c r="S47" s="255" t="s">
        <v>3818</v>
      </c>
      <c r="T47" s="255" t="s">
        <v>2553</v>
      </c>
      <c r="U47" s="255" t="s">
        <v>3852</v>
      </c>
      <c r="V47" s="258">
        <v>42996</v>
      </c>
      <c r="W47" s="258">
        <v>43647</v>
      </c>
      <c r="X47" s="255" t="s">
        <v>3822</v>
      </c>
      <c r="Y47" s="255"/>
      <c r="Z47" s="255"/>
    </row>
    <row r="48" spans="1:26" x14ac:dyDescent="0.25">
      <c r="A48" t="s">
        <v>2554</v>
      </c>
      <c r="B48" s="232">
        <v>9</v>
      </c>
      <c r="C48" t="s">
        <v>160</v>
      </c>
      <c r="D48" t="s">
        <v>2565</v>
      </c>
      <c r="E48" t="s">
        <v>2668</v>
      </c>
      <c r="F48" t="s">
        <v>2553</v>
      </c>
      <c r="G48" s="27">
        <v>44726</v>
      </c>
      <c r="I48" t="s">
        <v>2692</v>
      </c>
      <c r="J48" s="232">
        <v>46</v>
      </c>
      <c r="K48" s="1" t="s">
        <v>2693</v>
      </c>
      <c r="L48" t="s">
        <v>47</v>
      </c>
      <c r="S48" s="255" t="s">
        <v>3816</v>
      </c>
      <c r="T48" s="255" t="s">
        <v>2553</v>
      </c>
      <c r="U48" s="255" t="s">
        <v>3852</v>
      </c>
      <c r="V48" s="258">
        <v>42615</v>
      </c>
      <c r="W48" s="258">
        <v>42663</v>
      </c>
      <c r="X48" s="255" t="s">
        <v>3829</v>
      </c>
      <c r="Y48" s="255"/>
      <c r="Z48" s="255"/>
    </row>
    <row r="49" spans="1:26" x14ac:dyDescent="0.25">
      <c r="A49" t="s">
        <v>2554</v>
      </c>
      <c r="B49" s="232">
        <v>9</v>
      </c>
      <c r="C49" t="s">
        <v>160</v>
      </c>
      <c r="D49" t="s">
        <v>2565</v>
      </c>
      <c r="E49" t="s">
        <v>2668</v>
      </c>
      <c r="F49" t="s">
        <v>2553</v>
      </c>
      <c r="G49" s="27">
        <v>44726</v>
      </c>
      <c r="I49" t="s">
        <v>2694</v>
      </c>
      <c r="J49" s="232">
        <v>47</v>
      </c>
      <c r="K49" s="1" t="s">
        <v>2695</v>
      </c>
      <c r="L49" t="s">
        <v>47</v>
      </c>
      <c r="S49" s="256" t="s">
        <v>3816</v>
      </c>
      <c r="T49" s="256" t="s">
        <v>2553</v>
      </c>
      <c r="U49" s="256" t="s">
        <v>3857</v>
      </c>
      <c r="V49" s="257">
        <v>42550</v>
      </c>
      <c r="W49" s="257"/>
      <c r="X49" s="256">
        <v>0</v>
      </c>
      <c r="Y49" s="256"/>
      <c r="Z49" s="256"/>
    </row>
    <row r="50" spans="1:26" x14ac:dyDescent="0.25">
      <c r="A50" t="s">
        <v>2554</v>
      </c>
      <c r="B50" s="232">
        <v>9</v>
      </c>
      <c r="C50" t="s">
        <v>160</v>
      </c>
      <c r="D50" t="s">
        <v>2565</v>
      </c>
      <c r="E50" t="s">
        <v>2668</v>
      </c>
      <c r="F50" t="s">
        <v>2553</v>
      </c>
      <c r="G50" s="27">
        <v>44726</v>
      </c>
      <c r="I50" t="s">
        <v>2696</v>
      </c>
      <c r="J50" s="232">
        <v>48</v>
      </c>
      <c r="K50" s="1" t="s">
        <v>2697</v>
      </c>
      <c r="L50" t="s">
        <v>47</v>
      </c>
      <c r="S50" s="256" t="s">
        <v>3818</v>
      </c>
      <c r="T50" s="256" t="s">
        <v>2553</v>
      </c>
      <c r="U50" s="256" t="s">
        <v>3857</v>
      </c>
      <c r="V50" s="257">
        <v>42929</v>
      </c>
      <c r="W50" s="257">
        <v>43634</v>
      </c>
      <c r="X50" s="256" t="s">
        <v>3822</v>
      </c>
      <c r="Y50" s="256"/>
      <c r="Z50" s="256"/>
    </row>
    <row r="51" spans="1:26" x14ac:dyDescent="0.25">
      <c r="A51" t="s">
        <v>2554</v>
      </c>
      <c r="B51" s="232">
        <v>9</v>
      </c>
      <c r="C51" t="s">
        <v>160</v>
      </c>
      <c r="D51" t="s">
        <v>2565</v>
      </c>
      <c r="E51" t="s">
        <v>2668</v>
      </c>
      <c r="F51" t="s">
        <v>2553</v>
      </c>
      <c r="G51" s="27">
        <v>44726</v>
      </c>
      <c r="I51" t="s">
        <v>2698</v>
      </c>
      <c r="J51" s="232">
        <v>49</v>
      </c>
      <c r="K51" s="1" t="s">
        <v>2699</v>
      </c>
      <c r="L51" t="s">
        <v>47</v>
      </c>
      <c r="S51" s="255" t="s">
        <v>3818</v>
      </c>
      <c r="T51" s="255" t="s">
        <v>2553</v>
      </c>
      <c r="U51" s="255" t="s">
        <v>273</v>
      </c>
      <c r="V51" s="258">
        <v>43031</v>
      </c>
      <c r="W51" s="258"/>
      <c r="X51" s="255">
        <v>0</v>
      </c>
      <c r="Y51" s="255"/>
      <c r="Z51" s="255"/>
    </row>
    <row r="52" spans="1:26" ht="12.75" customHeight="1" x14ac:dyDescent="0.25">
      <c r="A52" t="s">
        <v>2554</v>
      </c>
      <c r="B52" s="232">
        <v>10</v>
      </c>
      <c r="C52" t="s">
        <v>160</v>
      </c>
      <c r="D52" t="s">
        <v>2565</v>
      </c>
      <c r="E52" s="50" t="s">
        <v>2700</v>
      </c>
      <c r="F52" t="s">
        <v>2553</v>
      </c>
      <c r="G52" s="27">
        <v>44726</v>
      </c>
      <c r="J52" s="232">
        <v>50</v>
      </c>
      <c r="K52" s="1" t="s">
        <v>2701</v>
      </c>
      <c r="L52" t="s">
        <v>47</v>
      </c>
      <c r="S52" s="255" t="s">
        <v>3816</v>
      </c>
      <c r="T52" s="255" t="s">
        <v>2553</v>
      </c>
      <c r="U52" s="255" t="s">
        <v>273</v>
      </c>
      <c r="V52" s="258">
        <v>42986</v>
      </c>
      <c r="W52" s="258"/>
      <c r="X52" s="255">
        <v>0</v>
      </c>
      <c r="Y52" s="255"/>
      <c r="Z52" s="255"/>
    </row>
    <row r="53" spans="1:26" ht="14.25" customHeight="1" x14ac:dyDescent="0.25">
      <c r="A53" t="s">
        <v>2554</v>
      </c>
      <c r="B53" s="232">
        <v>10</v>
      </c>
      <c r="C53" t="s">
        <v>160</v>
      </c>
      <c r="D53" t="s">
        <v>2565</v>
      </c>
      <c r="E53" s="50" t="s">
        <v>2700</v>
      </c>
      <c r="F53" t="s">
        <v>2553</v>
      </c>
      <c r="G53" s="27">
        <v>44726</v>
      </c>
      <c r="J53" s="232">
        <v>51</v>
      </c>
      <c r="K53" s="1" t="s">
        <v>2702</v>
      </c>
      <c r="L53" t="s">
        <v>1968</v>
      </c>
      <c r="S53" s="259" t="s">
        <v>3817</v>
      </c>
      <c r="T53" s="259" t="s">
        <v>3055</v>
      </c>
      <c r="U53" s="259"/>
      <c r="V53" s="259"/>
      <c r="W53" s="259"/>
      <c r="X53" s="259"/>
      <c r="Y53" s="259"/>
      <c r="Z53" s="259" t="s">
        <v>81</v>
      </c>
    </row>
    <row r="54" spans="1:26" ht="30" x14ac:dyDescent="0.25">
      <c r="A54" t="s">
        <v>2554</v>
      </c>
      <c r="B54" s="232">
        <v>10</v>
      </c>
      <c r="C54" t="s">
        <v>160</v>
      </c>
      <c r="D54" t="s">
        <v>2565</v>
      </c>
      <c r="E54" s="50" t="s">
        <v>2700</v>
      </c>
      <c r="F54" t="s">
        <v>2553</v>
      </c>
      <c r="G54" s="27">
        <v>44726</v>
      </c>
      <c r="J54" s="232">
        <v>52</v>
      </c>
      <c r="K54" s="1" t="s">
        <v>2703</v>
      </c>
      <c r="L54" t="s">
        <v>47</v>
      </c>
      <c r="S54" s="259" t="s">
        <v>3858</v>
      </c>
      <c r="T54" s="259" t="s">
        <v>236</v>
      </c>
      <c r="U54" s="259"/>
      <c r="V54" s="259"/>
      <c r="W54" s="259"/>
      <c r="X54" s="259"/>
      <c r="Y54" s="259"/>
      <c r="Z54" s="259" t="s">
        <v>81</v>
      </c>
    </row>
    <row r="55" spans="1:26" ht="19.5" customHeight="1" x14ac:dyDescent="0.25">
      <c r="A55" t="s">
        <v>2554</v>
      </c>
      <c r="B55" s="232">
        <v>10</v>
      </c>
      <c r="C55" t="s">
        <v>160</v>
      </c>
      <c r="D55" t="s">
        <v>2565</v>
      </c>
      <c r="E55" s="50" t="s">
        <v>2700</v>
      </c>
      <c r="F55" t="s">
        <v>2553</v>
      </c>
      <c r="G55" s="27">
        <v>44726</v>
      </c>
      <c r="J55" s="232">
        <v>53</v>
      </c>
      <c r="K55" s="1" t="s">
        <v>2704</v>
      </c>
      <c r="L55" t="s">
        <v>1968</v>
      </c>
    </row>
    <row r="56" spans="1:26" ht="30" x14ac:dyDescent="0.25">
      <c r="A56" t="s">
        <v>2554</v>
      </c>
      <c r="B56" s="232">
        <v>10</v>
      </c>
      <c r="C56" t="s">
        <v>160</v>
      </c>
      <c r="D56" t="s">
        <v>2565</v>
      </c>
      <c r="E56" s="50" t="s">
        <v>2700</v>
      </c>
      <c r="F56" t="s">
        <v>2553</v>
      </c>
      <c r="G56" s="27">
        <v>44726</v>
      </c>
      <c r="J56" s="232">
        <v>54</v>
      </c>
      <c r="K56" s="1" t="s">
        <v>2705</v>
      </c>
      <c r="L56" t="s">
        <v>1968</v>
      </c>
    </row>
    <row r="57" spans="1:26" ht="30" x14ac:dyDescent="0.25">
      <c r="A57" t="s">
        <v>2554</v>
      </c>
      <c r="B57" s="232">
        <v>10</v>
      </c>
      <c r="C57" t="s">
        <v>160</v>
      </c>
      <c r="D57" t="s">
        <v>2565</v>
      </c>
      <c r="E57" s="50" t="s">
        <v>2700</v>
      </c>
      <c r="F57" t="s">
        <v>2553</v>
      </c>
      <c r="G57" s="27">
        <v>44726</v>
      </c>
      <c r="J57" s="232">
        <v>55</v>
      </c>
      <c r="K57" s="1" t="s">
        <v>2706</v>
      </c>
      <c r="L57" t="s">
        <v>1968</v>
      </c>
    </row>
    <row r="58" spans="1:26" ht="30" x14ac:dyDescent="0.25">
      <c r="A58" t="s">
        <v>2554</v>
      </c>
      <c r="B58" s="232">
        <v>10</v>
      </c>
      <c r="C58" t="s">
        <v>160</v>
      </c>
      <c r="D58" t="s">
        <v>2565</v>
      </c>
      <c r="E58" s="50" t="s">
        <v>2700</v>
      </c>
      <c r="F58" t="s">
        <v>2553</v>
      </c>
      <c r="G58" s="27">
        <v>44726</v>
      </c>
      <c r="J58" s="232">
        <v>56</v>
      </c>
      <c r="K58" s="1" t="s">
        <v>2707</v>
      </c>
      <c r="L58" t="s">
        <v>1968</v>
      </c>
    </row>
    <row r="59" spans="1:26" ht="30" x14ac:dyDescent="0.25">
      <c r="A59" t="s">
        <v>2554</v>
      </c>
      <c r="B59" s="232">
        <v>10</v>
      </c>
      <c r="C59" t="s">
        <v>160</v>
      </c>
      <c r="D59" t="s">
        <v>2565</v>
      </c>
      <c r="E59" s="50" t="s">
        <v>2700</v>
      </c>
      <c r="F59" t="s">
        <v>2553</v>
      </c>
      <c r="G59" s="27">
        <v>44726</v>
      </c>
      <c r="J59" s="232">
        <v>57</v>
      </c>
      <c r="K59" s="1" t="s">
        <v>2708</v>
      </c>
      <c r="L59" t="s">
        <v>47</v>
      </c>
    </row>
    <row r="60" spans="1:26" x14ac:dyDescent="0.25">
      <c r="A60" t="s">
        <v>2554</v>
      </c>
      <c r="B60" s="232">
        <v>1</v>
      </c>
      <c r="C60" t="s">
        <v>2567</v>
      </c>
      <c r="D60" t="s">
        <v>2565</v>
      </c>
      <c r="E60" t="s">
        <v>2890</v>
      </c>
      <c r="F60" t="s">
        <v>2553</v>
      </c>
      <c r="G60" s="27">
        <v>45281</v>
      </c>
      <c r="I60" t="s">
        <v>2593</v>
      </c>
      <c r="J60" s="232">
        <v>1</v>
      </c>
      <c r="K60" s="1" t="s">
        <v>2709</v>
      </c>
      <c r="L60" t="s">
        <v>47</v>
      </c>
      <c r="M60" t="s">
        <v>2781</v>
      </c>
    </row>
    <row r="61" spans="1:26" x14ac:dyDescent="0.25">
      <c r="A61" t="s">
        <v>2554</v>
      </c>
      <c r="B61" s="232">
        <v>1</v>
      </c>
      <c r="C61" t="s">
        <v>2567</v>
      </c>
      <c r="D61" t="s">
        <v>2565</v>
      </c>
      <c r="E61" t="s">
        <v>2890</v>
      </c>
      <c r="F61" t="s">
        <v>2553</v>
      </c>
      <c r="G61" s="27">
        <v>45281</v>
      </c>
      <c r="I61" t="s">
        <v>2597</v>
      </c>
      <c r="J61" s="232">
        <v>2</v>
      </c>
      <c r="K61" s="1" t="s">
        <v>2710</v>
      </c>
      <c r="L61" t="s">
        <v>47</v>
      </c>
      <c r="M61" t="s">
        <v>2781</v>
      </c>
    </row>
    <row r="62" spans="1:26" x14ac:dyDescent="0.25">
      <c r="A62" t="s">
        <v>2554</v>
      </c>
      <c r="B62" s="232">
        <v>1</v>
      </c>
      <c r="C62" t="s">
        <v>2567</v>
      </c>
      <c r="D62" t="s">
        <v>2565</v>
      </c>
      <c r="E62" t="s">
        <v>2890</v>
      </c>
      <c r="F62" t="s">
        <v>2553</v>
      </c>
      <c r="G62" s="27">
        <v>45281</v>
      </c>
      <c r="I62" t="s">
        <v>2599</v>
      </c>
      <c r="J62" s="232">
        <v>3</v>
      </c>
      <c r="K62" s="1" t="s">
        <v>2711</v>
      </c>
      <c r="L62" t="s">
        <v>47</v>
      </c>
      <c r="M62" t="s">
        <v>2781</v>
      </c>
    </row>
    <row r="63" spans="1:26" x14ac:dyDescent="0.25">
      <c r="A63" t="s">
        <v>2554</v>
      </c>
      <c r="B63" s="232">
        <v>1</v>
      </c>
      <c r="C63" t="s">
        <v>2567</v>
      </c>
      <c r="D63" t="s">
        <v>2565</v>
      </c>
      <c r="E63" t="s">
        <v>2890</v>
      </c>
      <c r="F63" t="s">
        <v>2553</v>
      </c>
      <c r="G63" s="27">
        <v>45281</v>
      </c>
      <c r="I63" t="s">
        <v>2555</v>
      </c>
      <c r="J63" s="232">
        <v>4</v>
      </c>
      <c r="K63" s="1" t="s">
        <v>2552</v>
      </c>
      <c r="L63" t="s">
        <v>47</v>
      </c>
      <c r="M63" t="s">
        <v>2781</v>
      </c>
    </row>
    <row r="64" spans="1:26" x14ac:dyDescent="0.25">
      <c r="A64" t="s">
        <v>2554</v>
      </c>
      <c r="B64" s="232">
        <v>1</v>
      </c>
      <c r="C64" t="s">
        <v>2567</v>
      </c>
      <c r="D64" t="s">
        <v>2565</v>
      </c>
      <c r="E64" t="s">
        <v>2890</v>
      </c>
      <c r="F64" t="s">
        <v>2553</v>
      </c>
      <c r="G64" s="27">
        <v>45281</v>
      </c>
      <c r="I64" t="s">
        <v>2557</v>
      </c>
      <c r="J64" s="232">
        <v>5</v>
      </c>
      <c r="K64" s="1" t="s">
        <v>2559</v>
      </c>
      <c r="L64" t="s">
        <v>47</v>
      </c>
    </row>
    <row r="65" spans="1:13" x14ac:dyDescent="0.25">
      <c r="A65" t="s">
        <v>2554</v>
      </c>
      <c r="B65" s="232">
        <v>1</v>
      </c>
      <c r="C65" t="s">
        <v>2567</v>
      </c>
      <c r="D65" t="s">
        <v>2565</v>
      </c>
      <c r="E65" t="s">
        <v>2890</v>
      </c>
      <c r="F65" t="s">
        <v>2553</v>
      </c>
      <c r="G65" s="27">
        <v>45281</v>
      </c>
      <c r="I65" s="227" t="s">
        <v>2556</v>
      </c>
      <c r="J65" s="232">
        <v>6</v>
      </c>
      <c r="K65" s="1" t="s">
        <v>2712</v>
      </c>
      <c r="L65" t="s">
        <v>47</v>
      </c>
    </row>
    <row r="66" spans="1:13" x14ac:dyDescent="0.25">
      <c r="A66" t="s">
        <v>2554</v>
      </c>
      <c r="B66" s="232">
        <v>1</v>
      </c>
      <c r="C66" t="s">
        <v>2567</v>
      </c>
      <c r="D66" t="s">
        <v>2565</v>
      </c>
      <c r="E66" t="s">
        <v>2890</v>
      </c>
      <c r="F66" t="s">
        <v>2553</v>
      </c>
      <c r="G66" s="27">
        <v>45281</v>
      </c>
      <c r="I66" s="227" t="s">
        <v>2558</v>
      </c>
      <c r="J66" s="232">
        <v>7</v>
      </c>
      <c r="K66" s="1" t="s">
        <v>2713</v>
      </c>
      <c r="L66" t="s">
        <v>47</v>
      </c>
    </row>
    <row r="67" spans="1:13" x14ac:dyDescent="0.25">
      <c r="A67" t="s">
        <v>2554</v>
      </c>
      <c r="B67" s="232">
        <v>2</v>
      </c>
      <c r="C67" t="s">
        <v>2567</v>
      </c>
      <c r="D67" t="s">
        <v>2565</v>
      </c>
      <c r="E67" t="s">
        <v>2603</v>
      </c>
      <c r="F67" t="s">
        <v>2553</v>
      </c>
      <c r="G67" s="27">
        <v>45281</v>
      </c>
      <c r="I67" t="s">
        <v>2601</v>
      </c>
      <c r="J67" s="232">
        <v>8</v>
      </c>
      <c r="K67" s="1" t="s">
        <v>2561</v>
      </c>
      <c r="L67" t="s">
        <v>47</v>
      </c>
      <c r="M67" t="s">
        <v>2781</v>
      </c>
    </row>
    <row r="68" spans="1:13" x14ac:dyDescent="0.25">
      <c r="A68" t="s">
        <v>2554</v>
      </c>
      <c r="B68" s="232">
        <v>2</v>
      </c>
      <c r="C68" t="s">
        <v>2567</v>
      </c>
      <c r="D68" t="s">
        <v>2565</v>
      </c>
      <c r="E68" t="s">
        <v>2603</v>
      </c>
      <c r="F68" t="s">
        <v>2553</v>
      </c>
      <c r="G68" s="27">
        <v>45281</v>
      </c>
      <c r="I68" t="s">
        <v>2714</v>
      </c>
      <c r="J68" s="232">
        <v>9</v>
      </c>
      <c r="K68" s="1" t="s">
        <v>2715</v>
      </c>
      <c r="L68" t="s">
        <v>47</v>
      </c>
      <c r="M68" t="s">
        <v>2781</v>
      </c>
    </row>
    <row r="69" spans="1:13" x14ac:dyDescent="0.25">
      <c r="A69" t="s">
        <v>2554</v>
      </c>
      <c r="B69" s="232">
        <v>2</v>
      </c>
      <c r="C69" t="s">
        <v>2567</v>
      </c>
      <c r="D69" t="s">
        <v>2565</v>
      </c>
      <c r="E69" t="s">
        <v>2603</v>
      </c>
      <c r="F69" t="s">
        <v>2553</v>
      </c>
      <c r="G69" s="27">
        <v>45281</v>
      </c>
      <c r="I69" s="228" t="s">
        <v>2716</v>
      </c>
      <c r="J69" s="232">
        <v>10</v>
      </c>
      <c r="K69" s="1" t="s">
        <v>2562</v>
      </c>
      <c r="L69" t="s">
        <v>47</v>
      </c>
      <c r="M69" t="s">
        <v>2781</v>
      </c>
    </row>
    <row r="70" spans="1:13" x14ac:dyDescent="0.25">
      <c r="A70" t="s">
        <v>2554</v>
      </c>
      <c r="B70" s="232">
        <v>2</v>
      </c>
      <c r="C70" t="s">
        <v>2567</v>
      </c>
      <c r="D70" t="s">
        <v>2565</v>
      </c>
      <c r="E70" t="s">
        <v>2603</v>
      </c>
      <c r="F70" t="s">
        <v>2553</v>
      </c>
      <c r="G70" s="27">
        <v>45281</v>
      </c>
      <c r="I70" s="228" t="s">
        <v>2717</v>
      </c>
      <c r="J70" s="232">
        <v>11</v>
      </c>
      <c r="K70" s="1" t="s">
        <v>2718</v>
      </c>
      <c r="L70" t="s">
        <v>47</v>
      </c>
      <c r="M70" t="s">
        <v>2781</v>
      </c>
    </row>
    <row r="71" spans="1:13" x14ac:dyDescent="0.25">
      <c r="A71" t="s">
        <v>2554</v>
      </c>
      <c r="B71" s="232">
        <v>2</v>
      </c>
      <c r="C71" t="s">
        <v>2567</v>
      </c>
      <c r="D71" t="s">
        <v>2565</v>
      </c>
      <c r="E71" t="s">
        <v>2603</v>
      </c>
      <c r="F71" t="s">
        <v>2553</v>
      </c>
      <c r="G71" s="27">
        <v>45281</v>
      </c>
      <c r="I71" t="s">
        <v>2719</v>
      </c>
      <c r="J71" s="232">
        <v>12</v>
      </c>
      <c r="K71" s="1" t="s">
        <v>2720</v>
      </c>
      <c r="L71" t="s">
        <v>47</v>
      </c>
      <c r="M71" t="s">
        <v>2781</v>
      </c>
    </row>
    <row r="72" spans="1:13" x14ac:dyDescent="0.25">
      <c r="A72" t="s">
        <v>2554</v>
      </c>
      <c r="B72" s="232">
        <v>2</v>
      </c>
      <c r="C72" t="s">
        <v>2567</v>
      </c>
      <c r="D72" t="s">
        <v>2565</v>
      </c>
      <c r="E72" t="s">
        <v>2603</v>
      </c>
      <c r="F72" t="s">
        <v>2553</v>
      </c>
      <c r="G72" s="27">
        <v>45281</v>
      </c>
      <c r="I72" t="s">
        <v>2721</v>
      </c>
      <c r="J72" s="232">
        <v>13</v>
      </c>
      <c r="K72" s="1" t="s">
        <v>2722</v>
      </c>
      <c r="L72" t="s">
        <v>47</v>
      </c>
      <c r="M72" t="s">
        <v>2781</v>
      </c>
    </row>
    <row r="73" spans="1:13" x14ac:dyDescent="0.25">
      <c r="A73" t="s">
        <v>2554</v>
      </c>
      <c r="B73" s="232">
        <v>2</v>
      </c>
      <c r="C73" t="s">
        <v>2567</v>
      </c>
      <c r="D73" t="s">
        <v>2565</v>
      </c>
      <c r="E73" t="s">
        <v>2603</v>
      </c>
      <c r="F73" t="s">
        <v>2553</v>
      </c>
      <c r="G73" s="27">
        <v>45281</v>
      </c>
      <c r="I73" s="228" t="s">
        <v>2723</v>
      </c>
      <c r="J73" s="232">
        <v>14</v>
      </c>
      <c r="K73" s="1" t="s">
        <v>2592</v>
      </c>
      <c r="L73" t="s">
        <v>1968</v>
      </c>
      <c r="M73" t="s">
        <v>2781</v>
      </c>
    </row>
    <row r="74" spans="1:13" ht="14.25" customHeight="1" x14ac:dyDescent="0.25">
      <c r="A74" t="s">
        <v>2554</v>
      </c>
      <c r="B74" s="232">
        <v>2</v>
      </c>
      <c r="C74" t="s">
        <v>2567</v>
      </c>
      <c r="D74" t="s">
        <v>2565</v>
      </c>
      <c r="E74" t="s">
        <v>2603</v>
      </c>
      <c r="F74" t="s">
        <v>2553</v>
      </c>
      <c r="G74" s="27">
        <v>45281</v>
      </c>
      <c r="I74" s="228" t="s">
        <v>2724</v>
      </c>
      <c r="J74" s="232">
        <v>15</v>
      </c>
      <c r="K74" s="1" t="s">
        <v>2725</v>
      </c>
      <c r="L74" t="s">
        <v>47</v>
      </c>
      <c r="M74" t="s">
        <v>2781</v>
      </c>
    </row>
    <row r="75" spans="1:13" x14ac:dyDescent="0.25">
      <c r="A75" t="s">
        <v>2554</v>
      </c>
      <c r="B75" s="232">
        <v>3</v>
      </c>
      <c r="C75" t="s">
        <v>2567</v>
      </c>
      <c r="D75" t="s">
        <v>2565</v>
      </c>
      <c r="E75" t="s">
        <v>2726</v>
      </c>
      <c r="F75" t="s">
        <v>2553</v>
      </c>
      <c r="G75" s="27">
        <v>45281</v>
      </c>
      <c r="I75" s="228" t="s">
        <v>2605</v>
      </c>
      <c r="J75" s="232">
        <v>16</v>
      </c>
      <c r="K75" s="1" t="s">
        <v>2727</v>
      </c>
      <c r="L75" t="s">
        <v>47</v>
      </c>
      <c r="M75" t="s">
        <v>2781</v>
      </c>
    </row>
    <row r="76" spans="1:13" ht="15" customHeight="1" x14ac:dyDescent="0.25">
      <c r="A76" t="s">
        <v>2554</v>
      </c>
      <c r="B76" s="232">
        <v>3</v>
      </c>
      <c r="C76" t="s">
        <v>2567</v>
      </c>
      <c r="D76" t="s">
        <v>2565</v>
      </c>
      <c r="E76" t="s">
        <v>2726</v>
      </c>
      <c r="F76" t="s">
        <v>2553</v>
      </c>
      <c r="G76" s="27">
        <v>45281</v>
      </c>
      <c r="I76" s="228" t="s">
        <v>2607</v>
      </c>
      <c r="J76" s="232">
        <v>17</v>
      </c>
      <c r="K76" s="1" t="s">
        <v>2728</v>
      </c>
      <c r="L76" t="s">
        <v>47</v>
      </c>
      <c r="M76" t="s">
        <v>2781</v>
      </c>
    </row>
    <row r="77" spans="1:13" x14ac:dyDescent="0.25">
      <c r="A77" t="s">
        <v>2554</v>
      </c>
      <c r="B77" s="232">
        <v>3</v>
      </c>
      <c r="C77" t="s">
        <v>2567</v>
      </c>
      <c r="D77" t="s">
        <v>2565</v>
      </c>
      <c r="E77" t="s">
        <v>2726</v>
      </c>
      <c r="F77" t="s">
        <v>2553</v>
      </c>
      <c r="G77" s="27">
        <v>45281</v>
      </c>
      <c r="I77" s="228" t="s">
        <v>2729</v>
      </c>
      <c r="J77" s="232">
        <v>18</v>
      </c>
      <c r="K77" s="1" t="s">
        <v>2563</v>
      </c>
      <c r="L77" t="s">
        <v>47</v>
      </c>
      <c r="M77" t="s">
        <v>2781</v>
      </c>
    </row>
    <row r="78" spans="1:13" ht="15" customHeight="1" x14ac:dyDescent="0.25">
      <c r="A78" t="s">
        <v>2554</v>
      </c>
      <c r="B78" s="232">
        <v>3</v>
      </c>
      <c r="C78" t="s">
        <v>2567</v>
      </c>
      <c r="D78" t="s">
        <v>2565</v>
      </c>
      <c r="E78" t="s">
        <v>2726</v>
      </c>
      <c r="F78" t="s">
        <v>2553</v>
      </c>
      <c r="G78" s="27">
        <v>45281</v>
      </c>
      <c r="I78" s="228" t="s">
        <v>2730</v>
      </c>
      <c r="J78" s="232">
        <v>19</v>
      </c>
      <c r="K78" s="1" t="s">
        <v>2731</v>
      </c>
      <c r="L78" t="s">
        <v>47</v>
      </c>
      <c r="M78" t="s">
        <v>2781</v>
      </c>
    </row>
    <row r="79" spans="1:13" x14ac:dyDescent="0.25">
      <c r="A79" t="s">
        <v>2554</v>
      </c>
      <c r="B79" s="232">
        <v>3</v>
      </c>
      <c r="C79" t="s">
        <v>2567</v>
      </c>
      <c r="D79" t="s">
        <v>2565</v>
      </c>
      <c r="E79" t="s">
        <v>2726</v>
      </c>
      <c r="F79" t="s">
        <v>2553</v>
      </c>
      <c r="G79" s="27">
        <v>45281</v>
      </c>
      <c r="I79" s="228" t="s">
        <v>2732</v>
      </c>
      <c r="J79" s="232">
        <v>20</v>
      </c>
      <c r="K79" s="1" t="s">
        <v>2733</v>
      </c>
      <c r="L79" t="s">
        <v>47</v>
      </c>
      <c r="M79" t="s">
        <v>2781</v>
      </c>
    </row>
    <row r="80" spans="1:13" ht="15.75" customHeight="1" x14ac:dyDescent="0.25">
      <c r="A80" t="s">
        <v>2554</v>
      </c>
      <c r="B80" s="232">
        <v>3</v>
      </c>
      <c r="C80" t="s">
        <v>2567</v>
      </c>
      <c r="D80" t="s">
        <v>2565</v>
      </c>
      <c r="E80" t="s">
        <v>2726</v>
      </c>
      <c r="F80" t="s">
        <v>2553</v>
      </c>
      <c r="G80" s="27">
        <v>45281</v>
      </c>
      <c r="I80" s="228" t="s">
        <v>2734</v>
      </c>
      <c r="J80" s="232">
        <v>21</v>
      </c>
      <c r="K80" s="1" t="s">
        <v>2735</v>
      </c>
      <c r="L80" t="s">
        <v>47</v>
      </c>
      <c r="M80" t="s">
        <v>2781</v>
      </c>
    </row>
    <row r="81" spans="1:13" x14ac:dyDescent="0.25">
      <c r="A81" t="s">
        <v>2554</v>
      </c>
      <c r="B81" s="232">
        <v>3</v>
      </c>
      <c r="C81" t="s">
        <v>2567</v>
      </c>
      <c r="D81" t="s">
        <v>2565</v>
      </c>
      <c r="E81" t="s">
        <v>2726</v>
      </c>
      <c r="F81" t="s">
        <v>2553</v>
      </c>
      <c r="G81" s="27">
        <v>45281</v>
      </c>
      <c r="I81" s="228" t="s">
        <v>2736</v>
      </c>
      <c r="J81" s="232">
        <v>22</v>
      </c>
      <c r="K81" s="1" t="s">
        <v>2568</v>
      </c>
      <c r="L81" t="s">
        <v>1968</v>
      </c>
      <c r="M81" t="s">
        <v>2781</v>
      </c>
    </row>
    <row r="82" spans="1:13" ht="18.75" customHeight="1" x14ac:dyDescent="0.25">
      <c r="A82" t="s">
        <v>2554</v>
      </c>
      <c r="B82" s="232">
        <v>3</v>
      </c>
      <c r="C82" t="s">
        <v>2567</v>
      </c>
      <c r="D82" t="s">
        <v>2565</v>
      </c>
      <c r="E82" t="s">
        <v>2726</v>
      </c>
      <c r="F82" t="s">
        <v>2553</v>
      </c>
      <c r="G82" s="27">
        <v>45281</v>
      </c>
      <c r="I82" s="228" t="s">
        <v>2737</v>
      </c>
      <c r="J82" s="232">
        <v>23</v>
      </c>
      <c r="K82" s="1" t="s">
        <v>2569</v>
      </c>
      <c r="L82" t="s">
        <v>47</v>
      </c>
      <c r="M82" t="s">
        <v>2781</v>
      </c>
    </row>
    <row r="83" spans="1:13" x14ac:dyDescent="0.25">
      <c r="A83" t="s">
        <v>2554</v>
      </c>
      <c r="B83" s="232">
        <v>3</v>
      </c>
      <c r="C83" t="s">
        <v>2567</v>
      </c>
      <c r="D83" t="s">
        <v>2565</v>
      </c>
      <c r="E83" t="s">
        <v>2726</v>
      </c>
      <c r="F83" t="s">
        <v>2553</v>
      </c>
      <c r="G83" s="27">
        <v>45281</v>
      </c>
      <c r="I83" s="228" t="s">
        <v>2738</v>
      </c>
      <c r="J83" s="232">
        <v>24</v>
      </c>
      <c r="K83" s="1" t="s">
        <v>2739</v>
      </c>
      <c r="L83" t="s">
        <v>1968</v>
      </c>
      <c r="M83" t="s">
        <v>2781</v>
      </c>
    </row>
    <row r="84" spans="1:13" ht="17.25" customHeight="1" x14ac:dyDescent="0.25">
      <c r="A84" t="s">
        <v>2554</v>
      </c>
      <c r="B84" s="232">
        <v>3</v>
      </c>
      <c r="C84" t="s">
        <v>2567</v>
      </c>
      <c r="D84" t="s">
        <v>2565</v>
      </c>
      <c r="E84" t="s">
        <v>2726</v>
      </c>
      <c r="F84" t="s">
        <v>2553</v>
      </c>
      <c r="G84" s="27">
        <v>45281</v>
      </c>
      <c r="I84" s="228" t="s">
        <v>2740</v>
      </c>
      <c r="J84" s="232">
        <v>25</v>
      </c>
      <c r="K84" s="1" t="s">
        <v>2741</v>
      </c>
      <c r="L84" t="s">
        <v>1968</v>
      </c>
      <c r="M84" t="s">
        <v>2781</v>
      </c>
    </row>
    <row r="85" spans="1:13" x14ac:dyDescent="0.25">
      <c r="A85" t="s">
        <v>2554</v>
      </c>
      <c r="B85" s="232">
        <v>3</v>
      </c>
      <c r="C85" t="s">
        <v>2567</v>
      </c>
      <c r="D85" t="s">
        <v>2565</v>
      </c>
      <c r="E85" t="s">
        <v>2726</v>
      </c>
      <c r="F85" t="s">
        <v>2553</v>
      </c>
      <c r="G85" s="27">
        <v>45281</v>
      </c>
      <c r="I85" s="228" t="s">
        <v>2742</v>
      </c>
      <c r="J85" s="232">
        <v>26</v>
      </c>
      <c r="K85" s="1" t="s">
        <v>2566</v>
      </c>
      <c r="L85" t="s">
        <v>47</v>
      </c>
      <c r="M85" t="s">
        <v>2781</v>
      </c>
    </row>
    <row r="86" spans="1:13" x14ac:dyDescent="0.25">
      <c r="A86" t="s">
        <v>2554</v>
      </c>
      <c r="B86" s="232">
        <v>4</v>
      </c>
      <c r="C86" t="s">
        <v>2567</v>
      </c>
      <c r="D86" t="s">
        <v>2565</v>
      </c>
      <c r="E86" t="s">
        <v>2746</v>
      </c>
      <c r="F86" t="s">
        <v>2553</v>
      </c>
      <c r="G86" s="27">
        <v>45281</v>
      </c>
      <c r="I86" t="s">
        <v>2610</v>
      </c>
      <c r="J86" s="232">
        <v>27</v>
      </c>
      <c r="K86" s="1" t="s">
        <v>2743</v>
      </c>
      <c r="L86" t="s">
        <v>47</v>
      </c>
      <c r="M86" t="s">
        <v>2781</v>
      </c>
    </row>
    <row r="87" spans="1:13" x14ac:dyDescent="0.25">
      <c r="A87" t="s">
        <v>2554</v>
      </c>
      <c r="B87" s="232">
        <v>4</v>
      </c>
      <c r="C87" t="s">
        <v>2567</v>
      </c>
      <c r="D87" t="s">
        <v>2565</v>
      </c>
      <c r="E87" t="s">
        <v>2746</v>
      </c>
      <c r="F87" t="s">
        <v>2553</v>
      </c>
      <c r="G87" s="27">
        <v>45281</v>
      </c>
      <c r="I87" t="s">
        <v>2612</v>
      </c>
      <c r="J87" s="232">
        <v>28</v>
      </c>
      <c r="K87" s="1" t="s">
        <v>2744</v>
      </c>
      <c r="L87" t="s">
        <v>47</v>
      </c>
      <c r="M87" t="s">
        <v>2781</v>
      </c>
    </row>
    <row r="88" spans="1:13" x14ac:dyDescent="0.25">
      <c r="A88" t="s">
        <v>2554</v>
      </c>
      <c r="B88" s="232">
        <v>4</v>
      </c>
      <c r="C88" t="s">
        <v>2567</v>
      </c>
      <c r="D88" t="s">
        <v>2565</v>
      </c>
      <c r="E88" t="s">
        <v>2746</v>
      </c>
      <c r="F88" t="s">
        <v>2553</v>
      </c>
      <c r="G88" s="27">
        <v>45281</v>
      </c>
      <c r="I88" t="s">
        <v>2614</v>
      </c>
      <c r="J88" s="232">
        <v>29</v>
      </c>
      <c r="K88" s="1" t="s">
        <v>2745</v>
      </c>
      <c r="L88" t="s">
        <v>47</v>
      </c>
      <c r="M88" t="s">
        <v>2781</v>
      </c>
    </row>
    <row r="89" spans="1:13" x14ac:dyDescent="0.25">
      <c r="A89" t="s">
        <v>2554</v>
      </c>
      <c r="B89" s="232">
        <v>4</v>
      </c>
      <c r="C89" t="s">
        <v>2567</v>
      </c>
      <c r="D89" t="s">
        <v>2565</v>
      </c>
      <c r="E89" t="s">
        <v>2746</v>
      </c>
      <c r="F89" t="s">
        <v>2553</v>
      </c>
      <c r="G89" s="27">
        <v>45281</v>
      </c>
      <c r="I89" t="s">
        <v>2617</v>
      </c>
      <c r="J89" s="232">
        <v>30</v>
      </c>
      <c r="K89" s="248" t="s">
        <v>2747</v>
      </c>
      <c r="L89" t="s">
        <v>47</v>
      </c>
      <c r="M89" t="s">
        <v>2781</v>
      </c>
    </row>
    <row r="90" spans="1:13" x14ac:dyDescent="0.25">
      <c r="A90" t="s">
        <v>2554</v>
      </c>
      <c r="B90" s="232">
        <v>4</v>
      </c>
      <c r="C90" t="s">
        <v>2567</v>
      </c>
      <c r="D90" t="s">
        <v>2565</v>
      </c>
      <c r="E90" t="s">
        <v>2746</v>
      </c>
      <c r="F90" t="s">
        <v>2553</v>
      </c>
      <c r="G90" s="27">
        <v>45281</v>
      </c>
      <c r="I90" t="s">
        <v>2621</v>
      </c>
      <c r="J90" s="232">
        <v>31</v>
      </c>
      <c r="K90" s="1" t="s">
        <v>2748</v>
      </c>
      <c r="L90" t="s">
        <v>47</v>
      </c>
      <c r="M90" t="s">
        <v>2781</v>
      </c>
    </row>
    <row r="91" spans="1:13" x14ac:dyDescent="0.25">
      <c r="A91" t="s">
        <v>2554</v>
      </c>
      <c r="B91" s="232">
        <v>4</v>
      </c>
      <c r="C91" t="s">
        <v>2567</v>
      </c>
      <c r="D91" t="s">
        <v>2565</v>
      </c>
      <c r="E91" t="s">
        <v>2746</v>
      </c>
      <c r="F91" t="s">
        <v>2553</v>
      </c>
      <c r="G91" s="27">
        <v>45281</v>
      </c>
      <c r="I91" t="s">
        <v>2749</v>
      </c>
      <c r="J91" s="232">
        <v>32</v>
      </c>
      <c r="K91" s="1" t="s">
        <v>2750</v>
      </c>
      <c r="L91" t="s">
        <v>47</v>
      </c>
      <c r="M91" t="s">
        <v>2781</v>
      </c>
    </row>
    <row r="92" spans="1:13" x14ac:dyDescent="0.25">
      <c r="A92" t="s">
        <v>2554</v>
      </c>
      <c r="B92" s="232">
        <v>5</v>
      </c>
      <c r="C92" t="s">
        <v>2567</v>
      </c>
      <c r="D92" t="s">
        <v>2565</v>
      </c>
      <c r="E92" t="s">
        <v>2622</v>
      </c>
      <c r="F92" t="s">
        <v>2553</v>
      </c>
      <c r="G92" s="27">
        <v>45281</v>
      </c>
      <c r="I92" t="s">
        <v>2623</v>
      </c>
      <c r="J92" s="232">
        <v>33</v>
      </c>
      <c r="K92" s="1" t="s">
        <v>2564</v>
      </c>
      <c r="L92" t="s">
        <v>47</v>
      </c>
      <c r="M92" t="s">
        <v>2781</v>
      </c>
    </row>
    <row r="93" spans="1:13" x14ac:dyDescent="0.25">
      <c r="A93" t="s">
        <v>2554</v>
      </c>
      <c r="B93" s="232">
        <v>5</v>
      </c>
      <c r="C93" t="s">
        <v>2567</v>
      </c>
      <c r="D93" t="s">
        <v>2565</v>
      </c>
      <c r="E93" t="s">
        <v>2622</v>
      </c>
      <c r="F93" t="s">
        <v>2553</v>
      </c>
      <c r="G93" s="27">
        <v>45281</v>
      </c>
      <c r="I93" s="228" t="s">
        <v>2627</v>
      </c>
      <c r="J93" s="232">
        <v>34</v>
      </c>
      <c r="K93" s="1" t="s">
        <v>2751</v>
      </c>
      <c r="L93" t="s">
        <v>47</v>
      </c>
      <c r="M93" t="s">
        <v>2781</v>
      </c>
    </row>
    <row r="94" spans="1:13" ht="17.25" customHeight="1" x14ac:dyDescent="0.25">
      <c r="A94" t="s">
        <v>2554</v>
      </c>
      <c r="B94" s="232">
        <v>5</v>
      </c>
      <c r="C94" t="s">
        <v>2567</v>
      </c>
      <c r="D94" t="s">
        <v>2565</v>
      </c>
      <c r="E94" t="s">
        <v>2622</v>
      </c>
      <c r="F94" t="s">
        <v>2553</v>
      </c>
      <c r="G94" s="27">
        <v>45281</v>
      </c>
      <c r="I94" t="s">
        <v>2752</v>
      </c>
      <c r="J94" s="232">
        <v>35</v>
      </c>
      <c r="K94" s="1" t="s">
        <v>2753</v>
      </c>
      <c r="L94" t="s">
        <v>47</v>
      </c>
      <c r="M94" t="s">
        <v>2781</v>
      </c>
    </row>
    <row r="95" spans="1:13" x14ac:dyDescent="0.25">
      <c r="A95" t="s">
        <v>2554</v>
      </c>
      <c r="B95" s="232">
        <v>6</v>
      </c>
      <c r="C95" t="s">
        <v>2567</v>
      </c>
      <c r="D95" t="s">
        <v>2565</v>
      </c>
      <c r="E95" t="s">
        <v>2629</v>
      </c>
      <c r="F95" t="s">
        <v>2553</v>
      </c>
      <c r="G95" s="27">
        <v>45281</v>
      </c>
      <c r="I95" t="s">
        <v>2630</v>
      </c>
      <c r="J95" s="232">
        <v>36</v>
      </c>
      <c r="K95" s="1" t="s">
        <v>3524</v>
      </c>
      <c r="L95" t="s">
        <v>47</v>
      </c>
      <c r="M95" t="s">
        <v>2781</v>
      </c>
    </row>
    <row r="96" spans="1:13" x14ac:dyDescent="0.25">
      <c r="A96" t="s">
        <v>2554</v>
      </c>
      <c r="B96" s="232">
        <v>6</v>
      </c>
      <c r="C96" t="s">
        <v>2567</v>
      </c>
      <c r="D96" t="s">
        <v>2565</v>
      </c>
      <c r="E96" t="s">
        <v>2629</v>
      </c>
      <c r="F96" t="s">
        <v>2553</v>
      </c>
      <c r="G96" s="27">
        <v>45281</v>
      </c>
      <c r="I96" t="s">
        <v>2632</v>
      </c>
      <c r="J96" s="232">
        <v>37</v>
      </c>
      <c r="K96" s="1" t="s">
        <v>2755</v>
      </c>
      <c r="L96" t="s">
        <v>47</v>
      </c>
      <c r="M96" t="s">
        <v>2781</v>
      </c>
    </row>
    <row r="97" spans="1:13" ht="18" customHeight="1" x14ac:dyDescent="0.25">
      <c r="A97" t="s">
        <v>2554</v>
      </c>
      <c r="B97" s="232">
        <v>6</v>
      </c>
      <c r="C97" t="s">
        <v>2567</v>
      </c>
      <c r="D97" t="s">
        <v>2565</v>
      </c>
      <c r="E97" t="s">
        <v>2629</v>
      </c>
      <c r="F97" t="s">
        <v>2553</v>
      </c>
      <c r="G97" s="27">
        <v>45281</v>
      </c>
      <c r="I97" t="s">
        <v>2636</v>
      </c>
      <c r="J97" s="232">
        <v>38</v>
      </c>
      <c r="K97" s="1" t="s">
        <v>2637</v>
      </c>
      <c r="L97" t="s">
        <v>47</v>
      </c>
      <c r="M97" t="s">
        <v>2781</v>
      </c>
    </row>
    <row r="98" spans="1:13" x14ac:dyDescent="0.25">
      <c r="A98" t="s">
        <v>2554</v>
      </c>
      <c r="B98" s="232">
        <v>6</v>
      </c>
      <c r="C98" t="s">
        <v>2567</v>
      </c>
      <c r="D98" t="s">
        <v>2565</v>
      </c>
      <c r="E98" t="s">
        <v>2629</v>
      </c>
      <c r="F98" t="s">
        <v>2553</v>
      </c>
      <c r="G98" s="27">
        <v>45281</v>
      </c>
      <c r="I98" t="s">
        <v>2638</v>
      </c>
      <c r="J98" s="232">
        <v>39</v>
      </c>
      <c r="K98" s="1" t="s">
        <v>2756</v>
      </c>
      <c r="L98" t="s">
        <v>47</v>
      </c>
      <c r="M98" t="s">
        <v>2781</v>
      </c>
    </row>
    <row r="99" spans="1:13" ht="16.5" customHeight="1" x14ac:dyDescent="0.25">
      <c r="A99" t="s">
        <v>2554</v>
      </c>
      <c r="B99" s="232">
        <v>6</v>
      </c>
      <c r="C99" t="s">
        <v>2567</v>
      </c>
      <c r="D99" t="s">
        <v>2565</v>
      </c>
      <c r="E99" t="s">
        <v>2629</v>
      </c>
      <c r="F99" t="s">
        <v>2553</v>
      </c>
      <c r="G99" s="27">
        <v>45281</v>
      </c>
      <c r="I99" t="s">
        <v>2757</v>
      </c>
      <c r="J99" s="232">
        <v>40</v>
      </c>
      <c r="K99" s="1" t="s">
        <v>2758</v>
      </c>
      <c r="L99" t="s">
        <v>47</v>
      </c>
      <c r="M99" t="s">
        <v>2781</v>
      </c>
    </row>
    <row r="100" spans="1:13" x14ac:dyDescent="0.25">
      <c r="A100" t="s">
        <v>2554</v>
      </c>
      <c r="B100" s="232">
        <v>6</v>
      </c>
      <c r="C100" t="s">
        <v>2567</v>
      </c>
      <c r="D100" t="s">
        <v>2565</v>
      </c>
      <c r="E100" t="s">
        <v>2629</v>
      </c>
      <c r="F100" t="s">
        <v>2553</v>
      </c>
      <c r="G100" s="27">
        <v>45281</v>
      </c>
      <c r="I100" t="s">
        <v>2759</v>
      </c>
      <c r="J100" s="232">
        <v>41</v>
      </c>
      <c r="K100" s="1" t="s">
        <v>2760</v>
      </c>
      <c r="L100" t="s">
        <v>47</v>
      </c>
      <c r="M100" t="s">
        <v>2781</v>
      </c>
    </row>
    <row r="101" spans="1:13" ht="15" customHeight="1" x14ac:dyDescent="0.25">
      <c r="A101" t="s">
        <v>2554</v>
      </c>
      <c r="B101" s="232">
        <v>6</v>
      </c>
      <c r="C101" t="s">
        <v>2567</v>
      </c>
      <c r="D101" t="s">
        <v>2565</v>
      </c>
      <c r="E101" t="s">
        <v>2629</v>
      </c>
      <c r="F101" t="s">
        <v>2553</v>
      </c>
      <c r="G101" s="27">
        <v>45281</v>
      </c>
      <c r="I101" t="s">
        <v>2762</v>
      </c>
      <c r="J101" s="232">
        <v>42</v>
      </c>
      <c r="K101" s="1" t="s">
        <v>2761</v>
      </c>
      <c r="L101" t="s">
        <v>47</v>
      </c>
      <c r="M101" t="s">
        <v>2781</v>
      </c>
    </row>
    <row r="102" spans="1:13" x14ac:dyDescent="0.25">
      <c r="A102" t="s">
        <v>2554</v>
      </c>
      <c r="B102" s="232">
        <v>7</v>
      </c>
      <c r="C102" t="s">
        <v>2567</v>
      </c>
      <c r="D102" t="s">
        <v>2565</v>
      </c>
      <c r="E102" t="s">
        <v>2764</v>
      </c>
      <c r="F102" t="s">
        <v>2553</v>
      </c>
      <c r="G102" s="27">
        <v>45281</v>
      </c>
      <c r="I102" t="s">
        <v>2643</v>
      </c>
      <c r="J102" s="232">
        <v>43</v>
      </c>
      <c r="K102" s="1" t="s">
        <v>2765</v>
      </c>
      <c r="L102" t="s">
        <v>47</v>
      </c>
      <c r="M102" t="s">
        <v>2781</v>
      </c>
    </row>
    <row r="103" spans="1:13" ht="15.75" customHeight="1" x14ac:dyDescent="0.25">
      <c r="A103" t="s">
        <v>2554</v>
      </c>
      <c r="B103" s="232">
        <v>7</v>
      </c>
      <c r="C103" t="s">
        <v>2567</v>
      </c>
      <c r="D103" t="s">
        <v>2565</v>
      </c>
      <c r="E103" t="s">
        <v>2764</v>
      </c>
      <c r="F103" t="s">
        <v>2553</v>
      </c>
      <c r="G103" s="27">
        <v>45281</v>
      </c>
      <c r="I103" t="s">
        <v>2649</v>
      </c>
      <c r="J103" s="232">
        <v>44</v>
      </c>
      <c r="K103" s="1" t="s">
        <v>2766</v>
      </c>
      <c r="L103" t="s">
        <v>1968</v>
      </c>
      <c r="M103" t="s">
        <v>2781</v>
      </c>
    </row>
    <row r="104" spans="1:13" x14ac:dyDescent="0.25">
      <c r="A104" t="s">
        <v>2554</v>
      </c>
      <c r="B104" s="232">
        <v>7</v>
      </c>
      <c r="C104" t="s">
        <v>2567</v>
      </c>
      <c r="D104" t="s">
        <v>2565</v>
      </c>
      <c r="E104" t="s">
        <v>2764</v>
      </c>
      <c r="F104" t="s">
        <v>2553</v>
      </c>
      <c r="G104" s="27">
        <v>45281</v>
      </c>
      <c r="I104" t="s">
        <v>2651</v>
      </c>
      <c r="J104" s="232">
        <v>45</v>
      </c>
      <c r="K104" s="1" t="s">
        <v>2767</v>
      </c>
      <c r="L104" t="s">
        <v>47</v>
      </c>
      <c r="M104" t="s">
        <v>2781</v>
      </c>
    </row>
    <row r="105" spans="1:13" x14ac:dyDescent="0.25">
      <c r="A105" t="s">
        <v>2554</v>
      </c>
      <c r="B105" s="232">
        <v>8</v>
      </c>
      <c r="C105" t="s">
        <v>2567</v>
      </c>
      <c r="D105" t="s">
        <v>2565</v>
      </c>
      <c r="E105" t="s">
        <v>2763</v>
      </c>
      <c r="F105" t="s">
        <v>2553</v>
      </c>
      <c r="G105" s="27">
        <v>45281</v>
      </c>
      <c r="I105" t="s">
        <v>2663</v>
      </c>
      <c r="J105" s="232">
        <v>46</v>
      </c>
      <c r="K105" s="1" t="s">
        <v>2768</v>
      </c>
      <c r="L105" t="s">
        <v>47</v>
      </c>
      <c r="M105" t="s">
        <v>2781</v>
      </c>
    </row>
    <row r="106" spans="1:13" x14ac:dyDescent="0.25">
      <c r="A106" t="s">
        <v>2554</v>
      </c>
      <c r="B106" s="232">
        <v>8</v>
      </c>
      <c r="C106" t="s">
        <v>2567</v>
      </c>
      <c r="D106" t="s">
        <v>2565</v>
      </c>
      <c r="E106" t="s">
        <v>2763</v>
      </c>
      <c r="F106" t="s">
        <v>2553</v>
      </c>
      <c r="G106" s="27">
        <v>45281</v>
      </c>
      <c r="I106" t="s">
        <v>2664</v>
      </c>
      <c r="J106" s="232">
        <v>47</v>
      </c>
      <c r="K106" s="248" t="s">
        <v>2769</v>
      </c>
      <c r="L106" t="s">
        <v>1968</v>
      </c>
      <c r="M106" t="s">
        <v>2781</v>
      </c>
    </row>
    <row r="107" spans="1:13" x14ac:dyDescent="0.25">
      <c r="A107" t="s">
        <v>2554</v>
      </c>
      <c r="B107" s="232">
        <v>8</v>
      </c>
      <c r="C107" t="s">
        <v>2567</v>
      </c>
      <c r="D107" t="s">
        <v>2565</v>
      </c>
      <c r="E107" t="s">
        <v>2763</v>
      </c>
      <c r="F107" t="s">
        <v>2553</v>
      </c>
      <c r="G107" s="27">
        <v>45281</v>
      </c>
      <c r="I107" t="s">
        <v>2665</v>
      </c>
      <c r="J107" s="232">
        <v>48</v>
      </c>
      <c r="K107" s="1" t="s">
        <v>2770</v>
      </c>
      <c r="L107" t="s">
        <v>1968</v>
      </c>
      <c r="M107" t="s">
        <v>2781</v>
      </c>
    </row>
    <row r="108" spans="1:13" x14ac:dyDescent="0.25">
      <c r="A108" t="s">
        <v>2554</v>
      </c>
      <c r="B108" s="232">
        <v>8</v>
      </c>
      <c r="C108" t="s">
        <v>2567</v>
      </c>
      <c r="D108" t="s">
        <v>2565</v>
      </c>
      <c r="E108" t="s">
        <v>2763</v>
      </c>
      <c r="F108" t="s">
        <v>2553</v>
      </c>
      <c r="G108" s="27">
        <v>45281</v>
      </c>
      <c r="I108" t="s">
        <v>2771</v>
      </c>
      <c r="J108" s="232">
        <v>49</v>
      </c>
      <c r="K108" s="1" t="s">
        <v>2772</v>
      </c>
      <c r="L108" t="s">
        <v>1968</v>
      </c>
      <c r="M108" t="s">
        <v>2781</v>
      </c>
    </row>
    <row r="109" spans="1:13" x14ac:dyDescent="0.25">
      <c r="A109" t="s">
        <v>2554</v>
      </c>
      <c r="B109" s="232">
        <v>8</v>
      </c>
      <c r="C109" t="s">
        <v>2567</v>
      </c>
      <c r="D109" t="s">
        <v>2565</v>
      </c>
      <c r="E109" t="s">
        <v>2763</v>
      </c>
      <c r="F109" t="s">
        <v>2553</v>
      </c>
      <c r="G109" s="27">
        <v>45281</v>
      </c>
      <c r="I109" t="s">
        <v>2773</v>
      </c>
      <c r="J109" s="232">
        <v>50</v>
      </c>
      <c r="K109" s="1" t="s">
        <v>2774</v>
      </c>
      <c r="L109" t="s">
        <v>47</v>
      </c>
      <c r="M109" t="s">
        <v>2781</v>
      </c>
    </row>
    <row r="110" spans="1:13" x14ac:dyDescent="0.25">
      <c r="A110" t="s">
        <v>2554</v>
      </c>
      <c r="B110" s="232">
        <v>8</v>
      </c>
      <c r="C110" t="s">
        <v>2567</v>
      </c>
      <c r="D110" t="s">
        <v>2565</v>
      </c>
      <c r="E110" t="s">
        <v>2763</v>
      </c>
      <c r="F110" t="s">
        <v>2553</v>
      </c>
      <c r="G110" s="27">
        <v>45281</v>
      </c>
      <c r="I110" t="s">
        <v>2775</v>
      </c>
      <c r="J110" s="232">
        <v>51</v>
      </c>
      <c r="K110" s="1" t="s">
        <v>2776</v>
      </c>
      <c r="L110" t="s">
        <v>47</v>
      </c>
      <c r="M110" t="s">
        <v>2781</v>
      </c>
    </row>
    <row r="111" spans="1:13" x14ac:dyDescent="0.25">
      <c r="A111" t="s">
        <v>2554</v>
      </c>
      <c r="B111" s="232">
        <v>8</v>
      </c>
      <c r="C111" t="s">
        <v>2567</v>
      </c>
      <c r="D111" t="s">
        <v>2565</v>
      </c>
      <c r="E111" t="s">
        <v>2763</v>
      </c>
      <c r="F111" t="s">
        <v>2553</v>
      </c>
      <c r="G111" s="27">
        <v>45281</v>
      </c>
      <c r="I111" t="s">
        <v>2777</v>
      </c>
      <c r="J111" s="232">
        <v>52</v>
      </c>
      <c r="K111" s="1" t="s">
        <v>2778</v>
      </c>
      <c r="L111" t="s">
        <v>47</v>
      </c>
      <c r="M111" t="s">
        <v>2781</v>
      </c>
    </row>
    <row r="112" spans="1:13" ht="15" customHeight="1" x14ac:dyDescent="0.25">
      <c r="A112" t="s">
        <v>2554</v>
      </c>
      <c r="B112" s="232">
        <v>9</v>
      </c>
      <c r="C112" t="s">
        <v>2567</v>
      </c>
      <c r="D112" t="s">
        <v>2565</v>
      </c>
      <c r="E112" t="s">
        <v>2779</v>
      </c>
      <c r="F112" t="s">
        <v>2553</v>
      </c>
      <c r="G112" s="27">
        <v>45281</v>
      </c>
      <c r="I112" t="s">
        <v>2669</v>
      </c>
      <c r="J112" s="232">
        <v>53</v>
      </c>
      <c r="K112" s="1" t="s">
        <v>2780</v>
      </c>
      <c r="L112" t="s">
        <v>47</v>
      </c>
      <c r="M112" t="s">
        <v>2781</v>
      </c>
    </row>
    <row r="113" spans="1:13" x14ac:dyDescent="0.25">
      <c r="A113" t="s">
        <v>2554</v>
      </c>
      <c r="B113" s="232">
        <v>9</v>
      </c>
      <c r="C113" t="s">
        <v>2567</v>
      </c>
      <c r="D113" t="s">
        <v>2565</v>
      </c>
      <c r="E113" t="s">
        <v>2779</v>
      </c>
      <c r="F113" t="s">
        <v>2553</v>
      </c>
      <c r="G113" s="27">
        <v>45281</v>
      </c>
      <c r="I113" t="s">
        <v>2782</v>
      </c>
      <c r="J113" s="232">
        <v>54</v>
      </c>
      <c r="K113" s="1" t="s">
        <v>2570</v>
      </c>
      <c r="L113" t="s">
        <v>47</v>
      </c>
      <c r="M113" t="s">
        <v>2781</v>
      </c>
    </row>
    <row r="114" spans="1:13" ht="17.25" customHeight="1" x14ac:dyDescent="0.25">
      <c r="A114" t="s">
        <v>2554</v>
      </c>
      <c r="B114" s="232">
        <v>9</v>
      </c>
      <c r="C114" t="s">
        <v>2567</v>
      </c>
      <c r="D114" t="s">
        <v>2565</v>
      </c>
      <c r="E114" t="s">
        <v>2779</v>
      </c>
      <c r="F114" t="s">
        <v>2553</v>
      </c>
      <c r="G114" s="27">
        <v>45281</v>
      </c>
      <c r="I114" t="s">
        <v>2673</v>
      </c>
      <c r="J114" s="232">
        <v>55</v>
      </c>
      <c r="K114" s="1" t="s">
        <v>2571</v>
      </c>
      <c r="L114" t="s">
        <v>47</v>
      </c>
      <c r="M114" t="s">
        <v>2781</v>
      </c>
    </row>
    <row r="115" spans="1:13" x14ac:dyDescent="0.25">
      <c r="A115" t="s">
        <v>2554</v>
      </c>
      <c r="B115" s="232">
        <v>9</v>
      </c>
      <c r="C115" t="s">
        <v>2567</v>
      </c>
      <c r="D115" t="s">
        <v>2565</v>
      </c>
      <c r="E115" t="s">
        <v>2779</v>
      </c>
      <c r="F115" t="s">
        <v>2553</v>
      </c>
      <c r="G115" s="27">
        <v>45281</v>
      </c>
      <c r="I115" t="s">
        <v>2681</v>
      </c>
      <c r="J115" s="232">
        <v>56</v>
      </c>
      <c r="K115" s="1" t="s">
        <v>2572</v>
      </c>
      <c r="L115" t="s">
        <v>47</v>
      </c>
      <c r="M115" t="s">
        <v>2781</v>
      </c>
    </row>
    <row r="116" spans="1:13" ht="15" customHeight="1" x14ac:dyDescent="0.25">
      <c r="A116" t="s">
        <v>2554</v>
      </c>
      <c r="B116" s="232">
        <v>9</v>
      </c>
      <c r="C116" t="s">
        <v>2567</v>
      </c>
      <c r="D116" t="s">
        <v>2565</v>
      </c>
      <c r="E116" t="s">
        <v>2779</v>
      </c>
      <c r="F116" t="s">
        <v>2553</v>
      </c>
      <c r="G116" s="27">
        <v>45281</v>
      </c>
      <c r="I116" t="s">
        <v>2683</v>
      </c>
      <c r="J116" s="232">
        <v>57</v>
      </c>
      <c r="K116" s="1" t="s">
        <v>2573</v>
      </c>
      <c r="L116" t="s">
        <v>47</v>
      </c>
      <c r="M116" t="s">
        <v>2781</v>
      </c>
    </row>
    <row r="117" spans="1:13" x14ac:dyDescent="0.25">
      <c r="A117" t="s">
        <v>2554</v>
      </c>
      <c r="B117" s="232">
        <v>10</v>
      </c>
      <c r="C117" t="s">
        <v>2567</v>
      </c>
      <c r="D117" t="s">
        <v>2565</v>
      </c>
      <c r="E117" t="s">
        <v>2783</v>
      </c>
      <c r="F117" t="s">
        <v>2553</v>
      </c>
      <c r="G117" s="27">
        <v>45281</v>
      </c>
      <c r="I117" t="s">
        <v>2784</v>
      </c>
      <c r="J117" s="232">
        <v>58</v>
      </c>
      <c r="K117" s="1" t="s">
        <v>2574</v>
      </c>
      <c r="L117" t="s">
        <v>47</v>
      </c>
      <c r="M117" t="s">
        <v>2781</v>
      </c>
    </row>
    <row r="118" spans="1:13" ht="16.5" customHeight="1" x14ac:dyDescent="0.25">
      <c r="A118" t="s">
        <v>2554</v>
      </c>
      <c r="B118" s="232">
        <v>10</v>
      </c>
      <c r="C118" t="s">
        <v>2567</v>
      </c>
      <c r="D118" t="s">
        <v>2565</v>
      </c>
      <c r="E118" t="s">
        <v>2783</v>
      </c>
      <c r="F118" t="s">
        <v>2553</v>
      </c>
      <c r="G118" s="27">
        <v>45281</v>
      </c>
      <c r="I118" t="s">
        <v>2785</v>
      </c>
      <c r="J118" s="232">
        <v>59</v>
      </c>
      <c r="K118" s="1" t="s">
        <v>2575</v>
      </c>
      <c r="L118" t="s">
        <v>47</v>
      </c>
      <c r="M118" t="s">
        <v>2781</v>
      </c>
    </row>
    <row r="119" spans="1:13" x14ac:dyDescent="0.25">
      <c r="A119" t="s">
        <v>2554</v>
      </c>
      <c r="B119" s="232">
        <v>10</v>
      </c>
      <c r="C119" t="s">
        <v>2567</v>
      </c>
      <c r="D119" t="s">
        <v>2565</v>
      </c>
      <c r="E119" t="s">
        <v>2783</v>
      </c>
      <c r="F119" t="s">
        <v>2553</v>
      </c>
      <c r="G119" s="27">
        <v>45281</v>
      </c>
      <c r="I119" t="s">
        <v>2786</v>
      </c>
      <c r="J119" s="232">
        <v>60</v>
      </c>
      <c r="K119" s="1" t="s">
        <v>2576</v>
      </c>
      <c r="L119" t="s">
        <v>47</v>
      </c>
      <c r="M119" t="s">
        <v>2781</v>
      </c>
    </row>
    <row r="120" spans="1:13" ht="14.25" customHeight="1" x14ac:dyDescent="0.25">
      <c r="A120" t="s">
        <v>2554</v>
      </c>
      <c r="B120" s="232">
        <v>10</v>
      </c>
      <c r="C120" t="s">
        <v>2567</v>
      </c>
      <c r="D120" t="s">
        <v>2565</v>
      </c>
      <c r="E120" t="s">
        <v>2783</v>
      </c>
      <c r="F120" t="s">
        <v>2553</v>
      </c>
      <c r="G120" s="27">
        <v>45281</v>
      </c>
      <c r="I120" t="s">
        <v>2787</v>
      </c>
      <c r="J120" s="232">
        <v>61</v>
      </c>
      <c r="K120" s="1" t="s">
        <v>2577</v>
      </c>
      <c r="L120" t="s">
        <v>1968</v>
      </c>
      <c r="M120" t="s">
        <v>2781</v>
      </c>
    </row>
    <row r="121" spans="1:13" x14ac:dyDescent="0.25">
      <c r="A121" t="s">
        <v>2554</v>
      </c>
      <c r="B121" s="232">
        <v>10</v>
      </c>
      <c r="C121" t="s">
        <v>2567</v>
      </c>
      <c r="D121" t="s">
        <v>2565</v>
      </c>
      <c r="E121" t="s">
        <v>2783</v>
      </c>
      <c r="F121" t="s">
        <v>2553</v>
      </c>
      <c r="G121" s="27">
        <v>45281</v>
      </c>
      <c r="I121" t="s">
        <v>2579</v>
      </c>
      <c r="J121" s="232">
        <v>62</v>
      </c>
      <c r="K121" s="1" t="s">
        <v>2788</v>
      </c>
      <c r="L121" t="s">
        <v>47</v>
      </c>
      <c r="M121" t="s">
        <v>2781</v>
      </c>
    </row>
    <row r="122" spans="1:13" ht="16.5" customHeight="1" x14ac:dyDescent="0.25">
      <c r="A122" t="s">
        <v>2554</v>
      </c>
      <c r="B122" s="232">
        <v>10</v>
      </c>
      <c r="C122" t="s">
        <v>2567</v>
      </c>
      <c r="D122" t="s">
        <v>2565</v>
      </c>
      <c r="E122" t="s">
        <v>2783</v>
      </c>
      <c r="F122" t="s">
        <v>2553</v>
      </c>
      <c r="G122" s="27">
        <v>45281</v>
      </c>
      <c r="I122" t="s">
        <v>2789</v>
      </c>
      <c r="J122" s="232">
        <v>63</v>
      </c>
      <c r="K122" s="1" t="s">
        <v>2578</v>
      </c>
      <c r="L122" t="s">
        <v>47</v>
      </c>
      <c r="M122" t="s">
        <v>2781</v>
      </c>
    </row>
    <row r="123" spans="1:13" x14ac:dyDescent="0.25">
      <c r="A123" t="s">
        <v>2554</v>
      </c>
      <c r="B123" s="232">
        <v>11</v>
      </c>
      <c r="C123" t="s">
        <v>2567</v>
      </c>
      <c r="D123" t="s">
        <v>2565</v>
      </c>
      <c r="E123" t="s">
        <v>2668</v>
      </c>
      <c r="F123" t="s">
        <v>2553</v>
      </c>
      <c r="G123" s="27">
        <v>45281</v>
      </c>
      <c r="I123" t="s">
        <v>2790</v>
      </c>
      <c r="J123" s="232">
        <v>64</v>
      </c>
      <c r="K123" s="1" t="s">
        <v>2580</v>
      </c>
      <c r="L123" t="s">
        <v>47</v>
      </c>
      <c r="M123" t="s">
        <v>2781</v>
      </c>
    </row>
    <row r="124" spans="1:13" ht="14.25" customHeight="1" x14ac:dyDescent="0.25">
      <c r="A124" t="s">
        <v>2554</v>
      </c>
      <c r="B124" s="232">
        <v>11</v>
      </c>
      <c r="C124" t="s">
        <v>2567</v>
      </c>
      <c r="D124" t="s">
        <v>2565</v>
      </c>
      <c r="E124" t="s">
        <v>2668</v>
      </c>
      <c r="F124" t="s">
        <v>2553</v>
      </c>
      <c r="G124" s="27">
        <v>45281</v>
      </c>
      <c r="I124" t="s">
        <v>2791</v>
      </c>
      <c r="J124" s="232">
        <v>65</v>
      </c>
      <c r="K124" s="1" t="s">
        <v>2581</v>
      </c>
      <c r="L124" t="s">
        <v>47</v>
      </c>
      <c r="M124" t="s">
        <v>2781</v>
      </c>
    </row>
    <row r="125" spans="1:13" x14ac:dyDescent="0.25">
      <c r="A125" t="s">
        <v>2554</v>
      </c>
      <c r="B125" s="232">
        <v>11</v>
      </c>
      <c r="C125" t="s">
        <v>2567</v>
      </c>
      <c r="D125" t="s">
        <v>2565</v>
      </c>
      <c r="E125" t="s">
        <v>2668</v>
      </c>
      <c r="F125" t="s">
        <v>2553</v>
      </c>
      <c r="G125" s="27">
        <v>45281</v>
      </c>
      <c r="I125" t="s">
        <v>2792</v>
      </c>
      <c r="J125" s="232">
        <v>66</v>
      </c>
      <c r="K125" s="1" t="s">
        <v>2582</v>
      </c>
      <c r="L125" t="s">
        <v>47</v>
      </c>
      <c r="M125" t="s">
        <v>2781</v>
      </c>
    </row>
    <row r="126" spans="1:13" ht="19.5" customHeight="1" x14ac:dyDescent="0.25">
      <c r="A126" t="s">
        <v>2554</v>
      </c>
      <c r="B126" s="232">
        <v>11</v>
      </c>
      <c r="C126" t="s">
        <v>2567</v>
      </c>
      <c r="D126" t="s">
        <v>2565</v>
      </c>
      <c r="E126" t="s">
        <v>2668</v>
      </c>
      <c r="F126" t="s">
        <v>2553</v>
      </c>
      <c r="G126" s="27">
        <v>45281</v>
      </c>
      <c r="I126" t="s">
        <v>2793</v>
      </c>
      <c r="J126" s="232">
        <v>67</v>
      </c>
      <c r="K126" s="1" t="s">
        <v>2583</v>
      </c>
      <c r="L126" t="s">
        <v>47</v>
      </c>
      <c r="M126" t="s">
        <v>2781</v>
      </c>
    </row>
    <row r="127" spans="1:13" x14ac:dyDescent="0.25">
      <c r="A127" t="s">
        <v>2554</v>
      </c>
      <c r="B127" s="232">
        <v>11</v>
      </c>
      <c r="C127" t="s">
        <v>2567</v>
      </c>
      <c r="D127" t="s">
        <v>2565</v>
      </c>
      <c r="E127" t="s">
        <v>2668</v>
      </c>
      <c r="F127" t="s">
        <v>2553</v>
      </c>
      <c r="G127" s="27">
        <v>45281</v>
      </c>
      <c r="I127" t="s">
        <v>2794</v>
      </c>
      <c r="J127" s="232">
        <v>68</v>
      </c>
      <c r="K127" s="1" t="s">
        <v>2584</v>
      </c>
      <c r="L127" t="s">
        <v>47</v>
      </c>
      <c r="M127" t="s">
        <v>2781</v>
      </c>
    </row>
    <row r="128" spans="1:13" ht="15" customHeight="1" x14ac:dyDescent="0.25">
      <c r="A128" t="s">
        <v>2554</v>
      </c>
      <c r="B128" s="232">
        <v>11</v>
      </c>
      <c r="C128" t="s">
        <v>2567</v>
      </c>
      <c r="D128" t="s">
        <v>2565</v>
      </c>
      <c r="E128" t="s">
        <v>2668</v>
      </c>
      <c r="F128" t="s">
        <v>2553</v>
      </c>
      <c r="G128" s="27">
        <v>45281</v>
      </c>
      <c r="I128" t="s">
        <v>2795</v>
      </c>
      <c r="J128" s="232">
        <v>69</v>
      </c>
      <c r="K128" s="1" t="s">
        <v>2585</v>
      </c>
      <c r="L128" t="s">
        <v>47</v>
      </c>
      <c r="M128" t="s">
        <v>2781</v>
      </c>
    </row>
    <row r="129" spans="1:13" x14ac:dyDescent="0.25">
      <c r="A129" t="s">
        <v>2554</v>
      </c>
      <c r="B129" s="232">
        <v>11</v>
      </c>
      <c r="C129" t="s">
        <v>2567</v>
      </c>
      <c r="D129" t="s">
        <v>2565</v>
      </c>
      <c r="E129" t="s">
        <v>2668</v>
      </c>
      <c r="F129" t="s">
        <v>2553</v>
      </c>
      <c r="G129" s="27">
        <v>45281</v>
      </c>
      <c r="I129" t="s">
        <v>2796</v>
      </c>
      <c r="J129" s="232">
        <v>70</v>
      </c>
      <c r="K129" s="1" t="s">
        <v>2586</v>
      </c>
      <c r="L129" t="s">
        <v>47</v>
      </c>
      <c r="M129" t="s">
        <v>2781</v>
      </c>
    </row>
    <row r="130" spans="1:13" ht="18.75" customHeight="1" x14ac:dyDescent="0.25">
      <c r="A130" t="s">
        <v>2554</v>
      </c>
      <c r="B130" s="232">
        <v>11</v>
      </c>
      <c r="C130" t="s">
        <v>2567</v>
      </c>
      <c r="D130" t="s">
        <v>2565</v>
      </c>
      <c r="E130" t="s">
        <v>2668</v>
      </c>
      <c r="F130" t="s">
        <v>2553</v>
      </c>
      <c r="G130" s="27">
        <v>45281</v>
      </c>
      <c r="I130" t="s">
        <v>2797</v>
      </c>
      <c r="J130" s="232">
        <v>71</v>
      </c>
      <c r="K130" s="1" t="s">
        <v>2587</v>
      </c>
      <c r="L130" t="s">
        <v>47</v>
      </c>
      <c r="M130" t="s">
        <v>2781</v>
      </c>
    </row>
    <row r="131" spans="1:13" x14ac:dyDescent="0.25">
      <c r="A131" t="s">
        <v>2554</v>
      </c>
      <c r="B131" s="232">
        <v>11</v>
      </c>
      <c r="C131" t="s">
        <v>2567</v>
      </c>
      <c r="D131" t="s">
        <v>2565</v>
      </c>
      <c r="E131" t="s">
        <v>2668</v>
      </c>
      <c r="F131" t="s">
        <v>2553</v>
      </c>
      <c r="G131" s="27">
        <v>45281</v>
      </c>
      <c r="I131" t="s">
        <v>2588</v>
      </c>
      <c r="J131" s="232">
        <v>72</v>
      </c>
      <c r="K131" s="1" t="s">
        <v>2589</v>
      </c>
      <c r="L131" t="s">
        <v>47</v>
      </c>
      <c r="M131" t="s">
        <v>2781</v>
      </c>
    </row>
    <row r="132" spans="1:13" ht="17.25" customHeight="1" x14ac:dyDescent="0.25">
      <c r="A132" t="s">
        <v>2554</v>
      </c>
      <c r="B132" s="232">
        <v>11</v>
      </c>
      <c r="C132" t="s">
        <v>2567</v>
      </c>
      <c r="D132" t="s">
        <v>2565</v>
      </c>
      <c r="E132" t="s">
        <v>2668</v>
      </c>
      <c r="F132" t="s">
        <v>2553</v>
      </c>
      <c r="G132" s="27">
        <v>45281</v>
      </c>
      <c r="I132" t="s">
        <v>2798</v>
      </c>
      <c r="J132" s="232">
        <v>73</v>
      </c>
      <c r="K132" s="1" t="s">
        <v>2590</v>
      </c>
      <c r="L132" t="s">
        <v>47</v>
      </c>
      <c r="M132" t="s">
        <v>2781</v>
      </c>
    </row>
    <row r="133" spans="1:13" x14ac:dyDescent="0.25">
      <c r="A133" t="s">
        <v>2554</v>
      </c>
      <c r="B133" s="232">
        <v>11</v>
      </c>
      <c r="C133" t="s">
        <v>2567</v>
      </c>
      <c r="D133" t="s">
        <v>2565</v>
      </c>
      <c r="E133" t="s">
        <v>2668</v>
      </c>
      <c r="F133" t="s">
        <v>2553</v>
      </c>
      <c r="G133" s="27">
        <v>45281</v>
      </c>
      <c r="I133" t="s">
        <v>2799</v>
      </c>
      <c r="J133" s="232">
        <v>74</v>
      </c>
      <c r="K133" s="1" t="s">
        <v>2800</v>
      </c>
      <c r="L133" t="s">
        <v>47</v>
      </c>
      <c r="M133" t="s">
        <v>2781</v>
      </c>
    </row>
    <row r="134" spans="1:13" ht="17.25" customHeight="1" x14ac:dyDescent="0.25">
      <c r="A134" t="s">
        <v>2554</v>
      </c>
      <c r="B134" s="232">
        <v>11</v>
      </c>
      <c r="C134" t="s">
        <v>2567</v>
      </c>
      <c r="D134" t="s">
        <v>2565</v>
      </c>
      <c r="E134" t="s">
        <v>2668</v>
      </c>
      <c r="F134" t="s">
        <v>2553</v>
      </c>
      <c r="G134" s="27">
        <v>45281</v>
      </c>
      <c r="I134" t="s">
        <v>2591</v>
      </c>
      <c r="J134" s="232">
        <v>75</v>
      </c>
      <c r="K134" s="1" t="s">
        <v>2801</v>
      </c>
      <c r="L134" t="s">
        <v>47</v>
      </c>
      <c r="M134" t="s">
        <v>2781</v>
      </c>
    </row>
    <row r="135" spans="1:13" ht="15" customHeight="1" x14ac:dyDescent="0.25">
      <c r="A135" t="s">
        <v>2554</v>
      </c>
      <c r="B135" s="232">
        <v>12</v>
      </c>
      <c r="C135" t="s">
        <v>2567</v>
      </c>
      <c r="D135" t="s">
        <v>2565</v>
      </c>
      <c r="E135" s="50" t="s">
        <v>3550</v>
      </c>
      <c r="F135" t="s">
        <v>2553</v>
      </c>
      <c r="G135" s="27">
        <v>45281</v>
      </c>
      <c r="I135">
        <v>1</v>
      </c>
      <c r="J135" s="232">
        <v>76</v>
      </c>
      <c r="K135" s="1" t="s">
        <v>2803</v>
      </c>
      <c r="L135" t="s">
        <v>47</v>
      </c>
      <c r="M135" t="s">
        <v>2781</v>
      </c>
    </row>
    <row r="136" spans="1:13" ht="22.5" customHeight="1" x14ac:dyDescent="0.25">
      <c r="A136" t="s">
        <v>2554</v>
      </c>
      <c r="B136" s="232">
        <v>12</v>
      </c>
      <c r="C136" t="s">
        <v>2567</v>
      </c>
      <c r="D136" t="s">
        <v>2565</v>
      </c>
      <c r="E136" s="50" t="s">
        <v>3550</v>
      </c>
      <c r="F136" t="s">
        <v>2553</v>
      </c>
      <c r="G136" s="27">
        <v>45281</v>
      </c>
      <c r="I136" t="s">
        <v>2605</v>
      </c>
      <c r="J136" s="232">
        <v>77</v>
      </c>
      <c r="K136" s="1" t="s">
        <v>2804</v>
      </c>
      <c r="L136" t="s">
        <v>47</v>
      </c>
      <c r="M136" t="s">
        <v>2781</v>
      </c>
    </row>
    <row r="137" spans="1:13" ht="22.5" customHeight="1" x14ac:dyDescent="0.25">
      <c r="A137" t="s">
        <v>2554</v>
      </c>
      <c r="B137" s="232">
        <v>12</v>
      </c>
      <c r="C137" t="s">
        <v>2567</v>
      </c>
      <c r="D137" t="s">
        <v>2565</v>
      </c>
      <c r="E137" s="50" t="s">
        <v>3550</v>
      </c>
      <c r="F137" t="s">
        <v>2553</v>
      </c>
      <c r="G137" s="27">
        <v>45281</v>
      </c>
      <c r="I137" s="229" t="s">
        <v>2607</v>
      </c>
      <c r="J137" s="232">
        <v>78</v>
      </c>
      <c r="K137" s="1" t="s">
        <v>2805</v>
      </c>
      <c r="L137" t="s">
        <v>1968</v>
      </c>
      <c r="M137" t="s">
        <v>2781</v>
      </c>
    </row>
    <row r="138" spans="1:13" ht="22.5" customHeight="1" x14ac:dyDescent="0.25">
      <c r="A138" t="s">
        <v>2554</v>
      </c>
      <c r="B138" s="232">
        <v>12</v>
      </c>
      <c r="C138" t="s">
        <v>2567</v>
      </c>
      <c r="D138" t="s">
        <v>2565</v>
      </c>
      <c r="E138" s="50" t="s">
        <v>3551</v>
      </c>
      <c r="F138" t="s">
        <v>2553</v>
      </c>
      <c r="G138" s="27">
        <v>45281</v>
      </c>
      <c r="I138" t="s">
        <v>2729</v>
      </c>
      <c r="J138" s="232">
        <v>79</v>
      </c>
      <c r="K138" s="1" t="s">
        <v>2806</v>
      </c>
      <c r="L138" t="s">
        <v>47</v>
      </c>
      <c r="M138" t="s">
        <v>2781</v>
      </c>
    </row>
    <row r="139" spans="1:13" ht="22.5" customHeight="1" x14ac:dyDescent="0.25">
      <c r="A139" t="s">
        <v>2554</v>
      </c>
      <c r="B139" s="232">
        <v>12</v>
      </c>
      <c r="C139" t="s">
        <v>2567</v>
      </c>
      <c r="D139" t="s">
        <v>2565</v>
      </c>
      <c r="E139" s="50" t="s">
        <v>3550</v>
      </c>
      <c r="F139" t="s">
        <v>2553</v>
      </c>
      <c r="G139" s="27">
        <v>45281</v>
      </c>
      <c r="I139">
        <v>3</v>
      </c>
      <c r="J139" s="232">
        <v>80</v>
      </c>
      <c r="K139" s="1" t="s">
        <v>2807</v>
      </c>
      <c r="L139" t="s">
        <v>47</v>
      </c>
      <c r="M139" t="s">
        <v>2781</v>
      </c>
    </row>
    <row r="140" spans="1:13" ht="22.5" customHeight="1" x14ac:dyDescent="0.25">
      <c r="A140" t="s">
        <v>2554</v>
      </c>
      <c r="B140" s="232">
        <v>12</v>
      </c>
      <c r="C140" t="s">
        <v>2567</v>
      </c>
      <c r="D140" t="s">
        <v>2565</v>
      </c>
      <c r="E140" s="50" t="s">
        <v>2808</v>
      </c>
      <c r="F140" t="s">
        <v>2553</v>
      </c>
      <c r="G140" s="27">
        <v>45281</v>
      </c>
      <c r="I140">
        <v>1</v>
      </c>
      <c r="J140" s="232">
        <v>81</v>
      </c>
      <c r="K140" s="1" t="s">
        <v>2809</v>
      </c>
      <c r="L140" t="s">
        <v>1968</v>
      </c>
      <c r="M140" t="s">
        <v>2781</v>
      </c>
    </row>
    <row r="141" spans="1:13" ht="22.5" customHeight="1" x14ac:dyDescent="0.25">
      <c r="A141" t="s">
        <v>2554</v>
      </c>
      <c r="B141" s="232">
        <v>12</v>
      </c>
      <c r="C141" t="s">
        <v>2567</v>
      </c>
      <c r="D141" t="s">
        <v>2565</v>
      </c>
      <c r="E141" s="50" t="s">
        <v>2808</v>
      </c>
      <c r="F141" t="s">
        <v>2553</v>
      </c>
      <c r="G141" s="27">
        <v>45281</v>
      </c>
      <c r="I141">
        <v>2</v>
      </c>
      <c r="J141" s="232">
        <v>82</v>
      </c>
      <c r="K141" s="1" t="s">
        <v>2810</v>
      </c>
      <c r="L141" t="s">
        <v>47</v>
      </c>
      <c r="M141" t="s">
        <v>2781</v>
      </c>
    </row>
    <row r="142" spans="1:13" ht="22.5" customHeight="1" x14ac:dyDescent="0.25">
      <c r="A142" t="s">
        <v>2554</v>
      </c>
      <c r="B142" s="232">
        <v>12</v>
      </c>
      <c r="C142" t="s">
        <v>2567</v>
      </c>
      <c r="D142" t="s">
        <v>2565</v>
      </c>
      <c r="E142" s="50" t="s">
        <v>2808</v>
      </c>
      <c r="F142" t="s">
        <v>2553</v>
      </c>
      <c r="G142" s="27">
        <v>45281</v>
      </c>
      <c r="I142">
        <v>3</v>
      </c>
      <c r="J142" s="232">
        <v>83</v>
      </c>
      <c r="K142" s="1" t="s">
        <v>2811</v>
      </c>
      <c r="L142" t="s">
        <v>1968</v>
      </c>
      <c r="M142" t="s">
        <v>2781</v>
      </c>
    </row>
    <row r="143" spans="1:13" ht="22.5" customHeight="1" x14ac:dyDescent="0.25">
      <c r="A143" t="s">
        <v>2554</v>
      </c>
      <c r="B143" s="232">
        <v>1</v>
      </c>
      <c r="C143" t="s">
        <v>2812</v>
      </c>
      <c r="D143" t="s">
        <v>2565</v>
      </c>
      <c r="E143" t="s">
        <v>2890</v>
      </c>
      <c r="F143" t="s">
        <v>2553</v>
      </c>
      <c r="G143" s="27">
        <v>42642</v>
      </c>
      <c r="H143" s="27">
        <v>43165</v>
      </c>
      <c r="I143" t="s">
        <v>2593</v>
      </c>
      <c r="J143" s="232">
        <v>1</v>
      </c>
      <c r="K143" s="1" t="s">
        <v>2709</v>
      </c>
      <c r="L143" t="s">
        <v>47</v>
      </c>
    </row>
    <row r="144" spans="1:13" ht="22.5" customHeight="1" x14ac:dyDescent="0.25">
      <c r="A144" t="s">
        <v>2554</v>
      </c>
      <c r="B144" s="232">
        <v>1</v>
      </c>
      <c r="C144" t="s">
        <v>2812</v>
      </c>
      <c r="D144" t="s">
        <v>2565</v>
      </c>
      <c r="E144" t="s">
        <v>2890</v>
      </c>
      <c r="F144" t="s">
        <v>2553</v>
      </c>
      <c r="G144" s="27">
        <v>42642</v>
      </c>
      <c r="H144" s="27">
        <v>43165</v>
      </c>
      <c r="I144" t="s">
        <v>2597</v>
      </c>
      <c r="J144" s="232">
        <v>2</v>
      </c>
      <c r="K144" s="1" t="s">
        <v>2710</v>
      </c>
      <c r="L144" t="s">
        <v>47</v>
      </c>
    </row>
    <row r="145" spans="1:12" ht="22.5" customHeight="1" x14ac:dyDescent="0.25">
      <c r="A145" t="s">
        <v>2554</v>
      </c>
      <c r="B145" s="232">
        <v>1</v>
      </c>
      <c r="C145" t="s">
        <v>2812</v>
      </c>
      <c r="D145" t="s">
        <v>2565</v>
      </c>
      <c r="E145" t="s">
        <v>2890</v>
      </c>
      <c r="F145" t="s">
        <v>2553</v>
      </c>
      <c r="G145" s="27">
        <v>42642</v>
      </c>
      <c r="H145" s="27">
        <v>43165</v>
      </c>
      <c r="I145" t="s">
        <v>2599</v>
      </c>
      <c r="J145" s="232">
        <v>3</v>
      </c>
      <c r="K145" s="1" t="s">
        <v>2711</v>
      </c>
      <c r="L145" t="s">
        <v>47</v>
      </c>
    </row>
    <row r="146" spans="1:12" x14ac:dyDescent="0.25">
      <c r="A146" t="s">
        <v>2554</v>
      </c>
      <c r="B146" s="232">
        <v>1</v>
      </c>
      <c r="C146" t="s">
        <v>2812</v>
      </c>
      <c r="D146" t="s">
        <v>2565</v>
      </c>
      <c r="E146" t="s">
        <v>2890</v>
      </c>
      <c r="F146" t="s">
        <v>2553</v>
      </c>
      <c r="G146" s="27">
        <v>42642</v>
      </c>
      <c r="H146" s="27">
        <v>43165</v>
      </c>
      <c r="I146" t="s">
        <v>2555</v>
      </c>
      <c r="J146" s="232">
        <v>4</v>
      </c>
      <c r="K146" s="1" t="s">
        <v>2552</v>
      </c>
      <c r="L146" t="s">
        <v>1968</v>
      </c>
    </row>
    <row r="147" spans="1:12" x14ac:dyDescent="0.25">
      <c r="A147" t="s">
        <v>2554</v>
      </c>
      <c r="B147" s="232">
        <v>1</v>
      </c>
      <c r="C147" t="s">
        <v>2812</v>
      </c>
      <c r="D147" t="s">
        <v>2565</v>
      </c>
      <c r="E147" t="s">
        <v>2890</v>
      </c>
      <c r="F147" t="s">
        <v>2553</v>
      </c>
      <c r="G147" s="27">
        <v>42642</v>
      </c>
      <c r="H147" s="27">
        <v>43165</v>
      </c>
      <c r="I147" t="s">
        <v>2557</v>
      </c>
      <c r="J147" s="232">
        <v>5</v>
      </c>
      <c r="K147" s="1" t="s">
        <v>2559</v>
      </c>
      <c r="L147" t="s">
        <v>47</v>
      </c>
    </row>
    <row r="148" spans="1:12" x14ac:dyDescent="0.25">
      <c r="A148" t="s">
        <v>2554</v>
      </c>
      <c r="B148" s="232">
        <v>1</v>
      </c>
      <c r="C148" t="s">
        <v>2812</v>
      </c>
      <c r="D148" t="s">
        <v>2565</v>
      </c>
      <c r="E148" t="s">
        <v>2890</v>
      </c>
      <c r="F148" t="s">
        <v>2553</v>
      </c>
      <c r="G148" s="27">
        <v>42642</v>
      </c>
      <c r="H148" s="27">
        <v>43165</v>
      </c>
      <c r="I148" s="227" t="s">
        <v>2556</v>
      </c>
      <c r="J148" s="232">
        <v>6</v>
      </c>
      <c r="K148" s="1" t="s">
        <v>2713</v>
      </c>
      <c r="L148" t="s">
        <v>47</v>
      </c>
    </row>
    <row r="149" spans="1:12" x14ac:dyDescent="0.25">
      <c r="A149" t="s">
        <v>2554</v>
      </c>
      <c r="B149" s="232">
        <v>2</v>
      </c>
      <c r="C149" t="s">
        <v>2812</v>
      </c>
      <c r="D149" t="s">
        <v>2565</v>
      </c>
      <c r="E149" t="s">
        <v>2603</v>
      </c>
      <c r="F149" t="s">
        <v>2553</v>
      </c>
      <c r="G149" s="27">
        <v>42642</v>
      </c>
      <c r="H149" s="27">
        <v>43165</v>
      </c>
      <c r="I149" t="s">
        <v>2601</v>
      </c>
      <c r="J149" s="232">
        <v>7</v>
      </c>
      <c r="K149" s="1" t="s">
        <v>2561</v>
      </c>
      <c r="L149" t="s">
        <v>47</v>
      </c>
    </row>
    <row r="150" spans="1:12" x14ac:dyDescent="0.25">
      <c r="A150" t="s">
        <v>2554</v>
      </c>
      <c r="B150" s="232">
        <v>2</v>
      </c>
      <c r="C150" t="s">
        <v>2812</v>
      </c>
      <c r="D150" t="s">
        <v>2565</v>
      </c>
      <c r="E150" t="s">
        <v>2603</v>
      </c>
      <c r="F150" t="s">
        <v>2553</v>
      </c>
      <c r="G150" s="27">
        <v>42642</v>
      </c>
      <c r="H150" s="27">
        <v>43165</v>
      </c>
      <c r="I150" t="s">
        <v>2714</v>
      </c>
      <c r="J150" s="232">
        <v>8</v>
      </c>
      <c r="K150" s="1" t="s">
        <v>2715</v>
      </c>
      <c r="L150" t="s">
        <v>47</v>
      </c>
    </row>
    <row r="151" spans="1:12" x14ac:dyDescent="0.25">
      <c r="A151" t="s">
        <v>2554</v>
      </c>
      <c r="B151" s="232">
        <v>2</v>
      </c>
      <c r="C151" t="s">
        <v>2812</v>
      </c>
      <c r="D151" t="s">
        <v>2565</v>
      </c>
      <c r="E151" t="s">
        <v>2603</v>
      </c>
      <c r="F151" t="s">
        <v>2553</v>
      </c>
      <c r="G151" s="27">
        <v>42642</v>
      </c>
      <c r="H151" s="27">
        <v>43165</v>
      </c>
      <c r="I151" s="228" t="s">
        <v>2716</v>
      </c>
      <c r="J151" s="232">
        <v>9</v>
      </c>
      <c r="K151" s="1" t="s">
        <v>2562</v>
      </c>
      <c r="L151" t="s">
        <v>47</v>
      </c>
    </row>
    <row r="152" spans="1:12" x14ac:dyDescent="0.25">
      <c r="A152" t="s">
        <v>2554</v>
      </c>
      <c r="B152" s="232">
        <v>2</v>
      </c>
      <c r="C152" t="s">
        <v>2812</v>
      </c>
      <c r="D152" t="s">
        <v>2565</v>
      </c>
      <c r="E152" t="s">
        <v>2603</v>
      </c>
      <c r="F152" t="s">
        <v>2553</v>
      </c>
      <c r="G152" s="27">
        <v>42642</v>
      </c>
      <c r="H152" s="27">
        <v>43165</v>
      </c>
      <c r="I152" s="228" t="s">
        <v>2717</v>
      </c>
      <c r="J152" s="232">
        <v>10</v>
      </c>
      <c r="K152" s="1" t="s">
        <v>2718</v>
      </c>
      <c r="L152" t="s">
        <v>47</v>
      </c>
    </row>
    <row r="153" spans="1:12" ht="21.75" customHeight="1" x14ac:dyDescent="0.25">
      <c r="A153" t="s">
        <v>2554</v>
      </c>
      <c r="B153" s="232">
        <v>2</v>
      </c>
      <c r="C153" t="s">
        <v>2812</v>
      </c>
      <c r="D153" t="s">
        <v>2565</v>
      </c>
      <c r="E153" t="s">
        <v>2603</v>
      </c>
      <c r="F153" t="s">
        <v>2553</v>
      </c>
      <c r="G153" s="27">
        <v>42642</v>
      </c>
      <c r="H153" s="27">
        <v>43165</v>
      </c>
      <c r="I153" t="s">
        <v>2719</v>
      </c>
      <c r="J153" s="232">
        <v>11</v>
      </c>
      <c r="K153" s="1" t="s">
        <v>2720</v>
      </c>
      <c r="L153" t="s">
        <v>47</v>
      </c>
    </row>
    <row r="154" spans="1:12" ht="21.75" customHeight="1" x14ac:dyDescent="0.25">
      <c r="A154" t="s">
        <v>2554</v>
      </c>
      <c r="B154" s="232">
        <v>2</v>
      </c>
      <c r="C154" t="s">
        <v>2812</v>
      </c>
      <c r="D154" t="s">
        <v>2565</v>
      </c>
      <c r="E154" t="s">
        <v>2603</v>
      </c>
      <c r="F154" t="s">
        <v>2553</v>
      </c>
      <c r="G154" s="27">
        <v>42642</v>
      </c>
      <c r="H154" s="27">
        <v>43165</v>
      </c>
      <c r="I154" t="s">
        <v>2721</v>
      </c>
      <c r="J154" s="232">
        <v>12</v>
      </c>
      <c r="K154" s="1" t="s">
        <v>2722</v>
      </c>
      <c r="L154" t="s">
        <v>47</v>
      </c>
    </row>
    <row r="155" spans="1:12" ht="21.75" customHeight="1" x14ac:dyDescent="0.25">
      <c r="A155" t="s">
        <v>2554</v>
      </c>
      <c r="B155" s="232">
        <v>2</v>
      </c>
      <c r="C155" t="s">
        <v>2812</v>
      </c>
      <c r="D155" t="s">
        <v>2565</v>
      </c>
      <c r="E155" t="s">
        <v>2603</v>
      </c>
      <c r="F155" t="s">
        <v>2553</v>
      </c>
      <c r="G155" s="27">
        <v>42642</v>
      </c>
      <c r="H155" s="27">
        <v>43165</v>
      </c>
      <c r="I155" s="228" t="s">
        <v>2724</v>
      </c>
      <c r="J155" s="232">
        <v>13</v>
      </c>
      <c r="K155" s="1" t="s">
        <v>2725</v>
      </c>
      <c r="L155" t="s">
        <v>47</v>
      </c>
    </row>
    <row r="156" spans="1:12" ht="21.75" customHeight="1" x14ac:dyDescent="0.25">
      <c r="A156" t="s">
        <v>2554</v>
      </c>
      <c r="B156" s="232">
        <v>4</v>
      </c>
      <c r="C156" t="s">
        <v>2812</v>
      </c>
      <c r="D156" t="s">
        <v>2565</v>
      </c>
      <c r="E156" t="s">
        <v>2726</v>
      </c>
      <c r="F156" t="s">
        <v>2553</v>
      </c>
      <c r="G156" s="27">
        <v>42642</v>
      </c>
      <c r="H156" s="27">
        <v>43165</v>
      </c>
      <c r="I156" s="228" t="s">
        <v>2605</v>
      </c>
      <c r="J156" s="232">
        <v>14</v>
      </c>
      <c r="K156" s="1" t="s">
        <v>2727</v>
      </c>
      <c r="L156" t="s">
        <v>47</v>
      </c>
    </row>
    <row r="157" spans="1:12" ht="15" customHeight="1" x14ac:dyDescent="0.25">
      <c r="A157" t="s">
        <v>2554</v>
      </c>
      <c r="B157" s="232">
        <v>4</v>
      </c>
      <c r="C157" t="s">
        <v>2812</v>
      </c>
      <c r="D157" t="s">
        <v>2565</v>
      </c>
      <c r="E157" t="s">
        <v>2726</v>
      </c>
      <c r="F157" t="s">
        <v>2553</v>
      </c>
      <c r="G157" s="27">
        <v>42642</v>
      </c>
      <c r="H157" s="27">
        <v>43165</v>
      </c>
      <c r="I157" s="228" t="s">
        <v>2607</v>
      </c>
      <c r="J157" s="232">
        <v>15</v>
      </c>
      <c r="K157" s="248" t="s">
        <v>2813</v>
      </c>
      <c r="L157" t="s">
        <v>47</v>
      </c>
    </row>
    <row r="158" spans="1:12" x14ac:dyDescent="0.25">
      <c r="A158" t="s">
        <v>2554</v>
      </c>
      <c r="B158" s="232">
        <v>4</v>
      </c>
      <c r="C158" t="s">
        <v>2812</v>
      </c>
      <c r="D158" t="s">
        <v>2565</v>
      </c>
      <c r="E158" t="s">
        <v>2726</v>
      </c>
      <c r="F158" t="s">
        <v>2553</v>
      </c>
      <c r="G158" s="27">
        <v>42642</v>
      </c>
      <c r="H158" s="27">
        <v>43165</v>
      </c>
      <c r="I158" s="228" t="s">
        <v>2729</v>
      </c>
      <c r="J158" s="232">
        <v>16</v>
      </c>
      <c r="K158" s="248" t="s">
        <v>2814</v>
      </c>
      <c r="L158" t="s">
        <v>47</v>
      </c>
    </row>
    <row r="159" spans="1:12" ht="18.75" customHeight="1" x14ac:dyDescent="0.25">
      <c r="A159" t="s">
        <v>2554</v>
      </c>
      <c r="B159" s="232">
        <v>4</v>
      </c>
      <c r="C159" t="s">
        <v>2812</v>
      </c>
      <c r="D159" t="s">
        <v>2565</v>
      </c>
      <c r="E159" t="s">
        <v>2726</v>
      </c>
      <c r="F159" t="s">
        <v>2553</v>
      </c>
      <c r="G159" s="27">
        <v>42642</v>
      </c>
      <c r="H159" s="27">
        <v>43165</v>
      </c>
      <c r="I159" s="228" t="s">
        <v>2730</v>
      </c>
      <c r="J159" s="232">
        <v>17</v>
      </c>
      <c r="K159" s="1" t="s">
        <v>2563</v>
      </c>
      <c r="L159" t="s">
        <v>47</v>
      </c>
    </row>
    <row r="160" spans="1:12" x14ac:dyDescent="0.25">
      <c r="A160" t="s">
        <v>2554</v>
      </c>
      <c r="B160" s="232">
        <v>4</v>
      </c>
      <c r="C160" t="s">
        <v>2812</v>
      </c>
      <c r="D160" t="s">
        <v>2565</v>
      </c>
      <c r="E160" t="s">
        <v>2726</v>
      </c>
      <c r="F160" t="s">
        <v>2553</v>
      </c>
      <c r="G160" s="27">
        <v>42642</v>
      </c>
      <c r="H160" s="27">
        <v>43165</v>
      </c>
      <c r="I160" s="228" t="s">
        <v>2732</v>
      </c>
      <c r="J160" s="232">
        <v>18</v>
      </c>
      <c r="K160" s="1" t="s">
        <v>2731</v>
      </c>
      <c r="L160" t="s">
        <v>47</v>
      </c>
    </row>
    <row r="161" spans="1:12" ht="21.75" customHeight="1" x14ac:dyDescent="0.25">
      <c r="A161" t="s">
        <v>2554</v>
      </c>
      <c r="B161" s="232">
        <v>4</v>
      </c>
      <c r="C161" t="s">
        <v>2812</v>
      </c>
      <c r="D161" t="s">
        <v>2565</v>
      </c>
      <c r="E161" t="s">
        <v>2726</v>
      </c>
      <c r="F161" t="s">
        <v>2553</v>
      </c>
      <c r="G161" s="27">
        <v>42642</v>
      </c>
      <c r="H161" s="27">
        <v>43165</v>
      </c>
      <c r="I161" s="228" t="s">
        <v>2734</v>
      </c>
      <c r="J161" s="232">
        <v>19</v>
      </c>
      <c r="K161" s="1" t="s">
        <v>2815</v>
      </c>
      <c r="L161" t="s">
        <v>1968</v>
      </c>
    </row>
    <row r="162" spans="1:12" ht="21.75" customHeight="1" x14ac:dyDescent="0.25">
      <c r="A162" t="s">
        <v>2554</v>
      </c>
      <c r="B162" s="232">
        <v>4</v>
      </c>
      <c r="C162" t="s">
        <v>2812</v>
      </c>
      <c r="D162" t="s">
        <v>2565</v>
      </c>
      <c r="E162" t="s">
        <v>2726</v>
      </c>
      <c r="F162" t="s">
        <v>2553</v>
      </c>
      <c r="G162" s="27">
        <v>42642</v>
      </c>
      <c r="H162" s="27">
        <v>43165</v>
      </c>
      <c r="I162" s="228" t="s">
        <v>2736</v>
      </c>
      <c r="J162" s="232">
        <v>20</v>
      </c>
      <c r="K162" s="1" t="s">
        <v>2816</v>
      </c>
      <c r="L162" t="s">
        <v>47</v>
      </c>
    </row>
    <row r="163" spans="1:12" ht="24.75" customHeight="1" x14ac:dyDescent="0.25">
      <c r="A163" t="s">
        <v>2554</v>
      </c>
      <c r="B163" s="232">
        <v>4</v>
      </c>
      <c r="C163" t="s">
        <v>2812</v>
      </c>
      <c r="D163" t="s">
        <v>2565</v>
      </c>
      <c r="E163" t="s">
        <v>2726</v>
      </c>
      <c r="F163" t="s">
        <v>2553</v>
      </c>
      <c r="G163" s="27">
        <v>42642</v>
      </c>
      <c r="H163" s="27">
        <v>43165</v>
      </c>
      <c r="I163" s="228" t="s">
        <v>2737</v>
      </c>
      <c r="J163" s="232">
        <v>21</v>
      </c>
      <c r="K163" s="1" t="s">
        <v>2733</v>
      </c>
      <c r="L163" t="s">
        <v>47</v>
      </c>
    </row>
    <row r="164" spans="1:12" ht="15.75" customHeight="1" x14ac:dyDescent="0.25">
      <c r="A164" t="s">
        <v>2554</v>
      </c>
      <c r="B164" s="232">
        <v>4</v>
      </c>
      <c r="C164" t="s">
        <v>2812</v>
      </c>
      <c r="D164" t="s">
        <v>2565</v>
      </c>
      <c r="E164" t="s">
        <v>2726</v>
      </c>
      <c r="F164" t="s">
        <v>2553</v>
      </c>
      <c r="G164" s="27">
        <v>42642</v>
      </c>
      <c r="H164" s="27">
        <v>43165</v>
      </c>
      <c r="I164" s="228" t="s">
        <v>2738</v>
      </c>
      <c r="J164" s="232">
        <v>22</v>
      </c>
      <c r="K164" s="1" t="s">
        <v>2817</v>
      </c>
      <c r="L164" t="s">
        <v>47</v>
      </c>
    </row>
    <row r="165" spans="1:12" x14ac:dyDescent="0.25">
      <c r="A165" t="s">
        <v>2554</v>
      </c>
      <c r="B165" s="232">
        <v>4</v>
      </c>
      <c r="C165" t="s">
        <v>2812</v>
      </c>
      <c r="D165" t="s">
        <v>2565</v>
      </c>
      <c r="E165" t="s">
        <v>2726</v>
      </c>
      <c r="F165" t="s">
        <v>2553</v>
      </c>
      <c r="G165" s="27">
        <v>42642</v>
      </c>
      <c r="H165" s="27">
        <v>43165</v>
      </c>
      <c r="I165" s="228" t="s">
        <v>2742</v>
      </c>
      <c r="J165" s="232">
        <v>23</v>
      </c>
      <c r="K165" s="1" t="s">
        <v>2818</v>
      </c>
      <c r="L165" t="s">
        <v>47</v>
      </c>
    </row>
    <row r="166" spans="1:12" x14ac:dyDescent="0.25">
      <c r="A166" t="s">
        <v>2554</v>
      </c>
      <c r="B166" s="232">
        <v>4</v>
      </c>
      <c r="C166" t="s">
        <v>2812</v>
      </c>
      <c r="D166" t="s">
        <v>2565</v>
      </c>
      <c r="E166" t="s">
        <v>2726</v>
      </c>
      <c r="F166" t="s">
        <v>2553</v>
      </c>
      <c r="G166" s="27">
        <v>42642</v>
      </c>
      <c r="H166" s="27">
        <v>43165</v>
      </c>
      <c r="I166" s="228" t="s">
        <v>2819</v>
      </c>
      <c r="J166" s="232">
        <v>24</v>
      </c>
      <c r="K166" s="1" t="s">
        <v>2820</v>
      </c>
      <c r="L166" t="s">
        <v>47</v>
      </c>
    </row>
    <row r="167" spans="1:12" ht="15" customHeight="1" x14ac:dyDescent="0.25">
      <c r="A167" t="s">
        <v>2554</v>
      </c>
      <c r="B167" s="232">
        <v>4</v>
      </c>
      <c r="C167" t="s">
        <v>2812</v>
      </c>
      <c r="D167" t="s">
        <v>2565</v>
      </c>
      <c r="E167" t="s">
        <v>2726</v>
      </c>
      <c r="F167" t="s">
        <v>2553</v>
      </c>
      <c r="G167" s="27">
        <v>42642</v>
      </c>
      <c r="H167" s="27">
        <v>43165</v>
      </c>
      <c r="I167" s="228" t="s">
        <v>2821</v>
      </c>
      <c r="J167" s="232">
        <v>25</v>
      </c>
      <c r="K167" s="1" t="s">
        <v>2822</v>
      </c>
      <c r="L167" t="s">
        <v>1968</v>
      </c>
    </row>
    <row r="168" spans="1:12" ht="15" customHeight="1" x14ac:dyDescent="0.25">
      <c r="A168" t="s">
        <v>2554</v>
      </c>
      <c r="B168" s="232">
        <v>4</v>
      </c>
      <c r="C168" t="s">
        <v>2812</v>
      </c>
      <c r="D168" t="s">
        <v>2565</v>
      </c>
      <c r="E168" t="s">
        <v>2726</v>
      </c>
      <c r="F168" t="s">
        <v>2553</v>
      </c>
      <c r="G168" s="27">
        <v>42642</v>
      </c>
      <c r="H168" s="27">
        <v>43165</v>
      </c>
      <c r="I168" s="228" t="s">
        <v>2823</v>
      </c>
      <c r="J168" s="232">
        <v>26</v>
      </c>
      <c r="K168" s="1" t="s">
        <v>2824</v>
      </c>
      <c r="L168" t="s">
        <v>47</v>
      </c>
    </row>
    <row r="169" spans="1:12" ht="15" customHeight="1" x14ac:dyDescent="0.25">
      <c r="A169" t="s">
        <v>2554</v>
      </c>
      <c r="B169" s="232">
        <v>4</v>
      </c>
      <c r="C169" t="s">
        <v>2812</v>
      </c>
      <c r="D169" t="s">
        <v>2565</v>
      </c>
      <c r="E169" t="s">
        <v>2726</v>
      </c>
      <c r="F169" t="s">
        <v>2553</v>
      </c>
      <c r="G169" s="27">
        <v>42642</v>
      </c>
      <c r="H169" s="27">
        <v>43165</v>
      </c>
      <c r="I169" s="228" t="s">
        <v>2825</v>
      </c>
      <c r="J169" s="232">
        <v>27</v>
      </c>
      <c r="K169" s="1" t="s">
        <v>2568</v>
      </c>
      <c r="L169" t="s">
        <v>1968</v>
      </c>
    </row>
    <row r="170" spans="1:12" ht="15" customHeight="1" x14ac:dyDescent="0.25">
      <c r="A170" t="s">
        <v>2554</v>
      </c>
      <c r="B170" s="232">
        <v>4</v>
      </c>
      <c r="C170" t="s">
        <v>2812</v>
      </c>
      <c r="D170" t="s">
        <v>2565</v>
      </c>
      <c r="E170" t="s">
        <v>2726</v>
      </c>
      <c r="F170" t="s">
        <v>2553</v>
      </c>
      <c r="G170" s="27">
        <v>42642</v>
      </c>
      <c r="H170" s="27">
        <v>43165</v>
      </c>
      <c r="I170" s="228" t="s">
        <v>2826</v>
      </c>
      <c r="J170" s="232">
        <v>28</v>
      </c>
      <c r="K170" s="1" t="s">
        <v>2569</v>
      </c>
      <c r="L170" t="s">
        <v>47</v>
      </c>
    </row>
    <row r="171" spans="1:12" ht="15" customHeight="1" x14ac:dyDescent="0.25">
      <c r="A171" t="s">
        <v>2554</v>
      </c>
      <c r="B171" s="232">
        <v>4</v>
      </c>
      <c r="C171" t="s">
        <v>2812</v>
      </c>
      <c r="D171" t="s">
        <v>2565</v>
      </c>
      <c r="E171" t="s">
        <v>2726</v>
      </c>
      <c r="F171" t="s">
        <v>2553</v>
      </c>
      <c r="G171" s="27">
        <v>42642</v>
      </c>
      <c r="H171" s="27">
        <v>43165</v>
      </c>
      <c r="I171" s="228" t="s">
        <v>2827</v>
      </c>
      <c r="J171" s="232">
        <v>29</v>
      </c>
      <c r="K171" s="1" t="s">
        <v>2828</v>
      </c>
      <c r="L171" t="s">
        <v>1968</v>
      </c>
    </row>
    <row r="172" spans="1:12" ht="15" customHeight="1" x14ac:dyDescent="0.25">
      <c r="A172" t="s">
        <v>2554</v>
      </c>
      <c r="B172" s="232">
        <v>4</v>
      </c>
      <c r="C172" t="s">
        <v>2812</v>
      </c>
      <c r="D172" t="s">
        <v>2565</v>
      </c>
      <c r="E172" t="s">
        <v>2726</v>
      </c>
      <c r="F172" t="s">
        <v>2553</v>
      </c>
      <c r="G172" s="27">
        <v>42642</v>
      </c>
      <c r="H172" s="27">
        <v>43165</v>
      </c>
      <c r="I172" s="228" t="s">
        <v>2830</v>
      </c>
      <c r="J172" s="232">
        <v>30</v>
      </c>
      <c r="K172" s="1" t="s">
        <v>2741</v>
      </c>
      <c r="L172" t="s">
        <v>1968</v>
      </c>
    </row>
    <row r="173" spans="1:12" ht="15" customHeight="1" x14ac:dyDescent="0.25">
      <c r="A173" t="s">
        <v>2554</v>
      </c>
      <c r="B173" s="232">
        <v>4</v>
      </c>
      <c r="C173" t="s">
        <v>2812</v>
      </c>
      <c r="D173" t="s">
        <v>2565</v>
      </c>
      <c r="E173" t="s">
        <v>2726</v>
      </c>
      <c r="F173" t="s">
        <v>2553</v>
      </c>
      <c r="G173" s="27">
        <v>42642</v>
      </c>
      <c r="H173" s="27">
        <v>43165</v>
      </c>
      <c r="I173" s="228" t="s">
        <v>2829</v>
      </c>
      <c r="J173" s="232">
        <v>31</v>
      </c>
      <c r="K173" s="1" t="s">
        <v>2831</v>
      </c>
      <c r="L173" t="s">
        <v>47</v>
      </c>
    </row>
    <row r="174" spans="1:12" x14ac:dyDescent="0.25">
      <c r="A174" t="s">
        <v>2554</v>
      </c>
      <c r="B174" s="232">
        <v>5</v>
      </c>
      <c r="C174" t="s">
        <v>2812</v>
      </c>
      <c r="D174" t="s">
        <v>2565</v>
      </c>
      <c r="E174" t="s">
        <v>2746</v>
      </c>
      <c r="F174" t="s">
        <v>2553</v>
      </c>
      <c r="G174" s="27">
        <v>42642</v>
      </c>
      <c r="H174" s="27">
        <v>43165</v>
      </c>
      <c r="I174" t="s">
        <v>2610</v>
      </c>
      <c r="J174" s="232">
        <v>32</v>
      </c>
      <c r="K174" s="1" t="s">
        <v>2743</v>
      </c>
      <c r="L174" t="s">
        <v>47</v>
      </c>
    </row>
    <row r="175" spans="1:12" x14ac:dyDescent="0.25">
      <c r="A175" t="s">
        <v>2554</v>
      </c>
      <c r="B175" s="232">
        <v>5</v>
      </c>
      <c r="C175" t="s">
        <v>2812</v>
      </c>
      <c r="D175" t="s">
        <v>2565</v>
      </c>
      <c r="E175" t="s">
        <v>2746</v>
      </c>
      <c r="F175" t="s">
        <v>2553</v>
      </c>
      <c r="G175" s="27">
        <v>42642</v>
      </c>
      <c r="H175" s="27">
        <v>43165</v>
      </c>
      <c r="I175" t="s">
        <v>2612</v>
      </c>
      <c r="J175" s="232">
        <v>33</v>
      </c>
      <c r="K175" s="1" t="s">
        <v>2744</v>
      </c>
      <c r="L175" t="s">
        <v>47</v>
      </c>
    </row>
    <row r="176" spans="1:12" x14ac:dyDescent="0.25">
      <c r="A176" t="s">
        <v>2554</v>
      </c>
      <c r="B176" s="232">
        <v>5</v>
      </c>
      <c r="C176" t="s">
        <v>2812</v>
      </c>
      <c r="D176" t="s">
        <v>2565</v>
      </c>
      <c r="E176" t="s">
        <v>2746</v>
      </c>
      <c r="F176" t="s">
        <v>2553</v>
      </c>
      <c r="G176" s="27">
        <v>42642</v>
      </c>
      <c r="H176" s="27">
        <v>43165</v>
      </c>
      <c r="I176" t="s">
        <v>2614</v>
      </c>
      <c r="J176" s="232">
        <v>34</v>
      </c>
      <c r="K176" s="1" t="s">
        <v>2745</v>
      </c>
      <c r="L176" t="s">
        <v>47</v>
      </c>
    </row>
    <row r="177" spans="1:12" ht="15" customHeight="1" x14ac:dyDescent="0.25">
      <c r="A177" t="s">
        <v>2554</v>
      </c>
      <c r="B177" s="232">
        <v>5</v>
      </c>
      <c r="C177" t="s">
        <v>2812</v>
      </c>
      <c r="D177" t="s">
        <v>2565</v>
      </c>
      <c r="E177" t="s">
        <v>2746</v>
      </c>
      <c r="F177" t="s">
        <v>2553</v>
      </c>
      <c r="G177" s="27">
        <v>42642</v>
      </c>
      <c r="H177" s="27">
        <v>43165</v>
      </c>
      <c r="I177" t="s">
        <v>2617</v>
      </c>
      <c r="J177" s="232">
        <v>35</v>
      </c>
      <c r="K177" s="248" t="s">
        <v>2747</v>
      </c>
      <c r="L177" t="s">
        <v>47</v>
      </c>
    </row>
    <row r="178" spans="1:12" x14ac:dyDescent="0.25">
      <c r="A178" t="s">
        <v>2554</v>
      </c>
      <c r="B178" s="232">
        <v>5</v>
      </c>
      <c r="C178" t="s">
        <v>2812</v>
      </c>
      <c r="D178" t="s">
        <v>2565</v>
      </c>
      <c r="E178" t="s">
        <v>2746</v>
      </c>
      <c r="F178" t="s">
        <v>2553</v>
      </c>
      <c r="G178" s="27">
        <v>42642</v>
      </c>
      <c r="H178" s="27">
        <v>43165</v>
      </c>
      <c r="I178" t="s">
        <v>2621</v>
      </c>
      <c r="J178" s="232">
        <v>36</v>
      </c>
      <c r="K178" s="1" t="s">
        <v>2832</v>
      </c>
      <c r="L178" t="s">
        <v>47</v>
      </c>
    </row>
    <row r="179" spans="1:12" x14ac:dyDescent="0.25">
      <c r="A179" t="s">
        <v>2554</v>
      </c>
      <c r="B179" s="232">
        <v>5</v>
      </c>
      <c r="C179" t="s">
        <v>2812</v>
      </c>
      <c r="D179" t="s">
        <v>2565</v>
      </c>
      <c r="E179" t="s">
        <v>2746</v>
      </c>
      <c r="F179" t="s">
        <v>2553</v>
      </c>
      <c r="G179" s="27">
        <v>42642</v>
      </c>
      <c r="H179" s="27">
        <v>43165</v>
      </c>
      <c r="I179" t="s">
        <v>2749</v>
      </c>
      <c r="J179" s="232">
        <v>37</v>
      </c>
      <c r="K179" s="1" t="s">
        <v>2750</v>
      </c>
      <c r="L179" t="s">
        <v>47</v>
      </c>
    </row>
    <row r="180" spans="1:12" x14ac:dyDescent="0.25">
      <c r="A180" t="s">
        <v>2554</v>
      </c>
      <c r="B180" s="232">
        <v>5</v>
      </c>
      <c r="C180" t="s">
        <v>2812</v>
      </c>
      <c r="D180" t="s">
        <v>2565</v>
      </c>
      <c r="E180" t="s">
        <v>2746</v>
      </c>
      <c r="F180" t="s">
        <v>2553</v>
      </c>
      <c r="G180" s="27">
        <v>42642</v>
      </c>
      <c r="H180" s="27">
        <v>43165</v>
      </c>
      <c r="I180" t="s">
        <v>2833</v>
      </c>
      <c r="J180" s="232">
        <v>38</v>
      </c>
      <c r="K180" s="1" t="s">
        <v>2834</v>
      </c>
      <c r="L180" t="s">
        <v>1968</v>
      </c>
    </row>
    <row r="181" spans="1:12" x14ac:dyDescent="0.25">
      <c r="A181" t="s">
        <v>2554</v>
      </c>
      <c r="B181" s="232">
        <v>5</v>
      </c>
      <c r="C181" t="s">
        <v>2812</v>
      </c>
      <c r="D181" t="s">
        <v>2565</v>
      </c>
      <c r="E181" t="s">
        <v>2746</v>
      </c>
      <c r="F181" t="s">
        <v>2553</v>
      </c>
      <c r="G181" s="27">
        <v>42642</v>
      </c>
      <c r="H181" s="27">
        <v>43165</v>
      </c>
      <c r="I181" t="s">
        <v>2835</v>
      </c>
      <c r="J181" s="232">
        <v>39</v>
      </c>
      <c r="K181" s="1" t="s">
        <v>2836</v>
      </c>
      <c r="L181" t="s">
        <v>47</v>
      </c>
    </row>
    <row r="182" spans="1:12" x14ac:dyDescent="0.25">
      <c r="A182" t="s">
        <v>2554</v>
      </c>
      <c r="B182" s="232">
        <v>5</v>
      </c>
      <c r="C182" t="s">
        <v>2812</v>
      </c>
      <c r="D182" t="s">
        <v>2565</v>
      </c>
      <c r="E182" t="s">
        <v>2746</v>
      </c>
      <c r="F182" t="s">
        <v>2553</v>
      </c>
      <c r="G182" s="27">
        <v>42642</v>
      </c>
      <c r="H182" s="27">
        <v>43165</v>
      </c>
      <c r="I182" t="s">
        <v>2837</v>
      </c>
      <c r="J182" s="232">
        <v>40</v>
      </c>
      <c r="K182" s="1" t="s">
        <v>2838</v>
      </c>
      <c r="L182" t="s">
        <v>47</v>
      </c>
    </row>
    <row r="183" spans="1:12" x14ac:dyDescent="0.25">
      <c r="A183" t="s">
        <v>2554</v>
      </c>
      <c r="B183" s="232">
        <v>6</v>
      </c>
      <c r="C183" t="s">
        <v>2812</v>
      </c>
      <c r="D183" t="s">
        <v>2565</v>
      </c>
      <c r="E183" t="s">
        <v>2846</v>
      </c>
      <c r="F183" t="s">
        <v>2553</v>
      </c>
      <c r="G183" s="27">
        <v>42642</v>
      </c>
      <c r="H183" s="27">
        <v>43165</v>
      </c>
      <c r="I183" t="s">
        <v>2623</v>
      </c>
      <c r="J183" s="232">
        <v>41</v>
      </c>
      <c r="K183" s="1" t="s">
        <v>2564</v>
      </c>
      <c r="L183" t="s">
        <v>47</v>
      </c>
    </row>
    <row r="184" spans="1:12" x14ac:dyDescent="0.25">
      <c r="A184" t="s">
        <v>2554</v>
      </c>
      <c r="B184" s="232">
        <v>6</v>
      </c>
      <c r="C184" t="s">
        <v>2812</v>
      </c>
      <c r="D184" t="s">
        <v>2565</v>
      </c>
      <c r="E184" t="s">
        <v>2846</v>
      </c>
      <c r="F184" t="s">
        <v>2553</v>
      </c>
      <c r="G184" s="27">
        <v>42642</v>
      </c>
      <c r="H184" s="27">
        <v>43165</v>
      </c>
      <c r="I184" s="228" t="s">
        <v>2627</v>
      </c>
      <c r="J184" s="232">
        <v>42</v>
      </c>
      <c r="K184" s="1" t="s">
        <v>2751</v>
      </c>
      <c r="L184" t="s">
        <v>47</v>
      </c>
    </row>
    <row r="185" spans="1:12" ht="18.75" customHeight="1" x14ac:dyDescent="0.25">
      <c r="A185" t="s">
        <v>2554</v>
      </c>
      <c r="B185" s="232">
        <v>6</v>
      </c>
      <c r="C185" t="s">
        <v>2812</v>
      </c>
      <c r="D185" t="s">
        <v>2565</v>
      </c>
      <c r="E185" t="s">
        <v>2846</v>
      </c>
      <c r="F185" t="s">
        <v>2553</v>
      </c>
      <c r="G185" s="27">
        <v>42642</v>
      </c>
      <c r="H185" s="27">
        <v>43165</v>
      </c>
      <c r="I185" t="s">
        <v>2752</v>
      </c>
      <c r="J185" s="232">
        <v>43</v>
      </c>
      <c r="K185" s="1" t="s">
        <v>2753</v>
      </c>
      <c r="L185" t="s">
        <v>47</v>
      </c>
    </row>
    <row r="186" spans="1:12" ht="18.75" customHeight="1" x14ac:dyDescent="0.25">
      <c r="A186" t="s">
        <v>2554</v>
      </c>
      <c r="B186" s="232">
        <v>6</v>
      </c>
      <c r="C186" t="s">
        <v>2812</v>
      </c>
      <c r="D186" t="s">
        <v>2565</v>
      </c>
      <c r="E186" t="s">
        <v>2846</v>
      </c>
      <c r="F186" t="s">
        <v>2553</v>
      </c>
      <c r="G186" s="27">
        <v>42642</v>
      </c>
      <c r="H186" s="27">
        <v>43165</v>
      </c>
      <c r="I186">
        <v>4.4000000000000004</v>
      </c>
      <c r="J186" s="232">
        <v>44</v>
      </c>
      <c r="K186" s="1" t="s">
        <v>2839</v>
      </c>
      <c r="L186" t="s">
        <v>47</v>
      </c>
    </row>
    <row r="187" spans="1:12" ht="18.75" customHeight="1" x14ac:dyDescent="0.25">
      <c r="A187" t="s">
        <v>2554</v>
      </c>
      <c r="B187" s="232">
        <v>6</v>
      </c>
      <c r="C187" t="s">
        <v>2812</v>
      </c>
      <c r="D187" t="s">
        <v>2565</v>
      </c>
      <c r="E187" t="s">
        <v>2846</v>
      </c>
      <c r="F187" t="s">
        <v>2553</v>
      </c>
      <c r="G187" s="27">
        <v>42642</v>
      </c>
      <c r="H187" s="27">
        <v>43165</v>
      </c>
      <c r="I187" t="s">
        <v>2840</v>
      </c>
      <c r="J187" s="232">
        <v>45</v>
      </c>
      <c r="K187" s="1" t="s">
        <v>2841</v>
      </c>
      <c r="L187" t="s">
        <v>1968</v>
      </c>
    </row>
    <row r="188" spans="1:12" ht="18.75" customHeight="1" x14ac:dyDescent="0.25">
      <c r="A188" t="s">
        <v>2554</v>
      </c>
      <c r="B188" s="232">
        <v>6</v>
      </c>
      <c r="C188" t="s">
        <v>2812</v>
      </c>
      <c r="D188" t="s">
        <v>2565</v>
      </c>
      <c r="E188" t="s">
        <v>2846</v>
      </c>
      <c r="F188" t="s">
        <v>2553</v>
      </c>
      <c r="G188" s="27">
        <v>42642</v>
      </c>
      <c r="H188" s="27">
        <v>43165</v>
      </c>
      <c r="I188" t="s">
        <v>2842</v>
      </c>
      <c r="J188" s="232">
        <v>46</v>
      </c>
      <c r="K188" s="1" t="s">
        <v>2843</v>
      </c>
      <c r="L188" t="s">
        <v>47</v>
      </c>
    </row>
    <row r="189" spans="1:12" ht="18.75" customHeight="1" x14ac:dyDescent="0.25">
      <c r="A189" t="s">
        <v>2554</v>
      </c>
      <c r="B189" s="232">
        <v>6</v>
      </c>
      <c r="C189" t="s">
        <v>2812</v>
      </c>
      <c r="D189" t="s">
        <v>2565</v>
      </c>
      <c r="E189" t="s">
        <v>2846</v>
      </c>
      <c r="F189" t="s">
        <v>2553</v>
      </c>
      <c r="G189" s="27">
        <v>42642</v>
      </c>
      <c r="H189" s="27">
        <v>43165</v>
      </c>
      <c r="I189" t="s">
        <v>2844</v>
      </c>
      <c r="J189" s="232">
        <v>47</v>
      </c>
      <c r="K189" s="1" t="s">
        <v>2845</v>
      </c>
      <c r="L189" t="s">
        <v>47</v>
      </c>
    </row>
    <row r="190" spans="1:12" x14ac:dyDescent="0.25">
      <c r="A190" t="s">
        <v>2554</v>
      </c>
      <c r="B190" s="232">
        <v>7</v>
      </c>
      <c r="C190" t="s">
        <v>2812</v>
      </c>
      <c r="D190" t="s">
        <v>2565</v>
      </c>
      <c r="E190" t="s">
        <v>2629</v>
      </c>
      <c r="F190" t="s">
        <v>2553</v>
      </c>
      <c r="G190" s="27">
        <v>42642</v>
      </c>
      <c r="H190" s="27">
        <v>43165</v>
      </c>
      <c r="I190" t="s">
        <v>2630</v>
      </c>
      <c r="J190" s="232">
        <v>48</v>
      </c>
      <c r="K190" s="1" t="s">
        <v>2754</v>
      </c>
      <c r="L190" t="s">
        <v>47</v>
      </c>
    </row>
    <row r="191" spans="1:12" ht="12.75" customHeight="1" x14ac:dyDescent="0.25">
      <c r="A191" t="s">
        <v>2554</v>
      </c>
      <c r="B191" s="232">
        <v>7</v>
      </c>
      <c r="C191" t="s">
        <v>2812</v>
      </c>
      <c r="D191" t="s">
        <v>2565</v>
      </c>
      <c r="E191" t="s">
        <v>2629</v>
      </c>
      <c r="F191" t="s">
        <v>2553</v>
      </c>
      <c r="G191" s="27">
        <v>42642</v>
      </c>
      <c r="H191" s="27">
        <v>43165</v>
      </c>
      <c r="I191" t="s">
        <v>2632</v>
      </c>
      <c r="J191" s="232">
        <v>49</v>
      </c>
      <c r="K191" s="1" t="s">
        <v>2755</v>
      </c>
      <c r="L191" t="s">
        <v>47</v>
      </c>
    </row>
    <row r="192" spans="1:12" ht="17.25" customHeight="1" x14ac:dyDescent="0.25">
      <c r="A192" t="s">
        <v>2554</v>
      </c>
      <c r="B192" s="232">
        <v>7</v>
      </c>
      <c r="C192" t="s">
        <v>2812</v>
      </c>
      <c r="D192" t="s">
        <v>2565</v>
      </c>
      <c r="E192" t="s">
        <v>2629</v>
      </c>
      <c r="F192" t="s">
        <v>2553</v>
      </c>
      <c r="G192" s="27">
        <v>42642</v>
      </c>
      <c r="H192" s="27">
        <v>43165</v>
      </c>
      <c r="I192" t="s">
        <v>2636</v>
      </c>
      <c r="J192" s="232">
        <v>50</v>
      </c>
      <c r="K192" s="1" t="s">
        <v>2847</v>
      </c>
      <c r="L192" t="s">
        <v>47</v>
      </c>
    </row>
    <row r="193" spans="1:12" x14ac:dyDescent="0.25">
      <c r="A193" t="s">
        <v>2554</v>
      </c>
      <c r="B193" s="232">
        <v>7</v>
      </c>
      <c r="C193" t="s">
        <v>2812</v>
      </c>
      <c r="D193" t="s">
        <v>2565</v>
      </c>
      <c r="E193" t="s">
        <v>2629</v>
      </c>
      <c r="F193" t="s">
        <v>2553</v>
      </c>
      <c r="G193" s="27">
        <v>42642</v>
      </c>
      <c r="H193" s="27">
        <v>43165</v>
      </c>
      <c r="I193" t="s">
        <v>2638</v>
      </c>
      <c r="J193" s="232">
        <v>51</v>
      </c>
      <c r="K193" s="1" t="s">
        <v>2756</v>
      </c>
      <c r="L193" t="s">
        <v>47</v>
      </c>
    </row>
    <row r="194" spans="1:12" ht="15" customHeight="1" x14ac:dyDescent="0.25">
      <c r="A194" t="s">
        <v>2554</v>
      </c>
      <c r="B194" s="232">
        <v>7</v>
      </c>
      <c r="C194" t="s">
        <v>2812</v>
      </c>
      <c r="D194" t="s">
        <v>2565</v>
      </c>
      <c r="E194" t="s">
        <v>2629</v>
      </c>
      <c r="F194" t="s">
        <v>2553</v>
      </c>
      <c r="G194" s="27">
        <v>42642</v>
      </c>
      <c r="H194" s="27">
        <v>43165</v>
      </c>
      <c r="I194" t="s">
        <v>2757</v>
      </c>
      <c r="J194" s="232">
        <v>52</v>
      </c>
      <c r="K194" s="1" t="s">
        <v>2758</v>
      </c>
      <c r="L194" t="s">
        <v>47</v>
      </c>
    </row>
    <row r="195" spans="1:12" x14ac:dyDescent="0.25">
      <c r="A195" t="s">
        <v>2554</v>
      </c>
      <c r="B195" s="232">
        <v>7</v>
      </c>
      <c r="C195" t="s">
        <v>2812</v>
      </c>
      <c r="D195" t="s">
        <v>2565</v>
      </c>
      <c r="E195" t="s">
        <v>2629</v>
      </c>
      <c r="F195" t="s">
        <v>2553</v>
      </c>
      <c r="G195" s="27">
        <v>42642</v>
      </c>
      <c r="H195" s="27">
        <v>43165</v>
      </c>
      <c r="I195" t="s">
        <v>2759</v>
      </c>
      <c r="J195" s="232">
        <v>53</v>
      </c>
      <c r="K195" s="1" t="s">
        <v>2760</v>
      </c>
      <c r="L195" t="s">
        <v>47</v>
      </c>
    </row>
    <row r="196" spans="1:12" ht="19.5" customHeight="1" x14ac:dyDescent="0.25">
      <c r="A196" t="s">
        <v>2554</v>
      </c>
      <c r="B196" s="232">
        <v>8</v>
      </c>
      <c r="C196" t="s">
        <v>2812</v>
      </c>
      <c r="D196" t="s">
        <v>2565</v>
      </c>
      <c r="E196" t="s">
        <v>2764</v>
      </c>
      <c r="F196" t="s">
        <v>2553</v>
      </c>
      <c r="G196" s="27">
        <v>42642</v>
      </c>
      <c r="H196" s="27">
        <v>43165</v>
      </c>
      <c r="I196" t="s">
        <v>2643</v>
      </c>
      <c r="J196" s="232">
        <v>54</v>
      </c>
      <c r="K196" s="1" t="s">
        <v>2765</v>
      </c>
      <c r="L196" t="s">
        <v>47</v>
      </c>
    </row>
    <row r="197" spans="1:12" ht="18.75" customHeight="1" x14ac:dyDescent="0.25">
      <c r="A197" t="s">
        <v>2554</v>
      </c>
      <c r="B197" s="232">
        <v>8</v>
      </c>
      <c r="C197" t="s">
        <v>2812</v>
      </c>
      <c r="D197" t="s">
        <v>2565</v>
      </c>
      <c r="E197" t="s">
        <v>2764</v>
      </c>
      <c r="F197" t="s">
        <v>2553</v>
      </c>
      <c r="G197" s="27">
        <v>42642</v>
      </c>
      <c r="H197" s="27">
        <v>43165</v>
      </c>
      <c r="I197" t="s">
        <v>2649</v>
      </c>
      <c r="J197" s="232">
        <v>55</v>
      </c>
      <c r="K197" s="1" t="s">
        <v>2766</v>
      </c>
      <c r="L197" t="s">
        <v>1968</v>
      </c>
    </row>
    <row r="198" spans="1:12" x14ac:dyDescent="0.25">
      <c r="A198" t="s">
        <v>2554</v>
      </c>
      <c r="B198" s="232">
        <v>8</v>
      </c>
      <c r="C198" t="s">
        <v>2812</v>
      </c>
      <c r="D198" t="s">
        <v>2565</v>
      </c>
      <c r="E198" t="s">
        <v>2764</v>
      </c>
      <c r="F198" t="s">
        <v>2553</v>
      </c>
      <c r="G198" s="27">
        <v>42642</v>
      </c>
      <c r="H198" s="27">
        <v>43165</v>
      </c>
      <c r="I198" t="s">
        <v>2651</v>
      </c>
      <c r="J198" s="232">
        <v>56</v>
      </c>
      <c r="K198" s="1" t="s">
        <v>2767</v>
      </c>
      <c r="L198" t="s">
        <v>47</v>
      </c>
    </row>
    <row r="199" spans="1:12" x14ac:dyDescent="0.25">
      <c r="A199" t="s">
        <v>2554</v>
      </c>
      <c r="B199" s="232">
        <v>9</v>
      </c>
      <c r="C199" t="s">
        <v>2812</v>
      </c>
      <c r="D199" t="s">
        <v>2565</v>
      </c>
      <c r="E199" t="s">
        <v>2763</v>
      </c>
      <c r="F199" t="s">
        <v>2553</v>
      </c>
      <c r="G199" s="27">
        <v>42642</v>
      </c>
      <c r="H199" s="27">
        <v>43165</v>
      </c>
      <c r="I199" t="s">
        <v>2663</v>
      </c>
      <c r="J199" s="232">
        <v>57</v>
      </c>
      <c r="K199" s="1" t="s">
        <v>2768</v>
      </c>
      <c r="L199" t="s">
        <v>47</v>
      </c>
    </row>
    <row r="200" spans="1:12" x14ac:dyDescent="0.25">
      <c r="A200" t="s">
        <v>2554</v>
      </c>
      <c r="B200" s="232">
        <v>9</v>
      </c>
      <c r="C200" t="s">
        <v>2812</v>
      </c>
      <c r="D200" t="s">
        <v>2565</v>
      </c>
      <c r="E200" t="s">
        <v>2763</v>
      </c>
      <c r="F200" t="s">
        <v>2553</v>
      </c>
      <c r="G200" s="27">
        <v>42642</v>
      </c>
      <c r="H200" s="27">
        <v>43165</v>
      </c>
      <c r="I200" t="s">
        <v>2664</v>
      </c>
      <c r="J200" s="232">
        <v>58</v>
      </c>
      <c r="K200" s="248" t="s">
        <v>2769</v>
      </c>
      <c r="L200" t="s">
        <v>1968</v>
      </c>
    </row>
    <row r="201" spans="1:12" ht="18.75" customHeight="1" x14ac:dyDescent="0.25">
      <c r="A201" t="s">
        <v>2554</v>
      </c>
      <c r="B201" s="232">
        <v>9</v>
      </c>
      <c r="C201" t="s">
        <v>2812</v>
      </c>
      <c r="D201" t="s">
        <v>2565</v>
      </c>
      <c r="E201" t="s">
        <v>2763</v>
      </c>
      <c r="F201" t="s">
        <v>2553</v>
      </c>
      <c r="G201" s="27">
        <v>42642</v>
      </c>
      <c r="H201" s="27">
        <v>43165</v>
      </c>
      <c r="I201" t="s">
        <v>2665</v>
      </c>
      <c r="J201" s="232">
        <v>59</v>
      </c>
      <c r="K201" s="1" t="s">
        <v>2848</v>
      </c>
      <c r="L201" t="s">
        <v>1968</v>
      </c>
    </row>
    <row r="202" spans="1:12" x14ac:dyDescent="0.25">
      <c r="A202" t="s">
        <v>2554</v>
      </c>
      <c r="B202" s="232">
        <v>9</v>
      </c>
      <c r="C202" t="s">
        <v>2812</v>
      </c>
      <c r="D202" t="s">
        <v>2565</v>
      </c>
      <c r="E202" t="s">
        <v>2763</v>
      </c>
      <c r="F202" t="s">
        <v>2553</v>
      </c>
      <c r="G202" s="27">
        <v>42642</v>
      </c>
      <c r="H202" s="27">
        <v>43165</v>
      </c>
      <c r="I202" t="s">
        <v>2771</v>
      </c>
      <c r="J202" s="232">
        <v>60</v>
      </c>
      <c r="K202" s="1" t="s">
        <v>2849</v>
      </c>
      <c r="L202" t="s">
        <v>47</v>
      </c>
    </row>
    <row r="203" spans="1:12" x14ac:dyDescent="0.25">
      <c r="A203" t="s">
        <v>2554</v>
      </c>
      <c r="B203" s="232">
        <v>9</v>
      </c>
      <c r="C203" t="s">
        <v>2812</v>
      </c>
      <c r="D203" t="s">
        <v>2565</v>
      </c>
      <c r="E203" t="s">
        <v>2763</v>
      </c>
      <c r="F203" t="s">
        <v>2553</v>
      </c>
      <c r="G203" s="27">
        <v>42642</v>
      </c>
      <c r="H203" s="27">
        <v>43165</v>
      </c>
      <c r="I203" t="s">
        <v>2773</v>
      </c>
      <c r="J203" s="232">
        <v>61</v>
      </c>
      <c r="K203" s="1" t="s">
        <v>2850</v>
      </c>
      <c r="L203" t="s">
        <v>47</v>
      </c>
    </row>
    <row r="204" spans="1:12" x14ac:dyDescent="0.25">
      <c r="A204" t="s">
        <v>2554</v>
      </c>
      <c r="B204" s="232">
        <v>9</v>
      </c>
      <c r="C204" t="s">
        <v>2812</v>
      </c>
      <c r="D204" t="s">
        <v>2565</v>
      </c>
      <c r="E204" t="s">
        <v>2763</v>
      </c>
      <c r="F204" t="s">
        <v>2553</v>
      </c>
      <c r="G204" s="27">
        <v>42642</v>
      </c>
      <c r="H204" s="27">
        <v>43165</v>
      </c>
      <c r="I204" t="s">
        <v>2775</v>
      </c>
      <c r="J204" s="232">
        <v>62</v>
      </c>
      <c r="K204" s="1" t="s">
        <v>2776</v>
      </c>
      <c r="L204" t="s">
        <v>47</v>
      </c>
    </row>
    <row r="205" spans="1:12" ht="21.75" customHeight="1" x14ac:dyDescent="0.25">
      <c r="A205" t="s">
        <v>2554</v>
      </c>
      <c r="B205" s="232">
        <v>10</v>
      </c>
      <c r="C205" t="s">
        <v>2812</v>
      </c>
      <c r="D205" t="s">
        <v>2565</v>
      </c>
      <c r="E205" t="s">
        <v>2779</v>
      </c>
      <c r="F205" t="s">
        <v>2553</v>
      </c>
      <c r="G205" s="27">
        <v>42642</v>
      </c>
      <c r="H205" s="27">
        <v>43165</v>
      </c>
      <c r="I205" t="s">
        <v>2669</v>
      </c>
      <c r="J205" s="232">
        <v>63</v>
      </c>
      <c r="K205" s="1" t="s">
        <v>2851</v>
      </c>
      <c r="L205" t="s">
        <v>47</v>
      </c>
    </row>
    <row r="206" spans="1:12" x14ac:dyDescent="0.25">
      <c r="A206" t="s">
        <v>2554</v>
      </c>
      <c r="B206" s="232">
        <v>10</v>
      </c>
      <c r="C206" t="s">
        <v>2812</v>
      </c>
      <c r="D206" t="s">
        <v>2565</v>
      </c>
      <c r="E206" t="s">
        <v>2779</v>
      </c>
      <c r="F206" t="s">
        <v>2553</v>
      </c>
      <c r="G206" s="27">
        <v>42642</v>
      </c>
      <c r="H206" s="27">
        <v>43165</v>
      </c>
      <c r="I206" t="s">
        <v>2782</v>
      </c>
      <c r="J206" s="232">
        <v>64</v>
      </c>
      <c r="K206" s="1" t="s">
        <v>2852</v>
      </c>
      <c r="L206" t="s">
        <v>47</v>
      </c>
    </row>
    <row r="207" spans="1:12" ht="24" customHeight="1" x14ac:dyDescent="0.25">
      <c r="A207" t="s">
        <v>2554</v>
      </c>
      <c r="B207" s="232">
        <v>10</v>
      </c>
      <c r="C207" t="s">
        <v>2812</v>
      </c>
      <c r="D207" t="s">
        <v>2565</v>
      </c>
      <c r="E207" t="s">
        <v>2779</v>
      </c>
      <c r="F207" t="s">
        <v>2553</v>
      </c>
      <c r="G207" s="27">
        <v>42642</v>
      </c>
      <c r="H207" s="27">
        <v>43165</v>
      </c>
      <c r="I207" t="s">
        <v>2673</v>
      </c>
      <c r="J207" s="232">
        <v>65</v>
      </c>
      <c r="K207" s="1" t="s">
        <v>2853</v>
      </c>
      <c r="L207" t="s">
        <v>47</v>
      </c>
    </row>
    <row r="208" spans="1:12" ht="18.75" customHeight="1" x14ac:dyDescent="0.25">
      <c r="A208" t="s">
        <v>2554</v>
      </c>
      <c r="B208" s="232">
        <v>10</v>
      </c>
      <c r="C208" t="s">
        <v>2812</v>
      </c>
      <c r="D208" t="s">
        <v>2565</v>
      </c>
      <c r="E208" t="s">
        <v>2779</v>
      </c>
      <c r="F208" t="s">
        <v>2553</v>
      </c>
      <c r="G208" s="27">
        <v>42642</v>
      </c>
      <c r="H208" s="27">
        <v>43165</v>
      </c>
      <c r="I208" t="s">
        <v>2681</v>
      </c>
      <c r="J208" s="232">
        <v>66</v>
      </c>
      <c r="K208" s="1" t="s">
        <v>2854</v>
      </c>
      <c r="L208" t="s">
        <v>47</v>
      </c>
    </row>
    <row r="209" spans="1:12" ht="19.5" customHeight="1" x14ac:dyDescent="0.25">
      <c r="A209" t="s">
        <v>2554</v>
      </c>
      <c r="B209" s="232">
        <v>10</v>
      </c>
      <c r="C209" t="s">
        <v>2812</v>
      </c>
      <c r="D209" t="s">
        <v>2565</v>
      </c>
      <c r="E209" t="s">
        <v>2779</v>
      </c>
      <c r="F209" t="s">
        <v>2553</v>
      </c>
      <c r="G209" s="27">
        <v>42642</v>
      </c>
      <c r="H209" s="27">
        <v>43165</v>
      </c>
      <c r="I209" t="s">
        <v>2683</v>
      </c>
      <c r="J209" s="232">
        <v>67</v>
      </c>
      <c r="K209" s="1" t="s">
        <v>2570</v>
      </c>
      <c r="L209" t="s">
        <v>47</v>
      </c>
    </row>
    <row r="210" spans="1:12" ht="19.5" customHeight="1" x14ac:dyDescent="0.25">
      <c r="A210" t="s">
        <v>2554</v>
      </c>
      <c r="B210" s="232">
        <v>10</v>
      </c>
      <c r="C210" t="s">
        <v>2812</v>
      </c>
      <c r="D210" t="s">
        <v>2565</v>
      </c>
      <c r="E210" t="s">
        <v>2779</v>
      </c>
      <c r="F210" t="s">
        <v>2553</v>
      </c>
      <c r="G210" s="27">
        <v>42642</v>
      </c>
      <c r="H210" s="27">
        <v>43165</v>
      </c>
      <c r="I210" t="s">
        <v>2685</v>
      </c>
      <c r="J210" s="232">
        <v>68</v>
      </c>
      <c r="K210" s="1" t="s">
        <v>2571</v>
      </c>
      <c r="L210" t="s">
        <v>47</v>
      </c>
    </row>
    <row r="211" spans="1:12" ht="19.5" customHeight="1" x14ac:dyDescent="0.25">
      <c r="A211" t="s">
        <v>2554</v>
      </c>
      <c r="B211" s="232">
        <v>10</v>
      </c>
      <c r="C211" t="s">
        <v>2812</v>
      </c>
      <c r="D211" t="s">
        <v>2565</v>
      </c>
      <c r="E211" t="s">
        <v>2779</v>
      </c>
      <c r="F211" t="s">
        <v>2553</v>
      </c>
      <c r="G211" s="27">
        <v>42642</v>
      </c>
      <c r="H211" s="27">
        <v>43165</v>
      </c>
      <c r="I211" t="s">
        <v>2687</v>
      </c>
      <c r="J211" s="232">
        <v>69</v>
      </c>
      <c r="K211" s="1" t="s">
        <v>2855</v>
      </c>
      <c r="L211" t="s">
        <v>47</v>
      </c>
    </row>
    <row r="212" spans="1:12" ht="19.5" customHeight="1" x14ac:dyDescent="0.25">
      <c r="A212" t="s">
        <v>2554</v>
      </c>
      <c r="B212" s="232">
        <v>10</v>
      </c>
      <c r="C212" t="s">
        <v>2812</v>
      </c>
      <c r="D212" t="s">
        <v>2565</v>
      </c>
      <c r="E212" t="s">
        <v>2779</v>
      </c>
      <c r="F212" t="s">
        <v>2553</v>
      </c>
      <c r="G212" s="27">
        <v>42642</v>
      </c>
      <c r="H212" s="27">
        <v>43165</v>
      </c>
      <c r="I212" t="s">
        <v>2689</v>
      </c>
      <c r="J212" s="232">
        <v>70</v>
      </c>
      <c r="K212" s="1" t="s">
        <v>2856</v>
      </c>
      <c r="L212" t="s">
        <v>47</v>
      </c>
    </row>
    <row r="213" spans="1:12" ht="19.5" customHeight="1" x14ac:dyDescent="0.25">
      <c r="A213" t="s">
        <v>2554</v>
      </c>
      <c r="B213" s="232">
        <v>10</v>
      </c>
      <c r="C213" t="s">
        <v>2812</v>
      </c>
      <c r="D213" t="s">
        <v>2565</v>
      </c>
      <c r="E213" t="s">
        <v>2779</v>
      </c>
      <c r="F213" t="s">
        <v>2553</v>
      </c>
      <c r="G213" s="27">
        <v>42642</v>
      </c>
      <c r="H213" s="27">
        <v>43165</v>
      </c>
      <c r="I213" t="s">
        <v>2691</v>
      </c>
      <c r="J213" s="232">
        <v>71</v>
      </c>
      <c r="K213" s="1" t="s">
        <v>2857</v>
      </c>
      <c r="L213" t="s">
        <v>47</v>
      </c>
    </row>
    <row r="214" spans="1:12" ht="19.5" customHeight="1" x14ac:dyDescent="0.25">
      <c r="A214" t="s">
        <v>2554</v>
      </c>
      <c r="B214" s="232">
        <v>10</v>
      </c>
      <c r="C214" t="s">
        <v>2812</v>
      </c>
      <c r="D214" t="s">
        <v>2565</v>
      </c>
      <c r="E214" t="s">
        <v>2779</v>
      </c>
      <c r="F214" t="s">
        <v>2553</v>
      </c>
      <c r="G214" s="27">
        <v>42642</v>
      </c>
      <c r="H214" s="27">
        <v>43165</v>
      </c>
      <c r="I214" t="s">
        <v>2692</v>
      </c>
      <c r="J214" s="232">
        <v>72</v>
      </c>
      <c r="K214" s="1" t="s">
        <v>2858</v>
      </c>
      <c r="L214" t="s">
        <v>47</v>
      </c>
    </row>
    <row r="215" spans="1:12" x14ac:dyDescent="0.25">
      <c r="A215" t="s">
        <v>2554</v>
      </c>
      <c r="B215" s="232">
        <v>11</v>
      </c>
      <c r="C215" t="s">
        <v>2812</v>
      </c>
      <c r="D215" t="s">
        <v>2565</v>
      </c>
      <c r="E215" t="s">
        <v>2783</v>
      </c>
      <c r="F215" t="s">
        <v>2553</v>
      </c>
      <c r="G215" s="27">
        <v>42642</v>
      </c>
      <c r="H215" s="27">
        <v>43165</v>
      </c>
      <c r="I215" t="s">
        <v>2784</v>
      </c>
      <c r="J215" s="232">
        <v>73</v>
      </c>
      <c r="K215" s="1" t="s">
        <v>2574</v>
      </c>
      <c r="L215" t="s">
        <v>47</v>
      </c>
    </row>
    <row r="216" spans="1:12" ht="14.25" customHeight="1" x14ac:dyDescent="0.25">
      <c r="A216" t="s">
        <v>2554</v>
      </c>
      <c r="B216" s="232">
        <v>11</v>
      </c>
      <c r="C216" t="s">
        <v>2812</v>
      </c>
      <c r="D216" t="s">
        <v>2565</v>
      </c>
      <c r="E216" t="s">
        <v>2783</v>
      </c>
      <c r="F216" t="s">
        <v>2553</v>
      </c>
      <c r="G216" s="27">
        <v>42642</v>
      </c>
      <c r="H216" s="27">
        <v>43165</v>
      </c>
      <c r="I216" t="s">
        <v>2785</v>
      </c>
      <c r="J216" s="232">
        <v>74</v>
      </c>
      <c r="K216" s="1" t="s">
        <v>2575</v>
      </c>
      <c r="L216" t="s">
        <v>47</v>
      </c>
    </row>
    <row r="217" spans="1:12" x14ac:dyDescent="0.25">
      <c r="A217" t="s">
        <v>2554</v>
      </c>
      <c r="B217" s="232">
        <v>11</v>
      </c>
      <c r="C217" t="s">
        <v>2812</v>
      </c>
      <c r="D217" t="s">
        <v>2565</v>
      </c>
      <c r="E217" t="s">
        <v>2783</v>
      </c>
      <c r="F217" t="s">
        <v>2553</v>
      </c>
      <c r="G217" s="27">
        <v>42642</v>
      </c>
      <c r="H217" s="27">
        <v>43165</v>
      </c>
      <c r="I217" t="s">
        <v>2786</v>
      </c>
      <c r="J217" s="232">
        <v>75</v>
      </c>
      <c r="K217" s="1" t="s">
        <v>2576</v>
      </c>
      <c r="L217" t="s">
        <v>47</v>
      </c>
    </row>
    <row r="218" spans="1:12" ht="19.5" customHeight="1" x14ac:dyDescent="0.25">
      <c r="A218" t="s">
        <v>2554</v>
      </c>
      <c r="B218" s="232">
        <v>11</v>
      </c>
      <c r="C218" t="s">
        <v>2812</v>
      </c>
      <c r="D218" t="s">
        <v>2565</v>
      </c>
      <c r="E218" t="s">
        <v>2783</v>
      </c>
      <c r="F218" t="s">
        <v>2553</v>
      </c>
      <c r="G218" s="27">
        <v>42642</v>
      </c>
      <c r="H218" s="27">
        <v>43165</v>
      </c>
      <c r="I218" t="s">
        <v>2787</v>
      </c>
      <c r="J218" s="232">
        <v>76</v>
      </c>
      <c r="K218" s="1" t="s">
        <v>2577</v>
      </c>
      <c r="L218" t="s">
        <v>47</v>
      </c>
    </row>
    <row r="219" spans="1:12" x14ac:dyDescent="0.25">
      <c r="A219" t="s">
        <v>2554</v>
      </c>
      <c r="B219" s="232">
        <v>11</v>
      </c>
      <c r="C219" t="s">
        <v>2812</v>
      </c>
      <c r="D219" t="s">
        <v>2565</v>
      </c>
      <c r="E219" t="s">
        <v>2783</v>
      </c>
      <c r="F219" t="s">
        <v>2553</v>
      </c>
      <c r="G219" s="27">
        <v>42642</v>
      </c>
      <c r="H219" s="27">
        <v>43165</v>
      </c>
      <c r="I219" t="s">
        <v>2579</v>
      </c>
      <c r="J219" s="232">
        <v>77</v>
      </c>
      <c r="K219" s="1" t="s">
        <v>2788</v>
      </c>
      <c r="L219" t="s">
        <v>47</v>
      </c>
    </row>
    <row r="220" spans="1:12" ht="19.5" customHeight="1" x14ac:dyDescent="0.25">
      <c r="A220" t="s">
        <v>2554</v>
      </c>
      <c r="B220" s="232">
        <v>11</v>
      </c>
      <c r="C220" t="s">
        <v>2812</v>
      </c>
      <c r="D220" t="s">
        <v>2565</v>
      </c>
      <c r="E220" t="s">
        <v>2783</v>
      </c>
      <c r="F220" t="s">
        <v>2553</v>
      </c>
      <c r="G220" s="27">
        <v>42642</v>
      </c>
      <c r="H220" s="27">
        <v>43165</v>
      </c>
      <c r="I220" t="s">
        <v>2789</v>
      </c>
      <c r="J220" s="232">
        <v>78</v>
      </c>
      <c r="K220" s="1" t="s">
        <v>2578</v>
      </c>
      <c r="L220" t="s">
        <v>47</v>
      </c>
    </row>
    <row r="221" spans="1:12" ht="19.5" customHeight="1" x14ac:dyDescent="0.25">
      <c r="A221" t="s">
        <v>2554</v>
      </c>
      <c r="B221" s="232">
        <v>12</v>
      </c>
      <c r="C221" t="s">
        <v>2812</v>
      </c>
      <c r="D221" t="s">
        <v>2565</v>
      </c>
      <c r="E221" t="s">
        <v>2862</v>
      </c>
      <c r="F221" t="s">
        <v>2553</v>
      </c>
      <c r="G221" s="27">
        <v>42642</v>
      </c>
      <c r="H221" s="27">
        <v>43165</v>
      </c>
      <c r="I221" t="s">
        <v>2790</v>
      </c>
      <c r="J221" s="232">
        <v>79</v>
      </c>
      <c r="K221" s="1" t="s">
        <v>2859</v>
      </c>
      <c r="L221" t="s">
        <v>47</v>
      </c>
    </row>
    <row r="222" spans="1:12" ht="19.5" customHeight="1" x14ac:dyDescent="0.25">
      <c r="A222" t="s">
        <v>2554</v>
      </c>
      <c r="B222" s="232">
        <v>12</v>
      </c>
      <c r="C222" t="s">
        <v>2812</v>
      </c>
      <c r="D222" t="s">
        <v>2565</v>
      </c>
      <c r="E222" t="s">
        <v>2862</v>
      </c>
      <c r="F222" t="s">
        <v>2553</v>
      </c>
      <c r="G222" s="27">
        <v>42642</v>
      </c>
      <c r="H222" s="27">
        <v>43165</v>
      </c>
      <c r="I222" t="s">
        <v>2791</v>
      </c>
      <c r="J222" s="232">
        <v>80</v>
      </c>
      <c r="K222" s="1" t="s">
        <v>2860</v>
      </c>
      <c r="L222" t="s">
        <v>47</v>
      </c>
    </row>
    <row r="223" spans="1:12" ht="19.5" customHeight="1" x14ac:dyDescent="0.25">
      <c r="A223" t="s">
        <v>2554</v>
      </c>
      <c r="B223" s="232">
        <v>12</v>
      </c>
      <c r="C223" t="s">
        <v>2812</v>
      </c>
      <c r="D223" t="s">
        <v>2565</v>
      </c>
      <c r="E223" t="s">
        <v>2862</v>
      </c>
      <c r="F223" t="s">
        <v>2553</v>
      </c>
      <c r="G223" s="27">
        <v>42642</v>
      </c>
      <c r="H223" s="27">
        <v>43165</v>
      </c>
      <c r="I223" t="s">
        <v>2792</v>
      </c>
      <c r="J223" s="232">
        <v>81</v>
      </c>
      <c r="K223" s="1" t="s">
        <v>2861</v>
      </c>
      <c r="L223" t="s">
        <v>47</v>
      </c>
    </row>
    <row r="224" spans="1:12" ht="19.5" customHeight="1" x14ac:dyDescent="0.25">
      <c r="A224" t="s">
        <v>2554</v>
      </c>
      <c r="B224" s="232">
        <v>13</v>
      </c>
      <c r="C224" t="s">
        <v>2812</v>
      </c>
      <c r="D224" t="s">
        <v>2565</v>
      </c>
      <c r="E224" t="s">
        <v>2863</v>
      </c>
      <c r="F224" t="s">
        <v>2553</v>
      </c>
      <c r="G224" s="27">
        <v>42642</v>
      </c>
      <c r="H224" s="27">
        <v>43165</v>
      </c>
      <c r="I224" t="s">
        <v>2864</v>
      </c>
      <c r="J224" s="232">
        <v>82</v>
      </c>
      <c r="K224" s="1" t="s">
        <v>2867</v>
      </c>
      <c r="L224" t="s">
        <v>47</v>
      </c>
    </row>
    <row r="225" spans="1:12" ht="19.5" customHeight="1" x14ac:dyDescent="0.25">
      <c r="A225" t="s">
        <v>2554</v>
      </c>
      <c r="B225" s="232">
        <v>13</v>
      </c>
      <c r="C225" t="s">
        <v>2812</v>
      </c>
      <c r="D225" t="s">
        <v>2565</v>
      </c>
      <c r="E225" t="s">
        <v>2863</v>
      </c>
      <c r="F225" t="s">
        <v>2553</v>
      </c>
      <c r="G225" s="27">
        <v>42642</v>
      </c>
      <c r="H225" s="27">
        <v>43165</v>
      </c>
      <c r="I225" t="s">
        <v>2865</v>
      </c>
      <c r="J225" s="232">
        <v>83</v>
      </c>
      <c r="K225" s="1" t="s">
        <v>2868</v>
      </c>
      <c r="L225" t="s">
        <v>47</v>
      </c>
    </row>
    <row r="226" spans="1:12" ht="19.5" customHeight="1" x14ac:dyDescent="0.25">
      <c r="A226" t="s">
        <v>2554</v>
      </c>
      <c r="B226" s="232">
        <v>13</v>
      </c>
      <c r="C226" t="s">
        <v>2812</v>
      </c>
      <c r="D226" t="s">
        <v>2565</v>
      </c>
      <c r="E226" t="s">
        <v>2863</v>
      </c>
      <c r="F226" t="s">
        <v>2553</v>
      </c>
      <c r="G226" s="27">
        <v>42642</v>
      </c>
      <c r="H226" s="27">
        <v>43165</v>
      </c>
      <c r="I226" t="s">
        <v>2869</v>
      </c>
      <c r="J226" s="232">
        <v>84</v>
      </c>
      <c r="K226" s="1" t="s">
        <v>2870</v>
      </c>
      <c r="L226" t="s">
        <v>47</v>
      </c>
    </row>
    <row r="227" spans="1:12" ht="19.5" customHeight="1" x14ac:dyDescent="0.25">
      <c r="A227" t="s">
        <v>2554</v>
      </c>
      <c r="B227" s="232">
        <v>13</v>
      </c>
      <c r="C227" t="s">
        <v>2812</v>
      </c>
      <c r="D227" t="s">
        <v>2565</v>
      </c>
      <c r="E227" t="s">
        <v>2863</v>
      </c>
      <c r="F227" t="s">
        <v>2553</v>
      </c>
      <c r="G227" s="27">
        <v>42642</v>
      </c>
      <c r="H227" s="27">
        <v>43165</v>
      </c>
      <c r="I227" t="s">
        <v>2866</v>
      </c>
      <c r="J227" s="232">
        <v>85</v>
      </c>
      <c r="K227" s="1" t="s">
        <v>2871</v>
      </c>
      <c r="L227" t="s">
        <v>47</v>
      </c>
    </row>
    <row r="228" spans="1:12" ht="19.5" customHeight="1" x14ac:dyDescent="0.25">
      <c r="A228" t="s">
        <v>2554</v>
      </c>
      <c r="B228" s="232">
        <v>13</v>
      </c>
      <c r="C228" t="s">
        <v>2812</v>
      </c>
      <c r="D228" t="s">
        <v>2565</v>
      </c>
      <c r="E228" t="s">
        <v>2863</v>
      </c>
      <c r="F228" t="s">
        <v>2553</v>
      </c>
      <c r="G228" s="27">
        <v>42642</v>
      </c>
      <c r="H228" s="27">
        <v>43165</v>
      </c>
      <c r="I228" t="s">
        <v>2872</v>
      </c>
      <c r="J228" s="232">
        <v>86</v>
      </c>
      <c r="K228" s="1" t="s">
        <v>2873</v>
      </c>
      <c r="L228" t="s">
        <v>47</v>
      </c>
    </row>
    <row r="229" spans="1:12" ht="19.5" customHeight="1" x14ac:dyDescent="0.25">
      <c r="A229" t="s">
        <v>2554</v>
      </c>
      <c r="B229" s="232">
        <v>13</v>
      </c>
      <c r="C229" t="s">
        <v>2812</v>
      </c>
      <c r="D229" t="s">
        <v>2565</v>
      </c>
      <c r="E229" t="s">
        <v>2863</v>
      </c>
      <c r="F229" t="s">
        <v>2553</v>
      </c>
      <c r="G229" s="27">
        <v>42642</v>
      </c>
      <c r="H229" s="27">
        <v>43165</v>
      </c>
      <c r="I229" t="s">
        <v>2874</v>
      </c>
      <c r="J229" s="232">
        <v>87</v>
      </c>
      <c r="K229" s="1" t="s">
        <v>2875</v>
      </c>
      <c r="L229" t="s">
        <v>1968</v>
      </c>
    </row>
    <row r="230" spans="1:12" x14ac:dyDescent="0.25">
      <c r="A230" t="s">
        <v>2554</v>
      </c>
      <c r="B230" s="232">
        <v>14</v>
      </c>
      <c r="C230" t="s">
        <v>2812</v>
      </c>
      <c r="D230" t="s">
        <v>2565</v>
      </c>
      <c r="E230" t="s">
        <v>2668</v>
      </c>
      <c r="F230" t="s">
        <v>2553</v>
      </c>
      <c r="G230" s="27">
        <v>42642</v>
      </c>
      <c r="H230" s="27">
        <v>43165</v>
      </c>
      <c r="I230" t="s">
        <v>2876</v>
      </c>
      <c r="J230" s="232">
        <v>88</v>
      </c>
      <c r="K230" s="1" t="s">
        <v>2580</v>
      </c>
      <c r="L230" t="s">
        <v>47</v>
      </c>
    </row>
    <row r="231" spans="1:12" ht="16.5" customHeight="1" x14ac:dyDescent="0.25">
      <c r="A231" t="s">
        <v>2554</v>
      </c>
      <c r="B231" s="232">
        <v>14</v>
      </c>
      <c r="C231" t="s">
        <v>2812</v>
      </c>
      <c r="D231" t="s">
        <v>2565</v>
      </c>
      <c r="E231" t="s">
        <v>2668</v>
      </c>
      <c r="F231" t="s">
        <v>2553</v>
      </c>
      <c r="G231" s="27">
        <v>42642</v>
      </c>
      <c r="H231" s="27">
        <v>43165</v>
      </c>
      <c r="I231" t="s">
        <v>2877</v>
      </c>
      <c r="J231" s="232">
        <v>89</v>
      </c>
      <c r="K231" s="1" t="s">
        <v>2581</v>
      </c>
      <c r="L231" t="s">
        <v>47</v>
      </c>
    </row>
    <row r="232" spans="1:12" ht="15" customHeight="1" x14ac:dyDescent="0.25">
      <c r="A232" t="s">
        <v>2554</v>
      </c>
      <c r="B232" s="232">
        <v>14</v>
      </c>
      <c r="C232" t="s">
        <v>2812</v>
      </c>
      <c r="D232" t="s">
        <v>2565</v>
      </c>
      <c r="E232" t="s">
        <v>2668</v>
      </c>
      <c r="F232" t="s">
        <v>2553</v>
      </c>
      <c r="G232" s="27">
        <v>42642</v>
      </c>
      <c r="H232" s="27">
        <v>43165</v>
      </c>
      <c r="I232" t="s">
        <v>2878</v>
      </c>
      <c r="J232" s="232">
        <v>90</v>
      </c>
      <c r="K232" s="1" t="s">
        <v>2582</v>
      </c>
      <c r="L232" t="s">
        <v>47</v>
      </c>
    </row>
    <row r="233" spans="1:12" ht="15" customHeight="1" x14ac:dyDescent="0.25">
      <c r="A233" t="s">
        <v>2554</v>
      </c>
      <c r="B233" s="232">
        <v>14</v>
      </c>
      <c r="C233" t="s">
        <v>2812</v>
      </c>
      <c r="D233" t="s">
        <v>2565</v>
      </c>
      <c r="E233" t="s">
        <v>2668</v>
      </c>
      <c r="F233" t="s">
        <v>2553</v>
      </c>
      <c r="G233" s="27">
        <v>42642</v>
      </c>
      <c r="H233" s="27">
        <v>43165</v>
      </c>
      <c r="I233" t="s">
        <v>2879</v>
      </c>
      <c r="J233" s="232">
        <v>91</v>
      </c>
      <c r="K233" s="1" t="s">
        <v>2583</v>
      </c>
      <c r="L233" t="s">
        <v>47</v>
      </c>
    </row>
    <row r="234" spans="1:12" ht="17.25" customHeight="1" x14ac:dyDescent="0.25">
      <c r="A234" t="s">
        <v>2554</v>
      </c>
      <c r="B234" s="232">
        <v>14</v>
      </c>
      <c r="C234" t="s">
        <v>2812</v>
      </c>
      <c r="D234" t="s">
        <v>2565</v>
      </c>
      <c r="E234" t="s">
        <v>2668</v>
      </c>
      <c r="F234" t="s">
        <v>2553</v>
      </c>
      <c r="G234" s="27">
        <v>42642</v>
      </c>
      <c r="H234" s="27">
        <v>43165</v>
      </c>
      <c r="I234" t="s">
        <v>2880</v>
      </c>
      <c r="J234" s="232">
        <v>92</v>
      </c>
      <c r="K234" s="1" t="s">
        <v>2584</v>
      </c>
      <c r="L234" t="s">
        <v>47</v>
      </c>
    </row>
    <row r="235" spans="1:12" ht="18.75" customHeight="1" x14ac:dyDescent="0.25">
      <c r="A235" t="s">
        <v>2554</v>
      </c>
      <c r="B235" s="232">
        <v>14</v>
      </c>
      <c r="C235" t="s">
        <v>2812</v>
      </c>
      <c r="D235" t="s">
        <v>2565</v>
      </c>
      <c r="E235" t="s">
        <v>2668</v>
      </c>
      <c r="F235" t="s">
        <v>2553</v>
      </c>
      <c r="G235" s="27">
        <v>42642</v>
      </c>
      <c r="H235" s="27">
        <v>43165</v>
      </c>
      <c r="I235" t="s">
        <v>2881</v>
      </c>
      <c r="J235" s="232">
        <v>93</v>
      </c>
      <c r="K235" s="1" t="s">
        <v>2585</v>
      </c>
      <c r="L235" t="s">
        <v>47</v>
      </c>
    </row>
    <row r="236" spans="1:12" ht="16.5" customHeight="1" x14ac:dyDescent="0.25">
      <c r="A236" t="s">
        <v>2554</v>
      </c>
      <c r="B236" s="232">
        <v>14</v>
      </c>
      <c r="C236" t="s">
        <v>2812</v>
      </c>
      <c r="D236" t="s">
        <v>2565</v>
      </c>
      <c r="E236" t="s">
        <v>2668</v>
      </c>
      <c r="F236" t="s">
        <v>2553</v>
      </c>
      <c r="G236" s="27">
        <v>42642</v>
      </c>
      <c r="H236" s="27">
        <v>43165</v>
      </c>
      <c r="I236" t="s">
        <v>2882</v>
      </c>
      <c r="J236" s="232">
        <v>94</v>
      </c>
      <c r="K236" s="1" t="s">
        <v>2586</v>
      </c>
      <c r="L236" t="s">
        <v>47</v>
      </c>
    </row>
    <row r="237" spans="1:12" ht="17.25" customHeight="1" x14ac:dyDescent="0.25">
      <c r="A237" t="s">
        <v>2554</v>
      </c>
      <c r="B237" s="232">
        <v>14</v>
      </c>
      <c r="C237" t="s">
        <v>2812</v>
      </c>
      <c r="D237" t="s">
        <v>2565</v>
      </c>
      <c r="E237" t="s">
        <v>2668</v>
      </c>
      <c r="F237" t="s">
        <v>2553</v>
      </c>
      <c r="G237" s="27">
        <v>42642</v>
      </c>
      <c r="H237" s="27">
        <v>43165</v>
      </c>
      <c r="I237" t="s">
        <v>2883</v>
      </c>
      <c r="J237" s="232">
        <v>95</v>
      </c>
      <c r="K237" s="1" t="s">
        <v>2886</v>
      </c>
      <c r="L237" t="s">
        <v>47</v>
      </c>
    </row>
    <row r="238" spans="1:12" ht="18.75" customHeight="1" x14ac:dyDescent="0.25">
      <c r="A238" t="s">
        <v>2554</v>
      </c>
      <c r="B238" s="232">
        <v>14</v>
      </c>
      <c r="C238" t="s">
        <v>2812</v>
      </c>
      <c r="D238" t="s">
        <v>2565</v>
      </c>
      <c r="E238" t="s">
        <v>2668</v>
      </c>
      <c r="F238" t="s">
        <v>2553</v>
      </c>
      <c r="G238" s="27">
        <v>42642</v>
      </c>
      <c r="H238" s="27">
        <v>43165</v>
      </c>
      <c r="I238" t="s">
        <v>2887</v>
      </c>
      <c r="J238" s="232">
        <v>96</v>
      </c>
      <c r="K238" s="1" t="s">
        <v>2888</v>
      </c>
      <c r="L238" t="s">
        <v>47</v>
      </c>
    </row>
    <row r="239" spans="1:12" ht="15.75" customHeight="1" x14ac:dyDescent="0.25">
      <c r="A239" t="s">
        <v>2554</v>
      </c>
      <c r="B239" s="232">
        <v>14</v>
      </c>
      <c r="C239" t="s">
        <v>2812</v>
      </c>
      <c r="D239" t="s">
        <v>2565</v>
      </c>
      <c r="E239" t="s">
        <v>2668</v>
      </c>
      <c r="F239" t="s">
        <v>2553</v>
      </c>
      <c r="G239" s="27">
        <v>42642</v>
      </c>
      <c r="H239" s="27">
        <v>43165</v>
      </c>
      <c r="I239" t="s">
        <v>2884</v>
      </c>
      <c r="J239" s="232">
        <v>97</v>
      </c>
      <c r="K239" s="1" t="s">
        <v>2800</v>
      </c>
      <c r="L239" t="s">
        <v>47</v>
      </c>
    </row>
    <row r="240" spans="1:12" ht="14.25" customHeight="1" x14ac:dyDescent="0.25">
      <c r="A240" t="s">
        <v>2554</v>
      </c>
      <c r="B240" s="232">
        <v>14</v>
      </c>
      <c r="C240" t="s">
        <v>2812</v>
      </c>
      <c r="D240" t="s">
        <v>2565</v>
      </c>
      <c r="E240" t="s">
        <v>2668</v>
      </c>
      <c r="F240" t="s">
        <v>2553</v>
      </c>
      <c r="G240" s="27">
        <v>42642</v>
      </c>
      <c r="H240" s="27">
        <v>43165</v>
      </c>
      <c r="I240" t="s">
        <v>2885</v>
      </c>
      <c r="J240" s="232">
        <v>98</v>
      </c>
      <c r="K240" s="1" t="s">
        <v>2889</v>
      </c>
      <c r="L240" t="s">
        <v>47</v>
      </c>
    </row>
    <row r="241" spans="1:12" ht="14.25" customHeight="1" x14ac:dyDescent="0.25">
      <c r="A241" t="s">
        <v>2554</v>
      </c>
      <c r="B241" s="232">
        <v>15</v>
      </c>
      <c r="C241" t="s">
        <v>2812</v>
      </c>
      <c r="D241" t="s">
        <v>2565</v>
      </c>
      <c r="E241" s="50" t="s">
        <v>3550</v>
      </c>
      <c r="F241" t="s">
        <v>2553</v>
      </c>
      <c r="G241" s="27">
        <v>42642</v>
      </c>
      <c r="H241" s="27">
        <v>43165</v>
      </c>
      <c r="I241">
        <v>1</v>
      </c>
      <c r="J241" s="232">
        <v>99</v>
      </c>
      <c r="K241" s="1" t="s">
        <v>2895</v>
      </c>
      <c r="L241" t="s">
        <v>47</v>
      </c>
    </row>
    <row r="242" spans="1:12" ht="14.25" customHeight="1" x14ac:dyDescent="0.25">
      <c r="A242" t="s">
        <v>2554</v>
      </c>
      <c r="B242" s="232">
        <v>15</v>
      </c>
      <c r="C242" t="s">
        <v>2812</v>
      </c>
      <c r="D242" t="s">
        <v>2565</v>
      </c>
      <c r="E242" s="50" t="s">
        <v>3550</v>
      </c>
      <c r="F242" t="s">
        <v>2553</v>
      </c>
      <c r="G242" s="27">
        <v>42642</v>
      </c>
      <c r="H242" s="27">
        <v>43165</v>
      </c>
      <c r="I242">
        <v>2</v>
      </c>
      <c r="J242" s="232">
        <v>100</v>
      </c>
      <c r="K242" s="1" t="s">
        <v>2892</v>
      </c>
      <c r="L242" t="s">
        <v>47</v>
      </c>
    </row>
    <row r="243" spans="1:12" ht="14.25" customHeight="1" x14ac:dyDescent="0.25">
      <c r="A243" t="s">
        <v>2554</v>
      </c>
      <c r="B243" s="232">
        <v>15</v>
      </c>
      <c r="C243" t="s">
        <v>2812</v>
      </c>
      <c r="D243" t="s">
        <v>2565</v>
      </c>
      <c r="E243" s="50" t="s">
        <v>3550</v>
      </c>
      <c r="F243" t="s">
        <v>2553</v>
      </c>
      <c r="G243" s="27">
        <v>42642</v>
      </c>
      <c r="H243" s="27">
        <v>43165</v>
      </c>
      <c r="I243" t="s">
        <v>2605</v>
      </c>
      <c r="J243" s="232">
        <v>101</v>
      </c>
      <c r="K243" s="1" t="s">
        <v>2893</v>
      </c>
      <c r="L243" t="s">
        <v>47</v>
      </c>
    </row>
    <row r="244" spans="1:12" ht="14.25" customHeight="1" x14ac:dyDescent="0.25">
      <c r="A244" t="s">
        <v>2554</v>
      </c>
      <c r="B244" s="232">
        <v>15</v>
      </c>
      <c r="C244" t="s">
        <v>2812</v>
      </c>
      <c r="D244" t="s">
        <v>2565</v>
      </c>
      <c r="E244" s="50" t="s">
        <v>2802</v>
      </c>
      <c r="F244" t="s">
        <v>2553</v>
      </c>
      <c r="G244" s="27">
        <v>42642</v>
      </c>
      <c r="H244" s="27">
        <v>43165</v>
      </c>
      <c r="I244" t="s">
        <v>2607</v>
      </c>
      <c r="J244" s="232">
        <v>102</v>
      </c>
      <c r="K244" s="1" t="s">
        <v>2894</v>
      </c>
      <c r="L244" t="s">
        <v>1968</v>
      </c>
    </row>
    <row r="245" spans="1:12" ht="14.25" customHeight="1" x14ac:dyDescent="0.25">
      <c r="A245" t="s">
        <v>2554</v>
      </c>
      <c r="B245" s="232">
        <v>15</v>
      </c>
      <c r="C245" t="s">
        <v>2812</v>
      </c>
      <c r="D245" t="s">
        <v>2565</v>
      </c>
      <c r="E245" s="50" t="s">
        <v>2802</v>
      </c>
      <c r="F245" t="s">
        <v>2553</v>
      </c>
      <c r="G245" s="27">
        <v>42642</v>
      </c>
      <c r="H245" s="27">
        <v>43165</v>
      </c>
      <c r="I245" t="s">
        <v>2729</v>
      </c>
      <c r="J245" s="232">
        <v>103</v>
      </c>
      <c r="K245" s="1" t="s">
        <v>2806</v>
      </c>
      <c r="L245" t="s">
        <v>47</v>
      </c>
    </row>
    <row r="246" spans="1:12" ht="14.25" customHeight="1" x14ac:dyDescent="0.25">
      <c r="A246" t="s">
        <v>2554</v>
      </c>
      <c r="B246" s="232">
        <v>15</v>
      </c>
      <c r="C246" t="s">
        <v>2812</v>
      </c>
      <c r="D246" t="s">
        <v>2565</v>
      </c>
      <c r="E246" s="50" t="s">
        <v>2802</v>
      </c>
      <c r="F246" t="s">
        <v>2553</v>
      </c>
      <c r="G246" s="27">
        <v>42642</v>
      </c>
      <c r="H246" s="27">
        <v>43165</v>
      </c>
      <c r="I246">
        <v>3</v>
      </c>
      <c r="J246" s="232">
        <v>104</v>
      </c>
      <c r="K246" s="1" t="s">
        <v>2896</v>
      </c>
      <c r="L246" t="s">
        <v>47</v>
      </c>
    </row>
    <row r="247" spans="1:12" ht="14.25" customHeight="1" x14ac:dyDescent="0.25">
      <c r="A247" t="s">
        <v>2554</v>
      </c>
      <c r="B247" s="232">
        <v>15</v>
      </c>
      <c r="C247" t="s">
        <v>2812</v>
      </c>
      <c r="D247" t="s">
        <v>2565</v>
      </c>
      <c r="E247" s="50" t="s">
        <v>2802</v>
      </c>
      <c r="F247" t="s">
        <v>2553</v>
      </c>
      <c r="G247" s="27">
        <v>42642</v>
      </c>
      <c r="H247" s="27">
        <v>43165</v>
      </c>
      <c r="I247" t="s">
        <v>2610</v>
      </c>
      <c r="J247" s="232">
        <v>105</v>
      </c>
      <c r="K247" s="1" t="s">
        <v>2897</v>
      </c>
      <c r="L247" t="s">
        <v>1968</v>
      </c>
    </row>
    <row r="248" spans="1:12" ht="14.25" customHeight="1" x14ac:dyDescent="0.25">
      <c r="A248" t="s">
        <v>2554</v>
      </c>
      <c r="B248" s="232">
        <v>15</v>
      </c>
      <c r="C248" t="s">
        <v>2812</v>
      </c>
      <c r="D248" t="s">
        <v>2565</v>
      </c>
      <c r="E248" s="50" t="s">
        <v>2802</v>
      </c>
      <c r="F248" t="s">
        <v>2553</v>
      </c>
      <c r="G248" s="27">
        <v>42642</v>
      </c>
      <c r="H248" s="27">
        <v>43165</v>
      </c>
      <c r="I248" t="s">
        <v>2612</v>
      </c>
      <c r="J248" s="232">
        <v>106</v>
      </c>
      <c r="K248" s="1" t="s">
        <v>2898</v>
      </c>
      <c r="L248" t="s">
        <v>47</v>
      </c>
    </row>
    <row r="249" spans="1:12" ht="14.25" customHeight="1" x14ac:dyDescent="0.25">
      <c r="A249" t="s">
        <v>2554</v>
      </c>
      <c r="B249" s="232">
        <v>15</v>
      </c>
      <c r="C249" t="s">
        <v>2812</v>
      </c>
      <c r="D249" t="s">
        <v>2565</v>
      </c>
      <c r="E249" s="50" t="s">
        <v>2802</v>
      </c>
      <c r="F249" t="s">
        <v>2553</v>
      </c>
      <c r="G249" s="27">
        <v>42642</v>
      </c>
      <c r="H249" s="27">
        <v>43165</v>
      </c>
      <c r="I249" t="s">
        <v>2614</v>
      </c>
      <c r="J249" s="232">
        <v>107</v>
      </c>
      <c r="K249" s="1" t="s">
        <v>2899</v>
      </c>
      <c r="L249" t="s">
        <v>1968</v>
      </c>
    </row>
    <row r="250" spans="1:12" ht="14.25" customHeight="1" x14ac:dyDescent="0.25">
      <c r="A250" t="s">
        <v>2554</v>
      </c>
      <c r="B250" s="232">
        <v>16</v>
      </c>
      <c r="C250" t="s">
        <v>2812</v>
      </c>
      <c r="D250" t="s">
        <v>2565</v>
      </c>
      <c r="E250" s="50" t="s">
        <v>2901</v>
      </c>
      <c r="F250" t="s">
        <v>2553</v>
      </c>
      <c r="G250" s="27">
        <v>42642</v>
      </c>
      <c r="H250" s="27">
        <v>43165</v>
      </c>
      <c r="I250">
        <v>4</v>
      </c>
      <c r="J250" s="232">
        <v>108</v>
      </c>
      <c r="K250" s="249" t="s">
        <v>2900</v>
      </c>
      <c r="L250" t="s">
        <v>47</v>
      </c>
    </row>
    <row r="251" spans="1:12" ht="14.25" customHeight="1" x14ac:dyDescent="0.25">
      <c r="A251" t="s">
        <v>3654</v>
      </c>
      <c r="B251" s="232">
        <v>1</v>
      </c>
      <c r="C251" t="s">
        <v>2812</v>
      </c>
      <c r="D251" t="s">
        <v>2565</v>
      </c>
      <c r="E251" s="50" t="s">
        <v>3655</v>
      </c>
      <c r="F251" t="s">
        <v>2553</v>
      </c>
      <c r="G251" s="27">
        <v>43542</v>
      </c>
      <c r="H251" s="27">
        <v>43542</v>
      </c>
      <c r="I251">
        <v>1</v>
      </c>
      <c r="J251" s="232">
        <v>1</v>
      </c>
      <c r="K251" s="249" t="s">
        <v>3656</v>
      </c>
      <c r="L251" t="s">
        <v>47</v>
      </c>
    </row>
    <row r="252" spans="1:12" x14ac:dyDescent="0.25">
      <c r="A252" t="s">
        <v>2554</v>
      </c>
      <c r="B252" s="232">
        <v>1</v>
      </c>
      <c r="C252" t="s">
        <v>2891</v>
      </c>
      <c r="D252" t="s">
        <v>2565</v>
      </c>
      <c r="E252" t="s">
        <v>2890</v>
      </c>
      <c r="F252" t="s">
        <v>2553</v>
      </c>
      <c r="G252" s="27">
        <v>42642</v>
      </c>
      <c r="H252" s="27">
        <v>43165</v>
      </c>
      <c r="I252" t="s">
        <v>2593</v>
      </c>
      <c r="J252" s="232">
        <v>1</v>
      </c>
      <c r="K252" s="1" t="s">
        <v>2709</v>
      </c>
      <c r="L252" t="s">
        <v>47</v>
      </c>
    </row>
    <row r="253" spans="1:12" x14ac:dyDescent="0.25">
      <c r="A253" t="s">
        <v>2554</v>
      </c>
      <c r="B253" s="232">
        <v>1</v>
      </c>
      <c r="C253" t="s">
        <v>2891</v>
      </c>
      <c r="D253" t="s">
        <v>2565</v>
      </c>
      <c r="E253" t="s">
        <v>2890</v>
      </c>
      <c r="F253" t="s">
        <v>2553</v>
      </c>
      <c r="G253" s="27">
        <v>42642</v>
      </c>
      <c r="H253" s="27">
        <v>43165</v>
      </c>
      <c r="I253" t="s">
        <v>2597</v>
      </c>
      <c r="J253" s="232">
        <v>2</v>
      </c>
      <c r="K253" s="1" t="s">
        <v>2710</v>
      </c>
      <c r="L253" t="s">
        <v>47</v>
      </c>
    </row>
    <row r="254" spans="1:12" x14ac:dyDescent="0.25">
      <c r="A254" t="s">
        <v>2554</v>
      </c>
      <c r="B254" s="232">
        <v>1</v>
      </c>
      <c r="C254" t="s">
        <v>2891</v>
      </c>
      <c r="D254" t="s">
        <v>2565</v>
      </c>
      <c r="E254" t="s">
        <v>2890</v>
      </c>
      <c r="F254" t="s">
        <v>2553</v>
      </c>
      <c r="G254" s="27">
        <v>42642</v>
      </c>
      <c r="H254" s="27">
        <v>43165</v>
      </c>
      <c r="I254" t="s">
        <v>2599</v>
      </c>
      <c r="J254" s="232">
        <v>3</v>
      </c>
      <c r="K254" s="1" t="s">
        <v>2711</v>
      </c>
      <c r="L254" t="s">
        <v>47</v>
      </c>
    </row>
    <row r="255" spans="1:12" x14ac:dyDescent="0.25">
      <c r="A255" t="s">
        <v>2554</v>
      </c>
      <c r="B255" s="232">
        <v>1</v>
      </c>
      <c r="C255" t="s">
        <v>2891</v>
      </c>
      <c r="D255" t="s">
        <v>2565</v>
      </c>
      <c r="E255" t="s">
        <v>2890</v>
      </c>
      <c r="F255" t="s">
        <v>2553</v>
      </c>
      <c r="G255" s="27">
        <v>42642</v>
      </c>
      <c r="H255" s="27">
        <v>43165</v>
      </c>
      <c r="I255" t="s">
        <v>2555</v>
      </c>
      <c r="J255" s="232">
        <v>4</v>
      </c>
      <c r="K255" s="1" t="s">
        <v>2552</v>
      </c>
      <c r="L255" t="s">
        <v>1968</v>
      </c>
    </row>
    <row r="256" spans="1:12" x14ac:dyDescent="0.25">
      <c r="A256" t="s">
        <v>2554</v>
      </c>
      <c r="B256" s="232">
        <v>1</v>
      </c>
      <c r="C256" t="s">
        <v>2891</v>
      </c>
      <c r="D256" t="s">
        <v>2565</v>
      </c>
      <c r="E256" t="s">
        <v>2890</v>
      </c>
      <c r="F256" t="s">
        <v>2553</v>
      </c>
      <c r="G256" s="27">
        <v>42642</v>
      </c>
      <c r="H256" s="27">
        <v>43165</v>
      </c>
      <c r="I256" t="s">
        <v>2557</v>
      </c>
      <c r="J256" s="232">
        <v>5</v>
      </c>
      <c r="K256" s="1" t="s">
        <v>2559</v>
      </c>
      <c r="L256" t="s">
        <v>47</v>
      </c>
    </row>
    <row r="257" spans="1:12" x14ac:dyDescent="0.25">
      <c r="A257" t="s">
        <v>2554</v>
      </c>
      <c r="B257" s="232">
        <v>1</v>
      </c>
      <c r="C257" t="s">
        <v>2891</v>
      </c>
      <c r="D257" t="s">
        <v>2565</v>
      </c>
      <c r="E257" t="s">
        <v>2890</v>
      </c>
      <c r="F257" t="s">
        <v>2553</v>
      </c>
      <c r="G257" s="27">
        <v>42642</v>
      </c>
      <c r="H257" s="27">
        <v>43165</v>
      </c>
      <c r="I257" s="227" t="s">
        <v>2556</v>
      </c>
      <c r="J257" s="232">
        <v>6</v>
      </c>
      <c r="K257" s="1" t="s">
        <v>2713</v>
      </c>
      <c r="L257" t="s">
        <v>47</v>
      </c>
    </row>
    <row r="258" spans="1:12" x14ac:dyDescent="0.25">
      <c r="A258" t="s">
        <v>2554</v>
      </c>
      <c r="B258" s="232">
        <v>2</v>
      </c>
      <c r="C258" t="s">
        <v>2891</v>
      </c>
      <c r="D258" t="s">
        <v>2565</v>
      </c>
      <c r="E258" t="s">
        <v>2603</v>
      </c>
      <c r="F258" t="s">
        <v>2553</v>
      </c>
      <c r="G258" s="27">
        <v>42642</v>
      </c>
      <c r="H258" s="27">
        <v>43165</v>
      </c>
      <c r="I258" t="s">
        <v>2601</v>
      </c>
      <c r="J258" s="232">
        <v>7</v>
      </c>
      <c r="K258" s="1" t="s">
        <v>2561</v>
      </c>
      <c r="L258" t="s">
        <v>47</v>
      </c>
    </row>
    <row r="259" spans="1:12" x14ac:dyDescent="0.25">
      <c r="A259" t="s">
        <v>2554</v>
      </c>
      <c r="B259" s="232">
        <v>2</v>
      </c>
      <c r="C259" t="s">
        <v>2891</v>
      </c>
      <c r="D259" t="s">
        <v>2565</v>
      </c>
      <c r="E259" t="s">
        <v>2603</v>
      </c>
      <c r="F259" t="s">
        <v>2553</v>
      </c>
      <c r="G259" s="27">
        <v>42642</v>
      </c>
      <c r="H259" s="27">
        <v>43165</v>
      </c>
      <c r="I259" t="s">
        <v>2714</v>
      </c>
      <c r="J259" s="232">
        <v>8</v>
      </c>
      <c r="K259" s="1" t="s">
        <v>2715</v>
      </c>
      <c r="L259" t="s">
        <v>47</v>
      </c>
    </row>
    <row r="260" spans="1:12" x14ac:dyDescent="0.25">
      <c r="A260" t="s">
        <v>2554</v>
      </c>
      <c r="B260" s="232">
        <v>2</v>
      </c>
      <c r="C260" t="s">
        <v>2891</v>
      </c>
      <c r="D260" t="s">
        <v>2565</v>
      </c>
      <c r="E260" t="s">
        <v>2603</v>
      </c>
      <c r="F260" t="s">
        <v>2553</v>
      </c>
      <c r="G260" s="27">
        <v>42642</v>
      </c>
      <c r="H260" s="27">
        <v>43165</v>
      </c>
      <c r="I260" s="228" t="s">
        <v>2716</v>
      </c>
      <c r="J260" s="232">
        <v>9</v>
      </c>
      <c r="K260" s="1" t="s">
        <v>2562</v>
      </c>
      <c r="L260" t="s">
        <v>47</v>
      </c>
    </row>
    <row r="261" spans="1:12" x14ac:dyDescent="0.25">
      <c r="A261" t="s">
        <v>2554</v>
      </c>
      <c r="B261" s="232">
        <v>2</v>
      </c>
      <c r="C261" t="s">
        <v>2891</v>
      </c>
      <c r="D261" t="s">
        <v>2565</v>
      </c>
      <c r="E261" t="s">
        <v>2603</v>
      </c>
      <c r="F261" t="s">
        <v>2553</v>
      </c>
      <c r="G261" s="27">
        <v>42642</v>
      </c>
      <c r="H261" s="27">
        <v>43165</v>
      </c>
      <c r="I261" s="228" t="s">
        <v>2717</v>
      </c>
      <c r="J261" s="232">
        <v>10</v>
      </c>
      <c r="K261" s="1" t="s">
        <v>2718</v>
      </c>
      <c r="L261" t="s">
        <v>47</v>
      </c>
    </row>
    <row r="262" spans="1:12" x14ac:dyDescent="0.25">
      <c r="A262" t="s">
        <v>2554</v>
      </c>
      <c r="B262" s="232">
        <v>2</v>
      </c>
      <c r="C262" t="s">
        <v>2891</v>
      </c>
      <c r="D262" t="s">
        <v>2565</v>
      </c>
      <c r="E262" t="s">
        <v>2603</v>
      </c>
      <c r="F262" t="s">
        <v>2553</v>
      </c>
      <c r="G262" s="27">
        <v>42642</v>
      </c>
      <c r="H262" s="27">
        <v>43165</v>
      </c>
      <c r="I262" t="s">
        <v>2719</v>
      </c>
      <c r="J262" s="232">
        <v>11</v>
      </c>
      <c r="K262" s="1" t="s">
        <v>2720</v>
      </c>
      <c r="L262" t="s">
        <v>47</v>
      </c>
    </row>
    <row r="263" spans="1:12" x14ac:dyDescent="0.25">
      <c r="A263" t="s">
        <v>2554</v>
      </c>
      <c r="B263" s="232">
        <v>2</v>
      </c>
      <c r="C263" t="s">
        <v>2891</v>
      </c>
      <c r="D263" t="s">
        <v>2565</v>
      </c>
      <c r="E263" t="s">
        <v>2603</v>
      </c>
      <c r="F263" t="s">
        <v>2553</v>
      </c>
      <c r="G263" s="27">
        <v>42642</v>
      </c>
      <c r="H263" s="27">
        <v>43165</v>
      </c>
      <c r="I263" t="s">
        <v>2721</v>
      </c>
      <c r="J263" s="232">
        <v>12</v>
      </c>
      <c r="K263" s="1" t="s">
        <v>2722</v>
      </c>
      <c r="L263" t="s">
        <v>47</v>
      </c>
    </row>
    <row r="264" spans="1:12" ht="14.25" customHeight="1" x14ac:dyDescent="0.25">
      <c r="A264" t="s">
        <v>2554</v>
      </c>
      <c r="B264" s="232">
        <v>2</v>
      </c>
      <c r="C264" t="s">
        <v>2891</v>
      </c>
      <c r="D264" t="s">
        <v>2565</v>
      </c>
      <c r="E264" t="s">
        <v>2603</v>
      </c>
      <c r="F264" t="s">
        <v>2553</v>
      </c>
      <c r="G264" s="27">
        <v>42642</v>
      </c>
      <c r="H264" s="27">
        <v>43165</v>
      </c>
      <c r="I264" s="228" t="s">
        <v>2724</v>
      </c>
      <c r="J264" s="232">
        <v>13</v>
      </c>
      <c r="K264" s="1" t="s">
        <v>2725</v>
      </c>
      <c r="L264" t="s">
        <v>47</v>
      </c>
    </row>
    <row r="265" spans="1:12" x14ac:dyDescent="0.25">
      <c r="A265" t="s">
        <v>2554</v>
      </c>
      <c r="B265" s="232">
        <v>4</v>
      </c>
      <c r="C265" t="s">
        <v>2891</v>
      </c>
      <c r="D265" t="s">
        <v>2565</v>
      </c>
      <c r="E265" t="s">
        <v>2726</v>
      </c>
      <c r="F265" t="s">
        <v>2553</v>
      </c>
      <c r="G265" s="27">
        <v>42642</v>
      </c>
      <c r="H265" s="27">
        <v>43165</v>
      </c>
      <c r="I265" s="228" t="s">
        <v>2605</v>
      </c>
      <c r="J265" s="232">
        <v>14</v>
      </c>
      <c r="K265" s="1" t="s">
        <v>2727</v>
      </c>
      <c r="L265" t="s">
        <v>47</v>
      </c>
    </row>
    <row r="266" spans="1:12" x14ac:dyDescent="0.25">
      <c r="A266" t="s">
        <v>2554</v>
      </c>
      <c r="B266" s="232">
        <v>4</v>
      </c>
      <c r="C266" t="s">
        <v>2891</v>
      </c>
      <c r="D266" t="s">
        <v>2565</v>
      </c>
      <c r="E266" t="s">
        <v>2726</v>
      </c>
      <c r="F266" t="s">
        <v>2553</v>
      </c>
      <c r="G266" s="27">
        <v>42642</v>
      </c>
      <c r="H266" s="27">
        <v>43165</v>
      </c>
      <c r="I266" s="228" t="s">
        <v>2607</v>
      </c>
      <c r="J266" s="232">
        <v>15</v>
      </c>
      <c r="K266" s="248" t="s">
        <v>2813</v>
      </c>
      <c r="L266" t="s">
        <v>47</v>
      </c>
    </row>
    <row r="267" spans="1:12" x14ac:dyDescent="0.25">
      <c r="A267" t="s">
        <v>2554</v>
      </c>
      <c r="B267" s="232">
        <v>4</v>
      </c>
      <c r="C267" t="s">
        <v>2891</v>
      </c>
      <c r="D267" t="s">
        <v>2565</v>
      </c>
      <c r="E267" t="s">
        <v>2726</v>
      </c>
      <c r="F267" t="s">
        <v>2553</v>
      </c>
      <c r="G267" s="27">
        <v>42642</v>
      </c>
      <c r="H267" s="27">
        <v>43165</v>
      </c>
      <c r="I267" s="228" t="s">
        <v>2729</v>
      </c>
      <c r="J267" s="232">
        <v>16</v>
      </c>
      <c r="K267" s="248" t="s">
        <v>2814</v>
      </c>
      <c r="L267" t="s">
        <v>47</v>
      </c>
    </row>
    <row r="268" spans="1:12" ht="15" customHeight="1" x14ac:dyDescent="0.25">
      <c r="A268" t="s">
        <v>2554</v>
      </c>
      <c r="B268" s="232">
        <v>4</v>
      </c>
      <c r="C268" t="s">
        <v>2891</v>
      </c>
      <c r="D268" t="s">
        <v>2565</v>
      </c>
      <c r="E268" t="s">
        <v>2726</v>
      </c>
      <c r="F268" t="s">
        <v>2553</v>
      </c>
      <c r="G268" s="27">
        <v>42642</v>
      </c>
      <c r="H268" s="27">
        <v>43165</v>
      </c>
      <c r="I268" s="228" t="s">
        <v>2730</v>
      </c>
      <c r="J268" s="232">
        <v>17</v>
      </c>
      <c r="K268" s="1" t="s">
        <v>2563</v>
      </c>
      <c r="L268" t="s">
        <v>47</v>
      </c>
    </row>
    <row r="269" spans="1:12" x14ac:dyDescent="0.25">
      <c r="A269" t="s">
        <v>2554</v>
      </c>
      <c r="B269" s="232">
        <v>4</v>
      </c>
      <c r="C269" t="s">
        <v>2891</v>
      </c>
      <c r="D269" t="s">
        <v>2565</v>
      </c>
      <c r="E269" t="s">
        <v>2726</v>
      </c>
      <c r="F269" t="s">
        <v>2553</v>
      </c>
      <c r="G269" s="27">
        <v>42642</v>
      </c>
      <c r="H269" s="27">
        <v>43165</v>
      </c>
      <c r="I269" s="228" t="s">
        <v>2732</v>
      </c>
      <c r="J269" s="232">
        <v>18</v>
      </c>
      <c r="K269" s="1" t="s">
        <v>2731</v>
      </c>
      <c r="L269" t="s">
        <v>47</v>
      </c>
    </row>
    <row r="270" spans="1:12" ht="16.5" customHeight="1" x14ac:dyDescent="0.25">
      <c r="A270" t="s">
        <v>2554</v>
      </c>
      <c r="B270" s="232">
        <v>4</v>
      </c>
      <c r="C270" t="s">
        <v>2891</v>
      </c>
      <c r="D270" t="s">
        <v>2565</v>
      </c>
      <c r="E270" t="s">
        <v>2726</v>
      </c>
      <c r="F270" t="s">
        <v>2553</v>
      </c>
      <c r="G270" s="27">
        <v>42642</v>
      </c>
      <c r="H270" s="27">
        <v>43165</v>
      </c>
      <c r="I270" s="228" t="s">
        <v>2734</v>
      </c>
      <c r="J270" s="232">
        <v>19</v>
      </c>
      <c r="K270" s="1" t="s">
        <v>2902</v>
      </c>
      <c r="L270" t="s">
        <v>1968</v>
      </c>
    </row>
    <row r="271" spans="1:12" ht="14.25" customHeight="1" x14ac:dyDescent="0.25">
      <c r="A271" t="s">
        <v>2554</v>
      </c>
      <c r="B271" s="232">
        <v>4</v>
      </c>
      <c r="C271" t="s">
        <v>2891</v>
      </c>
      <c r="D271" t="s">
        <v>2565</v>
      </c>
      <c r="E271" t="s">
        <v>2726</v>
      </c>
      <c r="F271" t="s">
        <v>2553</v>
      </c>
      <c r="G271" s="27">
        <v>42642</v>
      </c>
      <c r="H271" s="27">
        <v>43165</v>
      </c>
      <c r="I271" s="228" t="s">
        <v>2736</v>
      </c>
      <c r="J271" s="232">
        <v>20</v>
      </c>
      <c r="K271" s="1" t="s">
        <v>2816</v>
      </c>
      <c r="L271" t="s">
        <v>47</v>
      </c>
    </row>
    <row r="272" spans="1:12" ht="15" customHeight="1" x14ac:dyDescent="0.25">
      <c r="A272" t="s">
        <v>2554</v>
      </c>
      <c r="B272" s="232">
        <v>4</v>
      </c>
      <c r="C272" t="s">
        <v>2891</v>
      </c>
      <c r="D272" t="s">
        <v>2565</v>
      </c>
      <c r="E272" t="s">
        <v>2726</v>
      </c>
      <c r="F272" t="s">
        <v>2553</v>
      </c>
      <c r="G272" s="27">
        <v>42642</v>
      </c>
      <c r="H272" s="27">
        <v>43165</v>
      </c>
      <c r="I272" s="228" t="s">
        <v>2737</v>
      </c>
      <c r="J272" s="232">
        <v>21</v>
      </c>
      <c r="K272" s="1" t="s">
        <v>2733</v>
      </c>
      <c r="L272" t="s">
        <v>47</v>
      </c>
    </row>
    <row r="273" spans="1:12" ht="18.75" customHeight="1" x14ac:dyDescent="0.25">
      <c r="A273" t="s">
        <v>2554</v>
      </c>
      <c r="B273" s="232">
        <v>4</v>
      </c>
      <c r="C273" t="s">
        <v>2891</v>
      </c>
      <c r="D273" t="s">
        <v>2565</v>
      </c>
      <c r="E273" t="s">
        <v>2726</v>
      </c>
      <c r="F273" t="s">
        <v>2553</v>
      </c>
      <c r="G273" s="27">
        <v>42642</v>
      </c>
      <c r="H273" s="27">
        <v>43165</v>
      </c>
      <c r="I273" s="228" t="s">
        <v>2738</v>
      </c>
      <c r="J273" s="232">
        <v>22</v>
      </c>
      <c r="K273" s="1" t="s">
        <v>2817</v>
      </c>
      <c r="L273" t="s">
        <v>47</v>
      </c>
    </row>
    <row r="274" spans="1:12" x14ac:dyDescent="0.25">
      <c r="A274" t="s">
        <v>2554</v>
      </c>
      <c r="B274" s="232">
        <v>4</v>
      </c>
      <c r="C274" t="s">
        <v>2891</v>
      </c>
      <c r="D274" t="s">
        <v>2565</v>
      </c>
      <c r="E274" t="s">
        <v>2726</v>
      </c>
      <c r="F274" t="s">
        <v>2553</v>
      </c>
      <c r="G274" s="27">
        <v>42642</v>
      </c>
      <c r="H274" s="27">
        <v>43165</v>
      </c>
      <c r="I274" s="228" t="s">
        <v>2742</v>
      </c>
      <c r="J274" s="232">
        <v>23</v>
      </c>
      <c r="K274" s="1" t="s">
        <v>2818</v>
      </c>
      <c r="L274" t="s">
        <v>47</v>
      </c>
    </row>
    <row r="275" spans="1:12" x14ac:dyDescent="0.25">
      <c r="A275" t="s">
        <v>2554</v>
      </c>
      <c r="B275" s="232">
        <v>4</v>
      </c>
      <c r="C275" t="s">
        <v>2891</v>
      </c>
      <c r="D275" t="s">
        <v>2565</v>
      </c>
      <c r="E275" t="s">
        <v>2726</v>
      </c>
      <c r="F275" t="s">
        <v>2553</v>
      </c>
      <c r="G275" s="27">
        <v>42642</v>
      </c>
      <c r="H275" s="27">
        <v>43165</v>
      </c>
      <c r="I275" s="228" t="s">
        <v>2819</v>
      </c>
      <c r="J275" s="232">
        <v>24</v>
      </c>
      <c r="K275" s="1" t="s">
        <v>2820</v>
      </c>
      <c r="L275" t="s">
        <v>47</v>
      </c>
    </row>
    <row r="276" spans="1:12" ht="19.5" customHeight="1" x14ac:dyDescent="0.25">
      <c r="A276" t="s">
        <v>2554</v>
      </c>
      <c r="B276" s="232">
        <v>4</v>
      </c>
      <c r="C276" t="s">
        <v>2891</v>
      </c>
      <c r="D276" t="s">
        <v>2565</v>
      </c>
      <c r="E276" t="s">
        <v>2726</v>
      </c>
      <c r="F276" t="s">
        <v>2553</v>
      </c>
      <c r="G276" s="27">
        <v>42642</v>
      </c>
      <c r="H276" s="27">
        <v>43165</v>
      </c>
      <c r="I276" s="228" t="s">
        <v>2821</v>
      </c>
      <c r="J276" s="232">
        <v>25</v>
      </c>
      <c r="K276" s="1" t="s">
        <v>2903</v>
      </c>
      <c r="L276" t="s">
        <v>1968</v>
      </c>
    </row>
    <row r="277" spans="1:12" ht="18.75" customHeight="1" x14ac:dyDescent="0.25">
      <c r="A277" t="s">
        <v>2554</v>
      </c>
      <c r="B277" s="232">
        <v>4</v>
      </c>
      <c r="C277" t="s">
        <v>2891</v>
      </c>
      <c r="D277" t="s">
        <v>2565</v>
      </c>
      <c r="E277" t="s">
        <v>2726</v>
      </c>
      <c r="F277" t="s">
        <v>2553</v>
      </c>
      <c r="G277" s="27">
        <v>42642</v>
      </c>
      <c r="H277" s="27">
        <v>43165</v>
      </c>
      <c r="I277" s="228" t="s">
        <v>2823</v>
      </c>
      <c r="J277" s="232">
        <v>26</v>
      </c>
      <c r="K277" s="1" t="s">
        <v>2824</v>
      </c>
      <c r="L277" t="s">
        <v>47</v>
      </c>
    </row>
    <row r="278" spans="1:12" ht="17.25" customHeight="1" x14ac:dyDescent="0.25">
      <c r="A278" t="s">
        <v>2554</v>
      </c>
      <c r="B278" s="232">
        <v>4</v>
      </c>
      <c r="C278" t="s">
        <v>2891</v>
      </c>
      <c r="D278" t="s">
        <v>2565</v>
      </c>
      <c r="E278" t="s">
        <v>2726</v>
      </c>
      <c r="F278" t="s">
        <v>2553</v>
      </c>
      <c r="G278" s="27">
        <v>42642</v>
      </c>
      <c r="H278" s="27">
        <v>43165</v>
      </c>
      <c r="I278" s="228" t="s">
        <v>2825</v>
      </c>
      <c r="J278" s="232">
        <v>27</v>
      </c>
      <c r="K278" s="1" t="s">
        <v>2568</v>
      </c>
      <c r="L278" t="s">
        <v>1968</v>
      </c>
    </row>
    <row r="279" spans="1:12" ht="18.75" customHeight="1" x14ac:dyDescent="0.25">
      <c r="A279" t="s">
        <v>2554</v>
      </c>
      <c r="B279" s="232">
        <v>4</v>
      </c>
      <c r="C279" t="s">
        <v>2891</v>
      </c>
      <c r="D279" t="s">
        <v>2565</v>
      </c>
      <c r="E279" t="s">
        <v>2726</v>
      </c>
      <c r="F279" t="s">
        <v>2553</v>
      </c>
      <c r="G279" s="27">
        <v>42642</v>
      </c>
      <c r="H279" s="27">
        <v>43165</v>
      </c>
      <c r="I279" s="228" t="s">
        <v>2826</v>
      </c>
      <c r="J279" s="232">
        <v>28</v>
      </c>
      <c r="K279" s="1" t="s">
        <v>2569</v>
      </c>
      <c r="L279" t="s">
        <v>47</v>
      </c>
    </row>
    <row r="280" spans="1:12" ht="15" customHeight="1" x14ac:dyDescent="0.25">
      <c r="A280" t="s">
        <v>2554</v>
      </c>
      <c r="B280" s="232">
        <v>4</v>
      </c>
      <c r="C280" t="s">
        <v>2891</v>
      </c>
      <c r="D280" t="s">
        <v>2565</v>
      </c>
      <c r="E280" t="s">
        <v>2726</v>
      </c>
      <c r="F280" t="s">
        <v>2553</v>
      </c>
      <c r="G280" s="27">
        <v>42642</v>
      </c>
      <c r="H280" s="27">
        <v>43165</v>
      </c>
      <c r="I280" s="228" t="s">
        <v>2827</v>
      </c>
      <c r="J280" s="232">
        <v>29</v>
      </c>
      <c r="K280" s="1" t="s">
        <v>2828</v>
      </c>
      <c r="L280" t="s">
        <v>1968</v>
      </c>
    </row>
    <row r="281" spans="1:12" ht="17.25" customHeight="1" x14ac:dyDescent="0.25">
      <c r="A281" t="s">
        <v>2554</v>
      </c>
      <c r="B281" s="232">
        <v>4</v>
      </c>
      <c r="C281" t="s">
        <v>2891</v>
      </c>
      <c r="D281" t="s">
        <v>2565</v>
      </c>
      <c r="E281" t="s">
        <v>2726</v>
      </c>
      <c r="F281" t="s">
        <v>2553</v>
      </c>
      <c r="G281" s="27">
        <v>42642</v>
      </c>
      <c r="H281" s="27">
        <v>43165</v>
      </c>
      <c r="I281" s="228" t="s">
        <v>2830</v>
      </c>
      <c r="J281" s="232">
        <v>30</v>
      </c>
      <c r="K281" s="1" t="s">
        <v>2741</v>
      </c>
      <c r="L281" t="s">
        <v>1968</v>
      </c>
    </row>
    <row r="282" spans="1:12" ht="14.25" customHeight="1" x14ac:dyDescent="0.25">
      <c r="A282" t="s">
        <v>2554</v>
      </c>
      <c r="B282" s="232">
        <v>4</v>
      </c>
      <c r="C282" t="s">
        <v>2891</v>
      </c>
      <c r="D282" t="s">
        <v>2565</v>
      </c>
      <c r="E282" t="s">
        <v>2726</v>
      </c>
      <c r="F282" t="s">
        <v>2553</v>
      </c>
      <c r="G282" s="27">
        <v>42642</v>
      </c>
      <c r="H282" s="27">
        <v>43165</v>
      </c>
      <c r="I282" s="228" t="s">
        <v>2829</v>
      </c>
      <c r="J282" s="232">
        <v>31</v>
      </c>
      <c r="K282" s="1" t="s">
        <v>2831</v>
      </c>
      <c r="L282" t="s">
        <v>47</v>
      </c>
    </row>
    <row r="283" spans="1:12" x14ac:dyDescent="0.25">
      <c r="A283" t="s">
        <v>2554</v>
      </c>
      <c r="B283" s="232">
        <v>5</v>
      </c>
      <c r="C283" t="s">
        <v>2891</v>
      </c>
      <c r="D283" t="s">
        <v>2565</v>
      </c>
      <c r="E283" t="s">
        <v>2746</v>
      </c>
      <c r="F283" t="s">
        <v>2553</v>
      </c>
      <c r="G283" s="27">
        <v>42642</v>
      </c>
      <c r="H283" s="27">
        <v>43165</v>
      </c>
      <c r="I283" t="s">
        <v>2610</v>
      </c>
      <c r="J283" s="232">
        <v>32</v>
      </c>
      <c r="K283" s="1" t="s">
        <v>2743</v>
      </c>
      <c r="L283" t="s">
        <v>47</v>
      </c>
    </row>
    <row r="284" spans="1:12" x14ac:dyDescent="0.25">
      <c r="A284" t="s">
        <v>2554</v>
      </c>
      <c r="B284" s="232">
        <v>5</v>
      </c>
      <c r="C284" t="s">
        <v>2891</v>
      </c>
      <c r="D284" t="s">
        <v>2565</v>
      </c>
      <c r="E284" t="s">
        <v>2746</v>
      </c>
      <c r="F284" t="s">
        <v>2553</v>
      </c>
      <c r="G284" s="27">
        <v>42642</v>
      </c>
      <c r="H284" s="27">
        <v>43165</v>
      </c>
      <c r="I284" t="s">
        <v>2612</v>
      </c>
      <c r="J284" s="232">
        <v>33</v>
      </c>
      <c r="K284" s="1" t="s">
        <v>2744</v>
      </c>
      <c r="L284" t="s">
        <v>47</v>
      </c>
    </row>
    <row r="285" spans="1:12" x14ac:dyDescent="0.25">
      <c r="A285" t="s">
        <v>2554</v>
      </c>
      <c r="B285" s="232">
        <v>5</v>
      </c>
      <c r="C285" t="s">
        <v>2891</v>
      </c>
      <c r="D285" t="s">
        <v>2565</v>
      </c>
      <c r="E285" t="s">
        <v>2746</v>
      </c>
      <c r="F285" t="s">
        <v>2553</v>
      </c>
      <c r="G285" s="27">
        <v>42642</v>
      </c>
      <c r="H285" s="27">
        <v>43165</v>
      </c>
      <c r="I285" t="s">
        <v>2614</v>
      </c>
      <c r="J285" s="232">
        <v>34</v>
      </c>
      <c r="K285" s="1" t="s">
        <v>2745</v>
      </c>
      <c r="L285" t="s">
        <v>47</v>
      </c>
    </row>
    <row r="286" spans="1:12" x14ac:dyDescent="0.25">
      <c r="A286" t="s">
        <v>2554</v>
      </c>
      <c r="B286" s="232">
        <v>5</v>
      </c>
      <c r="C286" t="s">
        <v>2891</v>
      </c>
      <c r="D286" t="s">
        <v>2565</v>
      </c>
      <c r="E286" t="s">
        <v>2746</v>
      </c>
      <c r="F286" t="s">
        <v>2553</v>
      </c>
      <c r="G286" s="27">
        <v>42642</v>
      </c>
      <c r="H286" s="27">
        <v>43165</v>
      </c>
      <c r="I286" t="s">
        <v>2617</v>
      </c>
      <c r="J286" s="232">
        <v>35</v>
      </c>
      <c r="K286" s="248" t="s">
        <v>2747</v>
      </c>
      <c r="L286" t="s">
        <v>47</v>
      </c>
    </row>
    <row r="287" spans="1:12" x14ac:dyDescent="0.25">
      <c r="A287" t="s">
        <v>2554</v>
      </c>
      <c r="B287" s="232">
        <v>5</v>
      </c>
      <c r="C287" t="s">
        <v>2891</v>
      </c>
      <c r="D287" t="s">
        <v>2565</v>
      </c>
      <c r="E287" t="s">
        <v>2746</v>
      </c>
      <c r="F287" t="s">
        <v>2553</v>
      </c>
      <c r="G287" s="27">
        <v>42642</v>
      </c>
      <c r="H287" s="27">
        <v>43165</v>
      </c>
      <c r="I287" t="s">
        <v>2621</v>
      </c>
      <c r="J287" s="232">
        <v>36</v>
      </c>
      <c r="K287" s="1" t="s">
        <v>2832</v>
      </c>
      <c r="L287" t="s">
        <v>47</v>
      </c>
    </row>
    <row r="288" spans="1:12" x14ac:dyDescent="0.25">
      <c r="A288" t="s">
        <v>2554</v>
      </c>
      <c r="B288" s="232">
        <v>5</v>
      </c>
      <c r="C288" t="s">
        <v>2891</v>
      </c>
      <c r="D288" t="s">
        <v>2565</v>
      </c>
      <c r="E288" t="s">
        <v>2746</v>
      </c>
      <c r="F288" t="s">
        <v>2553</v>
      </c>
      <c r="G288" s="27">
        <v>42642</v>
      </c>
      <c r="H288" s="27">
        <v>43165</v>
      </c>
      <c r="I288" t="s">
        <v>2749</v>
      </c>
      <c r="J288" s="232">
        <v>37</v>
      </c>
      <c r="K288" s="1" t="s">
        <v>2750</v>
      </c>
      <c r="L288" t="s">
        <v>47</v>
      </c>
    </row>
    <row r="289" spans="1:12" x14ac:dyDescent="0.25">
      <c r="A289" t="s">
        <v>2554</v>
      </c>
      <c r="B289" s="232">
        <v>6</v>
      </c>
      <c r="C289" t="s">
        <v>2891</v>
      </c>
      <c r="D289" t="s">
        <v>2565</v>
      </c>
      <c r="E289" t="s">
        <v>2846</v>
      </c>
      <c r="F289" t="s">
        <v>2553</v>
      </c>
      <c r="G289" s="27">
        <v>42642</v>
      </c>
      <c r="H289" s="27">
        <v>43165</v>
      </c>
      <c r="I289" t="s">
        <v>2623</v>
      </c>
      <c r="J289" s="232">
        <v>38</v>
      </c>
      <c r="K289" s="1" t="s">
        <v>2564</v>
      </c>
      <c r="L289" t="s">
        <v>47</v>
      </c>
    </row>
    <row r="290" spans="1:12" x14ac:dyDescent="0.25">
      <c r="A290" t="s">
        <v>2554</v>
      </c>
      <c r="B290" s="232">
        <v>6</v>
      </c>
      <c r="C290" t="s">
        <v>2891</v>
      </c>
      <c r="D290" t="s">
        <v>2565</v>
      </c>
      <c r="E290" t="s">
        <v>2846</v>
      </c>
      <c r="F290" t="s">
        <v>2553</v>
      </c>
      <c r="G290" s="27">
        <v>42642</v>
      </c>
      <c r="H290" s="27">
        <v>43165</v>
      </c>
      <c r="I290" s="228" t="s">
        <v>2627</v>
      </c>
      <c r="J290" s="232">
        <v>39</v>
      </c>
      <c r="K290" s="1" t="s">
        <v>2751</v>
      </c>
      <c r="L290" t="s">
        <v>47</v>
      </c>
    </row>
    <row r="291" spans="1:12" ht="16.5" customHeight="1" x14ac:dyDescent="0.25">
      <c r="A291" t="s">
        <v>2554</v>
      </c>
      <c r="B291" s="232">
        <v>6</v>
      </c>
      <c r="C291" t="s">
        <v>2891</v>
      </c>
      <c r="D291" t="s">
        <v>2565</v>
      </c>
      <c r="E291" t="s">
        <v>2846</v>
      </c>
      <c r="F291" t="s">
        <v>2553</v>
      </c>
      <c r="G291" s="27">
        <v>42642</v>
      </c>
      <c r="H291" s="27">
        <v>43165</v>
      </c>
      <c r="I291" t="s">
        <v>2752</v>
      </c>
      <c r="J291" s="232">
        <v>40</v>
      </c>
      <c r="K291" s="1" t="s">
        <v>2753</v>
      </c>
      <c r="L291" t="s">
        <v>47</v>
      </c>
    </row>
    <row r="292" spans="1:12" x14ac:dyDescent="0.25">
      <c r="A292" t="s">
        <v>2554</v>
      </c>
      <c r="B292" s="232">
        <v>7</v>
      </c>
      <c r="C292" t="s">
        <v>2891</v>
      </c>
      <c r="D292" t="s">
        <v>2565</v>
      </c>
      <c r="E292" t="s">
        <v>2629</v>
      </c>
      <c r="F292" t="s">
        <v>2553</v>
      </c>
      <c r="G292" s="27">
        <v>42642</v>
      </c>
      <c r="H292" s="27">
        <v>43165</v>
      </c>
      <c r="I292" t="s">
        <v>2630</v>
      </c>
      <c r="J292" s="232">
        <v>41</v>
      </c>
      <c r="K292" s="1" t="s">
        <v>2754</v>
      </c>
      <c r="L292" t="s">
        <v>47</v>
      </c>
    </row>
    <row r="293" spans="1:12" x14ac:dyDescent="0.25">
      <c r="A293" t="s">
        <v>2554</v>
      </c>
      <c r="B293" s="232">
        <v>7</v>
      </c>
      <c r="C293" t="s">
        <v>2891</v>
      </c>
      <c r="D293" t="s">
        <v>2565</v>
      </c>
      <c r="E293" t="s">
        <v>2629</v>
      </c>
      <c r="F293" t="s">
        <v>2553</v>
      </c>
      <c r="G293" s="27">
        <v>42642</v>
      </c>
      <c r="H293" s="27">
        <v>43165</v>
      </c>
      <c r="I293" t="s">
        <v>2632</v>
      </c>
      <c r="J293" s="232">
        <v>42</v>
      </c>
      <c r="K293" s="1" t="s">
        <v>2755</v>
      </c>
      <c r="L293" t="s">
        <v>47</v>
      </c>
    </row>
    <row r="294" spans="1:12" ht="12.75" customHeight="1" x14ac:dyDescent="0.25">
      <c r="A294" t="s">
        <v>2554</v>
      </c>
      <c r="B294" s="232">
        <v>7</v>
      </c>
      <c r="C294" t="s">
        <v>2891</v>
      </c>
      <c r="D294" t="s">
        <v>2565</v>
      </c>
      <c r="E294" t="s">
        <v>2629</v>
      </c>
      <c r="F294" t="s">
        <v>2553</v>
      </c>
      <c r="G294" s="27">
        <v>42642</v>
      </c>
      <c r="H294" s="27">
        <v>43165</v>
      </c>
      <c r="I294" t="s">
        <v>2636</v>
      </c>
      <c r="J294" s="232">
        <v>43</v>
      </c>
      <c r="K294" s="1" t="s">
        <v>2847</v>
      </c>
      <c r="L294" t="s">
        <v>47</v>
      </c>
    </row>
    <row r="295" spans="1:12" x14ac:dyDescent="0.25">
      <c r="A295" t="s">
        <v>2554</v>
      </c>
      <c r="B295" s="232">
        <v>7</v>
      </c>
      <c r="C295" t="s">
        <v>2891</v>
      </c>
      <c r="D295" t="s">
        <v>2565</v>
      </c>
      <c r="E295" t="s">
        <v>2629</v>
      </c>
      <c r="F295" t="s">
        <v>2553</v>
      </c>
      <c r="G295" s="27">
        <v>42642</v>
      </c>
      <c r="H295" s="27">
        <v>43165</v>
      </c>
      <c r="I295" t="s">
        <v>2638</v>
      </c>
      <c r="J295" s="232">
        <v>44</v>
      </c>
      <c r="K295" s="1" t="s">
        <v>2756</v>
      </c>
      <c r="L295" t="s">
        <v>47</v>
      </c>
    </row>
    <row r="296" spans="1:12" ht="14.25" customHeight="1" x14ac:dyDescent="0.25">
      <c r="A296" t="s">
        <v>2554</v>
      </c>
      <c r="B296" s="232">
        <v>7</v>
      </c>
      <c r="C296" t="s">
        <v>2891</v>
      </c>
      <c r="D296" t="s">
        <v>2565</v>
      </c>
      <c r="E296" t="s">
        <v>2629</v>
      </c>
      <c r="F296" t="s">
        <v>2553</v>
      </c>
      <c r="G296" s="27">
        <v>42642</v>
      </c>
      <c r="H296" s="27">
        <v>43165</v>
      </c>
      <c r="I296" t="s">
        <v>2757</v>
      </c>
      <c r="J296" s="232">
        <v>45</v>
      </c>
      <c r="K296" s="1" t="s">
        <v>2758</v>
      </c>
      <c r="L296" t="s">
        <v>47</v>
      </c>
    </row>
    <row r="297" spans="1:12" x14ac:dyDescent="0.25">
      <c r="A297" t="s">
        <v>2554</v>
      </c>
      <c r="B297" s="232">
        <v>7</v>
      </c>
      <c r="C297" t="s">
        <v>2891</v>
      </c>
      <c r="D297" t="s">
        <v>2565</v>
      </c>
      <c r="E297" t="s">
        <v>2629</v>
      </c>
      <c r="F297" t="s">
        <v>2553</v>
      </c>
      <c r="G297" s="27">
        <v>42642</v>
      </c>
      <c r="H297" s="27">
        <v>43165</v>
      </c>
      <c r="I297" t="s">
        <v>2759</v>
      </c>
      <c r="J297" s="232">
        <v>46</v>
      </c>
      <c r="K297" s="1" t="s">
        <v>2760</v>
      </c>
      <c r="L297" t="s">
        <v>47</v>
      </c>
    </row>
    <row r="298" spans="1:12" ht="14.25" customHeight="1" x14ac:dyDescent="0.25">
      <c r="A298" t="s">
        <v>2554</v>
      </c>
      <c r="B298" s="232">
        <v>7</v>
      </c>
      <c r="C298" t="s">
        <v>2891</v>
      </c>
      <c r="D298" t="s">
        <v>2565</v>
      </c>
      <c r="E298" t="s">
        <v>2629</v>
      </c>
      <c r="F298" t="s">
        <v>2553</v>
      </c>
      <c r="G298" s="27">
        <v>42642</v>
      </c>
      <c r="H298" s="27">
        <v>43165</v>
      </c>
      <c r="I298" t="s">
        <v>2762</v>
      </c>
      <c r="J298" s="232">
        <v>47</v>
      </c>
      <c r="K298" s="1" t="s">
        <v>2761</v>
      </c>
      <c r="L298" t="s">
        <v>47</v>
      </c>
    </row>
    <row r="299" spans="1:12" x14ac:dyDescent="0.25">
      <c r="A299" t="s">
        <v>2554</v>
      </c>
      <c r="B299" s="232">
        <v>8</v>
      </c>
      <c r="C299" t="s">
        <v>2891</v>
      </c>
      <c r="D299" t="s">
        <v>2565</v>
      </c>
      <c r="E299" t="s">
        <v>2764</v>
      </c>
      <c r="F299" t="s">
        <v>2553</v>
      </c>
      <c r="G299" s="27">
        <v>42642</v>
      </c>
      <c r="H299" s="27">
        <v>43165</v>
      </c>
      <c r="I299" t="s">
        <v>2643</v>
      </c>
      <c r="J299" s="232">
        <v>48</v>
      </c>
      <c r="K299" s="1" t="s">
        <v>2904</v>
      </c>
      <c r="L299" t="s">
        <v>47</v>
      </c>
    </row>
    <row r="300" spans="1:12" ht="16.5" customHeight="1" x14ac:dyDescent="0.25">
      <c r="A300" t="s">
        <v>2554</v>
      </c>
      <c r="B300" s="232">
        <v>8</v>
      </c>
      <c r="C300" t="s">
        <v>2891</v>
      </c>
      <c r="D300" t="s">
        <v>2565</v>
      </c>
      <c r="E300" t="s">
        <v>2764</v>
      </c>
      <c r="F300" t="s">
        <v>2553</v>
      </c>
      <c r="G300" s="27">
        <v>42642</v>
      </c>
      <c r="H300" s="27">
        <v>43165</v>
      </c>
      <c r="I300" t="s">
        <v>2649</v>
      </c>
      <c r="J300" s="232">
        <v>49</v>
      </c>
      <c r="K300" s="1" t="s">
        <v>2766</v>
      </c>
      <c r="L300" t="s">
        <v>1968</v>
      </c>
    </row>
    <row r="301" spans="1:12" x14ac:dyDescent="0.25">
      <c r="A301" t="s">
        <v>2554</v>
      </c>
      <c r="B301" s="232">
        <v>8</v>
      </c>
      <c r="C301" t="s">
        <v>2891</v>
      </c>
      <c r="D301" t="s">
        <v>2565</v>
      </c>
      <c r="E301" t="s">
        <v>2764</v>
      </c>
      <c r="F301" t="s">
        <v>2553</v>
      </c>
      <c r="G301" s="27">
        <v>42642</v>
      </c>
      <c r="H301" s="27">
        <v>43165</v>
      </c>
      <c r="I301" t="s">
        <v>2651</v>
      </c>
      <c r="J301" s="232">
        <v>50</v>
      </c>
      <c r="K301" s="1" t="s">
        <v>2767</v>
      </c>
      <c r="L301" t="s">
        <v>47</v>
      </c>
    </row>
    <row r="302" spans="1:12" x14ac:dyDescent="0.25">
      <c r="A302" t="s">
        <v>2554</v>
      </c>
      <c r="B302" s="232">
        <v>9</v>
      </c>
      <c r="C302" t="s">
        <v>2891</v>
      </c>
      <c r="D302" t="s">
        <v>2565</v>
      </c>
      <c r="E302" t="s">
        <v>2905</v>
      </c>
      <c r="F302" t="s">
        <v>2553</v>
      </c>
      <c r="G302" s="27">
        <v>42642</v>
      </c>
      <c r="H302" s="27">
        <v>43165</v>
      </c>
      <c r="I302" t="s">
        <v>2663</v>
      </c>
      <c r="J302" s="232">
        <v>51</v>
      </c>
      <c r="K302" s="1" t="s">
        <v>2907</v>
      </c>
      <c r="L302" t="s">
        <v>47</v>
      </c>
    </row>
    <row r="303" spans="1:12" x14ac:dyDescent="0.25">
      <c r="A303" t="s">
        <v>2554</v>
      </c>
      <c r="B303" s="232">
        <v>9</v>
      </c>
      <c r="C303" t="s">
        <v>2891</v>
      </c>
      <c r="D303" t="s">
        <v>2565</v>
      </c>
      <c r="E303" t="s">
        <v>2906</v>
      </c>
      <c r="F303" t="s">
        <v>2553</v>
      </c>
      <c r="G303" s="27">
        <v>42642</v>
      </c>
      <c r="H303" s="27">
        <v>43165</v>
      </c>
      <c r="I303" t="s">
        <v>2664</v>
      </c>
      <c r="J303" s="232">
        <v>52</v>
      </c>
      <c r="K303" s="248" t="s">
        <v>2908</v>
      </c>
      <c r="L303" t="s">
        <v>47</v>
      </c>
    </row>
    <row r="304" spans="1:12" ht="18.75" customHeight="1" x14ac:dyDescent="0.25">
      <c r="A304" t="s">
        <v>2554</v>
      </c>
      <c r="B304" s="232">
        <v>9</v>
      </c>
      <c r="C304" t="s">
        <v>2891</v>
      </c>
      <c r="D304" t="s">
        <v>2565</v>
      </c>
      <c r="E304" t="s">
        <v>2905</v>
      </c>
      <c r="F304" t="s">
        <v>2553</v>
      </c>
      <c r="G304" s="27">
        <v>42642</v>
      </c>
      <c r="H304" s="27">
        <v>43165</v>
      </c>
      <c r="I304" t="s">
        <v>2665</v>
      </c>
      <c r="J304" s="232">
        <v>53</v>
      </c>
      <c r="K304" s="1" t="s">
        <v>2848</v>
      </c>
      <c r="L304" t="s">
        <v>1968</v>
      </c>
    </row>
    <row r="305" spans="1:12" x14ac:dyDescent="0.25">
      <c r="A305" t="s">
        <v>2554</v>
      </c>
      <c r="B305" s="232">
        <v>9</v>
      </c>
      <c r="C305" t="s">
        <v>2891</v>
      </c>
      <c r="D305" t="s">
        <v>2565</v>
      </c>
      <c r="E305" t="s">
        <v>2905</v>
      </c>
      <c r="F305" t="s">
        <v>2553</v>
      </c>
      <c r="G305" s="27">
        <v>42642</v>
      </c>
      <c r="H305" s="27">
        <v>43165</v>
      </c>
      <c r="I305" t="s">
        <v>2771</v>
      </c>
      <c r="J305" s="232">
        <v>54</v>
      </c>
      <c r="K305" s="1" t="s">
        <v>2849</v>
      </c>
      <c r="L305" t="s">
        <v>1968</v>
      </c>
    </row>
    <row r="306" spans="1:12" x14ac:dyDescent="0.25">
      <c r="A306" t="s">
        <v>2554</v>
      </c>
      <c r="B306" s="232">
        <v>9</v>
      </c>
      <c r="C306" t="s">
        <v>2891</v>
      </c>
      <c r="D306" t="s">
        <v>2565</v>
      </c>
      <c r="E306" t="s">
        <v>2905</v>
      </c>
      <c r="F306" t="s">
        <v>2553</v>
      </c>
      <c r="G306" s="27">
        <v>42642</v>
      </c>
      <c r="H306" s="27">
        <v>43165</v>
      </c>
      <c r="I306" t="s">
        <v>2773</v>
      </c>
      <c r="J306" s="232">
        <v>55</v>
      </c>
      <c r="K306" s="1" t="s">
        <v>2850</v>
      </c>
      <c r="L306" t="s">
        <v>47</v>
      </c>
    </row>
    <row r="307" spans="1:12" x14ac:dyDescent="0.25">
      <c r="A307" t="s">
        <v>2554</v>
      </c>
      <c r="B307" s="232">
        <v>9</v>
      </c>
      <c r="C307" t="s">
        <v>2891</v>
      </c>
      <c r="D307" t="s">
        <v>2565</v>
      </c>
      <c r="E307" t="s">
        <v>2905</v>
      </c>
      <c r="F307" t="s">
        <v>2553</v>
      </c>
      <c r="G307" s="27">
        <v>42642</v>
      </c>
      <c r="H307" s="27">
        <v>43165</v>
      </c>
      <c r="I307" t="s">
        <v>2775</v>
      </c>
      <c r="J307" s="232">
        <v>56</v>
      </c>
      <c r="K307" s="1" t="s">
        <v>2776</v>
      </c>
      <c r="L307" t="s">
        <v>47</v>
      </c>
    </row>
    <row r="308" spans="1:12" ht="15" customHeight="1" x14ac:dyDescent="0.25">
      <c r="A308" t="s">
        <v>2554</v>
      </c>
      <c r="B308" s="232">
        <v>10</v>
      </c>
      <c r="C308" t="s">
        <v>2891</v>
      </c>
      <c r="D308" t="s">
        <v>2565</v>
      </c>
      <c r="E308" t="s">
        <v>2779</v>
      </c>
      <c r="F308" t="s">
        <v>2553</v>
      </c>
      <c r="G308" s="27">
        <v>42642</v>
      </c>
      <c r="H308" s="27">
        <v>43165</v>
      </c>
      <c r="I308" t="s">
        <v>2669</v>
      </c>
      <c r="J308" s="232">
        <v>57</v>
      </c>
      <c r="K308" s="1" t="s">
        <v>2909</v>
      </c>
      <c r="L308" t="s">
        <v>47</v>
      </c>
    </row>
    <row r="309" spans="1:12" x14ac:dyDescent="0.25">
      <c r="A309" t="s">
        <v>2554</v>
      </c>
      <c r="B309" s="232">
        <v>10</v>
      </c>
      <c r="C309" t="s">
        <v>2891</v>
      </c>
      <c r="D309" t="s">
        <v>2565</v>
      </c>
      <c r="E309" t="s">
        <v>2779</v>
      </c>
      <c r="F309" t="s">
        <v>2553</v>
      </c>
      <c r="G309" s="27">
        <v>42642</v>
      </c>
      <c r="H309" s="27">
        <v>43165</v>
      </c>
      <c r="I309" t="s">
        <v>2782</v>
      </c>
      <c r="J309" s="232">
        <v>58</v>
      </c>
      <c r="K309" s="1" t="s">
        <v>2570</v>
      </c>
      <c r="L309" t="s">
        <v>47</v>
      </c>
    </row>
    <row r="310" spans="1:12" ht="21.75" customHeight="1" x14ac:dyDescent="0.25">
      <c r="A310" t="s">
        <v>2554</v>
      </c>
      <c r="B310" s="232">
        <v>10</v>
      </c>
      <c r="C310" t="s">
        <v>2891</v>
      </c>
      <c r="D310" t="s">
        <v>2565</v>
      </c>
      <c r="E310" t="s">
        <v>2779</v>
      </c>
      <c r="F310" t="s">
        <v>2553</v>
      </c>
      <c r="G310" s="27">
        <v>42642</v>
      </c>
      <c r="H310" s="27">
        <v>43165</v>
      </c>
      <c r="I310" t="s">
        <v>2673</v>
      </c>
      <c r="J310" s="232">
        <v>59</v>
      </c>
      <c r="K310" s="1" t="s">
        <v>2571</v>
      </c>
      <c r="L310" t="s">
        <v>47</v>
      </c>
    </row>
    <row r="311" spans="1:12" ht="21.75" customHeight="1" x14ac:dyDescent="0.25">
      <c r="A311" t="s">
        <v>2554</v>
      </c>
      <c r="B311" s="232">
        <v>10</v>
      </c>
      <c r="C311" t="s">
        <v>2891</v>
      </c>
      <c r="D311" t="s">
        <v>2565</v>
      </c>
      <c r="E311" t="s">
        <v>2779</v>
      </c>
      <c r="F311" t="s">
        <v>2553</v>
      </c>
      <c r="G311" s="27">
        <v>42642</v>
      </c>
      <c r="H311" s="27">
        <v>43165</v>
      </c>
      <c r="I311" t="s">
        <v>2681</v>
      </c>
      <c r="J311" s="232">
        <v>60</v>
      </c>
      <c r="K311" s="1" t="s">
        <v>2910</v>
      </c>
      <c r="L311" t="s">
        <v>47</v>
      </c>
    </row>
    <row r="312" spans="1:12" ht="21.75" customHeight="1" x14ac:dyDescent="0.25">
      <c r="A312" t="s">
        <v>2554</v>
      </c>
      <c r="B312" s="232">
        <v>10</v>
      </c>
      <c r="C312" t="s">
        <v>2891</v>
      </c>
      <c r="D312" t="s">
        <v>2565</v>
      </c>
      <c r="E312" t="s">
        <v>2779</v>
      </c>
      <c r="F312" t="s">
        <v>2553</v>
      </c>
      <c r="G312" s="27">
        <v>42642</v>
      </c>
      <c r="H312" s="27">
        <v>43165</v>
      </c>
      <c r="I312" t="s">
        <v>2683</v>
      </c>
      <c r="J312" s="232">
        <v>61</v>
      </c>
      <c r="K312" s="1" t="s">
        <v>2911</v>
      </c>
      <c r="L312" t="s">
        <v>47</v>
      </c>
    </row>
    <row r="313" spans="1:12" ht="21.75" customHeight="1" x14ac:dyDescent="0.25">
      <c r="A313" t="s">
        <v>2554</v>
      </c>
      <c r="B313" s="232">
        <v>11</v>
      </c>
      <c r="C313" t="s">
        <v>2891</v>
      </c>
      <c r="D313" t="s">
        <v>2565</v>
      </c>
      <c r="E313" t="s">
        <v>2783</v>
      </c>
      <c r="F313" t="s">
        <v>2553</v>
      </c>
      <c r="G313" s="27">
        <v>42642</v>
      </c>
      <c r="H313" s="27">
        <v>43165</v>
      </c>
      <c r="I313" t="s">
        <v>2784</v>
      </c>
      <c r="J313" s="232">
        <v>62</v>
      </c>
      <c r="K313" s="1" t="s">
        <v>2574</v>
      </c>
      <c r="L313" t="s">
        <v>47</v>
      </c>
    </row>
    <row r="314" spans="1:12" ht="21.75" customHeight="1" x14ac:dyDescent="0.25">
      <c r="A314" t="s">
        <v>2554</v>
      </c>
      <c r="B314" s="232">
        <v>11</v>
      </c>
      <c r="C314" t="s">
        <v>2891</v>
      </c>
      <c r="D314" t="s">
        <v>2565</v>
      </c>
      <c r="E314" t="s">
        <v>2783</v>
      </c>
      <c r="F314" t="s">
        <v>2553</v>
      </c>
      <c r="G314" s="27">
        <v>42642</v>
      </c>
      <c r="H314" s="27">
        <v>43165</v>
      </c>
      <c r="I314" t="s">
        <v>2785</v>
      </c>
      <c r="J314" s="232">
        <v>63</v>
      </c>
      <c r="K314" s="1" t="s">
        <v>2575</v>
      </c>
      <c r="L314" t="s">
        <v>47</v>
      </c>
    </row>
    <row r="315" spans="1:12" ht="21.75" customHeight="1" x14ac:dyDescent="0.25">
      <c r="A315" t="s">
        <v>2554</v>
      </c>
      <c r="B315" s="232">
        <v>11</v>
      </c>
      <c r="C315" t="s">
        <v>2891</v>
      </c>
      <c r="D315" t="s">
        <v>2565</v>
      </c>
      <c r="E315" t="s">
        <v>2783</v>
      </c>
      <c r="F315" t="s">
        <v>2553</v>
      </c>
      <c r="G315" s="27">
        <v>42642</v>
      </c>
      <c r="H315" s="27">
        <v>43165</v>
      </c>
      <c r="I315" t="s">
        <v>2786</v>
      </c>
      <c r="J315" s="232">
        <v>64</v>
      </c>
      <c r="K315" s="1" t="s">
        <v>2576</v>
      </c>
      <c r="L315" t="s">
        <v>47</v>
      </c>
    </row>
    <row r="316" spans="1:12" ht="21.75" customHeight="1" x14ac:dyDescent="0.25">
      <c r="A316" t="s">
        <v>2554</v>
      </c>
      <c r="B316" s="232">
        <v>11</v>
      </c>
      <c r="C316" t="s">
        <v>2891</v>
      </c>
      <c r="D316" t="s">
        <v>2565</v>
      </c>
      <c r="E316" t="s">
        <v>2783</v>
      </c>
      <c r="F316" t="s">
        <v>2553</v>
      </c>
      <c r="G316" s="27">
        <v>42642</v>
      </c>
      <c r="H316" s="27">
        <v>43165</v>
      </c>
      <c r="I316" t="s">
        <v>2787</v>
      </c>
      <c r="J316" s="232">
        <v>65</v>
      </c>
      <c r="K316" s="1" t="s">
        <v>2577</v>
      </c>
      <c r="L316" t="s">
        <v>1968</v>
      </c>
    </row>
    <row r="317" spans="1:12" ht="21.75" customHeight="1" x14ac:dyDescent="0.25">
      <c r="A317" t="s">
        <v>2554</v>
      </c>
      <c r="B317" s="232">
        <v>11</v>
      </c>
      <c r="C317" t="s">
        <v>2891</v>
      </c>
      <c r="D317" t="s">
        <v>2565</v>
      </c>
      <c r="E317" t="s">
        <v>2783</v>
      </c>
      <c r="F317" t="s">
        <v>2553</v>
      </c>
      <c r="G317" s="27">
        <v>42642</v>
      </c>
      <c r="H317" s="27">
        <v>43165</v>
      </c>
      <c r="I317" t="s">
        <v>2579</v>
      </c>
      <c r="J317" s="232">
        <v>66</v>
      </c>
      <c r="K317" s="1" t="s">
        <v>2788</v>
      </c>
      <c r="L317" t="s">
        <v>47</v>
      </c>
    </row>
    <row r="318" spans="1:12" ht="21.75" customHeight="1" x14ac:dyDescent="0.25">
      <c r="A318" t="s">
        <v>2554</v>
      </c>
      <c r="B318" s="232">
        <v>11</v>
      </c>
      <c r="C318" t="s">
        <v>2891</v>
      </c>
      <c r="D318" t="s">
        <v>2565</v>
      </c>
      <c r="E318" t="s">
        <v>2783</v>
      </c>
      <c r="F318" t="s">
        <v>2553</v>
      </c>
      <c r="G318" s="27">
        <v>42642</v>
      </c>
      <c r="H318" s="27">
        <v>43165</v>
      </c>
      <c r="I318" t="s">
        <v>2789</v>
      </c>
      <c r="J318" s="232">
        <v>67</v>
      </c>
      <c r="K318" s="1" t="s">
        <v>2578</v>
      </c>
      <c r="L318" t="s">
        <v>47</v>
      </c>
    </row>
    <row r="319" spans="1:12" ht="21.75" customHeight="1" x14ac:dyDescent="0.25">
      <c r="A319" t="s">
        <v>2554</v>
      </c>
      <c r="B319" s="232">
        <v>12</v>
      </c>
      <c r="C319" t="s">
        <v>2891</v>
      </c>
      <c r="D319" t="s">
        <v>2565</v>
      </c>
      <c r="E319" t="s">
        <v>2862</v>
      </c>
      <c r="F319" t="s">
        <v>2553</v>
      </c>
      <c r="G319" s="27">
        <v>42642</v>
      </c>
      <c r="H319" s="27">
        <v>43165</v>
      </c>
      <c r="I319" t="s">
        <v>2790</v>
      </c>
      <c r="J319" s="232">
        <v>68</v>
      </c>
      <c r="K319" s="1" t="s">
        <v>2580</v>
      </c>
      <c r="L319" t="s">
        <v>47</v>
      </c>
    </row>
    <row r="320" spans="1:12" ht="21.75" customHeight="1" x14ac:dyDescent="0.25">
      <c r="A320" t="s">
        <v>2554</v>
      </c>
      <c r="B320" s="232">
        <v>12</v>
      </c>
      <c r="C320" t="s">
        <v>2891</v>
      </c>
      <c r="D320" t="s">
        <v>2565</v>
      </c>
      <c r="E320" t="s">
        <v>2862</v>
      </c>
      <c r="F320" t="s">
        <v>2553</v>
      </c>
      <c r="G320" s="27">
        <v>42642</v>
      </c>
      <c r="H320" s="27">
        <v>43165</v>
      </c>
      <c r="I320" t="s">
        <v>2791</v>
      </c>
      <c r="J320" s="232">
        <v>69</v>
      </c>
      <c r="K320" s="1" t="s">
        <v>2912</v>
      </c>
      <c r="L320" t="s">
        <v>47</v>
      </c>
    </row>
    <row r="321" spans="1:12" ht="21.75" customHeight="1" x14ac:dyDescent="0.25">
      <c r="A321" t="s">
        <v>2554</v>
      </c>
      <c r="B321" s="232">
        <v>12</v>
      </c>
      <c r="C321" t="s">
        <v>2891</v>
      </c>
      <c r="D321" t="s">
        <v>2565</v>
      </c>
      <c r="E321" t="s">
        <v>2862</v>
      </c>
      <c r="F321" t="s">
        <v>2553</v>
      </c>
      <c r="G321" s="27">
        <v>42642</v>
      </c>
      <c r="H321" s="27">
        <v>43165</v>
      </c>
      <c r="I321" t="s">
        <v>2792</v>
      </c>
      <c r="J321" s="232">
        <v>70</v>
      </c>
      <c r="K321" s="1" t="s">
        <v>2582</v>
      </c>
      <c r="L321" t="s">
        <v>47</v>
      </c>
    </row>
    <row r="322" spans="1:12" ht="21.75" customHeight="1" x14ac:dyDescent="0.25">
      <c r="A322" t="s">
        <v>2554</v>
      </c>
      <c r="B322" s="232">
        <v>12</v>
      </c>
      <c r="C322" t="s">
        <v>2891</v>
      </c>
      <c r="D322" t="s">
        <v>2565</v>
      </c>
      <c r="E322" t="s">
        <v>2862</v>
      </c>
      <c r="F322" t="s">
        <v>2553</v>
      </c>
      <c r="G322" s="27">
        <v>42642</v>
      </c>
      <c r="H322" s="27">
        <v>43165</v>
      </c>
      <c r="I322" t="s">
        <v>2793</v>
      </c>
      <c r="J322" s="232">
        <v>71</v>
      </c>
      <c r="K322" s="1" t="s">
        <v>2583</v>
      </c>
      <c r="L322" t="s">
        <v>47</v>
      </c>
    </row>
    <row r="323" spans="1:12" ht="21.75" customHeight="1" x14ac:dyDescent="0.25">
      <c r="A323" t="s">
        <v>2554</v>
      </c>
      <c r="B323" s="232">
        <v>12</v>
      </c>
      <c r="C323" t="s">
        <v>2891</v>
      </c>
      <c r="D323" t="s">
        <v>2565</v>
      </c>
      <c r="E323" t="s">
        <v>2862</v>
      </c>
      <c r="F323" t="s">
        <v>2553</v>
      </c>
      <c r="G323" s="27">
        <v>42642</v>
      </c>
      <c r="H323" s="27">
        <v>43165</v>
      </c>
      <c r="I323" t="s">
        <v>2794</v>
      </c>
      <c r="J323" s="232">
        <v>72</v>
      </c>
      <c r="K323" s="1" t="s">
        <v>2584</v>
      </c>
      <c r="L323" t="s">
        <v>47</v>
      </c>
    </row>
    <row r="324" spans="1:12" ht="21.75" customHeight="1" x14ac:dyDescent="0.25">
      <c r="A324" t="s">
        <v>2554</v>
      </c>
      <c r="B324" s="232">
        <v>12</v>
      </c>
      <c r="C324" t="s">
        <v>2891</v>
      </c>
      <c r="D324" t="s">
        <v>2565</v>
      </c>
      <c r="E324" t="s">
        <v>2862</v>
      </c>
      <c r="F324" t="s">
        <v>2553</v>
      </c>
      <c r="G324" s="27">
        <v>42642</v>
      </c>
      <c r="H324" s="27">
        <v>43165</v>
      </c>
      <c r="I324" t="s">
        <v>2795</v>
      </c>
      <c r="J324" s="232">
        <v>73</v>
      </c>
      <c r="K324" s="1" t="s">
        <v>2585</v>
      </c>
      <c r="L324" t="s">
        <v>47</v>
      </c>
    </row>
    <row r="325" spans="1:12" ht="21.75" customHeight="1" x14ac:dyDescent="0.25">
      <c r="A325" t="s">
        <v>2554</v>
      </c>
      <c r="B325" s="232">
        <v>12</v>
      </c>
      <c r="C325" t="s">
        <v>2891</v>
      </c>
      <c r="D325" t="s">
        <v>2565</v>
      </c>
      <c r="E325" t="s">
        <v>2862</v>
      </c>
      <c r="F325" t="s">
        <v>2553</v>
      </c>
      <c r="G325" s="27">
        <v>42642</v>
      </c>
      <c r="H325" s="27">
        <v>43165</v>
      </c>
      <c r="I325" t="s">
        <v>2796</v>
      </c>
      <c r="J325" s="232">
        <v>74</v>
      </c>
      <c r="K325" s="1" t="s">
        <v>2586</v>
      </c>
      <c r="L325" t="s">
        <v>47</v>
      </c>
    </row>
    <row r="326" spans="1:12" ht="21.75" customHeight="1" x14ac:dyDescent="0.25">
      <c r="A326" t="s">
        <v>2554</v>
      </c>
      <c r="B326" s="232">
        <v>12</v>
      </c>
      <c r="C326" t="s">
        <v>2891</v>
      </c>
      <c r="D326" t="s">
        <v>2565</v>
      </c>
      <c r="E326" t="s">
        <v>2862</v>
      </c>
      <c r="F326" t="s">
        <v>2553</v>
      </c>
      <c r="G326" s="27">
        <v>42642</v>
      </c>
      <c r="H326" s="27">
        <v>43165</v>
      </c>
      <c r="I326" t="s">
        <v>2797</v>
      </c>
      <c r="J326" s="232">
        <v>75</v>
      </c>
      <c r="K326" s="1" t="s">
        <v>2913</v>
      </c>
      <c r="L326" t="s">
        <v>47</v>
      </c>
    </row>
    <row r="327" spans="1:12" ht="21.75" customHeight="1" x14ac:dyDescent="0.25">
      <c r="A327" t="s">
        <v>2554</v>
      </c>
      <c r="B327" s="232">
        <v>12</v>
      </c>
      <c r="C327" t="s">
        <v>2891</v>
      </c>
      <c r="D327" t="s">
        <v>2565</v>
      </c>
      <c r="E327" t="s">
        <v>2862</v>
      </c>
      <c r="F327" t="s">
        <v>2553</v>
      </c>
      <c r="G327" s="27">
        <v>42642</v>
      </c>
      <c r="H327" s="27">
        <v>43165</v>
      </c>
      <c r="I327" t="s">
        <v>2799</v>
      </c>
      <c r="J327" s="232">
        <v>76</v>
      </c>
      <c r="K327" s="1" t="s">
        <v>2800</v>
      </c>
      <c r="L327" t="s">
        <v>47</v>
      </c>
    </row>
    <row r="328" spans="1:12" ht="21.75" customHeight="1" x14ac:dyDescent="0.25">
      <c r="A328" t="s">
        <v>2554</v>
      </c>
      <c r="B328" s="232">
        <v>12</v>
      </c>
      <c r="C328" t="s">
        <v>2891</v>
      </c>
      <c r="D328" t="s">
        <v>2565</v>
      </c>
      <c r="E328" t="s">
        <v>2862</v>
      </c>
      <c r="F328" t="s">
        <v>2553</v>
      </c>
      <c r="G328" s="27">
        <v>42642</v>
      </c>
      <c r="H328" s="27">
        <v>43165</v>
      </c>
      <c r="I328" t="s">
        <v>2591</v>
      </c>
      <c r="J328" s="232">
        <v>77</v>
      </c>
      <c r="K328" s="1" t="s">
        <v>2801</v>
      </c>
      <c r="L328" t="s">
        <v>47</v>
      </c>
    </row>
    <row r="329" spans="1:12" ht="21.75" customHeight="1" x14ac:dyDescent="0.25">
      <c r="A329" t="s">
        <v>2554</v>
      </c>
      <c r="B329" s="232">
        <v>12</v>
      </c>
      <c r="C329" t="s">
        <v>2891</v>
      </c>
      <c r="D329" t="s">
        <v>2565</v>
      </c>
      <c r="E329" s="50" t="s">
        <v>2802</v>
      </c>
      <c r="F329" t="s">
        <v>2553</v>
      </c>
      <c r="G329" s="27">
        <v>42642</v>
      </c>
      <c r="H329" s="27">
        <v>43165</v>
      </c>
      <c r="I329">
        <v>1</v>
      </c>
      <c r="J329" s="232">
        <v>78</v>
      </c>
      <c r="K329" s="1" t="s">
        <v>2914</v>
      </c>
      <c r="L329" t="s">
        <v>47</v>
      </c>
    </row>
    <row r="330" spans="1:12" ht="21.75" customHeight="1" x14ac:dyDescent="0.25">
      <c r="A330" t="s">
        <v>2554</v>
      </c>
      <c r="B330" s="232">
        <v>12</v>
      </c>
      <c r="C330" t="s">
        <v>2891</v>
      </c>
      <c r="D330" t="s">
        <v>2565</v>
      </c>
      <c r="E330" s="50" t="s">
        <v>2802</v>
      </c>
      <c r="F330" t="s">
        <v>2553</v>
      </c>
      <c r="G330" s="27">
        <v>42642</v>
      </c>
      <c r="H330" s="27">
        <v>43165</v>
      </c>
      <c r="I330">
        <v>2</v>
      </c>
      <c r="J330" s="232">
        <v>79</v>
      </c>
      <c r="K330" s="248" t="s">
        <v>2892</v>
      </c>
      <c r="L330" t="s">
        <v>47</v>
      </c>
    </row>
    <row r="331" spans="1:12" ht="21.75" customHeight="1" x14ac:dyDescent="0.25">
      <c r="A331" t="s">
        <v>2554</v>
      </c>
      <c r="B331" s="232">
        <v>12</v>
      </c>
      <c r="C331" t="s">
        <v>2891</v>
      </c>
      <c r="D331" t="s">
        <v>2565</v>
      </c>
      <c r="E331" s="50" t="s">
        <v>2802</v>
      </c>
      <c r="F331" t="s">
        <v>2553</v>
      </c>
      <c r="G331" s="27">
        <v>42642</v>
      </c>
      <c r="H331" s="27">
        <v>43165</v>
      </c>
      <c r="I331" t="s">
        <v>2605</v>
      </c>
      <c r="J331" s="232">
        <v>80</v>
      </c>
      <c r="K331" s="248" t="s">
        <v>2926</v>
      </c>
      <c r="L331" t="s">
        <v>47</v>
      </c>
    </row>
    <row r="332" spans="1:12" ht="21.75" customHeight="1" x14ac:dyDescent="0.25">
      <c r="A332" t="s">
        <v>2554</v>
      </c>
      <c r="B332" s="232">
        <v>12</v>
      </c>
      <c r="C332" t="s">
        <v>2891</v>
      </c>
      <c r="D332" t="s">
        <v>2565</v>
      </c>
      <c r="E332" s="50" t="s">
        <v>2802</v>
      </c>
      <c r="F332" t="s">
        <v>2553</v>
      </c>
      <c r="G332" s="27">
        <v>42642</v>
      </c>
      <c r="H332" s="27">
        <v>43165</v>
      </c>
      <c r="I332" t="s">
        <v>2607</v>
      </c>
      <c r="J332" s="232">
        <v>81</v>
      </c>
      <c r="K332" s="248" t="s">
        <v>2915</v>
      </c>
      <c r="L332" t="s">
        <v>47</v>
      </c>
    </row>
    <row r="333" spans="1:12" ht="21.75" customHeight="1" x14ac:dyDescent="0.25">
      <c r="A333" t="s">
        <v>2554</v>
      </c>
      <c r="B333" s="232">
        <v>12</v>
      </c>
      <c r="C333" t="s">
        <v>2891</v>
      </c>
      <c r="D333" t="s">
        <v>2565</v>
      </c>
      <c r="E333" s="50" t="s">
        <v>2802</v>
      </c>
      <c r="F333" t="s">
        <v>2553</v>
      </c>
      <c r="G333" s="27">
        <v>42642</v>
      </c>
      <c r="H333" s="27">
        <v>43165</v>
      </c>
      <c r="I333" s="233" t="s">
        <v>2729</v>
      </c>
      <c r="J333" s="232">
        <v>82</v>
      </c>
      <c r="K333" s="1" t="s">
        <v>2916</v>
      </c>
      <c r="L333" t="s">
        <v>47</v>
      </c>
    </row>
    <row r="334" spans="1:12" ht="21.75" customHeight="1" x14ac:dyDescent="0.25">
      <c r="A334" t="s">
        <v>2554</v>
      </c>
      <c r="B334" s="232">
        <v>12</v>
      </c>
      <c r="C334" t="s">
        <v>2891</v>
      </c>
      <c r="D334" t="s">
        <v>2565</v>
      </c>
      <c r="E334" s="50" t="s">
        <v>2802</v>
      </c>
      <c r="F334" t="s">
        <v>2553</v>
      </c>
      <c r="G334" s="27">
        <v>42642</v>
      </c>
      <c r="H334" s="27">
        <v>43165</v>
      </c>
      <c r="I334" s="233" t="s">
        <v>2730</v>
      </c>
      <c r="J334" s="232">
        <v>83</v>
      </c>
      <c r="K334" s="1" t="s">
        <v>2917</v>
      </c>
      <c r="L334" t="s">
        <v>47</v>
      </c>
    </row>
    <row r="335" spans="1:12" ht="21.75" customHeight="1" x14ac:dyDescent="0.25">
      <c r="A335" t="s">
        <v>2554</v>
      </c>
      <c r="B335" s="232">
        <v>12</v>
      </c>
      <c r="C335" t="s">
        <v>2891</v>
      </c>
      <c r="D335" t="s">
        <v>2565</v>
      </c>
      <c r="E335" s="50" t="s">
        <v>2802</v>
      </c>
      <c r="F335" t="s">
        <v>2553</v>
      </c>
      <c r="G335" s="27">
        <v>42642</v>
      </c>
      <c r="H335" s="27">
        <v>43165</v>
      </c>
      <c r="I335" s="233">
        <v>3</v>
      </c>
      <c r="J335" s="232">
        <v>84</v>
      </c>
      <c r="K335" s="1" t="s">
        <v>2918</v>
      </c>
      <c r="L335" t="s">
        <v>1968</v>
      </c>
    </row>
    <row r="336" spans="1:12" ht="21.75" customHeight="1" x14ac:dyDescent="0.25">
      <c r="A336" t="s">
        <v>2554</v>
      </c>
      <c r="B336" s="232">
        <v>12</v>
      </c>
      <c r="C336" t="s">
        <v>2891</v>
      </c>
      <c r="D336" t="s">
        <v>2565</v>
      </c>
      <c r="E336" s="50" t="s">
        <v>2802</v>
      </c>
      <c r="F336" t="s">
        <v>2553</v>
      </c>
      <c r="G336" s="27">
        <v>42642</v>
      </c>
      <c r="H336" s="27">
        <v>43165</v>
      </c>
      <c r="I336" s="233" t="s">
        <v>2610</v>
      </c>
      <c r="J336" s="232">
        <v>85</v>
      </c>
      <c r="K336" s="1" t="s">
        <v>2919</v>
      </c>
      <c r="L336" t="s">
        <v>1968</v>
      </c>
    </row>
    <row r="337" spans="1:12" ht="21.75" customHeight="1" x14ac:dyDescent="0.25">
      <c r="A337" t="s">
        <v>2554</v>
      </c>
      <c r="B337" s="232">
        <v>12</v>
      </c>
      <c r="C337" t="s">
        <v>2891</v>
      </c>
      <c r="D337" t="s">
        <v>2565</v>
      </c>
      <c r="E337" s="50" t="s">
        <v>2802</v>
      </c>
      <c r="F337" t="s">
        <v>2553</v>
      </c>
      <c r="G337" s="27">
        <v>42642</v>
      </c>
      <c r="H337" s="27">
        <v>43165</v>
      </c>
      <c r="I337" s="233">
        <v>4</v>
      </c>
      <c r="J337" s="232">
        <v>86</v>
      </c>
      <c r="K337" s="1" t="s">
        <v>2920</v>
      </c>
      <c r="L337" t="s">
        <v>47</v>
      </c>
    </row>
    <row r="338" spans="1:12" ht="21.75" customHeight="1" x14ac:dyDescent="0.25">
      <c r="A338" t="s">
        <v>2554</v>
      </c>
      <c r="B338" s="232">
        <v>1</v>
      </c>
      <c r="C338" t="s">
        <v>1175</v>
      </c>
      <c r="D338" t="s">
        <v>2565</v>
      </c>
      <c r="E338" t="s">
        <v>2890</v>
      </c>
      <c r="F338" t="s">
        <v>2553</v>
      </c>
      <c r="G338" s="27">
        <v>42534</v>
      </c>
      <c r="I338" t="s">
        <v>2593</v>
      </c>
      <c r="J338" s="232">
        <v>1</v>
      </c>
      <c r="K338" s="1" t="s">
        <v>2709</v>
      </c>
      <c r="L338" t="s">
        <v>47</v>
      </c>
    </row>
    <row r="339" spans="1:12" ht="21.75" customHeight="1" x14ac:dyDescent="0.25">
      <c r="A339" t="s">
        <v>2554</v>
      </c>
      <c r="B339" s="232">
        <v>1</v>
      </c>
      <c r="C339" t="s">
        <v>1175</v>
      </c>
      <c r="D339" t="s">
        <v>2565</v>
      </c>
      <c r="E339" t="s">
        <v>2890</v>
      </c>
      <c r="F339" t="s">
        <v>2553</v>
      </c>
      <c r="G339" s="27">
        <v>42534</v>
      </c>
      <c r="I339" t="s">
        <v>2597</v>
      </c>
      <c r="J339" s="232">
        <v>2</v>
      </c>
      <c r="K339" s="1" t="s">
        <v>2710</v>
      </c>
      <c r="L339" t="s">
        <v>47</v>
      </c>
    </row>
    <row r="340" spans="1:12" ht="21.75" customHeight="1" x14ac:dyDescent="0.25">
      <c r="A340" t="s">
        <v>2554</v>
      </c>
      <c r="B340" s="232">
        <v>1</v>
      </c>
      <c r="C340" t="s">
        <v>1175</v>
      </c>
      <c r="D340" t="s">
        <v>2565</v>
      </c>
      <c r="E340" t="s">
        <v>2890</v>
      </c>
      <c r="F340" t="s">
        <v>2553</v>
      </c>
      <c r="G340" s="27">
        <v>42534</v>
      </c>
      <c r="I340" t="s">
        <v>2599</v>
      </c>
      <c r="J340" s="232">
        <v>3</v>
      </c>
      <c r="K340" s="1" t="s">
        <v>2711</v>
      </c>
      <c r="L340" t="s">
        <v>47</v>
      </c>
    </row>
    <row r="341" spans="1:12" ht="21.75" customHeight="1" x14ac:dyDescent="0.25">
      <c r="A341" t="s">
        <v>2554</v>
      </c>
      <c r="B341" s="232">
        <v>1</v>
      </c>
      <c r="C341" t="s">
        <v>1175</v>
      </c>
      <c r="D341" t="s">
        <v>2565</v>
      </c>
      <c r="E341" t="s">
        <v>2890</v>
      </c>
      <c r="F341" t="s">
        <v>2553</v>
      </c>
      <c r="G341" s="27">
        <v>42534</v>
      </c>
      <c r="I341" t="s">
        <v>2555</v>
      </c>
      <c r="J341" s="232">
        <v>4</v>
      </c>
      <c r="K341" s="1" t="s">
        <v>2552</v>
      </c>
      <c r="L341" t="s">
        <v>1968</v>
      </c>
    </row>
    <row r="342" spans="1:12" ht="21.75" customHeight="1" x14ac:dyDescent="0.25">
      <c r="A342" t="s">
        <v>2554</v>
      </c>
      <c r="B342" s="232">
        <v>1</v>
      </c>
      <c r="C342" t="s">
        <v>1175</v>
      </c>
      <c r="D342" t="s">
        <v>2565</v>
      </c>
      <c r="E342" t="s">
        <v>2890</v>
      </c>
      <c r="F342" t="s">
        <v>2553</v>
      </c>
      <c r="G342" s="27">
        <v>42534</v>
      </c>
      <c r="I342" t="s">
        <v>2557</v>
      </c>
      <c r="J342" s="232">
        <v>5</v>
      </c>
      <c r="K342" s="1" t="s">
        <v>2559</v>
      </c>
      <c r="L342" t="s">
        <v>47</v>
      </c>
    </row>
    <row r="343" spans="1:12" ht="21.75" customHeight="1" x14ac:dyDescent="0.25">
      <c r="A343" t="s">
        <v>2554</v>
      </c>
      <c r="B343" s="232">
        <v>1</v>
      </c>
      <c r="C343" t="s">
        <v>1175</v>
      </c>
      <c r="D343" t="s">
        <v>2565</v>
      </c>
      <c r="E343" t="s">
        <v>2890</v>
      </c>
      <c r="F343" t="s">
        <v>2553</v>
      </c>
      <c r="G343" s="27">
        <v>42534</v>
      </c>
      <c r="I343" s="227" t="s">
        <v>2556</v>
      </c>
      <c r="J343" s="232">
        <v>6</v>
      </c>
      <c r="K343" s="1" t="s">
        <v>2712</v>
      </c>
      <c r="L343" t="s">
        <v>47</v>
      </c>
    </row>
    <row r="344" spans="1:12" ht="21.75" customHeight="1" x14ac:dyDescent="0.25">
      <c r="A344" t="s">
        <v>2554</v>
      </c>
      <c r="B344" s="232">
        <v>1</v>
      </c>
      <c r="C344" t="s">
        <v>1175</v>
      </c>
      <c r="D344" t="s">
        <v>2565</v>
      </c>
      <c r="E344" t="s">
        <v>2890</v>
      </c>
      <c r="F344" t="s">
        <v>2553</v>
      </c>
      <c r="G344" s="27">
        <v>42534</v>
      </c>
      <c r="I344" s="227" t="s">
        <v>2558</v>
      </c>
      <c r="J344" s="232">
        <v>7</v>
      </c>
      <c r="K344" s="1" t="s">
        <v>2713</v>
      </c>
      <c r="L344" t="s">
        <v>47</v>
      </c>
    </row>
    <row r="345" spans="1:12" ht="21.75" customHeight="1" x14ac:dyDescent="0.25">
      <c r="A345" t="s">
        <v>2554</v>
      </c>
      <c r="B345" s="232">
        <v>2</v>
      </c>
      <c r="C345" t="s">
        <v>1175</v>
      </c>
      <c r="D345" t="s">
        <v>2565</v>
      </c>
      <c r="E345" t="s">
        <v>2603</v>
      </c>
      <c r="F345" t="s">
        <v>2553</v>
      </c>
      <c r="G345" s="27">
        <v>42534</v>
      </c>
      <c r="I345" t="s">
        <v>2601</v>
      </c>
      <c r="J345" s="232">
        <v>8</v>
      </c>
      <c r="K345" s="1" t="s">
        <v>2561</v>
      </c>
      <c r="L345" t="s">
        <v>47</v>
      </c>
    </row>
    <row r="346" spans="1:12" ht="21.75" customHeight="1" x14ac:dyDescent="0.25">
      <c r="A346" t="s">
        <v>2554</v>
      </c>
      <c r="B346" s="232">
        <v>2</v>
      </c>
      <c r="C346" t="s">
        <v>1175</v>
      </c>
      <c r="D346" t="s">
        <v>2565</v>
      </c>
      <c r="E346" t="s">
        <v>2603</v>
      </c>
      <c r="F346" t="s">
        <v>2553</v>
      </c>
      <c r="G346" s="27">
        <v>42534</v>
      </c>
      <c r="I346" t="s">
        <v>2714</v>
      </c>
      <c r="J346" s="232">
        <v>9</v>
      </c>
      <c r="K346" s="1" t="s">
        <v>2715</v>
      </c>
      <c r="L346" t="s">
        <v>47</v>
      </c>
    </row>
    <row r="347" spans="1:12" ht="21.75" customHeight="1" x14ac:dyDescent="0.25">
      <c r="A347" t="s">
        <v>2554</v>
      </c>
      <c r="B347" s="232">
        <v>2</v>
      </c>
      <c r="C347" t="s">
        <v>1175</v>
      </c>
      <c r="D347" t="s">
        <v>2565</v>
      </c>
      <c r="E347" t="s">
        <v>2603</v>
      </c>
      <c r="F347" t="s">
        <v>2553</v>
      </c>
      <c r="G347" s="27">
        <v>42534</v>
      </c>
      <c r="I347" s="228" t="s">
        <v>2716</v>
      </c>
      <c r="J347" s="232">
        <v>10</v>
      </c>
      <c r="K347" s="1" t="s">
        <v>2562</v>
      </c>
      <c r="L347" t="s">
        <v>47</v>
      </c>
    </row>
    <row r="348" spans="1:12" ht="21.75" customHeight="1" x14ac:dyDescent="0.25">
      <c r="A348" t="s">
        <v>2554</v>
      </c>
      <c r="B348" s="232">
        <v>2</v>
      </c>
      <c r="C348" t="s">
        <v>1175</v>
      </c>
      <c r="D348" t="s">
        <v>2565</v>
      </c>
      <c r="E348" t="s">
        <v>2603</v>
      </c>
      <c r="F348" t="s">
        <v>2553</v>
      </c>
      <c r="G348" s="27">
        <v>42534</v>
      </c>
      <c r="I348" s="228" t="s">
        <v>2717</v>
      </c>
      <c r="J348" s="232">
        <v>11</v>
      </c>
      <c r="K348" s="1" t="s">
        <v>2718</v>
      </c>
      <c r="L348" t="s">
        <v>47</v>
      </c>
    </row>
    <row r="349" spans="1:12" ht="21.75" customHeight="1" x14ac:dyDescent="0.25">
      <c r="A349" t="s">
        <v>2554</v>
      </c>
      <c r="B349" s="232">
        <v>2</v>
      </c>
      <c r="C349" t="s">
        <v>1175</v>
      </c>
      <c r="D349" t="s">
        <v>2565</v>
      </c>
      <c r="E349" t="s">
        <v>2603</v>
      </c>
      <c r="F349" t="s">
        <v>2553</v>
      </c>
      <c r="G349" s="27">
        <v>42534</v>
      </c>
      <c r="I349" t="s">
        <v>2719</v>
      </c>
      <c r="J349" s="232">
        <v>12</v>
      </c>
      <c r="K349" s="1" t="s">
        <v>2720</v>
      </c>
      <c r="L349" t="s">
        <v>47</v>
      </c>
    </row>
    <row r="350" spans="1:12" ht="21.75" customHeight="1" x14ac:dyDescent="0.25">
      <c r="A350" t="s">
        <v>2554</v>
      </c>
      <c r="B350" s="232">
        <v>2</v>
      </c>
      <c r="C350" t="s">
        <v>1175</v>
      </c>
      <c r="D350" t="s">
        <v>2565</v>
      </c>
      <c r="E350" t="s">
        <v>2603</v>
      </c>
      <c r="F350" t="s">
        <v>2553</v>
      </c>
      <c r="G350" s="27">
        <v>42534</v>
      </c>
      <c r="I350" t="s">
        <v>2721</v>
      </c>
      <c r="J350" s="232">
        <v>13</v>
      </c>
      <c r="K350" s="1" t="s">
        <v>2722</v>
      </c>
      <c r="L350" t="s">
        <v>47</v>
      </c>
    </row>
    <row r="351" spans="1:12" ht="21.75" customHeight="1" x14ac:dyDescent="0.25">
      <c r="A351" t="s">
        <v>2554</v>
      </c>
      <c r="B351" s="232">
        <v>2</v>
      </c>
      <c r="C351" t="s">
        <v>1175</v>
      </c>
      <c r="D351" t="s">
        <v>2565</v>
      </c>
      <c r="E351" t="s">
        <v>2603</v>
      </c>
      <c r="F351" t="s">
        <v>2553</v>
      </c>
      <c r="G351" s="27">
        <v>42534</v>
      </c>
      <c r="I351" s="228" t="s">
        <v>2724</v>
      </c>
      <c r="J351" s="232">
        <v>14</v>
      </c>
      <c r="K351" s="1" t="s">
        <v>2725</v>
      </c>
      <c r="L351" t="s">
        <v>47</v>
      </c>
    </row>
    <row r="352" spans="1:12" ht="21.75" customHeight="1" x14ac:dyDescent="0.25">
      <c r="A352" t="s">
        <v>2554</v>
      </c>
      <c r="B352" s="232">
        <v>3</v>
      </c>
      <c r="C352" t="s">
        <v>1175</v>
      </c>
      <c r="D352" t="s">
        <v>2565</v>
      </c>
      <c r="E352" t="s">
        <v>2726</v>
      </c>
      <c r="F352" t="s">
        <v>2553</v>
      </c>
      <c r="G352" s="27">
        <v>42534</v>
      </c>
      <c r="I352" s="228" t="s">
        <v>2605</v>
      </c>
      <c r="J352" s="232">
        <v>15</v>
      </c>
      <c r="K352" s="1" t="s">
        <v>2727</v>
      </c>
      <c r="L352" t="s">
        <v>47</v>
      </c>
    </row>
    <row r="353" spans="1:12" ht="21.75" customHeight="1" x14ac:dyDescent="0.25">
      <c r="A353" t="s">
        <v>2554</v>
      </c>
      <c r="B353" s="232">
        <v>3</v>
      </c>
      <c r="C353" t="s">
        <v>1175</v>
      </c>
      <c r="D353" t="s">
        <v>2565</v>
      </c>
      <c r="E353" t="s">
        <v>2726</v>
      </c>
      <c r="F353" t="s">
        <v>2553</v>
      </c>
      <c r="G353" s="27">
        <v>42534</v>
      </c>
      <c r="I353" s="228" t="s">
        <v>2607</v>
      </c>
      <c r="J353" s="232">
        <v>16</v>
      </c>
      <c r="K353" s="1" t="s">
        <v>2728</v>
      </c>
      <c r="L353" t="s">
        <v>1968</v>
      </c>
    </row>
    <row r="354" spans="1:12" ht="21.75" customHeight="1" x14ac:dyDescent="0.25">
      <c r="A354" t="s">
        <v>2554</v>
      </c>
      <c r="B354" s="232">
        <v>3</v>
      </c>
      <c r="C354" t="s">
        <v>1175</v>
      </c>
      <c r="D354" t="s">
        <v>2565</v>
      </c>
      <c r="E354" t="s">
        <v>2726</v>
      </c>
      <c r="F354" t="s">
        <v>2553</v>
      </c>
      <c r="G354" s="27">
        <v>42534</v>
      </c>
      <c r="I354" s="228" t="s">
        <v>2729</v>
      </c>
      <c r="J354" s="232">
        <v>17</v>
      </c>
      <c r="K354" s="1" t="s">
        <v>2563</v>
      </c>
      <c r="L354" t="s">
        <v>47</v>
      </c>
    </row>
    <row r="355" spans="1:12" ht="21.75" customHeight="1" x14ac:dyDescent="0.25">
      <c r="A355" t="s">
        <v>2554</v>
      </c>
      <c r="B355" s="232">
        <v>3</v>
      </c>
      <c r="C355" t="s">
        <v>1175</v>
      </c>
      <c r="D355" t="s">
        <v>2565</v>
      </c>
      <c r="E355" t="s">
        <v>2726</v>
      </c>
      <c r="F355" t="s">
        <v>2553</v>
      </c>
      <c r="G355" s="27">
        <v>42534</v>
      </c>
      <c r="I355" s="228" t="s">
        <v>2730</v>
      </c>
      <c r="J355" s="232">
        <v>18</v>
      </c>
      <c r="K355" s="1" t="s">
        <v>2731</v>
      </c>
      <c r="L355" t="s">
        <v>47</v>
      </c>
    </row>
    <row r="356" spans="1:12" ht="21.75" customHeight="1" x14ac:dyDescent="0.25">
      <c r="A356" t="s">
        <v>2554</v>
      </c>
      <c r="B356" s="232">
        <v>3</v>
      </c>
      <c r="C356" t="s">
        <v>1175</v>
      </c>
      <c r="D356" t="s">
        <v>2565</v>
      </c>
      <c r="E356" t="s">
        <v>2726</v>
      </c>
      <c r="F356" t="s">
        <v>2553</v>
      </c>
      <c r="G356" s="27">
        <v>42534</v>
      </c>
      <c r="I356" s="228" t="s">
        <v>2732</v>
      </c>
      <c r="J356" s="232">
        <v>19</v>
      </c>
      <c r="K356" s="1" t="s">
        <v>2731</v>
      </c>
      <c r="L356" t="s">
        <v>47</v>
      </c>
    </row>
    <row r="357" spans="1:12" ht="17.25" customHeight="1" x14ac:dyDescent="0.25">
      <c r="A357" t="s">
        <v>2554</v>
      </c>
      <c r="B357" s="232">
        <v>3</v>
      </c>
      <c r="C357" t="s">
        <v>1175</v>
      </c>
      <c r="D357" t="s">
        <v>2565</v>
      </c>
      <c r="E357" t="s">
        <v>2726</v>
      </c>
      <c r="F357" t="s">
        <v>2553</v>
      </c>
      <c r="G357" s="27">
        <v>42534</v>
      </c>
      <c r="I357" s="228" t="s">
        <v>2734</v>
      </c>
      <c r="J357" s="232">
        <v>20</v>
      </c>
      <c r="K357" s="1" t="s">
        <v>2815</v>
      </c>
      <c r="L357" t="s">
        <v>1968</v>
      </c>
    </row>
    <row r="358" spans="1:12" x14ac:dyDescent="0.25">
      <c r="A358" t="s">
        <v>2554</v>
      </c>
      <c r="B358" s="232">
        <v>3</v>
      </c>
      <c r="C358" t="s">
        <v>1175</v>
      </c>
      <c r="D358" t="s">
        <v>2565</v>
      </c>
      <c r="E358" t="s">
        <v>2726</v>
      </c>
      <c r="F358" t="s">
        <v>2553</v>
      </c>
      <c r="G358" s="27">
        <v>42534</v>
      </c>
      <c r="I358" s="228" t="s">
        <v>2736</v>
      </c>
      <c r="J358" s="232">
        <v>21</v>
      </c>
      <c r="K358" s="1" t="s">
        <v>2816</v>
      </c>
      <c r="L358" t="s">
        <v>47</v>
      </c>
    </row>
    <row r="359" spans="1:12" ht="19.5" customHeight="1" x14ac:dyDescent="0.25">
      <c r="A359" t="s">
        <v>2554</v>
      </c>
      <c r="B359" s="232">
        <v>3</v>
      </c>
      <c r="C359" t="s">
        <v>1175</v>
      </c>
      <c r="D359" t="s">
        <v>2565</v>
      </c>
      <c r="E359" t="s">
        <v>2726</v>
      </c>
      <c r="F359" t="s">
        <v>2553</v>
      </c>
      <c r="G359" s="27">
        <v>42534</v>
      </c>
      <c r="I359" s="228" t="s">
        <v>2737</v>
      </c>
      <c r="J359" s="232">
        <v>22</v>
      </c>
      <c r="K359" s="1" t="s">
        <v>2733</v>
      </c>
      <c r="L359" t="s">
        <v>47</v>
      </c>
    </row>
    <row r="360" spans="1:12" ht="19.5" customHeight="1" x14ac:dyDescent="0.25">
      <c r="A360" t="s">
        <v>2554</v>
      </c>
      <c r="B360" s="232">
        <v>3</v>
      </c>
      <c r="C360" t="s">
        <v>1175</v>
      </c>
      <c r="D360" t="s">
        <v>2565</v>
      </c>
      <c r="E360" t="s">
        <v>2726</v>
      </c>
      <c r="F360" t="s">
        <v>2553</v>
      </c>
      <c r="G360" s="27">
        <v>42534</v>
      </c>
      <c r="I360" s="228" t="s">
        <v>2738</v>
      </c>
      <c r="J360" s="232">
        <v>23</v>
      </c>
      <c r="K360" s="1" t="s">
        <v>2817</v>
      </c>
      <c r="L360" t="s">
        <v>47</v>
      </c>
    </row>
    <row r="361" spans="1:12" x14ac:dyDescent="0.25">
      <c r="A361" t="s">
        <v>2554</v>
      </c>
      <c r="B361" s="232">
        <v>3</v>
      </c>
      <c r="C361" t="s">
        <v>1175</v>
      </c>
      <c r="D361" t="s">
        <v>2565</v>
      </c>
      <c r="E361" t="s">
        <v>2726</v>
      </c>
      <c r="F361" t="s">
        <v>2553</v>
      </c>
      <c r="G361" s="27">
        <v>42534</v>
      </c>
      <c r="I361" s="228" t="s">
        <v>2742</v>
      </c>
      <c r="J361" s="232">
        <v>24</v>
      </c>
      <c r="K361" s="1" t="s">
        <v>2818</v>
      </c>
      <c r="L361" t="s">
        <v>47</v>
      </c>
    </row>
    <row r="362" spans="1:12" x14ac:dyDescent="0.25">
      <c r="A362" t="s">
        <v>2554</v>
      </c>
      <c r="B362" s="232">
        <v>3</v>
      </c>
      <c r="C362" t="s">
        <v>1175</v>
      </c>
      <c r="D362" t="s">
        <v>2565</v>
      </c>
      <c r="E362" t="s">
        <v>2726</v>
      </c>
      <c r="F362" t="s">
        <v>2553</v>
      </c>
      <c r="G362" s="27">
        <v>42534</v>
      </c>
      <c r="I362" s="228" t="s">
        <v>2819</v>
      </c>
      <c r="J362" s="232">
        <v>25</v>
      </c>
      <c r="K362" s="1" t="s">
        <v>2820</v>
      </c>
      <c r="L362" t="s">
        <v>47</v>
      </c>
    </row>
    <row r="363" spans="1:12" ht="15.75" customHeight="1" x14ac:dyDescent="0.25">
      <c r="A363" t="s">
        <v>2554</v>
      </c>
      <c r="B363" s="232">
        <v>3</v>
      </c>
      <c r="C363" t="s">
        <v>1175</v>
      </c>
      <c r="D363" t="s">
        <v>2565</v>
      </c>
      <c r="E363" t="s">
        <v>2726</v>
      </c>
      <c r="F363" t="s">
        <v>2553</v>
      </c>
      <c r="G363" s="27">
        <v>42534</v>
      </c>
      <c r="I363" s="228" t="s">
        <v>2821</v>
      </c>
      <c r="J363" s="232">
        <v>26</v>
      </c>
      <c r="K363" s="1" t="s">
        <v>2822</v>
      </c>
      <c r="L363" t="s">
        <v>1968</v>
      </c>
    </row>
    <row r="364" spans="1:12" ht="12.75" customHeight="1" x14ac:dyDescent="0.25">
      <c r="A364" t="s">
        <v>2554</v>
      </c>
      <c r="B364" s="232">
        <v>3</v>
      </c>
      <c r="C364" t="s">
        <v>1175</v>
      </c>
      <c r="D364" t="s">
        <v>2565</v>
      </c>
      <c r="E364" t="s">
        <v>2726</v>
      </c>
      <c r="F364" t="s">
        <v>2553</v>
      </c>
      <c r="G364" s="27">
        <v>42534</v>
      </c>
      <c r="I364" s="228" t="s">
        <v>2823</v>
      </c>
      <c r="J364" s="232">
        <v>27</v>
      </c>
      <c r="K364" s="1" t="s">
        <v>2735</v>
      </c>
      <c r="L364" t="s">
        <v>47</v>
      </c>
    </row>
    <row r="365" spans="1:12" ht="15" customHeight="1" x14ac:dyDescent="0.25">
      <c r="A365" t="s">
        <v>2554</v>
      </c>
      <c r="B365" s="232">
        <v>3</v>
      </c>
      <c r="C365" t="s">
        <v>1175</v>
      </c>
      <c r="D365" t="s">
        <v>2565</v>
      </c>
      <c r="E365" t="s">
        <v>2726</v>
      </c>
      <c r="F365" t="s">
        <v>2553</v>
      </c>
      <c r="G365" s="27">
        <v>42534</v>
      </c>
      <c r="I365" s="228" t="s">
        <v>2825</v>
      </c>
      <c r="J365" s="232">
        <v>28</v>
      </c>
      <c r="K365" s="1" t="s">
        <v>2568</v>
      </c>
      <c r="L365" t="s">
        <v>1968</v>
      </c>
    </row>
    <row r="366" spans="1:12" ht="22.5" customHeight="1" x14ac:dyDescent="0.25">
      <c r="A366" t="s">
        <v>2554</v>
      </c>
      <c r="B366" s="232">
        <v>3</v>
      </c>
      <c r="C366" t="s">
        <v>1175</v>
      </c>
      <c r="D366" t="s">
        <v>2565</v>
      </c>
      <c r="E366" t="s">
        <v>2726</v>
      </c>
      <c r="F366" t="s">
        <v>2553</v>
      </c>
      <c r="G366" s="27">
        <v>42534</v>
      </c>
      <c r="I366" s="228" t="s">
        <v>2826</v>
      </c>
      <c r="J366" s="232">
        <v>29</v>
      </c>
      <c r="K366" s="1" t="s">
        <v>2569</v>
      </c>
      <c r="L366" t="s">
        <v>47</v>
      </c>
    </row>
    <row r="367" spans="1:12" ht="20.25" customHeight="1" x14ac:dyDescent="0.25">
      <c r="A367" t="s">
        <v>2554</v>
      </c>
      <c r="B367" s="232">
        <v>3</v>
      </c>
      <c r="C367" t="s">
        <v>1175</v>
      </c>
      <c r="D367" t="s">
        <v>2565</v>
      </c>
      <c r="E367" t="s">
        <v>2726</v>
      </c>
      <c r="F367" t="s">
        <v>2553</v>
      </c>
      <c r="G367" s="27">
        <v>42534</v>
      </c>
      <c r="I367" s="228" t="s">
        <v>2827</v>
      </c>
      <c r="J367" s="232">
        <v>30</v>
      </c>
      <c r="K367" s="1" t="s">
        <v>2828</v>
      </c>
      <c r="L367" t="s">
        <v>1968</v>
      </c>
    </row>
    <row r="368" spans="1:12" ht="16.5" customHeight="1" x14ac:dyDescent="0.25">
      <c r="A368" t="s">
        <v>2554</v>
      </c>
      <c r="B368" s="232">
        <v>3</v>
      </c>
      <c r="C368" t="s">
        <v>1175</v>
      </c>
      <c r="D368" t="s">
        <v>2565</v>
      </c>
      <c r="E368" t="s">
        <v>2726</v>
      </c>
      <c r="F368" t="s">
        <v>2553</v>
      </c>
      <c r="G368" s="27">
        <v>42534</v>
      </c>
      <c r="I368" s="228" t="s">
        <v>2830</v>
      </c>
      <c r="J368" s="232">
        <v>31</v>
      </c>
      <c r="K368" s="1" t="s">
        <v>2741</v>
      </c>
      <c r="L368" t="s">
        <v>1968</v>
      </c>
    </row>
    <row r="369" spans="1:12" ht="16.5" customHeight="1" x14ac:dyDescent="0.25">
      <c r="A369" t="s">
        <v>2554</v>
      </c>
      <c r="B369" s="232">
        <v>3</v>
      </c>
      <c r="C369" t="s">
        <v>1175</v>
      </c>
      <c r="D369" t="s">
        <v>2565</v>
      </c>
      <c r="E369" t="s">
        <v>2726</v>
      </c>
      <c r="F369" t="s">
        <v>2553</v>
      </c>
      <c r="G369" s="27">
        <v>42534</v>
      </c>
      <c r="I369" s="228" t="s">
        <v>2829</v>
      </c>
      <c r="J369" s="232">
        <v>32</v>
      </c>
      <c r="K369" s="1" t="s">
        <v>2831</v>
      </c>
      <c r="L369" t="s">
        <v>47</v>
      </c>
    </row>
    <row r="370" spans="1:12" ht="16.5" customHeight="1" x14ac:dyDescent="0.25">
      <c r="A370" t="s">
        <v>2554</v>
      </c>
      <c r="B370" s="232">
        <v>4</v>
      </c>
      <c r="C370" t="s">
        <v>1175</v>
      </c>
      <c r="D370" t="s">
        <v>2565</v>
      </c>
      <c r="E370" t="s">
        <v>2746</v>
      </c>
      <c r="F370" t="s">
        <v>2553</v>
      </c>
      <c r="G370" s="27">
        <v>42534</v>
      </c>
      <c r="I370" t="s">
        <v>2610</v>
      </c>
      <c r="J370" s="232">
        <v>33</v>
      </c>
      <c r="K370" s="1" t="s">
        <v>2743</v>
      </c>
      <c r="L370" t="s">
        <v>47</v>
      </c>
    </row>
    <row r="371" spans="1:12" ht="16.5" customHeight="1" x14ac:dyDescent="0.25">
      <c r="A371" t="s">
        <v>2554</v>
      </c>
      <c r="B371" s="232">
        <v>4</v>
      </c>
      <c r="C371" t="s">
        <v>1175</v>
      </c>
      <c r="D371" t="s">
        <v>2565</v>
      </c>
      <c r="E371" t="s">
        <v>2746</v>
      </c>
      <c r="F371" t="s">
        <v>2553</v>
      </c>
      <c r="G371" s="27">
        <v>42534</v>
      </c>
      <c r="I371" t="s">
        <v>2612</v>
      </c>
      <c r="J371" s="232">
        <v>34</v>
      </c>
      <c r="K371" s="1" t="s">
        <v>2744</v>
      </c>
      <c r="L371" t="s">
        <v>47</v>
      </c>
    </row>
    <row r="372" spans="1:12" ht="16.5" customHeight="1" x14ac:dyDescent="0.25">
      <c r="A372" t="s">
        <v>2554</v>
      </c>
      <c r="B372" s="232">
        <v>4</v>
      </c>
      <c r="C372" t="s">
        <v>1175</v>
      </c>
      <c r="D372" t="s">
        <v>2565</v>
      </c>
      <c r="E372" t="s">
        <v>2746</v>
      </c>
      <c r="F372" t="s">
        <v>2553</v>
      </c>
      <c r="G372" s="27">
        <v>42534</v>
      </c>
      <c r="I372" t="s">
        <v>2614</v>
      </c>
      <c r="J372" s="232">
        <v>35</v>
      </c>
      <c r="K372" s="1" t="s">
        <v>2745</v>
      </c>
      <c r="L372" t="s">
        <v>47</v>
      </c>
    </row>
    <row r="373" spans="1:12" ht="16.5" customHeight="1" x14ac:dyDescent="0.25">
      <c r="A373" t="s">
        <v>2554</v>
      </c>
      <c r="B373" s="232">
        <v>4</v>
      </c>
      <c r="C373" t="s">
        <v>1175</v>
      </c>
      <c r="D373" t="s">
        <v>2565</v>
      </c>
      <c r="E373" t="s">
        <v>2746</v>
      </c>
      <c r="F373" t="s">
        <v>2553</v>
      </c>
      <c r="G373" s="27">
        <v>42534</v>
      </c>
      <c r="I373" t="s">
        <v>2617</v>
      </c>
      <c r="J373" s="232">
        <v>36</v>
      </c>
      <c r="K373" s="248" t="s">
        <v>2747</v>
      </c>
      <c r="L373" t="s">
        <v>47</v>
      </c>
    </row>
    <row r="374" spans="1:12" x14ac:dyDescent="0.25">
      <c r="A374" t="s">
        <v>2554</v>
      </c>
      <c r="B374" s="232">
        <v>4</v>
      </c>
      <c r="C374" t="s">
        <v>1175</v>
      </c>
      <c r="D374" t="s">
        <v>2565</v>
      </c>
      <c r="E374" t="s">
        <v>2746</v>
      </c>
      <c r="F374" t="s">
        <v>2553</v>
      </c>
      <c r="G374" s="27">
        <v>42534</v>
      </c>
      <c r="I374" t="s">
        <v>2621</v>
      </c>
      <c r="J374" s="232">
        <v>37</v>
      </c>
      <c r="K374" s="1" t="s">
        <v>2832</v>
      </c>
      <c r="L374" t="s">
        <v>47</v>
      </c>
    </row>
    <row r="375" spans="1:12" x14ac:dyDescent="0.25">
      <c r="A375" t="s">
        <v>2554</v>
      </c>
      <c r="B375" s="232">
        <v>4</v>
      </c>
      <c r="C375" t="s">
        <v>1175</v>
      </c>
      <c r="D375" t="s">
        <v>2565</v>
      </c>
      <c r="E375" t="s">
        <v>2746</v>
      </c>
      <c r="F375" t="s">
        <v>2553</v>
      </c>
      <c r="G375" s="27">
        <v>42534</v>
      </c>
      <c r="I375" t="s">
        <v>2749</v>
      </c>
      <c r="J375" s="232">
        <v>38</v>
      </c>
      <c r="K375" s="1" t="s">
        <v>2750</v>
      </c>
      <c r="L375" t="s">
        <v>47</v>
      </c>
    </row>
    <row r="376" spans="1:12" x14ac:dyDescent="0.25">
      <c r="A376" t="s">
        <v>2554</v>
      </c>
      <c r="B376" s="232">
        <v>5</v>
      </c>
      <c r="C376" t="s">
        <v>1175</v>
      </c>
      <c r="D376" t="s">
        <v>2565</v>
      </c>
      <c r="E376" t="s">
        <v>2622</v>
      </c>
      <c r="F376" t="s">
        <v>2553</v>
      </c>
      <c r="G376" s="27">
        <v>42534</v>
      </c>
      <c r="I376" t="s">
        <v>2623</v>
      </c>
      <c r="J376" s="232">
        <v>39</v>
      </c>
      <c r="K376" s="1" t="s">
        <v>2564</v>
      </c>
      <c r="L376" t="s">
        <v>47</v>
      </c>
    </row>
    <row r="377" spans="1:12" x14ac:dyDescent="0.25">
      <c r="A377" t="s">
        <v>2554</v>
      </c>
      <c r="B377" s="232">
        <v>5</v>
      </c>
      <c r="C377" t="s">
        <v>1175</v>
      </c>
      <c r="D377" t="s">
        <v>2565</v>
      </c>
      <c r="E377" t="s">
        <v>2622</v>
      </c>
      <c r="F377" t="s">
        <v>2553</v>
      </c>
      <c r="G377" s="27">
        <v>42534</v>
      </c>
      <c r="I377" s="228" t="s">
        <v>2627</v>
      </c>
      <c r="J377" s="232">
        <v>40</v>
      </c>
      <c r="K377" s="1" t="s">
        <v>2751</v>
      </c>
      <c r="L377" t="s">
        <v>47</v>
      </c>
    </row>
    <row r="378" spans="1:12" ht="17.25" customHeight="1" x14ac:dyDescent="0.25">
      <c r="A378" t="s">
        <v>2554</v>
      </c>
      <c r="B378" s="232">
        <v>5</v>
      </c>
      <c r="C378" t="s">
        <v>1175</v>
      </c>
      <c r="D378" t="s">
        <v>2565</v>
      </c>
      <c r="E378" t="s">
        <v>2622</v>
      </c>
      <c r="F378" t="s">
        <v>2553</v>
      </c>
      <c r="G378" s="27">
        <v>42534</v>
      </c>
      <c r="I378" t="s">
        <v>2752</v>
      </c>
      <c r="J378" s="232">
        <v>41</v>
      </c>
      <c r="K378" s="1" t="s">
        <v>2921</v>
      </c>
      <c r="L378" t="s">
        <v>47</v>
      </c>
    </row>
    <row r="379" spans="1:12" x14ac:dyDescent="0.25">
      <c r="A379" t="s">
        <v>2554</v>
      </c>
      <c r="B379" s="232">
        <v>6</v>
      </c>
      <c r="C379" t="s">
        <v>1175</v>
      </c>
      <c r="D379" t="s">
        <v>2565</v>
      </c>
      <c r="E379" t="s">
        <v>2629</v>
      </c>
      <c r="F379" t="s">
        <v>2553</v>
      </c>
      <c r="G379" s="27">
        <v>42534</v>
      </c>
      <c r="I379" t="s">
        <v>2630</v>
      </c>
      <c r="J379" s="232">
        <v>42</v>
      </c>
      <c r="K379" s="1" t="s">
        <v>2754</v>
      </c>
      <c r="L379" t="s">
        <v>47</v>
      </c>
    </row>
    <row r="380" spans="1:12" x14ac:dyDescent="0.25">
      <c r="A380" t="s">
        <v>2554</v>
      </c>
      <c r="B380" s="232">
        <v>6</v>
      </c>
      <c r="C380" t="s">
        <v>1175</v>
      </c>
      <c r="D380" t="s">
        <v>2565</v>
      </c>
      <c r="E380" t="s">
        <v>2629</v>
      </c>
      <c r="F380" t="s">
        <v>2553</v>
      </c>
      <c r="G380" s="27">
        <v>42534</v>
      </c>
      <c r="I380" t="s">
        <v>2632</v>
      </c>
      <c r="J380" s="232">
        <v>43</v>
      </c>
      <c r="K380" s="1" t="s">
        <v>2755</v>
      </c>
      <c r="L380" t="s">
        <v>47</v>
      </c>
    </row>
    <row r="381" spans="1:12" ht="16.5" customHeight="1" x14ac:dyDescent="0.25">
      <c r="A381" t="s">
        <v>2554</v>
      </c>
      <c r="B381" s="232">
        <v>6</v>
      </c>
      <c r="C381" t="s">
        <v>1175</v>
      </c>
      <c r="D381" t="s">
        <v>2565</v>
      </c>
      <c r="E381" t="s">
        <v>2629</v>
      </c>
      <c r="F381" t="s">
        <v>2553</v>
      </c>
      <c r="G381" s="27">
        <v>42534</v>
      </c>
      <c r="I381" t="s">
        <v>2636</v>
      </c>
      <c r="J381" s="232">
        <v>44</v>
      </c>
      <c r="K381" s="1" t="s">
        <v>2922</v>
      </c>
      <c r="L381" t="s">
        <v>47</v>
      </c>
    </row>
    <row r="382" spans="1:12" x14ac:dyDescent="0.25">
      <c r="A382" t="s">
        <v>2554</v>
      </c>
      <c r="B382" s="232">
        <v>6</v>
      </c>
      <c r="C382" t="s">
        <v>1175</v>
      </c>
      <c r="D382" t="s">
        <v>2565</v>
      </c>
      <c r="E382" t="s">
        <v>2629</v>
      </c>
      <c r="F382" t="s">
        <v>2553</v>
      </c>
      <c r="G382" s="27">
        <v>42534</v>
      </c>
      <c r="I382" t="s">
        <v>2638</v>
      </c>
      <c r="J382" s="232">
        <v>45</v>
      </c>
      <c r="K382" s="1" t="s">
        <v>2756</v>
      </c>
      <c r="L382" t="s">
        <v>47</v>
      </c>
    </row>
    <row r="383" spans="1:12" ht="22.5" customHeight="1" x14ac:dyDescent="0.25">
      <c r="A383" t="s">
        <v>2554</v>
      </c>
      <c r="B383" s="232">
        <v>6</v>
      </c>
      <c r="C383" t="s">
        <v>1175</v>
      </c>
      <c r="D383" t="s">
        <v>2565</v>
      </c>
      <c r="E383" t="s">
        <v>2629</v>
      </c>
      <c r="F383" t="s">
        <v>2553</v>
      </c>
      <c r="G383" s="27">
        <v>42534</v>
      </c>
      <c r="I383" t="s">
        <v>2757</v>
      </c>
      <c r="J383" s="232">
        <v>46</v>
      </c>
      <c r="K383" s="1" t="s">
        <v>2758</v>
      </c>
      <c r="L383" t="s">
        <v>47</v>
      </c>
    </row>
    <row r="384" spans="1:12" x14ac:dyDescent="0.25">
      <c r="A384" t="s">
        <v>2554</v>
      </c>
      <c r="B384" s="232">
        <v>6</v>
      </c>
      <c r="C384" t="s">
        <v>1175</v>
      </c>
      <c r="D384" t="s">
        <v>2565</v>
      </c>
      <c r="E384" t="s">
        <v>2629</v>
      </c>
      <c r="F384" t="s">
        <v>2553</v>
      </c>
      <c r="G384" s="27">
        <v>42534</v>
      </c>
      <c r="I384" t="s">
        <v>2759</v>
      </c>
      <c r="J384" s="232">
        <v>47</v>
      </c>
      <c r="K384" s="1" t="s">
        <v>2760</v>
      </c>
      <c r="L384" t="s">
        <v>47</v>
      </c>
    </row>
    <row r="385" spans="1:12" ht="19.5" customHeight="1" x14ac:dyDescent="0.25">
      <c r="A385" t="s">
        <v>2554</v>
      </c>
      <c r="B385" s="232">
        <v>6</v>
      </c>
      <c r="C385" t="s">
        <v>1175</v>
      </c>
      <c r="D385" t="s">
        <v>2565</v>
      </c>
      <c r="E385" t="s">
        <v>2629</v>
      </c>
      <c r="F385" t="s">
        <v>2553</v>
      </c>
      <c r="G385" s="27">
        <v>42534</v>
      </c>
      <c r="I385" t="s">
        <v>2762</v>
      </c>
      <c r="J385" s="232">
        <v>48</v>
      </c>
      <c r="K385" s="1" t="s">
        <v>2923</v>
      </c>
      <c r="L385" t="s">
        <v>47</v>
      </c>
    </row>
    <row r="386" spans="1:12" ht="16.5" customHeight="1" x14ac:dyDescent="0.25">
      <c r="A386" t="s">
        <v>2554</v>
      </c>
      <c r="B386" s="232">
        <v>7</v>
      </c>
      <c r="C386" t="s">
        <v>1175</v>
      </c>
      <c r="D386" t="s">
        <v>2565</v>
      </c>
      <c r="E386" t="s">
        <v>2764</v>
      </c>
      <c r="F386" t="s">
        <v>2553</v>
      </c>
      <c r="G386" s="27">
        <v>42534</v>
      </c>
      <c r="I386" t="s">
        <v>2643</v>
      </c>
      <c r="J386" s="232">
        <v>49</v>
      </c>
      <c r="K386" s="1" t="s">
        <v>2765</v>
      </c>
      <c r="L386" t="s">
        <v>47</v>
      </c>
    </row>
    <row r="387" spans="1:12" ht="21.75" customHeight="1" x14ac:dyDescent="0.25">
      <c r="A387" t="s">
        <v>2554</v>
      </c>
      <c r="B387" s="232">
        <v>7</v>
      </c>
      <c r="C387" t="s">
        <v>1175</v>
      </c>
      <c r="D387" t="s">
        <v>2565</v>
      </c>
      <c r="E387" t="s">
        <v>2764</v>
      </c>
      <c r="F387" t="s">
        <v>2553</v>
      </c>
      <c r="G387" s="27">
        <v>42534</v>
      </c>
      <c r="I387" t="s">
        <v>2649</v>
      </c>
      <c r="J387" s="232">
        <v>50</v>
      </c>
      <c r="K387" s="1" t="s">
        <v>2766</v>
      </c>
      <c r="L387" t="s">
        <v>1968</v>
      </c>
    </row>
    <row r="388" spans="1:12" ht="21.75" customHeight="1" x14ac:dyDescent="0.25">
      <c r="A388" t="s">
        <v>2554</v>
      </c>
      <c r="B388" s="232">
        <v>7</v>
      </c>
      <c r="C388" t="s">
        <v>1175</v>
      </c>
      <c r="D388" t="s">
        <v>2565</v>
      </c>
      <c r="E388" t="s">
        <v>2764</v>
      </c>
      <c r="F388" t="s">
        <v>2553</v>
      </c>
      <c r="G388" s="27">
        <v>42534</v>
      </c>
      <c r="I388" t="s">
        <v>2651</v>
      </c>
      <c r="J388" s="232">
        <v>51</v>
      </c>
      <c r="K388" s="1" t="s">
        <v>2767</v>
      </c>
      <c r="L388" t="s">
        <v>47</v>
      </c>
    </row>
    <row r="389" spans="1:12" ht="21.75" customHeight="1" x14ac:dyDescent="0.25">
      <c r="A389" t="s">
        <v>2554</v>
      </c>
      <c r="B389" s="232">
        <v>8</v>
      </c>
      <c r="C389" t="s">
        <v>1175</v>
      </c>
      <c r="D389" t="s">
        <v>2565</v>
      </c>
      <c r="E389" t="s">
        <v>2906</v>
      </c>
      <c r="F389" t="s">
        <v>2553</v>
      </c>
      <c r="G389" s="27">
        <v>42534</v>
      </c>
      <c r="I389" t="s">
        <v>2663</v>
      </c>
      <c r="J389" s="232">
        <v>52</v>
      </c>
      <c r="K389" s="1" t="s">
        <v>2907</v>
      </c>
      <c r="L389" t="s">
        <v>47</v>
      </c>
    </row>
    <row r="390" spans="1:12" ht="21.75" customHeight="1" x14ac:dyDescent="0.25">
      <c r="A390" t="s">
        <v>2554</v>
      </c>
      <c r="B390" s="232">
        <v>8</v>
      </c>
      <c r="C390" t="s">
        <v>1175</v>
      </c>
      <c r="D390" t="s">
        <v>2565</v>
      </c>
      <c r="E390" t="s">
        <v>2906</v>
      </c>
      <c r="F390" t="s">
        <v>2553</v>
      </c>
      <c r="G390" s="27">
        <v>42534</v>
      </c>
      <c r="I390" t="s">
        <v>2664</v>
      </c>
      <c r="J390" s="232">
        <v>53</v>
      </c>
      <c r="K390" s="248" t="s">
        <v>2908</v>
      </c>
      <c r="L390" t="s">
        <v>47</v>
      </c>
    </row>
    <row r="391" spans="1:12" ht="21.75" customHeight="1" x14ac:dyDescent="0.25">
      <c r="A391" t="s">
        <v>2554</v>
      </c>
      <c r="B391" s="232">
        <v>8</v>
      </c>
      <c r="C391" t="s">
        <v>1175</v>
      </c>
      <c r="D391" t="s">
        <v>2565</v>
      </c>
      <c r="E391" t="s">
        <v>2906</v>
      </c>
      <c r="F391" t="s">
        <v>2553</v>
      </c>
      <c r="G391" s="27">
        <v>42534</v>
      </c>
      <c r="I391" t="s">
        <v>2665</v>
      </c>
      <c r="J391" s="232">
        <v>54</v>
      </c>
      <c r="K391" s="1" t="s">
        <v>2848</v>
      </c>
      <c r="L391" t="s">
        <v>1968</v>
      </c>
    </row>
    <row r="392" spans="1:12" ht="21.75" customHeight="1" x14ac:dyDescent="0.25">
      <c r="A392" t="s">
        <v>2554</v>
      </c>
      <c r="B392" s="232">
        <v>8</v>
      </c>
      <c r="C392" t="s">
        <v>1175</v>
      </c>
      <c r="D392" t="s">
        <v>2565</v>
      </c>
      <c r="E392" t="s">
        <v>2906</v>
      </c>
      <c r="F392" t="s">
        <v>2553</v>
      </c>
      <c r="G392" s="27">
        <v>42534</v>
      </c>
      <c r="I392" t="s">
        <v>2771</v>
      </c>
      <c r="J392" s="232">
        <v>55</v>
      </c>
      <c r="K392" s="1" t="s">
        <v>2849</v>
      </c>
      <c r="L392" t="s">
        <v>1968</v>
      </c>
    </row>
    <row r="393" spans="1:12" ht="21.75" customHeight="1" x14ac:dyDescent="0.25">
      <c r="A393" t="s">
        <v>2554</v>
      </c>
      <c r="B393" s="232">
        <v>8</v>
      </c>
      <c r="C393" t="s">
        <v>1175</v>
      </c>
      <c r="D393" t="s">
        <v>2565</v>
      </c>
      <c r="E393" t="s">
        <v>2906</v>
      </c>
      <c r="F393" t="s">
        <v>2553</v>
      </c>
      <c r="G393" s="27">
        <v>42534</v>
      </c>
      <c r="I393" t="s">
        <v>2773</v>
      </c>
      <c r="J393" s="232">
        <v>56</v>
      </c>
      <c r="K393" s="1" t="s">
        <v>2850</v>
      </c>
      <c r="L393" t="s">
        <v>47</v>
      </c>
    </row>
    <row r="394" spans="1:12" ht="21.75" customHeight="1" x14ac:dyDescent="0.25">
      <c r="A394" t="s">
        <v>2554</v>
      </c>
      <c r="B394" s="232">
        <v>8</v>
      </c>
      <c r="C394" t="s">
        <v>1175</v>
      </c>
      <c r="D394" t="s">
        <v>2565</v>
      </c>
      <c r="E394" t="s">
        <v>2906</v>
      </c>
      <c r="F394" t="s">
        <v>2553</v>
      </c>
      <c r="G394" s="27">
        <v>42534</v>
      </c>
      <c r="I394" t="s">
        <v>2775</v>
      </c>
      <c r="J394" s="232">
        <v>57</v>
      </c>
      <c r="K394" s="1" t="s">
        <v>2776</v>
      </c>
      <c r="L394" t="s">
        <v>47</v>
      </c>
    </row>
    <row r="395" spans="1:12" ht="21.75" customHeight="1" x14ac:dyDescent="0.25">
      <c r="A395" t="s">
        <v>2554</v>
      </c>
      <c r="B395" s="232">
        <v>9</v>
      </c>
      <c r="C395" t="s">
        <v>1175</v>
      </c>
      <c r="D395" t="s">
        <v>2565</v>
      </c>
      <c r="E395" t="s">
        <v>2779</v>
      </c>
      <c r="F395" t="s">
        <v>2553</v>
      </c>
      <c r="G395" s="27">
        <v>42534</v>
      </c>
      <c r="I395" t="s">
        <v>2669</v>
      </c>
      <c r="J395" s="232">
        <v>58</v>
      </c>
      <c r="K395" s="1" t="s">
        <v>2780</v>
      </c>
      <c r="L395" t="s">
        <v>47</v>
      </c>
    </row>
    <row r="396" spans="1:12" ht="21.75" customHeight="1" x14ac:dyDescent="0.25">
      <c r="A396" t="s">
        <v>2554</v>
      </c>
      <c r="B396" s="232">
        <v>9</v>
      </c>
      <c r="C396" t="s">
        <v>1175</v>
      </c>
      <c r="D396" t="s">
        <v>2565</v>
      </c>
      <c r="E396" t="s">
        <v>2779</v>
      </c>
      <c r="F396" t="s">
        <v>2553</v>
      </c>
      <c r="G396" s="27">
        <v>42534</v>
      </c>
      <c r="I396" t="s">
        <v>2782</v>
      </c>
      <c r="J396" s="232">
        <v>59</v>
      </c>
      <c r="K396" s="1" t="s">
        <v>2570</v>
      </c>
      <c r="L396" t="s">
        <v>47</v>
      </c>
    </row>
    <row r="397" spans="1:12" ht="21.75" customHeight="1" x14ac:dyDescent="0.25">
      <c r="A397" t="s">
        <v>2554</v>
      </c>
      <c r="B397" s="232">
        <v>9</v>
      </c>
      <c r="C397" t="s">
        <v>1175</v>
      </c>
      <c r="D397" t="s">
        <v>2565</v>
      </c>
      <c r="E397" t="s">
        <v>2779</v>
      </c>
      <c r="F397" t="s">
        <v>2553</v>
      </c>
      <c r="G397" s="27">
        <v>42534</v>
      </c>
      <c r="I397" t="s">
        <v>2673</v>
      </c>
      <c r="J397" s="232">
        <v>60</v>
      </c>
      <c r="K397" s="1" t="s">
        <v>2571</v>
      </c>
      <c r="L397" t="s">
        <v>47</v>
      </c>
    </row>
    <row r="398" spans="1:12" ht="21.75" customHeight="1" x14ac:dyDescent="0.25">
      <c r="A398" t="s">
        <v>2554</v>
      </c>
      <c r="B398" s="232">
        <v>9</v>
      </c>
      <c r="C398" t="s">
        <v>1175</v>
      </c>
      <c r="D398" t="s">
        <v>2565</v>
      </c>
      <c r="E398" t="s">
        <v>2779</v>
      </c>
      <c r="F398" t="s">
        <v>2553</v>
      </c>
      <c r="G398" s="27">
        <v>42534</v>
      </c>
      <c r="I398" t="s">
        <v>2681</v>
      </c>
      <c r="J398" s="232">
        <v>61</v>
      </c>
      <c r="K398" s="1" t="s">
        <v>2572</v>
      </c>
      <c r="L398" t="s">
        <v>47</v>
      </c>
    </row>
    <row r="399" spans="1:12" ht="21.75" customHeight="1" x14ac:dyDescent="0.25">
      <c r="A399" t="s">
        <v>2554</v>
      </c>
      <c r="B399" s="232">
        <v>9</v>
      </c>
      <c r="C399" t="s">
        <v>1175</v>
      </c>
      <c r="D399" t="s">
        <v>2565</v>
      </c>
      <c r="E399" t="s">
        <v>2779</v>
      </c>
      <c r="F399" t="s">
        <v>2553</v>
      </c>
      <c r="G399" s="27">
        <v>42534</v>
      </c>
      <c r="I399" t="s">
        <v>2683</v>
      </c>
      <c r="J399" s="232">
        <v>62</v>
      </c>
      <c r="K399" s="1" t="s">
        <v>2573</v>
      </c>
      <c r="L399" t="s">
        <v>47</v>
      </c>
    </row>
    <row r="400" spans="1:12" ht="21.75" customHeight="1" x14ac:dyDescent="0.25">
      <c r="A400" t="s">
        <v>2554</v>
      </c>
      <c r="B400" s="232">
        <v>10</v>
      </c>
      <c r="C400" t="s">
        <v>1175</v>
      </c>
      <c r="D400" t="s">
        <v>2565</v>
      </c>
      <c r="E400" t="s">
        <v>2783</v>
      </c>
      <c r="F400" t="s">
        <v>2553</v>
      </c>
      <c r="G400" s="27">
        <v>42534</v>
      </c>
      <c r="I400" t="s">
        <v>2784</v>
      </c>
      <c r="J400" s="232">
        <v>63</v>
      </c>
      <c r="K400" s="1" t="s">
        <v>2574</v>
      </c>
      <c r="L400" t="s">
        <v>47</v>
      </c>
    </row>
    <row r="401" spans="1:12" ht="21.75" customHeight="1" x14ac:dyDescent="0.25">
      <c r="A401" t="s">
        <v>2554</v>
      </c>
      <c r="B401" s="232">
        <v>10</v>
      </c>
      <c r="C401" t="s">
        <v>1175</v>
      </c>
      <c r="D401" t="s">
        <v>2565</v>
      </c>
      <c r="E401" t="s">
        <v>2783</v>
      </c>
      <c r="F401" t="s">
        <v>2553</v>
      </c>
      <c r="G401" s="27">
        <v>42534</v>
      </c>
      <c r="I401" t="s">
        <v>2785</v>
      </c>
      <c r="J401" s="232">
        <v>64</v>
      </c>
      <c r="K401" s="1" t="s">
        <v>2575</v>
      </c>
      <c r="L401" t="s">
        <v>47</v>
      </c>
    </row>
    <row r="402" spans="1:12" ht="21.75" customHeight="1" x14ac:dyDescent="0.25">
      <c r="A402" t="s">
        <v>2554</v>
      </c>
      <c r="B402" s="232">
        <v>10</v>
      </c>
      <c r="C402" t="s">
        <v>1175</v>
      </c>
      <c r="D402" t="s">
        <v>2565</v>
      </c>
      <c r="E402" t="s">
        <v>2783</v>
      </c>
      <c r="F402" t="s">
        <v>2553</v>
      </c>
      <c r="G402" s="27">
        <v>42534</v>
      </c>
      <c r="I402" t="s">
        <v>2786</v>
      </c>
      <c r="J402" s="232">
        <v>65</v>
      </c>
      <c r="K402" s="1" t="s">
        <v>2576</v>
      </c>
      <c r="L402" t="s">
        <v>47</v>
      </c>
    </row>
    <row r="403" spans="1:12" ht="21.75" customHeight="1" x14ac:dyDescent="0.25">
      <c r="A403" t="s">
        <v>2554</v>
      </c>
      <c r="B403" s="232">
        <v>10</v>
      </c>
      <c r="C403" t="s">
        <v>1175</v>
      </c>
      <c r="D403" t="s">
        <v>2565</v>
      </c>
      <c r="E403" t="s">
        <v>2783</v>
      </c>
      <c r="F403" t="s">
        <v>2553</v>
      </c>
      <c r="G403" s="27">
        <v>42534</v>
      </c>
      <c r="I403" t="s">
        <v>2787</v>
      </c>
      <c r="J403" s="232">
        <v>66</v>
      </c>
      <c r="K403" s="1" t="s">
        <v>2577</v>
      </c>
      <c r="L403" t="s">
        <v>1968</v>
      </c>
    </row>
    <row r="404" spans="1:12" ht="21.75" customHeight="1" x14ac:dyDescent="0.25">
      <c r="A404" t="s">
        <v>2554</v>
      </c>
      <c r="B404" s="232">
        <v>10</v>
      </c>
      <c r="C404" t="s">
        <v>1175</v>
      </c>
      <c r="D404" t="s">
        <v>2565</v>
      </c>
      <c r="E404" t="s">
        <v>2783</v>
      </c>
      <c r="F404" t="s">
        <v>2553</v>
      </c>
      <c r="G404" s="27">
        <v>42534</v>
      </c>
      <c r="I404" t="s">
        <v>2579</v>
      </c>
      <c r="J404" s="232">
        <v>67</v>
      </c>
      <c r="K404" s="1" t="s">
        <v>2788</v>
      </c>
      <c r="L404" t="s">
        <v>47</v>
      </c>
    </row>
    <row r="405" spans="1:12" ht="21.75" customHeight="1" x14ac:dyDescent="0.25">
      <c r="A405" t="s">
        <v>2554</v>
      </c>
      <c r="B405" s="232">
        <v>10</v>
      </c>
      <c r="C405" t="s">
        <v>1175</v>
      </c>
      <c r="D405" t="s">
        <v>2565</v>
      </c>
      <c r="E405" t="s">
        <v>2783</v>
      </c>
      <c r="F405" t="s">
        <v>2553</v>
      </c>
      <c r="G405" s="27">
        <v>42534</v>
      </c>
      <c r="I405" t="s">
        <v>2789</v>
      </c>
      <c r="J405" s="232">
        <v>68</v>
      </c>
      <c r="K405" s="1" t="s">
        <v>2578</v>
      </c>
      <c r="L405" t="s">
        <v>47</v>
      </c>
    </row>
    <row r="406" spans="1:12" ht="21.75" customHeight="1" x14ac:dyDescent="0.25">
      <c r="A406" t="s">
        <v>2554</v>
      </c>
      <c r="B406" s="232">
        <v>11</v>
      </c>
      <c r="C406" t="s">
        <v>1175</v>
      </c>
      <c r="D406" t="s">
        <v>2565</v>
      </c>
      <c r="E406" t="s">
        <v>2668</v>
      </c>
      <c r="F406" t="s">
        <v>2553</v>
      </c>
      <c r="G406" s="27">
        <v>42534</v>
      </c>
      <c r="I406" t="s">
        <v>2790</v>
      </c>
      <c r="J406" s="232">
        <v>69</v>
      </c>
      <c r="K406" s="1" t="s">
        <v>2580</v>
      </c>
      <c r="L406" t="s">
        <v>47</v>
      </c>
    </row>
    <row r="407" spans="1:12" ht="21.75" customHeight="1" x14ac:dyDescent="0.25">
      <c r="A407" t="s">
        <v>2554</v>
      </c>
      <c r="B407" s="232">
        <v>11</v>
      </c>
      <c r="C407" t="s">
        <v>1175</v>
      </c>
      <c r="D407" t="s">
        <v>2565</v>
      </c>
      <c r="E407" t="s">
        <v>2668</v>
      </c>
      <c r="F407" t="s">
        <v>2553</v>
      </c>
      <c r="G407" s="27">
        <v>42534</v>
      </c>
      <c r="I407" t="s">
        <v>2791</v>
      </c>
      <c r="J407" s="232">
        <v>70</v>
      </c>
      <c r="K407" s="1" t="s">
        <v>2581</v>
      </c>
      <c r="L407" t="s">
        <v>47</v>
      </c>
    </row>
    <row r="408" spans="1:12" ht="21.75" customHeight="1" x14ac:dyDescent="0.25">
      <c r="A408" t="s">
        <v>2554</v>
      </c>
      <c r="B408" s="232">
        <v>11</v>
      </c>
      <c r="C408" t="s">
        <v>1175</v>
      </c>
      <c r="D408" t="s">
        <v>2565</v>
      </c>
      <c r="E408" t="s">
        <v>2668</v>
      </c>
      <c r="F408" t="s">
        <v>2553</v>
      </c>
      <c r="G408" s="27">
        <v>42534</v>
      </c>
      <c r="I408" t="s">
        <v>2792</v>
      </c>
      <c r="J408" s="232">
        <v>71</v>
      </c>
      <c r="K408" s="1" t="s">
        <v>2582</v>
      </c>
      <c r="L408" t="s">
        <v>47</v>
      </c>
    </row>
    <row r="409" spans="1:12" ht="21.75" customHeight="1" x14ac:dyDescent="0.25">
      <c r="A409" t="s">
        <v>2554</v>
      </c>
      <c r="B409" s="232">
        <v>11</v>
      </c>
      <c r="C409" t="s">
        <v>1175</v>
      </c>
      <c r="D409" t="s">
        <v>2565</v>
      </c>
      <c r="E409" t="s">
        <v>2668</v>
      </c>
      <c r="F409" t="s">
        <v>2553</v>
      </c>
      <c r="G409" s="27">
        <v>42534</v>
      </c>
      <c r="I409" t="s">
        <v>2793</v>
      </c>
      <c r="J409" s="232">
        <v>72</v>
      </c>
      <c r="K409" s="1" t="s">
        <v>2583</v>
      </c>
      <c r="L409" t="s">
        <v>47</v>
      </c>
    </row>
    <row r="410" spans="1:12" ht="21.75" customHeight="1" x14ac:dyDescent="0.25">
      <c r="A410" t="s">
        <v>2554</v>
      </c>
      <c r="B410" s="232">
        <v>11</v>
      </c>
      <c r="C410" t="s">
        <v>1175</v>
      </c>
      <c r="D410" t="s">
        <v>2565</v>
      </c>
      <c r="E410" t="s">
        <v>2668</v>
      </c>
      <c r="F410" t="s">
        <v>2553</v>
      </c>
      <c r="G410" s="27">
        <v>42534</v>
      </c>
      <c r="I410" t="s">
        <v>2794</v>
      </c>
      <c r="J410" s="232">
        <v>73</v>
      </c>
      <c r="K410" s="1" t="s">
        <v>2584</v>
      </c>
      <c r="L410" t="s">
        <v>47</v>
      </c>
    </row>
    <row r="411" spans="1:12" ht="21.75" customHeight="1" x14ac:dyDescent="0.25">
      <c r="A411" t="s">
        <v>2554</v>
      </c>
      <c r="B411" s="232">
        <v>11</v>
      </c>
      <c r="C411" t="s">
        <v>1175</v>
      </c>
      <c r="D411" t="s">
        <v>2565</v>
      </c>
      <c r="E411" t="s">
        <v>2668</v>
      </c>
      <c r="F411" t="s">
        <v>2553</v>
      </c>
      <c r="G411" s="27">
        <v>42534</v>
      </c>
      <c r="I411" t="s">
        <v>2795</v>
      </c>
      <c r="J411" s="232">
        <v>74</v>
      </c>
      <c r="K411" s="1" t="s">
        <v>2924</v>
      </c>
      <c r="L411" t="s">
        <v>47</v>
      </c>
    </row>
    <row r="412" spans="1:12" ht="21.75" customHeight="1" x14ac:dyDescent="0.25">
      <c r="A412" t="s">
        <v>2554</v>
      </c>
      <c r="B412" s="232">
        <v>11</v>
      </c>
      <c r="C412" t="s">
        <v>1175</v>
      </c>
      <c r="D412" t="s">
        <v>2565</v>
      </c>
      <c r="E412" t="s">
        <v>2668</v>
      </c>
      <c r="F412" t="s">
        <v>2553</v>
      </c>
      <c r="G412" s="27">
        <v>42534</v>
      </c>
      <c r="I412" t="s">
        <v>2796</v>
      </c>
      <c r="J412" s="232">
        <v>75</v>
      </c>
      <c r="K412" s="1" t="s">
        <v>2586</v>
      </c>
      <c r="L412" t="s">
        <v>47</v>
      </c>
    </row>
    <row r="413" spans="1:12" ht="21.75" customHeight="1" x14ac:dyDescent="0.25">
      <c r="A413" t="s">
        <v>2554</v>
      </c>
      <c r="B413" s="232">
        <v>11</v>
      </c>
      <c r="C413" t="s">
        <v>1175</v>
      </c>
      <c r="D413" t="s">
        <v>2565</v>
      </c>
      <c r="E413" t="s">
        <v>2668</v>
      </c>
      <c r="F413" t="s">
        <v>2553</v>
      </c>
      <c r="G413" s="27">
        <v>42534</v>
      </c>
      <c r="I413" t="s">
        <v>2797</v>
      </c>
      <c r="J413" s="232">
        <v>76</v>
      </c>
      <c r="K413" s="1" t="s">
        <v>2587</v>
      </c>
      <c r="L413" t="s">
        <v>47</v>
      </c>
    </row>
    <row r="414" spans="1:12" ht="21.75" customHeight="1" x14ac:dyDescent="0.25">
      <c r="A414" t="s">
        <v>2554</v>
      </c>
      <c r="B414" s="232">
        <v>11</v>
      </c>
      <c r="C414" t="s">
        <v>1175</v>
      </c>
      <c r="D414" t="s">
        <v>2565</v>
      </c>
      <c r="E414" t="s">
        <v>2668</v>
      </c>
      <c r="F414" t="s">
        <v>2553</v>
      </c>
      <c r="G414" s="27">
        <v>42534</v>
      </c>
      <c r="I414" t="s">
        <v>2588</v>
      </c>
      <c r="J414" s="232">
        <v>77</v>
      </c>
      <c r="K414" s="1" t="s">
        <v>2589</v>
      </c>
      <c r="L414" t="s">
        <v>47</v>
      </c>
    </row>
    <row r="415" spans="1:12" ht="21.75" customHeight="1" x14ac:dyDescent="0.25">
      <c r="A415" t="s">
        <v>2554</v>
      </c>
      <c r="B415" s="232">
        <v>11</v>
      </c>
      <c r="C415" t="s">
        <v>1175</v>
      </c>
      <c r="D415" t="s">
        <v>2565</v>
      </c>
      <c r="E415" t="s">
        <v>2668</v>
      </c>
      <c r="F415" t="s">
        <v>2553</v>
      </c>
      <c r="G415" s="27">
        <v>42534</v>
      </c>
      <c r="I415" t="s">
        <v>2798</v>
      </c>
      <c r="J415" s="232">
        <v>78</v>
      </c>
      <c r="K415" s="1" t="s">
        <v>2590</v>
      </c>
      <c r="L415" t="s">
        <v>47</v>
      </c>
    </row>
    <row r="416" spans="1:12" ht="21.75" customHeight="1" x14ac:dyDescent="0.25">
      <c r="A416" t="s">
        <v>2554</v>
      </c>
      <c r="B416" s="232">
        <v>11</v>
      </c>
      <c r="C416" t="s">
        <v>1175</v>
      </c>
      <c r="D416" t="s">
        <v>2565</v>
      </c>
      <c r="E416" t="s">
        <v>2668</v>
      </c>
      <c r="F416" t="s">
        <v>2553</v>
      </c>
      <c r="G416" s="27">
        <v>42534</v>
      </c>
      <c r="I416" t="s">
        <v>2799</v>
      </c>
      <c r="J416" s="232">
        <v>79</v>
      </c>
      <c r="K416" s="1" t="s">
        <v>2800</v>
      </c>
      <c r="L416" t="s">
        <v>47</v>
      </c>
    </row>
    <row r="417" spans="1:12" ht="21.75" customHeight="1" x14ac:dyDescent="0.25">
      <c r="A417" t="s">
        <v>2554</v>
      </c>
      <c r="B417" s="232">
        <v>11</v>
      </c>
      <c r="C417" t="s">
        <v>1175</v>
      </c>
      <c r="D417" t="s">
        <v>2565</v>
      </c>
      <c r="E417" t="s">
        <v>2668</v>
      </c>
      <c r="F417" t="s">
        <v>2553</v>
      </c>
      <c r="G417" s="27">
        <v>42534</v>
      </c>
      <c r="I417" t="s">
        <v>2591</v>
      </c>
      <c r="J417" s="232">
        <v>80</v>
      </c>
      <c r="K417" s="1" t="s">
        <v>2801</v>
      </c>
      <c r="L417" t="s">
        <v>47</v>
      </c>
    </row>
    <row r="418" spans="1:12" ht="21.75" customHeight="1" x14ac:dyDescent="0.25">
      <c r="A418" t="s">
        <v>2554</v>
      </c>
      <c r="B418" s="232">
        <v>12</v>
      </c>
      <c r="C418" t="s">
        <v>1175</v>
      </c>
      <c r="D418" t="s">
        <v>2565</v>
      </c>
      <c r="E418" s="50" t="s">
        <v>2802</v>
      </c>
      <c r="F418" t="s">
        <v>2553</v>
      </c>
      <c r="G418" s="27">
        <v>42534</v>
      </c>
      <c r="I418">
        <v>1</v>
      </c>
      <c r="J418" s="232">
        <v>81</v>
      </c>
      <c r="K418" s="1" t="s">
        <v>2925</v>
      </c>
      <c r="L418" t="s">
        <v>47</v>
      </c>
    </row>
    <row r="419" spans="1:12" ht="21.75" customHeight="1" x14ac:dyDescent="0.25">
      <c r="A419" t="s">
        <v>2554</v>
      </c>
      <c r="B419" s="232">
        <v>12</v>
      </c>
      <c r="C419" t="s">
        <v>1175</v>
      </c>
      <c r="D419" t="s">
        <v>2565</v>
      </c>
      <c r="E419" s="50" t="s">
        <v>2802</v>
      </c>
      <c r="F419" t="s">
        <v>2553</v>
      </c>
      <c r="G419" s="27">
        <v>42534</v>
      </c>
      <c r="I419">
        <v>2</v>
      </c>
      <c r="J419" s="232">
        <v>82</v>
      </c>
      <c r="K419" s="1" t="s">
        <v>2892</v>
      </c>
      <c r="L419" t="s">
        <v>47</v>
      </c>
    </row>
    <row r="420" spans="1:12" ht="21.75" customHeight="1" x14ac:dyDescent="0.25">
      <c r="A420" t="s">
        <v>2554</v>
      </c>
      <c r="B420" s="232">
        <v>12</v>
      </c>
      <c r="C420" t="s">
        <v>1175</v>
      </c>
      <c r="D420" t="s">
        <v>2565</v>
      </c>
      <c r="E420" s="50" t="s">
        <v>2802</v>
      </c>
      <c r="F420" t="s">
        <v>2553</v>
      </c>
      <c r="G420" s="27">
        <v>42534</v>
      </c>
      <c r="I420" t="s">
        <v>2605</v>
      </c>
      <c r="J420" s="232">
        <v>83</v>
      </c>
      <c r="K420" s="1" t="s">
        <v>2927</v>
      </c>
      <c r="L420" t="s">
        <v>1968</v>
      </c>
    </row>
    <row r="421" spans="1:12" ht="21.75" customHeight="1" x14ac:dyDescent="0.25">
      <c r="A421" t="s">
        <v>2554</v>
      </c>
      <c r="B421" s="232">
        <v>12</v>
      </c>
      <c r="C421" t="s">
        <v>1175</v>
      </c>
      <c r="D421" t="s">
        <v>2565</v>
      </c>
      <c r="E421" s="50" t="s">
        <v>2802</v>
      </c>
      <c r="F421" t="s">
        <v>2553</v>
      </c>
      <c r="G421" s="27">
        <v>42534</v>
      </c>
      <c r="I421" s="229" t="s">
        <v>2607</v>
      </c>
      <c r="J421" s="232">
        <v>84</v>
      </c>
      <c r="K421" s="1" t="s">
        <v>2928</v>
      </c>
      <c r="L421" t="s">
        <v>47</v>
      </c>
    </row>
    <row r="422" spans="1:12" ht="21.75" customHeight="1" x14ac:dyDescent="0.25">
      <c r="A422" t="s">
        <v>2554</v>
      </c>
      <c r="B422" s="232">
        <v>12</v>
      </c>
      <c r="C422" t="s">
        <v>1175</v>
      </c>
      <c r="D422" t="s">
        <v>2565</v>
      </c>
      <c r="E422" s="50" t="s">
        <v>2802</v>
      </c>
      <c r="F422" t="s">
        <v>2553</v>
      </c>
      <c r="G422" s="27">
        <v>42534</v>
      </c>
      <c r="I422" t="s">
        <v>2729</v>
      </c>
      <c r="J422" s="232">
        <v>85</v>
      </c>
      <c r="K422" s="1" t="s">
        <v>2929</v>
      </c>
      <c r="L422" t="s">
        <v>47</v>
      </c>
    </row>
    <row r="423" spans="1:12" ht="21.75" customHeight="1" x14ac:dyDescent="0.25">
      <c r="A423" t="s">
        <v>2554</v>
      </c>
      <c r="B423" s="232">
        <v>12</v>
      </c>
      <c r="C423" t="s">
        <v>1175</v>
      </c>
      <c r="D423" t="s">
        <v>2565</v>
      </c>
      <c r="E423" s="50" t="s">
        <v>2802</v>
      </c>
      <c r="F423" t="s">
        <v>2553</v>
      </c>
      <c r="G423" s="27">
        <v>42534</v>
      </c>
      <c r="I423">
        <v>3</v>
      </c>
      <c r="J423" s="232">
        <v>86</v>
      </c>
      <c r="K423" s="1" t="s">
        <v>2807</v>
      </c>
      <c r="L423" t="s">
        <v>47</v>
      </c>
    </row>
    <row r="424" spans="1:12" ht="21.75" customHeight="1" x14ac:dyDescent="0.25">
      <c r="A424" t="s">
        <v>2554</v>
      </c>
      <c r="B424" s="232">
        <v>12</v>
      </c>
      <c r="C424" t="s">
        <v>1175</v>
      </c>
      <c r="D424" t="s">
        <v>2565</v>
      </c>
      <c r="E424" s="50" t="s">
        <v>2802</v>
      </c>
      <c r="F424" t="s">
        <v>2553</v>
      </c>
      <c r="G424" s="27">
        <v>42534</v>
      </c>
      <c r="I424">
        <v>4</v>
      </c>
      <c r="J424" s="232">
        <v>87</v>
      </c>
      <c r="K424" s="1" t="s">
        <v>2920</v>
      </c>
      <c r="L424" t="s">
        <v>47</v>
      </c>
    </row>
    <row r="425" spans="1:12" ht="21.75" customHeight="1" x14ac:dyDescent="0.25">
      <c r="A425" t="s">
        <v>2554</v>
      </c>
      <c r="B425" s="232">
        <v>1</v>
      </c>
      <c r="C425" t="s">
        <v>2930</v>
      </c>
      <c r="D425" t="s">
        <v>2565</v>
      </c>
      <c r="E425" t="s">
        <v>2890</v>
      </c>
      <c r="F425" t="s">
        <v>2553</v>
      </c>
      <c r="G425" s="27">
        <v>44634</v>
      </c>
      <c r="I425" t="s">
        <v>2593</v>
      </c>
      <c r="J425" s="232">
        <v>1</v>
      </c>
      <c r="K425" s="1" t="s">
        <v>2931</v>
      </c>
      <c r="L425" t="s">
        <v>47</v>
      </c>
    </row>
    <row r="426" spans="1:12" ht="21.75" customHeight="1" x14ac:dyDescent="0.25">
      <c r="A426" t="s">
        <v>2554</v>
      </c>
      <c r="B426" s="232">
        <v>1</v>
      </c>
      <c r="C426" t="s">
        <v>2930</v>
      </c>
      <c r="D426" t="s">
        <v>2565</v>
      </c>
      <c r="E426" t="s">
        <v>2890</v>
      </c>
      <c r="F426" t="s">
        <v>2553</v>
      </c>
      <c r="G426" s="27">
        <v>44726</v>
      </c>
      <c r="I426" t="s">
        <v>2597</v>
      </c>
      <c r="J426" s="232">
        <v>2</v>
      </c>
      <c r="K426" s="1" t="s">
        <v>2932</v>
      </c>
      <c r="L426" t="s">
        <v>1968</v>
      </c>
    </row>
    <row r="427" spans="1:12" ht="21.75" customHeight="1" x14ac:dyDescent="0.25">
      <c r="A427" t="s">
        <v>2554</v>
      </c>
      <c r="B427" s="232">
        <v>1</v>
      </c>
      <c r="C427" t="s">
        <v>2930</v>
      </c>
      <c r="D427" t="s">
        <v>2565</v>
      </c>
      <c r="E427" t="s">
        <v>2890</v>
      </c>
      <c r="F427" t="s">
        <v>2553</v>
      </c>
      <c r="G427" s="27">
        <v>44726</v>
      </c>
      <c r="I427" t="s">
        <v>2599</v>
      </c>
      <c r="J427" s="232">
        <v>3</v>
      </c>
      <c r="K427" s="1" t="s">
        <v>2933</v>
      </c>
      <c r="L427" t="s">
        <v>47</v>
      </c>
    </row>
    <row r="428" spans="1:12" ht="21.75" customHeight="1" x14ac:dyDescent="0.25">
      <c r="A428" t="s">
        <v>2554</v>
      </c>
      <c r="B428" s="232">
        <v>1</v>
      </c>
      <c r="C428" t="s">
        <v>2930</v>
      </c>
      <c r="D428" t="s">
        <v>2565</v>
      </c>
      <c r="E428" t="s">
        <v>2890</v>
      </c>
      <c r="F428" t="s">
        <v>2553</v>
      </c>
      <c r="G428" s="27">
        <v>44726</v>
      </c>
      <c r="I428" t="s">
        <v>2555</v>
      </c>
      <c r="J428" s="232">
        <v>4</v>
      </c>
      <c r="K428" s="1" t="s">
        <v>2934</v>
      </c>
      <c r="L428" t="s">
        <v>47</v>
      </c>
    </row>
    <row r="429" spans="1:12" ht="21.75" customHeight="1" x14ac:dyDescent="0.25">
      <c r="A429" t="s">
        <v>2554</v>
      </c>
      <c r="B429" s="232">
        <v>1</v>
      </c>
      <c r="C429" t="s">
        <v>2930</v>
      </c>
      <c r="D429" t="s">
        <v>2565</v>
      </c>
      <c r="E429" t="s">
        <v>2890</v>
      </c>
      <c r="F429" t="s">
        <v>2553</v>
      </c>
      <c r="G429" s="27">
        <v>44726</v>
      </c>
      <c r="I429" t="s">
        <v>2557</v>
      </c>
      <c r="J429" s="232">
        <v>5</v>
      </c>
      <c r="K429" s="1" t="s">
        <v>2935</v>
      </c>
      <c r="L429" t="s">
        <v>1968</v>
      </c>
    </row>
    <row r="430" spans="1:12" ht="21.75" customHeight="1" x14ac:dyDescent="0.25">
      <c r="A430" t="s">
        <v>2554</v>
      </c>
      <c r="B430" s="232">
        <v>2</v>
      </c>
      <c r="C430" t="s">
        <v>2930</v>
      </c>
      <c r="D430" t="s">
        <v>2565</v>
      </c>
      <c r="E430" t="s">
        <v>2603</v>
      </c>
      <c r="F430" t="s">
        <v>2553</v>
      </c>
      <c r="G430" s="27">
        <v>44726</v>
      </c>
      <c r="I430" t="s">
        <v>2601</v>
      </c>
      <c r="J430" s="232">
        <v>6</v>
      </c>
      <c r="K430" s="1" t="s">
        <v>2936</v>
      </c>
      <c r="L430" t="s">
        <v>47</v>
      </c>
    </row>
    <row r="431" spans="1:12" ht="21.75" customHeight="1" x14ac:dyDescent="0.25">
      <c r="A431" t="s">
        <v>2554</v>
      </c>
      <c r="B431" s="232">
        <v>2</v>
      </c>
      <c r="C431" t="s">
        <v>2930</v>
      </c>
      <c r="D431" t="s">
        <v>2565</v>
      </c>
      <c r="E431" t="s">
        <v>2603</v>
      </c>
      <c r="F431" t="s">
        <v>2553</v>
      </c>
      <c r="G431" s="27">
        <v>44726</v>
      </c>
      <c r="I431" t="s">
        <v>2714</v>
      </c>
      <c r="J431" s="232">
        <v>7</v>
      </c>
      <c r="K431" s="1" t="s">
        <v>2937</v>
      </c>
      <c r="L431" t="s">
        <v>47</v>
      </c>
    </row>
    <row r="432" spans="1:12" ht="21.75" customHeight="1" x14ac:dyDescent="0.25">
      <c r="A432" t="s">
        <v>2554</v>
      </c>
      <c r="B432" s="232">
        <v>2</v>
      </c>
      <c r="C432" t="s">
        <v>2930</v>
      </c>
      <c r="D432" t="s">
        <v>2565</v>
      </c>
      <c r="E432" t="s">
        <v>2603</v>
      </c>
      <c r="F432" t="s">
        <v>2553</v>
      </c>
      <c r="G432" s="27">
        <v>44726</v>
      </c>
      <c r="I432" t="s">
        <v>2938</v>
      </c>
      <c r="J432" s="232">
        <v>8</v>
      </c>
      <c r="K432" s="1" t="s">
        <v>2939</v>
      </c>
      <c r="L432" t="s">
        <v>47</v>
      </c>
    </row>
    <row r="433" spans="1:12" ht="21.75" customHeight="1" x14ac:dyDescent="0.25">
      <c r="A433" t="s">
        <v>2554</v>
      </c>
      <c r="B433" s="232">
        <v>2</v>
      </c>
      <c r="C433" t="s">
        <v>2930</v>
      </c>
      <c r="D433" t="s">
        <v>2565</v>
      </c>
      <c r="E433" t="s">
        <v>2603</v>
      </c>
      <c r="F433" t="s">
        <v>2553</v>
      </c>
      <c r="G433" s="27">
        <v>44726</v>
      </c>
      <c r="I433" t="s">
        <v>2940</v>
      </c>
      <c r="J433" s="232">
        <v>9</v>
      </c>
      <c r="K433" s="1" t="s">
        <v>2941</v>
      </c>
      <c r="L433" t="s">
        <v>47</v>
      </c>
    </row>
    <row r="434" spans="1:12" ht="21.75" customHeight="1" x14ac:dyDescent="0.25">
      <c r="A434" t="s">
        <v>2554</v>
      </c>
      <c r="B434" s="232">
        <v>2</v>
      </c>
      <c r="C434" t="s">
        <v>2930</v>
      </c>
      <c r="D434" t="s">
        <v>2565</v>
      </c>
      <c r="E434" t="s">
        <v>2603</v>
      </c>
      <c r="F434" t="s">
        <v>2553</v>
      </c>
      <c r="G434" s="27">
        <v>44726</v>
      </c>
      <c r="I434" t="s">
        <v>2942</v>
      </c>
      <c r="J434" s="232">
        <v>10</v>
      </c>
      <c r="K434" s="1" t="s">
        <v>2943</v>
      </c>
      <c r="L434" t="s">
        <v>1968</v>
      </c>
    </row>
    <row r="435" spans="1:12" ht="21.75" customHeight="1" x14ac:dyDescent="0.25">
      <c r="A435" t="s">
        <v>2554</v>
      </c>
      <c r="B435" s="232">
        <v>2</v>
      </c>
      <c r="C435" t="s">
        <v>2930</v>
      </c>
      <c r="D435" t="s">
        <v>2565</v>
      </c>
      <c r="E435" t="s">
        <v>2603</v>
      </c>
      <c r="F435" t="s">
        <v>2553</v>
      </c>
      <c r="G435" s="27">
        <v>44726</v>
      </c>
      <c r="I435" t="s">
        <v>2944</v>
      </c>
      <c r="J435" s="232">
        <v>11</v>
      </c>
      <c r="K435" s="1" t="s">
        <v>2945</v>
      </c>
      <c r="L435" t="s">
        <v>1968</v>
      </c>
    </row>
    <row r="436" spans="1:12" ht="21.75" customHeight="1" x14ac:dyDescent="0.25">
      <c r="A436" t="s">
        <v>2554</v>
      </c>
      <c r="B436" s="232">
        <v>3</v>
      </c>
      <c r="C436" t="s">
        <v>2930</v>
      </c>
      <c r="D436" t="s">
        <v>2565</v>
      </c>
      <c r="E436" s="50" t="s">
        <v>2726</v>
      </c>
      <c r="F436" t="s">
        <v>2553</v>
      </c>
      <c r="G436" s="27">
        <v>44726</v>
      </c>
      <c r="I436" t="s">
        <v>2605</v>
      </c>
      <c r="J436" s="232">
        <v>12</v>
      </c>
      <c r="K436" s="1" t="s">
        <v>2946</v>
      </c>
      <c r="L436" t="s">
        <v>1968</v>
      </c>
    </row>
    <row r="437" spans="1:12" ht="21.75" customHeight="1" x14ac:dyDescent="0.25">
      <c r="A437" t="s">
        <v>2554</v>
      </c>
      <c r="B437" s="232">
        <v>3</v>
      </c>
      <c r="C437" t="s">
        <v>2930</v>
      </c>
      <c r="D437" t="s">
        <v>2565</v>
      </c>
      <c r="E437" s="50" t="s">
        <v>2726</v>
      </c>
      <c r="F437" t="s">
        <v>2553</v>
      </c>
      <c r="G437" s="27">
        <v>44726</v>
      </c>
      <c r="I437" t="s">
        <v>2607</v>
      </c>
      <c r="J437" s="232">
        <v>13</v>
      </c>
      <c r="K437" s="1" t="s">
        <v>2947</v>
      </c>
      <c r="L437" t="s">
        <v>47</v>
      </c>
    </row>
    <row r="438" spans="1:12" ht="21.75" customHeight="1" x14ac:dyDescent="0.25">
      <c r="A438" t="s">
        <v>2554</v>
      </c>
      <c r="B438" s="232">
        <v>3</v>
      </c>
      <c r="C438" t="s">
        <v>2930</v>
      </c>
      <c r="D438" t="s">
        <v>2565</v>
      </c>
      <c r="E438" s="50" t="s">
        <v>2726</v>
      </c>
      <c r="F438" t="s">
        <v>2553</v>
      </c>
      <c r="G438" s="27">
        <v>44726</v>
      </c>
      <c r="I438" t="s">
        <v>2729</v>
      </c>
      <c r="J438" s="232">
        <v>14</v>
      </c>
      <c r="K438" s="1" t="s">
        <v>2948</v>
      </c>
      <c r="L438" t="s">
        <v>47</v>
      </c>
    </row>
    <row r="439" spans="1:12" ht="21.75" customHeight="1" x14ac:dyDescent="0.25">
      <c r="A439" t="s">
        <v>2554</v>
      </c>
      <c r="B439" s="232">
        <v>3</v>
      </c>
      <c r="C439" t="s">
        <v>2930</v>
      </c>
      <c r="D439" t="s">
        <v>2565</v>
      </c>
      <c r="E439" s="50" t="s">
        <v>2726</v>
      </c>
      <c r="F439" t="s">
        <v>2553</v>
      </c>
      <c r="G439" s="27">
        <v>44726</v>
      </c>
      <c r="I439" t="s">
        <v>2730</v>
      </c>
      <c r="J439" s="232">
        <v>15</v>
      </c>
      <c r="K439" s="1" t="s">
        <v>2949</v>
      </c>
      <c r="L439" t="s">
        <v>47</v>
      </c>
    </row>
    <row r="440" spans="1:12" ht="21.75" customHeight="1" x14ac:dyDescent="0.25">
      <c r="A440" t="s">
        <v>2554</v>
      </c>
      <c r="B440" s="232">
        <v>3</v>
      </c>
      <c r="C440" t="s">
        <v>2930</v>
      </c>
      <c r="D440" t="s">
        <v>2565</v>
      </c>
      <c r="E440" s="50" t="s">
        <v>2726</v>
      </c>
      <c r="F440" t="s">
        <v>2553</v>
      </c>
      <c r="G440" s="27">
        <v>44726</v>
      </c>
      <c r="I440" t="s">
        <v>2732</v>
      </c>
      <c r="J440" s="232">
        <v>16</v>
      </c>
      <c r="K440" s="1" t="s">
        <v>2950</v>
      </c>
      <c r="L440" t="s">
        <v>47</v>
      </c>
    </row>
    <row r="441" spans="1:12" ht="21.75" customHeight="1" x14ac:dyDescent="0.25">
      <c r="A441" t="s">
        <v>2554</v>
      </c>
      <c r="B441" s="232">
        <v>3</v>
      </c>
      <c r="C441" t="s">
        <v>2930</v>
      </c>
      <c r="D441" t="s">
        <v>2565</v>
      </c>
      <c r="E441" s="50" t="s">
        <v>2726</v>
      </c>
      <c r="F441" t="s">
        <v>2553</v>
      </c>
      <c r="G441" s="27">
        <v>44726</v>
      </c>
      <c r="I441" t="s">
        <v>2734</v>
      </c>
      <c r="J441" s="232">
        <v>17</v>
      </c>
      <c r="K441" s="1" t="s">
        <v>2951</v>
      </c>
      <c r="L441" t="s">
        <v>1968</v>
      </c>
    </row>
    <row r="442" spans="1:12" ht="21.75" customHeight="1" x14ac:dyDescent="0.25">
      <c r="A442" t="s">
        <v>2554</v>
      </c>
      <c r="B442" s="232">
        <v>3</v>
      </c>
      <c r="C442" t="s">
        <v>2930</v>
      </c>
      <c r="D442" t="s">
        <v>2565</v>
      </c>
      <c r="E442" s="50" t="s">
        <v>2726</v>
      </c>
      <c r="F442" t="s">
        <v>2553</v>
      </c>
      <c r="G442" s="27">
        <v>44726</v>
      </c>
      <c r="I442" t="s">
        <v>2736</v>
      </c>
      <c r="J442" s="232">
        <v>18</v>
      </c>
      <c r="K442" s="1" t="s">
        <v>2952</v>
      </c>
      <c r="L442" t="s">
        <v>47</v>
      </c>
    </row>
    <row r="443" spans="1:12" ht="21.75" customHeight="1" x14ac:dyDescent="0.25">
      <c r="A443" t="s">
        <v>2554</v>
      </c>
      <c r="B443" s="232">
        <v>3</v>
      </c>
      <c r="C443" t="s">
        <v>2930</v>
      </c>
      <c r="D443" t="s">
        <v>2565</v>
      </c>
      <c r="E443" s="50" t="s">
        <v>2726</v>
      </c>
      <c r="F443" t="s">
        <v>2553</v>
      </c>
      <c r="G443" s="27">
        <v>44726</v>
      </c>
      <c r="I443" t="s">
        <v>2737</v>
      </c>
      <c r="J443" s="232">
        <v>19</v>
      </c>
      <c r="K443" s="1" t="s">
        <v>2953</v>
      </c>
      <c r="L443" t="s">
        <v>47</v>
      </c>
    </row>
    <row r="444" spans="1:12" ht="21.75" customHeight="1" x14ac:dyDescent="0.25">
      <c r="A444" t="s">
        <v>2554</v>
      </c>
      <c r="B444" s="232">
        <v>3</v>
      </c>
      <c r="C444" t="s">
        <v>2930</v>
      </c>
      <c r="D444" t="s">
        <v>2565</v>
      </c>
      <c r="E444" s="50" t="s">
        <v>2726</v>
      </c>
      <c r="F444" t="s">
        <v>2553</v>
      </c>
      <c r="G444" s="27">
        <v>44726</v>
      </c>
      <c r="I444" t="s">
        <v>2738</v>
      </c>
      <c r="J444" s="232">
        <v>20</v>
      </c>
      <c r="K444" s="1" t="s">
        <v>2954</v>
      </c>
      <c r="L444" t="s">
        <v>1968</v>
      </c>
    </row>
    <row r="445" spans="1:12" ht="21.75" customHeight="1" x14ac:dyDescent="0.25">
      <c r="A445" t="s">
        <v>2554</v>
      </c>
      <c r="B445" s="232">
        <v>3</v>
      </c>
      <c r="C445" t="s">
        <v>2930</v>
      </c>
      <c r="D445" t="s">
        <v>2565</v>
      </c>
      <c r="E445" s="50" t="s">
        <v>2726</v>
      </c>
      <c r="F445" t="s">
        <v>2553</v>
      </c>
      <c r="G445" s="27">
        <v>44726</v>
      </c>
      <c r="I445" t="s">
        <v>2742</v>
      </c>
      <c r="J445" s="232">
        <v>21</v>
      </c>
      <c r="K445" s="1" t="s">
        <v>2955</v>
      </c>
      <c r="L445" t="s">
        <v>47</v>
      </c>
    </row>
    <row r="446" spans="1:12" ht="21.75" customHeight="1" x14ac:dyDescent="0.25">
      <c r="A446" t="s">
        <v>2554</v>
      </c>
      <c r="B446" s="232">
        <v>3</v>
      </c>
      <c r="C446" t="s">
        <v>2930</v>
      </c>
      <c r="D446" t="s">
        <v>2565</v>
      </c>
      <c r="E446" s="50" t="s">
        <v>2726</v>
      </c>
      <c r="F446" t="s">
        <v>2553</v>
      </c>
      <c r="G446" s="27">
        <v>44726</v>
      </c>
      <c r="I446" t="s">
        <v>2956</v>
      </c>
      <c r="J446" s="232">
        <v>22</v>
      </c>
      <c r="K446" s="1" t="s">
        <v>2957</v>
      </c>
      <c r="L446" t="s">
        <v>47</v>
      </c>
    </row>
    <row r="447" spans="1:12" ht="21.75" customHeight="1" x14ac:dyDescent="0.25">
      <c r="A447" t="s">
        <v>2554</v>
      </c>
      <c r="B447" s="232">
        <v>3</v>
      </c>
      <c r="C447" t="s">
        <v>2930</v>
      </c>
      <c r="D447" t="s">
        <v>2565</v>
      </c>
      <c r="E447" s="50" t="s">
        <v>2726</v>
      </c>
      <c r="F447" t="s">
        <v>2553</v>
      </c>
      <c r="G447" s="27">
        <v>44726</v>
      </c>
      <c r="I447" t="s">
        <v>2821</v>
      </c>
      <c r="J447" s="232">
        <v>23</v>
      </c>
      <c r="K447" s="1" t="s">
        <v>2958</v>
      </c>
      <c r="L447" t="s">
        <v>47</v>
      </c>
    </row>
    <row r="448" spans="1:12" ht="21.75" customHeight="1" x14ac:dyDescent="0.25">
      <c r="A448" t="s">
        <v>2554</v>
      </c>
      <c r="B448" s="232">
        <v>4</v>
      </c>
      <c r="C448" t="s">
        <v>2930</v>
      </c>
      <c r="D448" t="s">
        <v>2565</v>
      </c>
      <c r="E448" t="s">
        <v>2746</v>
      </c>
      <c r="F448" t="s">
        <v>2553</v>
      </c>
      <c r="G448" s="27">
        <v>44726</v>
      </c>
      <c r="I448" t="s">
        <v>2610</v>
      </c>
      <c r="J448" s="232">
        <v>24</v>
      </c>
      <c r="K448" s="1" t="s">
        <v>2959</v>
      </c>
      <c r="L448" t="s">
        <v>47</v>
      </c>
    </row>
    <row r="449" spans="1:12" ht="21.75" customHeight="1" x14ac:dyDescent="0.25">
      <c r="A449" t="s">
        <v>2554</v>
      </c>
      <c r="B449" s="232">
        <v>4</v>
      </c>
      <c r="C449" t="s">
        <v>2930</v>
      </c>
      <c r="D449" t="s">
        <v>2565</v>
      </c>
      <c r="E449" t="s">
        <v>2746</v>
      </c>
      <c r="F449" t="s">
        <v>2553</v>
      </c>
      <c r="G449" s="27">
        <v>44726</v>
      </c>
      <c r="I449" t="s">
        <v>2612</v>
      </c>
      <c r="J449" s="232">
        <v>25</v>
      </c>
      <c r="K449" s="1" t="s">
        <v>2960</v>
      </c>
      <c r="L449" t="s">
        <v>47</v>
      </c>
    </row>
    <row r="450" spans="1:12" ht="21.75" customHeight="1" x14ac:dyDescent="0.25">
      <c r="A450" t="s">
        <v>2554</v>
      </c>
      <c r="B450" s="232">
        <v>4</v>
      </c>
      <c r="C450" t="s">
        <v>2930</v>
      </c>
      <c r="D450" t="s">
        <v>2565</v>
      </c>
      <c r="E450" t="s">
        <v>2746</v>
      </c>
      <c r="F450" t="s">
        <v>2553</v>
      </c>
      <c r="G450" s="27">
        <v>44726</v>
      </c>
      <c r="I450" t="s">
        <v>2614</v>
      </c>
      <c r="J450" s="232">
        <v>26</v>
      </c>
      <c r="K450" s="1" t="s">
        <v>2961</v>
      </c>
      <c r="L450" t="s">
        <v>47</v>
      </c>
    </row>
    <row r="451" spans="1:12" ht="21.75" customHeight="1" x14ac:dyDescent="0.25">
      <c r="A451" t="s">
        <v>2554</v>
      </c>
      <c r="B451" s="232">
        <v>4</v>
      </c>
      <c r="C451" t="s">
        <v>2930</v>
      </c>
      <c r="D451" t="s">
        <v>2565</v>
      </c>
      <c r="E451" t="s">
        <v>2746</v>
      </c>
      <c r="F451" t="s">
        <v>2553</v>
      </c>
      <c r="G451" s="27">
        <v>44726</v>
      </c>
      <c r="I451" t="s">
        <v>2617</v>
      </c>
      <c r="J451" s="232">
        <v>27</v>
      </c>
      <c r="K451" s="1" t="s">
        <v>2962</v>
      </c>
      <c r="L451" t="s">
        <v>47</v>
      </c>
    </row>
    <row r="452" spans="1:12" ht="21.75" customHeight="1" x14ac:dyDescent="0.25">
      <c r="A452" t="s">
        <v>2554</v>
      </c>
      <c r="B452" s="232">
        <v>4</v>
      </c>
      <c r="C452" t="s">
        <v>2930</v>
      </c>
      <c r="D452" t="s">
        <v>2565</v>
      </c>
      <c r="E452" t="s">
        <v>2746</v>
      </c>
      <c r="F452" t="s">
        <v>2553</v>
      </c>
      <c r="G452" s="27">
        <v>44726</v>
      </c>
      <c r="I452" t="s">
        <v>2621</v>
      </c>
      <c r="J452" s="232">
        <v>28</v>
      </c>
      <c r="K452" s="1" t="s">
        <v>2963</v>
      </c>
      <c r="L452" t="s">
        <v>47</v>
      </c>
    </row>
    <row r="453" spans="1:12" ht="21.75" customHeight="1" x14ac:dyDescent="0.25">
      <c r="A453" t="s">
        <v>2554</v>
      </c>
      <c r="B453" s="232">
        <v>4</v>
      </c>
      <c r="C453" t="s">
        <v>2930</v>
      </c>
      <c r="D453" t="s">
        <v>2565</v>
      </c>
      <c r="E453" t="s">
        <v>2746</v>
      </c>
      <c r="F453" t="s">
        <v>2553</v>
      </c>
      <c r="G453" s="27">
        <v>44726</v>
      </c>
      <c r="I453" t="s">
        <v>2749</v>
      </c>
      <c r="J453" s="232">
        <v>29</v>
      </c>
      <c r="K453" s="1" t="s">
        <v>2964</v>
      </c>
      <c r="L453" t="s">
        <v>47</v>
      </c>
    </row>
    <row r="454" spans="1:12" ht="21.75" customHeight="1" x14ac:dyDescent="0.25">
      <c r="A454" t="s">
        <v>2554</v>
      </c>
      <c r="B454" s="232">
        <v>4</v>
      </c>
      <c r="C454" t="s">
        <v>2930</v>
      </c>
      <c r="D454" t="s">
        <v>2565</v>
      </c>
      <c r="E454" t="s">
        <v>2746</v>
      </c>
      <c r="F454" t="s">
        <v>2553</v>
      </c>
      <c r="G454" s="27">
        <v>44726</v>
      </c>
      <c r="I454" t="s">
        <v>2833</v>
      </c>
      <c r="J454" s="232">
        <v>30</v>
      </c>
      <c r="K454" s="1" t="s">
        <v>2965</v>
      </c>
      <c r="L454" t="s">
        <v>47</v>
      </c>
    </row>
    <row r="455" spans="1:12" ht="21.75" customHeight="1" x14ac:dyDescent="0.25">
      <c r="A455" t="s">
        <v>2554</v>
      </c>
      <c r="B455" s="232">
        <v>4</v>
      </c>
      <c r="C455" t="s">
        <v>2930</v>
      </c>
      <c r="D455" t="s">
        <v>2565</v>
      </c>
      <c r="E455" t="s">
        <v>2746</v>
      </c>
      <c r="F455" t="s">
        <v>2553</v>
      </c>
      <c r="G455" s="27">
        <v>44726</v>
      </c>
      <c r="I455" t="s">
        <v>2966</v>
      </c>
      <c r="J455" s="232">
        <v>31</v>
      </c>
      <c r="K455" s="1" t="s">
        <v>2967</v>
      </c>
      <c r="L455" t="s">
        <v>47</v>
      </c>
    </row>
    <row r="456" spans="1:12" ht="21.75" customHeight="1" x14ac:dyDescent="0.25">
      <c r="A456" t="s">
        <v>2554</v>
      </c>
      <c r="B456" s="232">
        <v>5</v>
      </c>
      <c r="C456" t="s">
        <v>2930</v>
      </c>
      <c r="D456" t="s">
        <v>2565</v>
      </c>
      <c r="E456" t="s">
        <v>2846</v>
      </c>
      <c r="F456" t="s">
        <v>2553</v>
      </c>
      <c r="G456" s="27">
        <v>44726</v>
      </c>
      <c r="I456" t="s">
        <v>2623</v>
      </c>
      <c r="J456" s="232">
        <v>32</v>
      </c>
      <c r="K456" s="1" t="s">
        <v>2968</v>
      </c>
      <c r="L456" t="s">
        <v>47</v>
      </c>
    </row>
    <row r="457" spans="1:12" ht="21.75" customHeight="1" x14ac:dyDescent="0.25">
      <c r="A457" t="s">
        <v>2554</v>
      </c>
      <c r="B457" s="232">
        <v>5</v>
      </c>
      <c r="C457" t="s">
        <v>2930</v>
      </c>
      <c r="D457" t="s">
        <v>2565</v>
      </c>
      <c r="E457" t="s">
        <v>2846</v>
      </c>
      <c r="F457" t="s">
        <v>2553</v>
      </c>
      <c r="G457" s="27">
        <v>44726</v>
      </c>
      <c r="I457" t="s">
        <v>2627</v>
      </c>
      <c r="J457" s="232">
        <v>33</v>
      </c>
      <c r="K457" s="1" t="s">
        <v>2969</v>
      </c>
      <c r="L457" t="s">
        <v>47</v>
      </c>
    </row>
    <row r="458" spans="1:12" ht="21.75" customHeight="1" x14ac:dyDescent="0.25">
      <c r="A458" t="s">
        <v>2554</v>
      </c>
      <c r="B458" s="232">
        <v>5</v>
      </c>
      <c r="C458" t="s">
        <v>2930</v>
      </c>
      <c r="D458" t="s">
        <v>2565</v>
      </c>
      <c r="E458" t="s">
        <v>2846</v>
      </c>
      <c r="F458" t="s">
        <v>2553</v>
      </c>
      <c r="G458" s="27">
        <v>44726</v>
      </c>
      <c r="I458" t="s">
        <v>2970</v>
      </c>
      <c r="J458" s="232">
        <v>34</v>
      </c>
      <c r="K458" s="1" t="s">
        <v>2971</v>
      </c>
      <c r="L458" t="s">
        <v>1968</v>
      </c>
    </row>
    <row r="459" spans="1:12" ht="21.75" customHeight="1" x14ac:dyDescent="0.25">
      <c r="A459" t="s">
        <v>2554</v>
      </c>
      <c r="B459" s="232">
        <v>5</v>
      </c>
      <c r="C459" t="s">
        <v>2930</v>
      </c>
      <c r="D459" t="s">
        <v>2565</v>
      </c>
      <c r="E459" t="s">
        <v>2846</v>
      </c>
      <c r="F459" t="s">
        <v>2553</v>
      </c>
      <c r="G459" s="27">
        <v>44726</v>
      </c>
      <c r="I459" t="s">
        <v>2752</v>
      </c>
      <c r="J459" s="232">
        <v>35</v>
      </c>
      <c r="K459" s="1" t="s">
        <v>2972</v>
      </c>
      <c r="L459" t="s">
        <v>47</v>
      </c>
    </row>
    <row r="460" spans="1:12" ht="21.75" customHeight="1" x14ac:dyDescent="0.25">
      <c r="A460" t="s">
        <v>2554</v>
      </c>
      <c r="B460" s="232">
        <v>5</v>
      </c>
      <c r="C460" t="s">
        <v>2930</v>
      </c>
      <c r="D460" t="s">
        <v>2565</v>
      </c>
      <c r="E460" t="s">
        <v>2846</v>
      </c>
      <c r="F460" t="s">
        <v>2553</v>
      </c>
      <c r="G460" s="27">
        <v>44726</v>
      </c>
      <c r="I460" t="s">
        <v>2973</v>
      </c>
      <c r="J460" s="232">
        <v>36</v>
      </c>
      <c r="K460" s="1" t="s">
        <v>2974</v>
      </c>
      <c r="L460" t="s">
        <v>47</v>
      </c>
    </row>
    <row r="461" spans="1:12" ht="21.75" customHeight="1" x14ac:dyDescent="0.25">
      <c r="A461" t="s">
        <v>2554</v>
      </c>
      <c r="B461" s="232">
        <v>5</v>
      </c>
      <c r="C461" t="s">
        <v>2930</v>
      </c>
      <c r="D461" t="s">
        <v>2565</v>
      </c>
      <c r="E461" t="s">
        <v>2846</v>
      </c>
      <c r="F461" t="s">
        <v>2553</v>
      </c>
      <c r="G461" s="27">
        <v>44726</v>
      </c>
      <c r="I461" t="s">
        <v>2844</v>
      </c>
      <c r="J461" s="232">
        <v>37</v>
      </c>
      <c r="K461" s="1" t="s">
        <v>2975</v>
      </c>
      <c r="L461" t="s">
        <v>47</v>
      </c>
    </row>
    <row r="462" spans="1:12" ht="21.75" customHeight="1" x14ac:dyDescent="0.25">
      <c r="A462" t="s">
        <v>2554</v>
      </c>
      <c r="B462" s="232">
        <v>7</v>
      </c>
      <c r="C462" t="s">
        <v>2930</v>
      </c>
      <c r="D462" t="s">
        <v>2565</v>
      </c>
      <c r="E462" t="s">
        <v>2629</v>
      </c>
      <c r="F462" t="s">
        <v>2553</v>
      </c>
      <c r="G462" s="27">
        <v>44726</v>
      </c>
      <c r="I462" t="s">
        <v>2630</v>
      </c>
      <c r="J462" s="232">
        <v>38</v>
      </c>
      <c r="K462" s="247" t="s">
        <v>3525</v>
      </c>
      <c r="L462" t="s">
        <v>47</v>
      </c>
    </row>
    <row r="463" spans="1:12" ht="21.75" customHeight="1" x14ac:dyDescent="0.25">
      <c r="A463" t="s">
        <v>2554</v>
      </c>
      <c r="B463" s="232">
        <v>7</v>
      </c>
      <c r="C463" t="s">
        <v>2930</v>
      </c>
      <c r="D463" t="s">
        <v>2565</v>
      </c>
      <c r="E463" t="s">
        <v>2629</v>
      </c>
      <c r="F463" t="s">
        <v>2553</v>
      </c>
      <c r="G463" s="27">
        <v>44726</v>
      </c>
      <c r="I463" t="s">
        <v>2632</v>
      </c>
      <c r="J463" s="232">
        <v>39</v>
      </c>
      <c r="K463" s="247" t="s">
        <v>3526</v>
      </c>
      <c r="L463" t="s">
        <v>47</v>
      </c>
    </row>
    <row r="464" spans="1:12" ht="21.75" customHeight="1" x14ac:dyDescent="0.25">
      <c r="A464" t="s">
        <v>2554</v>
      </c>
      <c r="B464" s="232">
        <v>7</v>
      </c>
      <c r="C464" t="s">
        <v>2930</v>
      </c>
      <c r="D464" t="s">
        <v>2565</v>
      </c>
      <c r="E464" t="s">
        <v>2629</v>
      </c>
      <c r="F464" t="s">
        <v>2553</v>
      </c>
      <c r="G464" s="27">
        <v>44726</v>
      </c>
      <c r="I464" t="s">
        <v>2634</v>
      </c>
      <c r="J464" s="232">
        <v>40</v>
      </c>
      <c r="K464" s="247" t="s">
        <v>3527</v>
      </c>
      <c r="L464" t="s">
        <v>47</v>
      </c>
    </row>
    <row r="465" spans="1:12" ht="21.75" customHeight="1" x14ac:dyDescent="0.25">
      <c r="A465" t="s">
        <v>2554</v>
      </c>
      <c r="B465" s="232">
        <v>7</v>
      </c>
      <c r="C465" t="s">
        <v>2930</v>
      </c>
      <c r="D465" t="s">
        <v>2565</v>
      </c>
      <c r="E465" t="s">
        <v>2629</v>
      </c>
      <c r="F465" t="s">
        <v>2553</v>
      </c>
      <c r="G465" s="27">
        <v>44726</v>
      </c>
      <c r="I465" t="s">
        <v>2636</v>
      </c>
      <c r="J465" s="232">
        <v>41</v>
      </c>
      <c r="K465" s="1" t="s">
        <v>3528</v>
      </c>
      <c r="L465" t="s">
        <v>47</v>
      </c>
    </row>
    <row r="466" spans="1:12" ht="21.75" customHeight="1" x14ac:dyDescent="0.25">
      <c r="A466" t="s">
        <v>2554</v>
      </c>
      <c r="B466" s="232">
        <v>7</v>
      </c>
      <c r="C466" t="s">
        <v>2930</v>
      </c>
      <c r="D466" t="s">
        <v>2565</v>
      </c>
      <c r="E466" t="s">
        <v>2629</v>
      </c>
      <c r="F466" t="s">
        <v>2553</v>
      </c>
      <c r="G466" s="27">
        <v>44726</v>
      </c>
      <c r="I466" t="s">
        <v>2638</v>
      </c>
      <c r="J466" s="232">
        <v>42</v>
      </c>
      <c r="K466" s="1" t="s">
        <v>3529</v>
      </c>
      <c r="L466" t="s">
        <v>47</v>
      </c>
    </row>
    <row r="467" spans="1:12" ht="21.75" customHeight="1" x14ac:dyDescent="0.25">
      <c r="A467" t="s">
        <v>2554</v>
      </c>
      <c r="B467" s="232">
        <v>7</v>
      </c>
      <c r="C467" t="s">
        <v>2930</v>
      </c>
      <c r="D467" t="s">
        <v>2565</v>
      </c>
      <c r="E467" t="s">
        <v>2629</v>
      </c>
      <c r="F467" t="s">
        <v>2553</v>
      </c>
      <c r="G467" s="27">
        <v>44726</v>
      </c>
      <c r="I467" t="s">
        <v>2757</v>
      </c>
      <c r="J467" s="232">
        <v>43</v>
      </c>
      <c r="K467" s="247" t="s">
        <v>3530</v>
      </c>
      <c r="L467" t="s">
        <v>47</v>
      </c>
    </row>
    <row r="468" spans="1:12" ht="21.75" customHeight="1" x14ac:dyDescent="0.25">
      <c r="A468" t="s">
        <v>2554</v>
      </c>
      <c r="B468" s="232">
        <v>7</v>
      </c>
      <c r="C468" t="s">
        <v>2930</v>
      </c>
      <c r="D468" t="s">
        <v>2565</v>
      </c>
      <c r="E468" t="s">
        <v>2629</v>
      </c>
      <c r="F468" t="s">
        <v>2553</v>
      </c>
      <c r="G468" s="27">
        <v>44726</v>
      </c>
      <c r="I468" t="s">
        <v>2759</v>
      </c>
      <c r="J468" s="232">
        <v>44</v>
      </c>
      <c r="K468" s="247" t="s">
        <v>3531</v>
      </c>
      <c r="L468" t="s">
        <v>47</v>
      </c>
    </row>
    <row r="469" spans="1:12" ht="21.75" customHeight="1" x14ac:dyDescent="0.25">
      <c r="A469" t="s">
        <v>2554</v>
      </c>
      <c r="B469" s="232">
        <v>7</v>
      </c>
      <c r="C469" t="s">
        <v>2930</v>
      </c>
      <c r="D469" t="s">
        <v>2565</v>
      </c>
      <c r="E469" t="s">
        <v>2629</v>
      </c>
      <c r="F469" t="s">
        <v>2553</v>
      </c>
      <c r="G469" s="27">
        <v>44726</v>
      </c>
      <c r="I469" t="s">
        <v>2762</v>
      </c>
      <c r="J469" s="232">
        <v>45</v>
      </c>
      <c r="K469" s="247" t="s">
        <v>3532</v>
      </c>
      <c r="L469" t="s">
        <v>47</v>
      </c>
    </row>
    <row r="470" spans="1:12" ht="21.75" customHeight="1" x14ac:dyDescent="0.25">
      <c r="A470" t="s">
        <v>2554</v>
      </c>
      <c r="B470" s="232">
        <v>8</v>
      </c>
      <c r="C470" t="s">
        <v>2930</v>
      </c>
      <c r="D470" t="s">
        <v>2565</v>
      </c>
      <c r="E470" t="s">
        <v>2764</v>
      </c>
      <c r="F470" t="s">
        <v>2553</v>
      </c>
      <c r="G470" s="27">
        <v>44726</v>
      </c>
      <c r="I470" t="s">
        <v>2643</v>
      </c>
      <c r="J470" s="232">
        <v>46</v>
      </c>
      <c r="K470" s="247" t="s">
        <v>3533</v>
      </c>
      <c r="L470" t="s">
        <v>47</v>
      </c>
    </row>
    <row r="471" spans="1:12" ht="21.75" customHeight="1" x14ac:dyDescent="0.25">
      <c r="A471" t="s">
        <v>2554</v>
      </c>
      <c r="B471" s="232">
        <v>8</v>
      </c>
      <c r="C471" t="s">
        <v>2930</v>
      </c>
      <c r="D471" t="s">
        <v>2565</v>
      </c>
      <c r="E471" t="s">
        <v>2764</v>
      </c>
      <c r="F471" t="s">
        <v>2553</v>
      </c>
      <c r="G471" s="27">
        <v>44726</v>
      </c>
      <c r="I471" t="s">
        <v>2649</v>
      </c>
      <c r="J471" s="232">
        <v>47</v>
      </c>
      <c r="K471" s="1" t="s">
        <v>3534</v>
      </c>
      <c r="L471" t="s">
        <v>1968</v>
      </c>
    </row>
    <row r="472" spans="1:12" ht="21.75" customHeight="1" x14ac:dyDescent="0.25">
      <c r="A472" t="s">
        <v>2554</v>
      </c>
      <c r="B472" s="232">
        <v>8</v>
      </c>
      <c r="C472" t="s">
        <v>2930</v>
      </c>
      <c r="D472" t="s">
        <v>2565</v>
      </c>
      <c r="E472" t="s">
        <v>2764</v>
      </c>
      <c r="F472" t="s">
        <v>2553</v>
      </c>
      <c r="G472" s="27">
        <v>44726</v>
      </c>
      <c r="I472" t="s">
        <v>2976</v>
      </c>
      <c r="J472" s="232">
        <v>48</v>
      </c>
      <c r="K472" s="247" t="s">
        <v>3535</v>
      </c>
      <c r="L472" t="s">
        <v>47</v>
      </c>
    </row>
    <row r="473" spans="1:12" ht="21.75" customHeight="1" x14ac:dyDescent="0.25">
      <c r="A473" t="s">
        <v>2554</v>
      </c>
      <c r="B473" s="232">
        <v>8</v>
      </c>
      <c r="C473" t="s">
        <v>2930</v>
      </c>
      <c r="D473" t="s">
        <v>2565</v>
      </c>
      <c r="E473" t="s">
        <v>2764</v>
      </c>
      <c r="F473" t="s">
        <v>2553</v>
      </c>
      <c r="G473" s="27">
        <v>44726</v>
      </c>
      <c r="I473" t="s">
        <v>2977</v>
      </c>
      <c r="J473" s="232">
        <v>49</v>
      </c>
      <c r="K473" s="1" t="s">
        <v>3536</v>
      </c>
      <c r="L473" t="s">
        <v>1968</v>
      </c>
    </row>
    <row r="474" spans="1:12" ht="21.75" customHeight="1" x14ac:dyDescent="0.25">
      <c r="A474" t="s">
        <v>2554</v>
      </c>
      <c r="B474" s="232">
        <v>8</v>
      </c>
      <c r="C474" t="s">
        <v>2930</v>
      </c>
      <c r="D474" t="s">
        <v>2565</v>
      </c>
      <c r="E474" t="s">
        <v>2764</v>
      </c>
      <c r="F474" t="s">
        <v>2553</v>
      </c>
      <c r="G474" s="27">
        <v>44726</v>
      </c>
      <c r="I474" t="s">
        <v>2978</v>
      </c>
      <c r="J474" s="232">
        <v>50</v>
      </c>
      <c r="K474" s="1" t="s">
        <v>3537</v>
      </c>
      <c r="L474" t="s">
        <v>1968</v>
      </c>
    </row>
    <row r="475" spans="1:12" ht="21.75" customHeight="1" x14ac:dyDescent="0.25">
      <c r="A475" t="s">
        <v>2554</v>
      </c>
      <c r="B475" s="232">
        <v>8</v>
      </c>
      <c r="C475" t="s">
        <v>2930</v>
      </c>
      <c r="D475" t="s">
        <v>2565</v>
      </c>
      <c r="E475" t="s">
        <v>2764</v>
      </c>
      <c r="F475" t="s">
        <v>2553</v>
      </c>
      <c r="G475" s="27">
        <v>44726</v>
      </c>
      <c r="I475" t="s">
        <v>2651</v>
      </c>
      <c r="J475" s="232">
        <v>51</v>
      </c>
      <c r="K475" s="1" t="s">
        <v>3538</v>
      </c>
      <c r="L475" t="s">
        <v>1968</v>
      </c>
    </row>
    <row r="476" spans="1:12" ht="21.75" customHeight="1" x14ac:dyDescent="0.25">
      <c r="A476" t="s">
        <v>2554</v>
      </c>
      <c r="B476" s="232">
        <v>9</v>
      </c>
      <c r="C476" t="s">
        <v>2930</v>
      </c>
      <c r="D476" t="s">
        <v>2565</v>
      </c>
      <c r="E476" t="s">
        <v>2979</v>
      </c>
      <c r="F476" t="s">
        <v>2553</v>
      </c>
      <c r="G476" s="27">
        <v>44726</v>
      </c>
      <c r="I476" t="s">
        <v>2663</v>
      </c>
      <c r="J476" s="232">
        <v>52</v>
      </c>
      <c r="K476" s="247" t="s">
        <v>3539</v>
      </c>
      <c r="L476" t="s">
        <v>47</v>
      </c>
    </row>
    <row r="477" spans="1:12" ht="21.75" customHeight="1" x14ac:dyDescent="0.25">
      <c r="A477" t="s">
        <v>2554</v>
      </c>
      <c r="B477" s="232">
        <v>9</v>
      </c>
      <c r="C477" t="s">
        <v>2930</v>
      </c>
      <c r="D477" t="s">
        <v>2565</v>
      </c>
      <c r="E477" t="s">
        <v>2979</v>
      </c>
      <c r="F477" t="s">
        <v>2553</v>
      </c>
      <c r="G477" s="27">
        <v>44726</v>
      </c>
      <c r="I477" t="s">
        <v>2664</v>
      </c>
      <c r="J477" s="232">
        <v>53</v>
      </c>
      <c r="K477" s="247" t="s">
        <v>3540</v>
      </c>
      <c r="L477" t="s">
        <v>1968</v>
      </c>
    </row>
    <row r="478" spans="1:12" ht="21.75" customHeight="1" x14ac:dyDescent="0.25">
      <c r="A478" t="s">
        <v>2554</v>
      </c>
      <c r="B478" s="232">
        <v>9</v>
      </c>
      <c r="C478" t="s">
        <v>2930</v>
      </c>
      <c r="D478" t="s">
        <v>2565</v>
      </c>
      <c r="E478" t="s">
        <v>2979</v>
      </c>
      <c r="F478" t="s">
        <v>2553</v>
      </c>
      <c r="G478" s="27">
        <v>44726</v>
      </c>
      <c r="I478" t="s">
        <v>2665</v>
      </c>
      <c r="J478" s="232">
        <v>54</v>
      </c>
      <c r="K478" s="1" t="s">
        <v>3541</v>
      </c>
      <c r="L478" t="s">
        <v>1968</v>
      </c>
    </row>
    <row r="479" spans="1:12" ht="21.75" customHeight="1" x14ac:dyDescent="0.25">
      <c r="A479" t="s">
        <v>2554</v>
      </c>
      <c r="B479" s="232">
        <v>9</v>
      </c>
      <c r="C479" t="s">
        <v>2930</v>
      </c>
      <c r="D479" t="s">
        <v>2565</v>
      </c>
      <c r="E479" t="s">
        <v>2979</v>
      </c>
      <c r="F479" t="s">
        <v>2553</v>
      </c>
      <c r="G479" s="27">
        <v>44726</v>
      </c>
      <c r="I479" t="s">
        <v>2981</v>
      </c>
      <c r="J479" s="232">
        <v>55</v>
      </c>
      <c r="K479" s="1" t="s">
        <v>2850</v>
      </c>
      <c r="L479" t="s">
        <v>47</v>
      </c>
    </row>
    <row r="480" spans="1:12" ht="21.75" customHeight="1" x14ac:dyDescent="0.25">
      <c r="A480" t="s">
        <v>2554</v>
      </c>
      <c r="B480" s="232">
        <v>9</v>
      </c>
      <c r="C480" t="s">
        <v>2930</v>
      </c>
      <c r="D480" t="s">
        <v>2565</v>
      </c>
      <c r="E480" t="s">
        <v>2979</v>
      </c>
      <c r="F480" t="s">
        <v>2553</v>
      </c>
      <c r="G480" s="27">
        <v>44726</v>
      </c>
      <c r="I480" t="s">
        <v>2773</v>
      </c>
      <c r="J480" s="232">
        <v>56</v>
      </c>
      <c r="K480" s="1" t="s">
        <v>2774</v>
      </c>
      <c r="L480" t="s">
        <v>47</v>
      </c>
    </row>
    <row r="481" spans="1:12" ht="21.75" customHeight="1" x14ac:dyDescent="0.25">
      <c r="A481" t="s">
        <v>2554</v>
      </c>
      <c r="B481" s="232">
        <v>9</v>
      </c>
      <c r="C481" t="s">
        <v>2930</v>
      </c>
      <c r="D481" t="s">
        <v>2565</v>
      </c>
      <c r="E481" t="s">
        <v>2979</v>
      </c>
      <c r="F481" t="s">
        <v>2553</v>
      </c>
      <c r="G481" s="27">
        <v>44726</v>
      </c>
      <c r="I481" t="s">
        <v>2775</v>
      </c>
      <c r="J481" s="232">
        <v>57</v>
      </c>
      <c r="K481" s="247" t="s">
        <v>3542</v>
      </c>
      <c r="L481" t="s">
        <v>47</v>
      </c>
    </row>
    <row r="482" spans="1:12" ht="21.75" customHeight="1" x14ac:dyDescent="0.25">
      <c r="A482" t="s">
        <v>2554</v>
      </c>
      <c r="B482" s="232">
        <v>9</v>
      </c>
      <c r="C482" t="s">
        <v>2930</v>
      </c>
      <c r="D482" t="s">
        <v>2565</v>
      </c>
      <c r="E482" t="s">
        <v>2979</v>
      </c>
      <c r="F482" t="s">
        <v>2553</v>
      </c>
      <c r="G482" s="27">
        <v>44726</v>
      </c>
      <c r="I482" t="s">
        <v>2982</v>
      </c>
      <c r="J482" s="232">
        <v>58</v>
      </c>
      <c r="K482" s="247" t="s">
        <v>3543</v>
      </c>
      <c r="L482" t="s">
        <v>47</v>
      </c>
    </row>
    <row r="483" spans="1:12" ht="21.75" customHeight="1" x14ac:dyDescent="0.25">
      <c r="A483" t="s">
        <v>2554</v>
      </c>
      <c r="B483" s="232">
        <v>9</v>
      </c>
      <c r="C483" t="s">
        <v>2930</v>
      </c>
      <c r="D483" t="s">
        <v>2565</v>
      </c>
      <c r="E483" t="s">
        <v>2979</v>
      </c>
      <c r="F483" t="s">
        <v>2553</v>
      </c>
      <c r="G483" s="27">
        <v>44726</v>
      </c>
      <c r="I483" t="s">
        <v>2983</v>
      </c>
      <c r="J483" s="232">
        <v>59</v>
      </c>
      <c r="K483" s="247" t="s">
        <v>3544</v>
      </c>
      <c r="L483" t="s">
        <v>1968</v>
      </c>
    </row>
    <row r="484" spans="1:12" ht="21.75" customHeight="1" x14ac:dyDescent="0.25">
      <c r="A484" t="s">
        <v>2554</v>
      </c>
      <c r="B484" s="232">
        <v>10</v>
      </c>
      <c r="C484" t="s">
        <v>2930</v>
      </c>
      <c r="D484" t="s">
        <v>2565</v>
      </c>
      <c r="E484" t="s">
        <v>2779</v>
      </c>
      <c r="F484" t="s">
        <v>2553</v>
      </c>
      <c r="G484" s="27">
        <v>44726</v>
      </c>
      <c r="I484" t="s">
        <v>2669</v>
      </c>
      <c r="J484" s="232">
        <v>60</v>
      </c>
      <c r="K484" s="1" t="s">
        <v>2984</v>
      </c>
      <c r="L484" t="s">
        <v>47</v>
      </c>
    </row>
    <row r="485" spans="1:12" ht="21.75" customHeight="1" x14ac:dyDescent="0.25">
      <c r="A485" t="s">
        <v>2554</v>
      </c>
      <c r="B485" s="232">
        <v>10</v>
      </c>
      <c r="C485" t="s">
        <v>2930</v>
      </c>
      <c r="D485" t="s">
        <v>2565</v>
      </c>
      <c r="E485" t="s">
        <v>2779</v>
      </c>
      <c r="F485" t="s">
        <v>2553</v>
      </c>
      <c r="G485" s="27">
        <v>44726</v>
      </c>
      <c r="I485" t="s">
        <v>2782</v>
      </c>
      <c r="J485" s="232">
        <v>61</v>
      </c>
      <c r="K485" s="1" t="s">
        <v>2985</v>
      </c>
      <c r="L485" t="s">
        <v>47</v>
      </c>
    </row>
    <row r="486" spans="1:12" ht="21.75" customHeight="1" x14ac:dyDescent="0.25">
      <c r="A486" t="s">
        <v>2554</v>
      </c>
      <c r="B486" s="232">
        <v>10</v>
      </c>
      <c r="C486" t="s">
        <v>2930</v>
      </c>
      <c r="D486" t="s">
        <v>2565</v>
      </c>
      <c r="E486" t="s">
        <v>2779</v>
      </c>
      <c r="F486" t="s">
        <v>2553</v>
      </c>
      <c r="G486" s="27">
        <v>44726</v>
      </c>
      <c r="I486" t="s">
        <v>2986</v>
      </c>
      <c r="J486" s="232">
        <v>62</v>
      </c>
      <c r="K486" s="1" t="s">
        <v>2987</v>
      </c>
      <c r="L486" t="s">
        <v>47</v>
      </c>
    </row>
    <row r="487" spans="1:12" ht="21.75" customHeight="1" x14ac:dyDescent="0.25">
      <c r="A487" t="s">
        <v>2554</v>
      </c>
      <c r="B487" s="232">
        <v>10</v>
      </c>
      <c r="C487" t="s">
        <v>2930</v>
      </c>
      <c r="D487" t="s">
        <v>2565</v>
      </c>
      <c r="E487" t="s">
        <v>2779</v>
      </c>
      <c r="F487" t="s">
        <v>2553</v>
      </c>
      <c r="G487" s="27">
        <v>44726</v>
      </c>
      <c r="I487" t="s">
        <v>2681</v>
      </c>
      <c r="J487" s="232">
        <v>63</v>
      </c>
      <c r="K487" s="1" t="s">
        <v>2988</v>
      </c>
      <c r="L487" t="s">
        <v>47</v>
      </c>
    </row>
    <row r="488" spans="1:12" ht="21.75" customHeight="1" x14ac:dyDescent="0.25">
      <c r="A488" t="s">
        <v>2554</v>
      </c>
      <c r="B488" s="232">
        <v>10</v>
      </c>
      <c r="C488" t="s">
        <v>2930</v>
      </c>
      <c r="D488" t="s">
        <v>2565</v>
      </c>
      <c r="E488" t="s">
        <v>2779</v>
      </c>
      <c r="F488" t="s">
        <v>2553</v>
      </c>
      <c r="G488" s="27">
        <v>44726</v>
      </c>
      <c r="I488" t="s">
        <v>2683</v>
      </c>
      <c r="J488" s="232">
        <v>64</v>
      </c>
      <c r="K488" s="1" t="s">
        <v>2989</v>
      </c>
      <c r="L488" t="s">
        <v>47</v>
      </c>
    </row>
    <row r="489" spans="1:12" ht="21.75" customHeight="1" x14ac:dyDescent="0.25">
      <c r="A489" t="s">
        <v>2554</v>
      </c>
      <c r="B489" s="232">
        <v>10</v>
      </c>
      <c r="C489" t="s">
        <v>2930</v>
      </c>
      <c r="D489" t="s">
        <v>2565</v>
      </c>
      <c r="E489" t="s">
        <v>2779</v>
      </c>
      <c r="F489" t="s">
        <v>2553</v>
      </c>
      <c r="G489" s="27">
        <v>44726</v>
      </c>
      <c r="I489" t="s">
        <v>2990</v>
      </c>
      <c r="J489" s="232">
        <v>65</v>
      </c>
      <c r="K489" s="1" t="s">
        <v>2991</v>
      </c>
      <c r="L489" t="s">
        <v>1968</v>
      </c>
    </row>
    <row r="490" spans="1:12" ht="21.75" customHeight="1" x14ac:dyDescent="0.25">
      <c r="A490" t="s">
        <v>2554</v>
      </c>
      <c r="B490" s="232">
        <v>10</v>
      </c>
      <c r="C490" t="s">
        <v>2930</v>
      </c>
      <c r="D490" t="s">
        <v>2565</v>
      </c>
      <c r="E490" t="s">
        <v>2779</v>
      </c>
      <c r="F490" t="s">
        <v>2553</v>
      </c>
      <c r="G490" s="27">
        <v>44726</v>
      </c>
      <c r="I490" t="s">
        <v>2992</v>
      </c>
      <c r="J490" s="232">
        <v>66</v>
      </c>
      <c r="K490" s="1" t="s">
        <v>2993</v>
      </c>
      <c r="L490" t="s">
        <v>47</v>
      </c>
    </row>
    <row r="491" spans="1:12" ht="21.75" customHeight="1" x14ac:dyDescent="0.25">
      <c r="A491" t="s">
        <v>2554</v>
      </c>
      <c r="B491" s="232">
        <v>10</v>
      </c>
      <c r="C491" t="s">
        <v>2930</v>
      </c>
      <c r="D491" t="s">
        <v>2565</v>
      </c>
      <c r="E491" t="s">
        <v>2779</v>
      </c>
      <c r="F491" t="s">
        <v>2553</v>
      </c>
      <c r="G491" s="27">
        <v>44726</v>
      </c>
      <c r="I491" t="s">
        <v>2994</v>
      </c>
      <c r="J491" s="232">
        <v>67</v>
      </c>
      <c r="K491" s="1" t="s">
        <v>2995</v>
      </c>
      <c r="L491" t="s">
        <v>1968</v>
      </c>
    </row>
    <row r="492" spans="1:12" ht="21.75" customHeight="1" x14ac:dyDescent="0.25">
      <c r="A492" t="s">
        <v>2554</v>
      </c>
      <c r="B492" s="232">
        <v>11</v>
      </c>
      <c r="C492" t="s">
        <v>2930</v>
      </c>
      <c r="D492" t="s">
        <v>2565</v>
      </c>
      <c r="E492" t="s">
        <v>2668</v>
      </c>
      <c r="F492" t="s">
        <v>2553</v>
      </c>
      <c r="G492" s="27">
        <v>44726</v>
      </c>
      <c r="I492" t="s">
        <v>2784</v>
      </c>
      <c r="J492" s="232">
        <v>68</v>
      </c>
      <c r="K492" s="1" t="s">
        <v>3561</v>
      </c>
      <c r="L492" t="s">
        <v>47</v>
      </c>
    </row>
    <row r="493" spans="1:12" ht="21.75" customHeight="1" x14ac:dyDescent="0.25">
      <c r="A493" t="s">
        <v>2554</v>
      </c>
      <c r="B493" s="232">
        <v>11</v>
      </c>
      <c r="C493" t="s">
        <v>2930</v>
      </c>
      <c r="D493" t="s">
        <v>2565</v>
      </c>
      <c r="E493" t="s">
        <v>2668</v>
      </c>
      <c r="F493" t="s">
        <v>2553</v>
      </c>
      <c r="G493" s="27">
        <v>44726</v>
      </c>
      <c r="I493" t="s">
        <v>2996</v>
      </c>
      <c r="J493" s="232">
        <v>69</v>
      </c>
      <c r="K493" s="247" t="s">
        <v>3562</v>
      </c>
      <c r="L493" t="s">
        <v>47</v>
      </c>
    </row>
    <row r="494" spans="1:12" ht="21.75" customHeight="1" x14ac:dyDescent="0.25">
      <c r="A494" t="s">
        <v>2554</v>
      </c>
      <c r="B494" s="232">
        <v>11</v>
      </c>
      <c r="C494" t="s">
        <v>2930</v>
      </c>
      <c r="D494" t="s">
        <v>2565</v>
      </c>
      <c r="E494" t="s">
        <v>2668</v>
      </c>
      <c r="F494" t="s">
        <v>2553</v>
      </c>
      <c r="G494" s="27">
        <v>44726</v>
      </c>
      <c r="I494" t="s">
        <v>2997</v>
      </c>
      <c r="J494" s="232">
        <v>70</v>
      </c>
      <c r="K494" s="1" t="s">
        <v>3563</v>
      </c>
      <c r="L494" t="s">
        <v>47</v>
      </c>
    </row>
    <row r="495" spans="1:12" ht="21.75" customHeight="1" x14ac:dyDescent="0.25">
      <c r="A495" t="s">
        <v>2554</v>
      </c>
      <c r="B495" s="232">
        <v>11</v>
      </c>
      <c r="C495" t="s">
        <v>2930</v>
      </c>
      <c r="D495" t="s">
        <v>2565</v>
      </c>
      <c r="E495" t="s">
        <v>2668</v>
      </c>
      <c r="F495" t="s">
        <v>2553</v>
      </c>
      <c r="G495" s="27">
        <v>44726</v>
      </c>
      <c r="I495" t="s">
        <v>2998</v>
      </c>
      <c r="J495" s="232">
        <v>71</v>
      </c>
      <c r="K495" s="1" t="s">
        <v>2582</v>
      </c>
      <c r="L495" t="s">
        <v>47</v>
      </c>
    </row>
    <row r="496" spans="1:12" ht="21.75" customHeight="1" x14ac:dyDescent="0.25">
      <c r="A496" t="s">
        <v>2554</v>
      </c>
      <c r="B496" s="232">
        <v>11</v>
      </c>
      <c r="C496" t="s">
        <v>2930</v>
      </c>
      <c r="D496" t="s">
        <v>2565</v>
      </c>
      <c r="E496" t="s">
        <v>2668</v>
      </c>
      <c r="F496" t="s">
        <v>2553</v>
      </c>
      <c r="G496" s="27">
        <v>44726</v>
      </c>
      <c r="I496" t="s">
        <v>2999</v>
      </c>
      <c r="J496" s="232">
        <v>72</v>
      </c>
      <c r="K496" s="247" t="s">
        <v>3564</v>
      </c>
      <c r="L496" t="s">
        <v>47</v>
      </c>
    </row>
    <row r="497" spans="1:12" ht="21.75" customHeight="1" x14ac:dyDescent="0.25">
      <c r="A497" t="s">
        <v>2554</v>
      </c>
      <c r="B497" s="232">
        <v>11</v>
      </c>
      <c r="C497" t="s">
        <v>2930</v>
      </c>
      <c r="D497" t="s">
        <v>2565</v>
      </c>
      <c r="E497" t="s">
        <v>2668</v>
      </c>
      <c r="F497" t="s">
        <v>2553</v>
      </c>
      <c r="G497" s="27">
        <v>44726</v>
      </c>
      <c r="I497" t="s">
        <v>3000</v>
      </c>
      <c r="J497" s="232">
        <v>73</v>
      </c>
      <c r="K497" s="247" t="s">
        <v>3565</v>
      </c>
      <c r="L497" t="s">
        <v>47</v>
      </c>
    </row>
    <row r="498" spans="1:12" ht="21.75" customHeight="1" x14ac:dyDescent="0.25">
      <c r="A498" t="s">
        <v>2554</v>
      </c>
      <c r="B498" s="232">
        <v>11</v>
      </c>
      <c r="C498" t="s">
        <v>2930</v>
      </c>
      <c r="D498" t="s">
        <v>2565</v>
      </c>
      <c r="E498" t="s">
        <v>2668</v>
      </c>
      <c r="F498" t="s">
        <v>2553</v>
      </c>
      <c r="G498" s="27">
        <v>44726</v>
      </c>
      <c r="I498" t="s">
        <v>3001</v>
      </c>
      <c r="J498" s="232">
        <v>74</v>
      </c>
      <c r="K498" s="1" t="s">
        <v>3566</v>
      </c>
      <c r="L498" t="s">
        <v>47</v>
      </c>
    </row>
    <row r="499" spans="1:12" ht="21.75" customHeight="1" x14ac:dyDescent="0.25">
      <c r="A499" t="s">
        <v>2554</v>
      </c>
      <c r="B499" s="232">
        <v>11</v>
      </c>
      <c r="C499" t="s">
        <v>2930</v>
      </c>
      <c r="D499" t="s">
        <v>2565</v>
      </c>
      <c r="E499" t="s">
        <v>2668</v>
      </c>
      <c r="F499" t="s">
        <v>2553</v>
      </c>
      <c r="G499" s="27">
        <v>44726</v>
      </c>
      <c r="I499" t="s">
        <v>3002</v>
      </c>
      <c r="J499" s="232">
        <v>75</v>
      </c>
      <c r="K499" s="1" t="s">
        <v>2586</v>
      </c>
      <c r="L499" t="s">
        <v>47</v>
      </c>
    </row>
    <row r="500" spans="1:12" ht="21.75" customHeight="1" x14ac:dyDescent="0.25">
      <c r="A500" t="s">
        <v>2554</v>
      </c>
      <c r="B500" s="232">
        <v>11</v>
      </c>
      <c r="C500" t="s">
        <v>2930</v>
      </c>
      <c r="D500" t="s">
        <v>2565</v>
      </c>
      <c r="E500" t="s">
        <v>2668</v>
      </c>
      <c r="F500" t="s">
        <v>2553</v>
      </c>
      <c r="G500" s="27">
        <v>44726</v>
      </c>
      <c r="I500" t="s">
        <v>3003</v>
      </c>
      <c r="J500" s="232">
        <v>76</v>
      </c>
      <c r="K500" s="1" t="s">
        <v>3567</v>
      </c>
      <c r="L500" t="s">
        <v>47</v>
      </c>
    </row>
    <row r="501" spans="1:12" ht="21.75" customHeight="1" x14ac:dyDescent="0.25">
      <c r="A501" t="s">
        <v>2554</v>
      </c>
      <c r="B501" s="232">
        <v>11</v>
      </c>
      <c r="C501" t="s">
        <v>2930</v>
      </c>
      <c r="D501" t="s">
        <v>2565</v>
      </c>
      <c r="E501" t="s">
        <v>2668</v>
      </c>
      <c r="F501" t="s">
        <v>2553</v>
      </c>
      <c r="G501" s="27">
        <v>44726</v>
      </c>
      <c r="I501" t="s">
        <v>3005</v>
      </c>
      <c r="J501" s="232">
        <v>77</v>
      </c>
      <c r="K501" s="247" t="s">
        <v>3568</v>
      </c>
      <c r="L501" t="s">
        <v>47</v>
      </c>
    </row>
    <row r="502" spans="1:12" ht="21.75" customHeight="1" x14ac:dyDescent="0.25">
      <c r="A502" t="s">
        <v>2554</v>
      </c>
      <c r="B502" s="232">
        <v>11</v>
      </c>
      <c r="C502" t="s">
        <v>2930</v>
      </c>
      <c r="D502" t="s">
        <v>2565</v>
      </c>
      <c r="E502" t="s">
        <v>2668</v>
      </c>
      <c r="F502" t="s">
        <v>2553</v>
      </c>
      <c r="G502" s="27">
        <v>44726</v>
      </c>
      <c r="I502" t="s">
        <v>3004</v>
      </c>
      <c r="J502" s="232">
        <v>78</v>
      </c>
      <c r="K502" s="247" t="s">
        <v>3569</v>
      </c>
      <c r="L502" t="s">
        <v>47</v>
      </c>
    </row>
    <row r="503" spans="1:12" ht="21.75" customHeight="1" x14ac:dyDescent="0.25">
      <c r="A503" t="s">
        <v>2554</v>
      </c>
      <c r="B503" s="232">
        <v>11</v>
      </c>
      <c r="C503" t="s">
        <v>2930</v>
      </c>
      <c r="D503" t="s">
        <v>2565</v>
      </c>
      <c r="E503" s="50" t="s">
        <v>3552</v>
      </c>
      <c r="F503" t="s">
        <v>2553</v>
      </c>
      <c r="G503" s="27">
        <v>44726</v>
      </c>
      <c r="I503">
        <v>1</v>
      </c>
      <c r="J503" s="232">
        <v>79</v>
      </c>
      <c r="K503" s="1" t="s">
        <v>3006</v>
      </c>
      <c r="L503" t="s">
        <v>47</v>
      </c>
    </row>
    <row r="504" spans="1:12" ht="21.75" customHeight="1" x14ac:dyDescent="0.25">
      <c r="A504" t="s">
        <v>2554</v>
      </c>
      <c r="B504" s="232">
        <v>11</v>
      </c>
      <c r="C504" t="s">
        <v>2930</v>
      </c>
      <c r="D504" t="s">
        <v>2565</v>
      </c>
      <c r="E504" s="50" t="s">
        <v>3552</v>
      </c>
      <c r="F504" t="s">
        <v>2553</v>
      </c>
      <c r="G504" s="27">
        <v>44726</v>
      </c>
      <c r="I504" t="s">
        <v>2601</v>
      </c>
      <c r="J504" s="232">
        <v>80</v>
      </c>
      <c r="K504" s="247" t="s">
        <v>3553</v>
      </c>
      <c r="L504" t="s">
        <v>1968</v>
      </c>
    </row>
    <row r="505" spans="1:12" ht="21.75" customHeight="1" x14ac:dyDescent="0.25">
      <c r="A505" t="s">
        <v>2554</v>
      </c>
      <c r="B505" s="232">
        <v>11</v>
      </c>
      <c r="C505" t="s">
        <v>2930</v>
      </c>
      <c r="D505" t="s">
        <v>2565</v>
      </c>
      <c r="E505" s="50" t="s">
        <v>3552</v>
      </c>
      <c r="F505" t="s">
        <v>2553</v>
      </c>
      <c r="G505" s="27">
        <v>44726</v>
      </c>
      <c r="I505" t="s">
        <v>3007</v>
      </c>
      <c r="J505" s="232">
        <v>81</v>
      </c>
      <c r="K505" s="247" t="s">
        <v>3554</v>
      </c>
      <c r="L505" t="s">
        <v>47</v>
      </c>
    </row>
    <row r="506" spans="1:12" ht="21.75" customHeight="1" x14ac:dyDescent="0.25">
      <c r="A506" t="s">
        <v>2554</v>
      </c>
      <c r="B506" s="232">
        <v>11</v>
      </c>
      <c r="C506" t="s">
        <v>2930</v>
      </c>
      <c r="D506" t="s">
        <v>2565</v>
      </c>
      <c r="E506" s="50" t="s">
        <v>3552</v>
      </c>
      <c r="F506" t="s">
        <v>2553</v>
      </c>
      <c r="G506" s="27">
        <v>44726</v>
      </c>
      <c r="I506" t="s">
        <v>3009</v>
      </c>
      <c r="J506" s="232">
        <v>82</v>
      </c>
      <c r="K506" s="1" t="s">
        <v>3555</v>
      </c>
      <c r="L506" t="s">
        <v>47</v>
      </c>
    </row>
    <row r="507" spans="1:12" ht="21.75" customHeight="1" x14ac:dyDescent="0.25">
      <c r="A507" t="s">
        <v>2554</v>
      </c>
      <c r="B507" s="232">
        <v>11</v>
      </c>
      <c r="C507" t="s">
        <v>2930</v>
      </c>
      <c r="D507" t="s">
        <v>2565</v>
      </c>
      <c r="E507" s="50" t="s">
        <v>3552</v>
      </c>
      <c r="F507" t="s">
        <v>2553</v>
      </c>
      <c r="G507" s="27">
        <v>44726</v>
      </c>
      <c r="I507" t="s">
        <v>3011</v>
      </c>
      <c r="J507" s="232">
        <v>83</v>
      </c>
      <c r="K507" s="1" t="s">
        <v>3556</v>
      </c>
      <c r="L507" t="s">
        <v>1968</v>
      </c>
    </row>
    <row r="508" spans="1:12" ht="21.75" customHeight="1" x14ac:dyDescent="0.25">
      <c r="A508" t="s">
        <v>2554</v>
      </c>
      <c r="B508" s="232">
        <v>11</v>
      </c>
      <c r="C508" t="s">
        <v>2930</v>
      </c>
      <c r="D508" t="s">
        <v>2565</v>
      </c>
      <c r="E508" s="50" t="s">
        <v>3552</v>
      </c>
      <c r="F508" t="s">
        <v>2553</v>
      </c>
      <c r="G508" s="27">
        <v>44726</v>
      </c>
      <c r="I508" t="s">
        <v>2714</v>
      </c>
      <c r="J508" s="232">
        <v>84</v>
      </c>
      <c r="K508" s="247" t="s">
        <v>3557</v>
      </c>
      <c r="L508" t="s">
        <v>1968</v>
      </c>
    </row>
    <row r="509" spans="1:12" ht="21.75" customHeight="1" x14ac:dyDescent="0.25">
      <c r="A509" t="s">
        <v>2554</v>
      </c>
      <c r="B509" s="232">
        <v>11</v>
      </c>
      <c r="C509" t="s">
        <v>2930</v>
      </c>
      <c r="D509" t="s">
        <v>2565</v>
      </c>
      <c r="E509" s="50" t="s">
        <v>3552</v>
      </c>
      <c r="F509" t="s">
        <v>2553</v>
      </c>
      <c r="G509" s="27">
        <v>44726</v>
      </c>
      <c r="I509" t="s">
        <v>3012</v>
      </c>
      <c r="J509" s="232">
        <v>85</v>
      </c>
      <c r="K509" s="1" t="s">
        <v>3558</v>
      </c>
      <c r="L509" t="s">
        <v>47</v>
      </c>
    </row>
    <row r="510" spans="1:12" ht="14.25" customHeight="1" x14ac:dyDescent="0.25">
      <c r="A510" t="s">
        <v>2554</v>
      </c>
      <c r="B510" s="232">
        <v>11</v>
      </c>
      <c r="C510" t="s">
        <v>2930</v>
      </c>
      <c r="D510" t="s">
        <v>2565</v>
      </c>
      <c r="E510" s="50" t="s">
        <v>3552</v>
      </c>
      <c r="F510" t="s">
        <v>2553</v>
      </c>
      <c r="G510" s="27">
        <v>44726</v>
      </c>
      <c r="I510" t="s">
        <v>2724</v>
      </c>
      <c r="J510" s="232">
        <v>86</v>
      </c>
      <c r="K510" s="1" t="s">
        <v>3559</v>
      </c>
      <c r="L510" t="s">
        <v>47</v>
      </c>
    </row>
    <row r="511" spans="1:12" ht="17.25" customHeight="1" x14ac:dyDescent="0.25">
      <c r="A511" t="s">
        <v>2554</v>
      </c>
      <c r="B511" s="232">
        <v>11</v>
      </c>
      <c r="C511" t="s">
        <v>2930</v>
      </c>
      <c r="D511" t="s">
        <v>2565</v>
      </c>
      <c r="E511" s="50" t="s">
        <v>3552</v>
      </c>
      <c r="F511" t="s">
        <v>2553</v>
      </c>
      <c r="G511" s="27">
        <v>44726</v>
      </c>
      <c r="I511" t="s">
        <v>3014</v>
      </c>
      <c r="J511" s="232">
        <v>87</v>
      </c>
      <c r="K511" s="1" t="s">
        <v>3015</v>
      </c>
      <c r="L511" t="s">
        <v>47</v>
      </c>
    </row>
    <row r="512" spans="1:12" ht="20.25" customHeight="1" x14ac:dyDescent="0.25">
      <c r="A512" t="s">
        <v>2554</v>
      </c>
      <c r="B512" s="232">
        <v>11</v>
      </c>
      <c r="C512" t="s">
        <v>2930</v>
      </c>
      <c r="D512" t="s">
        <v>2565</v>
      </c>
      <c r="E512" s="50" t="s">
        <v>3016</v>
      </c>
      <c r="F512" t="s">
        <v>2553</v>
      </c>
      <c r="G512" s="27">
        <v>44726</v>
      </c>
      <c r="I512" t="s">
        <v>3017</v>
      </c>
      <c r="J512" s="232">
        <v>88</v>
      </c>
      <c r="K512" s="1" t="s">
        <v>3018</v>
      </c>
      <c r="L512" t="s">
        <v>1968</v>
      </c>
    </row>
    <row r="513" spans="1:12" ht="24" customHeight="1" x14ac:dyDescent="0.25">
      <c r="A513" t="s">
        <v>2554</v>
      </c>
      <c r="B513" s="232">
        <v>11</v>
      </c>
      <c r="C513" t="s">
        <v>2930</v>
      </c>
      <c r="D513" t="s">
        <v>2565</v>
      </c>
      <c r="E513" s="50" t="s">
        <v>3016</v>
      </c>
      <c r="F513" t="s">
        <v>2553</v>
      </c>
      <c r="G513" s="27">
        <v>44726</v>
      </c>
      <c r="I513" t="s">
        <v>2597</v>
      </c>
      <c r="J513" s="232">
        <v>89</v>
      </c>
      <c r="K513" s="1" t="s">
        <v>3019</v>
      </c>
      <c r="L513" t="s">
        <v>47</v>
      </c>
    </row>
    <row r="514" spans="1:12" ht="17.25" customHeight="1" x14ac:dyDescent="0.25">
      <c r="A514" t="s">
        <v>2554</v>
      </c>
      <c r="B514" s="232">
        <v>11</v>
      </c>
      <c r="C514" t="s">
        <v>2930</v>
      </c>
      <c r="D514" t="s">
        <v>2565</v>
      </c>
      <c r="E514" s="50" t="s">
        <v>3016</v>
      </c>
      <c r="F514" t="s">
        <v>2553</v>
      </c>
      <c r="G514" s="27">
        <v>44726</v>
      </c>
      <c r="I514" t="s">
        <v>3020</v>
      </c>
      <c r="J514" s="232">
        <v>90</v>
      </c>
      <c r="K514" s="1" t="s">
        <v>3021</v>
      </c>
      <c r="L514" t="s">
        <v>47</v>
      </c>
    </row>
    <row r="515" spans="1:12" ht="17.25" customHeight="1" x14ac:dyDescent="0.25">
      <c r="A515" t="s">
        <v>2554</v>
      </c>
      <c r="B515" s="232">
        <v>11</v>
      </c>
      <c r="C515" t="s">
        <v>2930</v>
      </c>
      <c r="D515" t="s">
        <v>2565</v>
      </c>
      <c r="E515" s="50" t="s">
        <v>3016</v>
      </c>
      <c r="F515" t="s">
        <v>2553</v>
      </c>
      <c r="G515" s="27">
        <v>44726</v>
      </c>
      <c r="I515" t="s">
        <v>2601</v>
      </c>
      <c r="J515" s="232">
        <v>91</v>
      </c>
      <c r="K515" s="1" t="s">
        <v>3022</v>
      </c>
      <c r="L515" t="s">
        <v>1968</v>
      </c>
    </row>
    <row r="516" spans="1:12" ht="17.25" customHeight="1" x14ac:dyDescent="0.25">
      <c r="A516" t="s">
        <v>2554</v>
      </c>
      <c r="B516" s="232">
        <v>11</v>
      </c>
      <c r="C516" t="s">
        <v>2930</v>
      </c>
      <c r="D516" t="s">
        <v>2565</v>
      </c>
      <c r="E516" s="50" t="s">
        <v>3016</v>
      </c>
      <c r="F516" t="s">
        <v>2553</v>
      </c>
      <c r="G516" s="27">
        <v>44726</v>
      </c>
      <c r="I516" t="s">
        <v>3007</v>
      </c>
      <c r="J516" s="232">
        <v>92</v>
      </c>
      <c r="K516" s="1" t="s">
        <v>3008</v>
      </c>
      <c r="L516" t="s">
        <v>47</v>
      </c>
    </row>
    <row r="517" spans="1:12" ht="17.25" customHeight="1" x14ac:dyDescent="0.25">
      <c r="A517" t="s">
        <v>2554</v>
      </c>
      <c r="B517" s="232">
        <v>11</v>
      </c>
      <c r="C517" t="s">
        <v>2930</v>
      </c>
      <c r="D517" t="s">
        <v>2565</v>
      </c>
      <c r="E517" s="50" t="s">
        <v>3016</v>
      </c>
      <c r="F517" t="s">
        <v>2553</v>
      </c>
      <c r="G517" s="27">
        <v>44726</v>
      </c>
      <c r="I517" t="s">
        <v>3023</v>
      </c>
      <c r="J517" s="232">
        <v>93</v>
      </c>
      <c r="K517" s="1" t="s">
        <v>3010</v>
      </c>
      <c r="L517" t="s">
        <v>47</v>
      </c>
    </row>
    <row r="518" spans="1:12" ht="17.25" customHeight="1" x14ac:dyDescent="0.25">
      <c r="A518" t="s">
        <v>2554</v>
      </c>
      <c r="B518" s="232">
        <v>11</v>
      </c>
      <c r="C518" t="s">
        <v>2930</v>
      </c>
      <c r="D518" t="s">
        <v>2565</v>
      </c>
      <c r="E518" s="50" t="s">
        <v>3016</v>
      </c>
      <c r="F518" t="s">
        <v>2553</v>
      </c>
      <c r="G518" s="27">
        <v>44726</v>
      </c>
      <c r="I518" t="s">
        <v>3011</v>
      </c>
      <c r="J518" s="232">
        <v>94</v>
      </c>
      <c r="K518" s="1" t="s">
        <v>3025</v>
      </c>
      <c r="L518" t="s">
        <v>1968</v>
      </c>
    </row>
    <row r="519" spans="1:12" ht="17.25" customHeight="1" x14ac:dyDescent="0.25">
      <c r="A519" t="s">
        <v>2554</v>
      </c>
      <c r="B519" s="232">
        <v>11</v>
      </c>
      <c r="C519" t="s">
        <v>2930</v>
      </c>
      <c r="D519" t="s">
        <v>2565</v>
      </c>
      <c r="E519" s="50" t="s">
        <v>3016</v>
      </c>
      <c r="F519" t="s">
        <v>2553</v>
      </c>
      <c r="G519" s="27">
        <v>44726</v>
      </c>
      <c r="I519" t="s">
        <v>3024</v>
      </c>
      <c r="J519" s="232">
        <v>95</v>
      </c>
      <c r="K519" s="1" t="s">
        <v>3026</v>
      </c>
      <c r="L519" t="s">
        <v>1968</v>
      </c>
    </row>
    <row r="520" spans="1:12" ht="17.25" customHeight="1" x14ac:dyDescent="0.25">
      <c r="A520" t="s">
        <v>2554</v>
      </c>
      <c r="B520" s="232">
        <v>11</v>
      </c>
      <c r="C520" t="s">
        <v>2930</v>
      </c>
      <c r="D520" t="s">
        <v>2565</v>
      </c>
      <c r="E520" s="50" t="s">
        <v>3016</v>
      </c>
      <c r="F520" t="s">
        <v>2553</v>
      </c>
      <c r="G520" s="27">
        <v>44726</v>
      </c>
      <c r="I520" t="s">
        <v>3012</v>
      </c>
      <c r="J520" s="232">
        <v>96</v>
      </c>
      <c r="K520" s="1" t="s">
        <v>3013</v>
      </c>
      <c r="L520" t="s">
        <v>47</v>
      </c>
    </row>
    <row r="521" spans="1:12" ht="17.25" customHeight="1" x14ac:dyDescent="0.25">
      <c r="A521" t="s">
        <v>2554</v>
      </c>
      <c r="B521" s="232">
        <v>11</v>
      </c>
      <c r="C521" t="s">
        <v>2930</v>
      </c>
      <c r="D521" t="s">
        <v>2565</v>
      </c>
      <c r="E521" s="50" t="s">
        <v>3016</v>
      </c>
      <c r="F521" t="s">
        <v>2553</v>
      </c>
      <c r="G521" s="27">
        <v>44726</v>
      </c>
      <c r="I521" t="s">
        <v>2724</v>
      </c>
      <c r="J521" s="232">
        <v>97</v>
      </c>
      <c r="K521" s="1" t="s">
        <v>3027</v>
      </c>
      <c r="L521" t="s">
        <v>47</v>
      </c>
    </row>
    <row r="522" spans="1:12" ht="17.25" customHeight="1" x14ac:dyDescent="0.25">
      <c r="A522" t="s">
        <v>2554</v>
      </c>
      <c r="B522" s="232">
        <v>11</v>
      </c>
      <c r="C522" t="s">
        <v>2930</v>
      </c>
      <c r="D522" t="s">
        <v>2565</v>
      </c>
      <c r="E522" s="50" t="s">
        <v>3016</v>
      </c>
      <c r="F522" t="s">
        <v>2553</v>
      </c>
      <c r="G522" s="27">
        <v>44726</v>
      </c>
      <c r="I522" t="s">
        <v>3014</v>
      </c>
      <c r="J522" s="232">
        <v>98</v>
      </c>
      <c r="K522" s="1" t="s">
        <v>3028</v>
      </c>
      <c r="L522" t="s">
        <v>47</v>
      </c>
    </row>
    <row r="523" spans="1:12" ht="17.25" customHeight="1" x14ac:dyDescent="0.25">
      <c r="A523" t="s">
        <v>2554</v>
      </c>
      <c r="B523" s="232">
        <v>1</v>
      </c>
      <c r="C523" t="s">
        <v>932</v>
      </c>
      <c r="D523" t="s">
        <v>2565</v>
      </c>
      <c r="E523" t="s">
        <v>2890</v>
      </c>
      <c r="F523" t="s">
        <v>2553</v>
      </c>
      <c r="G523" s="27">
        <v>44679</v>
      </c>
      <c r="I523" t="s">
        <v>2593</v>
      </c>
      <c r="J523" s="232">
        <v>1</v>
      </c>
      <c r="K523" s="1" t="s">
        <v>2709</v>
      </c>
      <c r="L523" t="s">
        <v>47</v>
      </c>
    </row>
    <row r="524" spans="1:12" ht="17.25" customHeight="1" x14ac:dyDescent="0.25">
      <c r="A524" t="s">
        <v>2554</v>
      </c>
      <c r="B524" s="232">
        <v>1</v>
      </c>
      <c r="C524" t="s">
        <v>932</v>
      </c>
      <c r="D524" t="s">
        <v>2565</v>
      </c>
      <c r="E524" t="s">
        <v>2890</v>
      </c>
      <c r="F524" t="s">
        <v>2553</v>
      </c>
      <c r="G524" s="27">
        <v>44679</v>
      </c>
      <c r="I524" t="s">
        <v>2597</v>
      </c>
      <c r="J524" s="232">
        <v>2</v>
      </c>
      <c r="K524" s="1" t="s">
        <v>2710</v>
      </c>
      <c r="L524" t="s">
        <v>47</v>
      </c>
    </row>
    <row r="525" spans="1:12" ht="17.25" customHeight="1" x14ac:dyDescent="0.25">
      <c r="A525" t="s">
        <v>2554</v>
      </c>
      <c r="B525" s="232">
        <v>1</v>
      </c>
      <c r="C525" t="s">
        <v>932</v>
      </c>
      <c r="D525" t="s">
        <v>2565</v>
      </c>
      <c r="E525" t="s">
        <v>2890</v>
      </c>
      <c r="F525" t="s">
        <v>2553</v>
      </c>
      <c r="G525" s="27">
        <v>44679</v>
      </c>
      <c r="I525" t="s">
        <v>2599</v>
      </c>
      <c r="J525" s="232">
        <v>3</v>
      </c>
      <c r="K525" s="1" t="s">
        <v>2711</v>
      </c>
      <c r="L525" t="s">
        <v>47</v>
      </c>
    </row>
    <row r="526" spans="1:12" ht="17.25" customHeight="1" x14ac:dyDescent="0.25">
      <c r="A526" t="s">
        <v>2554</v>
      </c>
      <c r="B526" s="232">
        <v>1</v>
      </c>
      <c r="C526" t="s">
        <v>932</v>
      </c>
      <c r="D526" t="s">
        <v>2565</v>
      </c>
      <c r="E526" t="s">
        <v>2890</v>
      </c>
      <c r="F526" t="s">
        <v>2553</v>
      </c>
      <c r="G526" s="27">
        <v>44679</v>
      </c>
      <c r="I526" t="s">
        <v>2555</v>
      </c>
      <c r="J526" s="232">
        <v>4</v>
      </c>
      <c r="K526" s="1" t="s">
        <v>2552</v>
      </c>
      <c r="L526" t="s">
        <v>1968</v>
      </c>
    </row>
    <row r="527" spans="1:12" ht="17.25" customHeight="1" x14ac:dyDescent="0.25">
      <c r="A527" t="s">
        <v>2554</v>
      </c>
      <c r="B527" s="232">
        <v>1</v>
      </c>
      <c r="C527" t="s">
        <v>932</v>
      </c>
      <c r="D527" t="s">
        <v>2565</v>
      </c>
      <c r="E527" t="s">
        <v>2890</v>
      </c>
      <c r="F527" t="s">
        <v>2553</v>
      </c>
      <c r="G527" s="27">
        <v>44679</v>
      </c>
      <c r="I527" t="s">
        <v>2557</v>
      </c>
      <c r="J527" s="232">
        <v>5</v>
      </c>
      <c r="K527" s="1" t="s">
        <v>2559</v>
      </c>
      <c r="L527" t="s">
        <v>47</v>
      </c>
    </row>
    <row r="528" spans="1:12" ht="17.25" customHeight="1" x14ac:dyDescent="0.25">
      <c r="A528" t="s">
        <v>2554</v>
      </c>
      <c r="B528" s="232">
        <v>1</v>
      </c>
      <c r="C528" t="s">
        <v>932</v>
      </c>
      <c r="D528" t="s">
        <v>2565</v>
      </c>
      <c r="E528" t="s">
        <v>2890</v>
      </c>
      <c r="F528" t="s">
        <v>2553</v>
      </c>
      <c r="G528" s="27">
        <v>44679</v>
      </c>
      <c r="I528" t="s">
        <v>2556</v>
      </c>
      <c r="J528" s="232">
        <v>6</v>
      </c>
      <c r="K528" s="1" t="s">
        <v>2713</v>
      </c>
      <c r="L528" t="s">
        <v>47</v>
      </c>
    </row>
    <row r="529" spans="1:12" ht="14.25" customHeight="1" x14ac:dyDescent="0.25">
      <c r="A529" t="s">
        <v>2554</v>
      </c>
      <c r="B529" s="232">
        <v>2</v>
      </c>
      <c r="C529" t="s">
        <v>932</v>
      </c>
      <c r="D529" t="s">
        <v>2565</v>
      </c>
      <c r="E529" t="s">
        <v>2603</v>
      </c>
      <c r="F529" t="s">
        <v>2553</v>
      </c>
      <c r="G529" s="27">
        <v>44679</v>
      </c>
      <c r="I529" t="s">
        <v>2601</v>
      </c>
      <c r="J529" s="232">
        <v>7</v>
      </c>
      <c r="K529" s="1" t="s">
        <v>2561</v>
      </c>
      <c r="L529" t="s">
        <v>47</v>
      </c>
    </row>
    <row r="530" spans="1:12" ht="14.25" customHeight="1" x14ac:dyDescent="0.25">
      <c r="A530" t="s">
        <v>2554</v>
      </c>
      <c r="B530" s="232">
        <v>2</v>
      </c>
      <c r="C530" t="s">
        <v>932</v>
      </c>
      <c r="D530" t="s">
        <v>2565</v>
      </c>
      <c r="E530" t="s">
        <v>2603</v>
      </c>
      <c r="F530" t="s">
        <v>2553</v>
      </c>
      <c r="G530" s="27">
        <v>44679</v>
      </c>
      <c r="I530" t="s">
        <v>2714</v>
      </c>
      <c r="J530" s="232">
        <v>8</v>
      </c>
      <c r="K530" s="1" t="s">
        <v>2715</v>
      </c>
      <c r="L530" t="s">
        <v>47</v>
      </c>
    </row>
    <row r="531" spans="1:12" ht="14.25" customHeight="1" x14ac:dyDescent="0.25">
      <c r="A531" t="s">
        <v>2554</v>
      </c>
      <c r="B531" s="232">
        <v>2</v>
      </c>
      <c r="C531" t="s">
        <v>932</v>
      </c>
      <c r="D531" t="s">
        <v>2565</v>
      </c>
      <c r="E531" t="s">
        <v>2603</v>
      </c>
      <c r="F531" t="s">
        <v>2553</v>
      </c>
      <c r="G531" s="27">
        <v>44679</v>
      </c>
      <c r="I531" s="228" t="s">
        <v>2716</v>
      </c>
      <c r="J531" s="232">
        <v>9</v>
      </c>
      <c r="K531" s="1" t="s">
        <v>2562</v>
      </c>
      <c r="L531" t="s">
        <v>47</v>
      </c>
    </row>
    <row r="532" spans="1:12" ht="14.25" customHeight="1" x14ac:dyDescent="0.25">
      <c r="A532" t="s">
        <v>2554</v>
      </c>
      <c r="B532" s="232">
        <v>2</v>
      </c>
      <c r="C532" t="s">
        <v>932</v>
      </c>
      <c r="D532" t="s">
        <v>2565</v>
      </c>
      <c r="E532" t="s">
        <v>2603</v>
      </c>
      <c r="F532" t="s">
        <v>2553</v>
      </c>
      <c r="G532" s="27">
        <v>44679</v>
      </c>
      <c r="I532" s="228" t="s">
        <v>2717</v>
      </c>
      <c r="J532" s="232">
        <v>10</v>
      </c>
      <c r="K532" s="1" t="s">
        <v>2718</v>
      </c>
      <c r="L532" t="s">
        <v>47</v>
      </c>
    </row>
    <row r="533" spans="1:12" ht="14.25" customHeight="1" x14ac:dyDescent="0.25">
      <c r="A533" t="s">
        <v>2554</v>
      </c>
      <c r="B533" s="232">
        <v>2</v>
      </c>
      <c r="C533" t="s">
        <v>932</v>
      </c>
      <c r="D533" t="s">
        <v>2565</v>
      </c>
      <c r="E533" t="s">
        <v>2603</v>
      </c>
      <c r="F533" t="s">
        <v>2553</v>
      </c>
      <c r="G533" s="27">
        <v>44679</v>
      </c>
      <c r="I533" t="s">
        <v>2719</v>
      </c>
      <c r="J533" s="232">
        <v>11</v>
      </c>
      <c r="K533" s="1" t="s">
        <v>2720</v>
      </c>
      <c r="L533" t="s">
        <v>47</v>
      </c>
    </row>
    <row r="534" spans="1:12" ht="14.25" customHeight="1" x14ac:dyDescent="0.25">
      <c r="A534" t="s">
        <v>2554</v>
      </c>
      <c r="B534" s="232">
        <v>2</v>
      </c>
      <c r="C534" t="s">
        <v>932</v>
      </c>
      <c r="D534" t="s">
        <v>2565</v>
      </c>
      <c r="E534" t="s">
        <v>2603</v>
      </c>
      <c r="F534" t="s">
        <v>2553</v>
      </c>
      <c r="G534" s="27">
        <v>44679</v>
      </c>
      <c r="I534" t="s">
        <v>2721</v>
      </c>
      <c r="J534" s="232">
        <v>12</v>
      </c>
      <c r="K534" s="1" t="s">
        <v>2722</v>
      </c>
      <c r="L534" t="s">
        <v>47</v>
      </c>
    </row>
    <row r="535" spans="1:12" ht="14.25" customHeight="1" x14ac:dyDescent="0.25">
      <c r="A535" t="s">
        <v>2554</v>
      </c>
      <c r="B535" s="232">
        <v>2</v>
      </c>
      <c r="C535" t="s">
        <v>932</v>
      </c>
      <c r="D535" t="s">
        <v>2565</v>
      </c>
      <c r="E535" t="s">
        <v>2603</v>
      </c>
      <c r="F535" t="s">
        <v>2553</v>
      </c>
      <c r="G535" s="27">
        <v>44679</v>
      </c>
      <c r="I535" s="228" t="s">
        <v>2724</v>
      </c>
      <c r="J535" s="232">
        <v>13</v>
      </c>
      <c r="K535" s="1" t="s">
        <v>2725</v>
      </c>
      <c r="L535" t="s">
        <v>47</v>
      </c>
    </row>
    <row r="536" spans="1:12" ht="14.25" customHeight="1" x14ac:dyDescent="0.25">
      <c r="A536" t="s">
        <v>2554</v>
      </c>
      <c r="B536" s="232">
        <v>3</v>
      </c>
      <c r="C536" t="s">
        <v>932</v>
      </c>
      <c r="D536" t="s">
        <v>2565</v>
      </c>
      <c r="E536" t="s">
        <v>2726</v>
      </c>
      <c r="F536" t="s">
        <v>2553</v>
      </c>
      <c r="G536" s="27">
        <v>44679</v>
      </c>
      <c r="I536" s="228" t="s">
        <v>2605</v>
      </c>
      <c r="J536" s="232">
        <v>14</v>
      </c>
      <c r="K536" s="1" t="s">
        <v>2727</v>
      </c>
      <c r="L536" t="s">
        <v>47</v>
      </c>
    </row>
    <row r="537" spans="1:12" ht="14.25" customHeight="1" x14ac:dyDescent="0.25">
      <c r="A537" t="s">
        <v>2554</v>
      </c>
      <c r="B537" s="232">
        <v>3</v>
      </c>
      <c r="C537" t="s">
        <v>932</v>
      </c>
      <c r="D537" t="s">
        <v>2565</v>
      </c>
      <c r="E537" t="s">
        <v>2726</v>
      </c>
      <c r="F537" t="s">
        <v>2553</v>
      </c>
      <c r="G537" s="27">
        <v>44679</v>
      </c>
      <c r="I537" s="228" t="s">
        <v>2607</v>
      </c>
      <c r="J537" s="232">
        <v>15</v>
      </c>
      <c r="K537" s="248" t="s">
        <v>2813</v>
      </c>
      <c r="L537" t="s">
        <v>47</v>
      </c>
    </row>
    <row r="538" spans="1:12" ht="14.25" customHeight="1" x14ac:dyDescent="0.25">
      <c r="A538" t="s">
        <v>2554</v>
      </c>
      <c r="B538" s="232">
        <v>3</v>
      </c>
      <c r="C538" t="s">
        <v>932</v>
      </c>
      <c r="D538" t="s">
        <v>2565</v>
      </c>
      <c r="E538" t="s">
        <v>2726</v>
      </c>
      <c r="F538" t="s">
        <v>2553</v>
      </c>
      <c r="G538" s="27">
        <v>44679</v>
      </c>
      <c r="I538" s="228" t="s">
        <v>2729</v>
      </c>
      <c r="J538" s="232">
        <v>16</v>
      </c>
      <c r="K538" s="1" t="s">
        <v>2563</v>
      </c>
      <c r="L538" t="s">
        <v>47</v>
      </c>
    </row>
    <row r="539" spans="1:12" ht="14.25" customHeight="1" x14ac:dyDescent="0.25">
      <c r="A539" t="s">
        <v>2554</v>
      </c>
      <c r="B539" s="232">
        <v>3</v>
      </c>
      <c r="C539" t="s">
        <v>932</v>
      </c>
      <c r="D539" t="s">
        <v>2565</v>
      </c>
      <c r="E539" t="s">
        <v>2726</v>
      </c>
      <c r="F539" t="s">
        <v>2553</v>
      </c>
      <c r="G539" s="27">
        <v>44679</v>
      </c>
      <c r="I539" s="228" t="s">
        <v>2730</v>
      </c>
      <c r="J539" s="232">
        <v>17</v>
      </c>
      <c r="K539" s="1" t="s">
        <v>2731</v>
      </c>
      <c r="L539" t="s">
        <v>47</v>
      </c>
    </row>
    <row r="540" spans="1:12" ht="14.25" customHeight="1" x14ac:dyDescent="0.25">
      <c r="A540" t="s">
        <v>2554</v>
      </c>
      <c r="B540" s="232">
        <v>3</v>
      </c>
      <c r="C540" t="s">
        <v>932</v>
      </c>
      <c r="D540" t="s">
        <v>2565</v>
      </c>
      <c r="E540" t="s">
        <v>2726</v>
      </c>
      <c r="F540" t="s">
        <v>2553</v>
      </c>
      <c r="G540" s="27">
        <v>44679</v>
      </c>
      <c r="I540" s="228" t="s">
        <v>2732</v>
      </c>
      <c r="J540" s="232">
        <v>18</v>
      </c>
      <c r="K540" s="1" t="s">
        <v>2731</v>
      </c>
      <c r="L540" t="s">
        <v>47</v>
      </c>
    </row>
    <row r="541" spans="1:12" ht="14.25" customHeight="1" x14ac:dyDescent="0.25">
      <c r="A541" t="s">
        <v>2554</v>
      </c>
      <c r="B541" s="232">
        <v>3</v>
      </c>
      <c r="C541" t="s">
        <v>932</v>
      </c>
      <c r="D541" t="s">
        <v>2565</v>
      </c>
      <c r="E541" t="s">
        <v>2726</v>
      </c>
      <c r="F541" t="s">
        <v>2553</v>
      </c>
      <c r="G541" s="27">
        <v>44679</v>
      </c>
      <c r="I541" s="228" t="s">
        <v>2734</v>
      </c>
      <c r="J541" s="232">
        <v>19</v>
      </c>
      <c r="K541" s="1" t="s">
        <v>2902</v>
      </c>
      <c r="L541" t="s">
        <v>1968</v>
      </c>
    </row>
    <row r="542" spans="1:12" ht="14.25" customHeight="1" x14ac:dyDescent="0.25">
      <c r="A542" t="s">
        <v>2554</v>
      </c>
      <c r="B542" s="232">
        <v>3</v>
      </c>
      <c r="C542" t="s">
        <v>932</v>
      </c>
      <c r="D542" t="s">
        <v>2565</v>
      </c>
      <c r="E542" t="s">
        <v>2726</v>
      </c>
      <c r="F542" t="s">
        <v>2553</v>
      </c>
      <c r="G542" s="27">
        <v>44679</v>
      </c>
      <c r="I542" s="228" t="s">
        <v>2736</v>
      </c>
      <c r="J542" s="232">
        <v>20</v>
      </c>
      <c r="K542" s="1" t="s">
        <v>2816</v>
      </c>
      <c r="L542" t="s">
        <v>47</v>
      </c>
    </row>
    <row r="543" spans="1:12" ht="14.25" customHeight="1" x14ac:dyDescent="0.25">
      <c r="A543" t="s">
        <v>2554</v>
      </c>
      <c r="B543" s="232">
        <v>3</v>
      </c>
      <c r="C543" t="s">
        <v>932</v>
      </c>
      <c r="D543" t="s">
        <v>2565</v>
      </c>
      <c r="E543" t="s">
        <v>2726</v>
      </c>
      <c r="F543" t="s">
        <v>2553</v>
      </c>
      <c r="G543" s="27">
        <v>44679</v>
      </c>
      <c r="I543" s="228" t="s">
        <v>2737</v>
      </c>
      <c r="J543" s="232">
        <v>21</v>
      </c>
      <c r="K543" s="1" t="s">
        <v>2733</v>
      </c>
      <c r="L543" t="s">
        <v>47</v>
      </c>
    </row>
    <row r="544" spans="1:12" ht="14.25" customHeight="1" x14ac:dyDescent="0.25">
      <c r="A544" t="s">
        <v>2554</v>
      </c>
      <c r="B544" s="232">
        <v>3</v>
      </c>
      <c r="C544" t="s">
        <v>932</v>
      </c>
      <c r="D544" t="s">
        <v>2565</v>
      </c>
      <c r="E544" t="s">
        <v>2726</v>
      </c>
      <c r="F544" t="s">
        <v>2553</v>
      </c>
      <c r="G544" s="27">
        <v>44679</v>
      </c>
      <c r="I544" s="228" t="s">
        <v>2738</v>
      </c>
      <c r="J544" s="232">
        <v>22</v>
      </c>
      <c r="K544" s="1" t="s">
        <v>2817</v>
      </c>
      <c r="L544" t="s">
        <v>47</v>
      </c>
    </row>
    <row r="545" spans="1:12" ht="14.25" customHeight="1" x14ac:dyDescent="0.25">
      <c r="A545" t="s">
        <v>2554</v>
      </c>
      <c r="B545" s="232">
        <v>3</v>
      </c>
      <c r="C545" t="s">
        <v>932</v>
      </c>
      <c r="D545" t="s">
        <v>2565</v>
      </c>
      <c r="E545" t="s">
        <v>2726</v>
      </c>
      <c r="F545" t="s">
        <v>2553</v>
      </c>
      <c r="G545" s="27">
        <v>44679</v>
      </c>
      <c r="I545" s="228" t="s">
        <v>2742</v>
      </c>
      <c r="J545" s="232">
        <v>23</v>
      </c>
      <c r="K545" s="1" t="s">
        <v>2818</v>
      </c>
      <c r="L545" t="s">
        <v>47</v>
      </c>
    </row>
    <row r="546" spans="1:12" ht="14.25" customHeight="1" x14ac:dyDescent="0.25">
      <c r="A546" t="s">
        <v>2554</v>
      </c>
      <c r="B546" s="232">
        <v>3</v>
      </c>
      <c r="C546" t="s">
        <v>932</v>
      </c>
      <c r="D546" t="s">
        <v>2565</v>
      </c>
      <c r="E546" t="s">
        <v>2726</v>
      </c>
      <c r="F546" t="s">
        <v>2553</v>
      </c>
      <c r="G546" s="27">
        <v>44679</v>
      </c>
      <c r="I546" s="228" t="s">
        <v>2819</v>
      </c>
      <c r="J546" s="232">
        <v>24</v>
      </c>
      <c r="K546" s="1" t="s">
        <v>2820</v>
      </c>
      <c r="L546" t="s">
        <v>47</v>
      </c>
    </row>
    <row r="547" spans="1:12" ht="14.25" customHeight="1" x14ac:dyDescent="0.25">
      <c r="A547" t="s">
        <v>2554</v>
      </c>
      <c r="B547" s="232">
        <v>3</v>
      </c>
      <c r="C547" t="s">
        <v>932</v>
      </c>
      <c r="D547" t="s">
        <v>2565</v>
      </c>
      <c r="E547" t="s">
        <v>2726</v>
      </c>
      <c r="F547" t="s">
        <v>2553</v>
      </c>
      <c r="G547" s="27">
        <v>44679</v>
      </c>
      <c r="I547" s="228" t="s">
        <v>2821</v>
      </c>
      <c r="J547" s="232">
        <v>25</v>
      </c>
      <c r="K547" s="1" t="s">
        <v>2903</v>
      </c>
      <c r="L547" t="s">
        <v>1968</v>
      </c>
    </row>
    <row r="548" spans="1:12" ht="14.25" customHeight="1" x14ac:dyDescent="0.25">
      <c r="A548" t="s">
        <v>2554</v>
      </c>
      <c r="B548" s="232">
        <v>3</v>
      </c>
      <c r="C548" t="s">
        <v>932</v>
      </c>
      <c r="D548" t="s">
        <v>2565</v>
      </c>
      <c r="E548" t="s">
        <v>2726</v>
      </c>
      <c r="F548" t="s">
        <v>2553</v>
      </c>
      <c r="G548" s="27">
        <v>44679</v>
      </c>
      <c r="I548" s="228" t="s">
        <v>2823</v>
      </c>
      <c r="J548" s="232">
        <v>26</v>
      </c>
      <c r="K548" s="1" t="s">
        <v>2735</v>
      </c>
      <c r="L548" t="s">
        <v>47</v>
      </c>
    </row>
    <row r="549" spans="1:12" ht="14.25" customHeight="1" x14ac:dyDescent="0.25">
      <c r="A549" t="s">
        <v>2554</v>
      </c>
      <c r="B549" s="232">
        <v>3</v>
      </c>
      <c r="C549" t="s">
        <v>932</v>
      </c>
      <c r="D549" t="s">
        <v>2565</v>
      </c>
      <c r="E549" t="s">
        <v>2726</v>
      </c>
      <c r="F549" t="s">
        <v>2553</v>
      </c>
      <c r="G549" s="27">
        <v>44679</v>
      </c>
      <c r="I549" s="228" t="s">
        <v>2825</v>
      </c>
      <c r="J549" s="232">
        <v>27</v>
      </c>
      <c r="K549" s="1" t="s">
        <v>2568</v>
      </c>
      <c r="L549" t="s">
        <v>1968</v>
      </c>
    </row>
    <row r="550" spans="1:12" ht="14.25" customHeight="1" x14ac:dyDescent="0.25">
      <c r="A550" t="s">
        <v>2554</v>
      </c>
      <c r="B550" s="232">
        <v>3</v>
      </c>
      <c r="C550" t="s">
        <v>932</v>
      </c>
      <c r="D550" t="s">
        <v>2565</v>
      </c>
      <c r="E550" t="s">
        <v>2726</v>
      </c>
      <c r="F550" t="s">
        <v>2553</v>
      </c>
      <c r="G550" s="27">
        <v>44679</v>
      </c>
      <c r="I550" s="228" t="s">
        <v>2826</v>
      </c>
      <c r="J550" s="232">
        <v>28</v>
      </c>
      <c r="K550" s="1" t="s">
        <v>2569</v>
      </c>
      <c r="L550" t="s">
        <v>47</v>
      </c>
    </row>
    <row r="551" spans="1:12" ht="14.25" customHeight="1" x14ac:dyDescent="0.25">
      <c r="A551" t="s">
        <v>2554</v>
      </c>
      <c r="B551" s="232">
        <v>3</v>
      </c>
      <c r="C551" t="s">
        <v>932</v>
      </c>
      <c r="D551" t="s">
        <v>2565</v>
      </c>
      <c r="E551" t="s">
        <v>2726</v>
      </c>
      <c r="F551" t="s">
        <v>2553</v>
      </c>
      <c r="G551" s="27">
        <v>44679</v>
      </c>
      <c r="I551" s="228" t="s">
        <v>2827</v>
      </c>
      <c r="J551" s="232">
        <v>29</v>
      </c>
      <c r="K551" s="1" t="s">
        <v>2828</v>
      </c>
      <c r="L551" t="s">
        <v>1968</v>
      </c>
    </row>
    <row r="552" spans="1:12" ht="14.25" customHeight="1" x14ac:dyDescent="0.25">
      <c r="A552" t="s">
        <v>2554</v>
      </c>
      <c r="B552" s="232">
        <v>3</v>
      </c>
      <c r="C552" t="s">
        <v>932</v>
      </c>
      <c r="D552" t="s">
        <v>2565</v>
      </c>
      <c r="E552" t="s">
        <v>2726</v>
      </c>
      <c r="F552" t="s">
        <v>2553</v>
      </c>
      <c r="G552" s="27">
        <v>44679</v>
      </c>
      <c r="I552" s="228" t="s">
        <v>2830</v>
      </c>
      <c r="J552" s="232">
        <v>30</v>
      </c>
      <c r="K552" s="1" t="s">
        <v>2741</v>
      </c>
      <c r="L552" t="s">
        <v>1968</v>
      </c>
    </row>
    <row r="553" spans="1:12" ht="14.25" customHeight="1" x14ac:dyDescent="0.25">
      <c r="A553" t="s">
        <v>2554</v>
      </c>
      <c r="B553" s="232">
        <v>3</v>
      </c>
      <c r="C553" t="s">
        <v>932</v>
      </c>
      <c r="D553" t="s">
        <v>2565</v>
      </c>
      <c r="E553" t="s">
        <v>2726</v>
      </c>
      <c r="F553" t="s">
        <v>2553</v>
      </c>
      <c r="G553" s="27">
        <v>44679</v>
      </c>
      <c r="I553" s="228" t="s">
        <v>2829</v>
      </c>
      <c r="J553" s="232">
        <v>31</v>
      </c>
      <c r="K553" s="1" t="s">
        <v>2831</v>
      </c>
      <c r="L553" t="s">
        <v>47</v>
      </c>
    </row>
    <row r="554" spans="1:12" ht="14.25" customHeight="1" x14ac:dyDescent="0.25">
      <c r="A554" t="s">
        <v>2554</v>
      </c>
      <c r="B554" s="232">
        <v>4</v>
      </c>
      <c r="C554" t="s">
        <v>932</v>
      </c>
      <c r="D554" t="s">
        <v>2565</v>
      </c>
      <c r="E554" t="s">
        <v>2746</v>
      </c>
      <c r="F554" t="s">
        <v>2553</v>
      </c>
      <c r="G554" s="27">
        <v>44679</v>
      </c>
      <c r="I554" t="s">
        <v>2610</v>
      </c>
      <c r="J554" s="232">
        <v>32</v>
      </c>
      <c r="K554" s="1" t="s">
        <v>2743</v>
      </c>
      <c r="L554" t="s">
        <v>47</v>
      </c>
    </row>
    <row r="555" spans="1:12" ht="14.25" customHeight="1" x14ac:dyDescent="0.25">
      <c r="A555" t="s">
        <v>2554</v>
      </c>
      <c r="B555" s="232">
        <v>4</v>
      </c>
      <c r="C555" t="s">
        <v>932</v>
      </c>
      <c r="D555" t="s">
        <v>2565</v>
      </c>
      <c r="E555" t="s">
        <v>2746</v>
      </c>
      <c r="F555" t="s">
        <v>2553</v>
      </c>
      <c r="G555" s="27">
        <v>44679</v>
      </c>
      <c r="I555" t="s">
        <v>2612</v>
      </c>
      <c r="J555" s="232">
        <v>33</v>
      </c>
      <c r="K555" s="1" t="s">
        <v>2744</v>
      </c>
      <c r="L555" t="s">
        <v>47</v>
      </c>
    </row>
    <row r="556" spans="1:12" ht="14.25" customHeight="1" x14ac:dyDescent="0.25">
      <c r="A556" t="s">
        <v>2554</v>
      </c>
      <c r="B556" s="232">
        <v>4</v>
      </c>
      <c r="C556" t="s">
        <v>932</v>
      </c>
      <c r="D556" t="s">
        <v>2565</v>
      </c>
      <c r="E556" t="s">
        <v>2746</v>
      </c>
      <c r="F556" t="s">
        <v>2553</v>
      </c>
      <c r="G556" s="27">
        <v>44679</v>
      </c>
      <c r="I556" t="s">
        <v>2614</v>
      </c>
      <c r="J556" s="232">
        <v>34</v>
      </c>
      <c r="K556" s="1" t="s">
        <v>2745</v>
      </c>
      <c r="L556" t="s">
        <v>47</v>
      </c>
    </row>
    <row r="557" spans="1:12" ht="14.25" customHeight="1" x14ac:dyDescent="0.25">
      <c r="A557" t="s">
        <v>2554</v>
      </c>
      <c r="B557" s="232">
        <v>4</v>
      </c>
      <c r="C557" t="s">
        <v>932</v>
      </c>
      <c r="D557" t="s">
        <v>2565</v>
      </c>
      <c r="E557" t="s">
        <v>2746</v>
      </c>
      <c r="F557" t="s">
        <v>2553</v>
      </c>
      <c r="G557" s="27">
        <v>44679</v>
      </c>
      <c r="I557" t="s">
        <v>2617</v>
      </c>
      <c r="J557" s="232">
        <v>35</v>
      </c>
      <c r="K557" s="248" t="s">
        <v>2747</v>
      </c>
      <c r="L557" t="s">
        <v>47</v>
      </c>
    </row>
    <row r="558" spans="1:12" ht="14.25" customHeight="1" x14ac:dyDescent="0.25">
      <c r="A558" t="s">
        <v>2554</v>
      </c>
      <c r="B558" s="232">
        <v>4</v>
      </c>
      <c r="C558" t="s">
        <v>932</v>
      </c>
      <c r="D558" t="s">
        <v>2565</v>
      </c>
      <c r="E558" t="s">
        <v>2746</v>
      </c>
      <c r="F558" t="s">
        <v>2553</v>
      </c>
      <c r="G558" s="27">
        <v>44679</v>
      </c>
      <c r="I558" t="s">
        <v>2621</v>
      </c>
      <c r="J558" s="232">
        <v>36</v>
      </c>
      <c r="K558" s="1" t="s">
        <v>2832</v>
      </c>
      <c r="L558" t="s">
        <v>47</v>
      </c>
    </row>
    <row r="559" spans="1:12" ht="14.25" customHeight="1" x14ac:dyDescent="0.25">
      <c r="A559" t="s">
        <v>2554</v>
      </c>
      <c r="B559" s="232">
        <v>4</v>
      </c>
      <c r="C559" t="s">
        <v>932</v>
      </c>
      <c r="D559" t="s">
        <v>2565</v>
      </c>
      <c r="E559" t="s">
        <v>2746</v>
      </c>
      <c r="F559" t="s">
        <v>2553</v>
      </c>
      <c r="G559" s="27">
        <v>44679</v>
      </c>
      <c r="I559" t="s">
        <v>2749</v>
      </c>
      <c r="J559" s="232">
        <v>37</v>
      </c>
      <c r="K559" s="1" t="s">
        <v>2750</v>
      </c>
      <c r="L559" t="s">
        <v>47</v>
      </c>
    </row>
    <row r="560" spans="1:12" ht="14.25" customHeight="1" x14ac:dyDescent="0.25">
      <c r="A560" t="s">
        <v>2554</v>
      </c>
      <c r="B560" s="232">
        <v>5</v>
      </c>
      <c r="C560" t="s">
        <v>932</v>
      </c>
      <c r="D560" t="s">
        <v>2565</v>
      </c>
      <c r="E560" t="s">
        <v>2622</v>
      </c>
      <c r="F560" t="s">
        <v>2553</v>
      </c>
      <c r="G560" s="27">
        <v>44679</v>
      </c>
      <c r="I560" t="s">
        <v>2623</v>
      </c>
      <c r="J560" s="232">
        <v>38</v>
      </c>
      <c r="K560" s="1" t="s">
        <v>2564</v>
      </c>
      <c r="L560" t="s">
        <v>47</v>
      </c>
    </row>
    <row r="561" spans="1:12" ht="14.25" customHeight="1" x14ac:dyDescent="0.25">
      <c r="A561" t="s">
        <v>2554</v>
      </c>
      <c r="B561" s="232">
        <v>5</v>
      </c>
      <c r="C561" t="s">
        <v>932</v>
      </c>
      <c r="D561" t="s">
        <v>2565</v>
      </c>
      <c r="E561" t="s">
        <v>2622</v>
      </c>
      <c r="F561" t="s">
        <v>2553</v>
      </c>
      <c r="G561" s="27">
        <v>44679</v>
      </c>
      <c r="I561" s="228" t="s">
        <v>2627</v>
      </c>
      <c r="J561" s="232">
        <v>39</v>
      </c>
      <c r="K561" s="1" t="s">
        <v>2751</v>
      </c>
      <c r="L561" t="s">
        <v>47</v>
      </c>
    </row>
    <row r="562" spans="1:12" ht="14.25" customHeight="1" x14ac:dyDescent="0.25">
      <c r="A562" t="s">
        <v>2554</v>
      </c>
      <c r="B562" s="232">
        <v>5</v>
      </c>
      <c r="C562" t="s">
        <v>932</v>
      </c>
      <c r="D562" t="s">
        <v>2565</v>
      </c>
      <c r="E562" t="s">
        <v>2622</v>
      </c>
      <c r="F562" t="s">
        <v>2553</v>
      </c>
      <c r="G562" s="27">
        <v>44679</v>
      </c>
      <c r="I562" t="s">
        <v>2752</v>
      </c>
      <c r="J562" s="232">
        <v>40</v>
      </c>
      <c r="K562" s="1" t="s">
        <v>2753</v>
      </c>
      <c r="L562" t="s">
        <v>47</v>
      </c>
    </row>
    <row r="563" spans="1:12" ht="14.25" customHeight="1" x14ac:dyDescent="0.25">
      <c r="A563" t="s">
        <v>2554</v>
      </c>
      <c r="B563" s="232">
        <v>6</v>
      </c>
      <c r="C563" t="s">
        <v>932</v>
      </c>
      <c r="D563" t="s">
        <v>2565</v>
      </c>
      <c r="E563" t="s">
        <v>2629</v>
      </c>
      <c r="F563" t="s">
        <v>2553</v>
      </c>
      <c r="G563" s="27">
        <v>44679</v>
      </c>
      <c r="I563" t="s">
        <v>2630</v>
      </c>
      <c r="J563" s="232">
        <v>41</v>
      </c>
      <c r="K563" s="1" t="s">
        <v>2754</v>
      </c>
      <c r="L563" t="s">
        <v>47</v>
      </c>
    </row>
    <row r="564" spans="1:12" ht="14.25" customHeight="1" x14ac:dyDescent="0.25">
      <c r="A564" t="s">
        <v>2554</v>
      </c>
      <c r="B564" s="232">
        <v>6</v>
      </c>
      <c r="C564" t="s">
        <v>932</v>
      </c>
      <c r="D564" t="s">
        <v>2565</v>
      </c>
      <c r="E564" t="s">
        <v>2629</v>
      </c>
      <c r="F564" t="s">
        <v>2553</v>
      </c>
      <c r="G564" s="27">
        <v>44679</v>
      </c>
      <c r="I564" t="s">
        <v>2632</v>
      </c>
      <c r="J564" s="232">
        <v>42</v>
      </c>
      <c r="K564" s="1" t="s">
        <v>2755</v>
      </c>
      <c r="L564" t="s">
        <v>47</v>
      </c>
    </row>
    <row r="565" spans="1:12" ht="14.25" customHeight="1" x14ac:dyDescent="0.25">
      <c r="A565" t="s">
        <v>2554</v>
      </c>
      <c r="B565" s="232">
        <v>6</v>
      </c>
      <c r="C565" t="s">
        <v>932</v>
      </c>
      <c r="D565" t="s">
        <v>2565</v>
      </c>
      <c r="E565" t="s">
        <v>2629</v>
      </c>
      <c r="F565" t="s">
        <v>2553</v>
      </c>
      <c r="G565" s="27">
        <v>44679</v>
      </c>
      <c r="I565" t="s">
        <v>2636</v>
      </c>
      <c r="J565" s="232">
        <v>43</v>
      </c>
      <c r="K565" s="1" t="s">
        <v>2922</v>
      </c>
      <c r="L565" t="s">
        <v>47</v>
      </c>
    </row>
    <row r="566" spans="1:12" ht="14.25" customHeight="1" x14ac:dyDescent="0.25">
      <c r="A566" t="s">
        <v>2554</v>
      </c>
      <c r="B566" s="232">
        <v>6</v>
      </c>
      <c r="C566" t="s">
        <v>932</v>
      </c>
      <c r="D566" t="s">
        <v>2565</v>
      </c>
      <c r="E566" t="s">
        <v>2629</v>
      </c>
      <c r="F566" t="s">
        <v>2553</v>
      </c>
      <c r="G566" s="27">
        <v>44679</v>
      </c>
      <c r="I566" t="s">
        <v>2638</v>
      </c>
      <c r="J566" s="232">
        <v>44</v>
      </c>
      <c r="K566" s="1" t="s">
        <v>2756</v>
      </c>
      <c r="L566" t="s">
        <v>47</v>
      </c>
    </row>
    <row r="567" spans="1:12" ht="14.25" customHeight="1" x14ac:dyDescent="0.25">
      <c r="A567" t="s">
        <v>2554</v>
      </c>
      <c r="B567" s="232">
        <v>6</v>
      </c>
      <c r="C567" t="s">
        <v>932</v>
      </c>
      <c r="D567" t="s">
        <v>2565</v>
      </c>
      <c r="E567" t="s">
        <v>2629</v>
      </c>
      <c r="F567" t="s">
        <v>2553</v>
      </c>
      <c r="G567" s="27">
        <v>44679</v>
      </c>
      <c r="I567" t="s">
        <v>2757</v>
      </c>
      <c r="J567" s="232">
        <v>45</v>
      </c>
      <c r="K567" s="1" t="s">
        <v>2758</v>
      </c>
      <c r="L567" t="s">
        <v>47</v>
      </c>
    </row>
    <row r="568" spans="1:12" ht="14.25" customHeight="1" x14ac:dyDescent="0.25">
      <c r="A568" t="s">
        <v>2554</v>
      </c>
      <c r="B568" s="232">
        <v>6</v>
      </c>
      <c r="C568" t="s">
        <v>932</v>
      </c>
      <c r="D568" t="s">
        <v>2565</v>
      </c>
      <c r="E568" t="s">
        <v>2629</v>
      </c>
      <c r="F568" t="s">
        <v>2553</v>
      </c>
      <c r="G568" s="27">
        <v>44679</v>
      </c>
      <c r="I568" t="s">
        <v>2759</v>
      </c>
      <c r="J568" s="232">
        <v>46</v>
      </c>
      <c r="K568" s="1" t="s">
        <v>2760</v>
      </c>
      <c r="L568" t="s">
        <v>47</v>
      </c>
    </row>
    <row r="569" spans="1:12" ht="14.25" customHeight="1" x14ac:dyDescent="0.25">
      <c r="A569" t="s">
        <v>2554</v>
      </c>
      <c r="B569" s="232">
        <v>7</v>
      </c>
      <c r="C569" t="s">
        <v>932</v>
      </c>
      <c r="D569" t="s">
        <v>2565</v>
      </c>
      <c r="E569" t="s">
        <v>2764</v>
      </c>
      <c r="F569" t="s">
        <v>2553</v>
      </c>
      <c r="G569" s="27">
        <v>44679</v>
      </c>
      <c r="I569" t="s">
        <v>2643</v>
      </c>
      <c r="J569" s="232">
        <v>47</v>
      </c>
      <c r="K569" s="1" t="s">
        <v>2765</v>
      </c>
      <c r="L569" t="s">
        <v>47</v>
      </c>
    </row>
    <row r="570" spans="1:12" ht="14.25" customHeight="1" x14ac:dyDescent="0.25">
      <c r="A570" t="s">
        <v>2554</v>
      </c>
      <c r="B570" s="232">
        <v>7</v>
      </c>
      <c r="C570" t="s">
        <v>932</v>
      </c>
      <c r="D570" t="s">
        <v>2565</v>
      </c>
      <c r="E570" t="s">
        <v>2764</v>
      </c>
      <c r="F570" t="s">
        <v>2553</v>
      </c>
      <c r="G570" s="27">
        <v>44679</v>
      </c>
      <c r="I570" t="s">
        <v>2649</v>
      </c>
      <c r="J570" s="232">
        <v>48</v>
      </c>
      <c r="K570" s="1" t="s">
        <v>2766</v>
      </c>
      <c r="L570" t="s">
        <v>1968</v>
      </c>
    </row>
    <row r="571" spans="1:12" ht="14.25" customHeight="1" x14ac:dyDescent="0.25">
      <c r="A571" t="s">
        <v>2554</v>
      </c>
      <c r="B571" s="232">
        <v>7</v>
      </c>
      <c r="C571" t="s">
        <v>932</v>
      </c>
      <c r="D571" t="s">
        <v>2565</v>
      </c>
      <c r="E571" t="s">
        <v>2764</v>
      </c>
      <c r="F571" t="s">
        <v>2553</v>
      </c>
      <c r="G571" s="27">
        <v>44679</v>
      </c>
      <c r="I571" t="s">
        <v>2651</v>
      </c>
      <c r="J571" s="232">
        <v>49</v>
      </c>
      <c r="K571" s="1" t="s">
        <v>2767</v>
      </c>
      <c r="L571" t="s">
        <v>47</v>
      </c>
    </row>
    <row r="572" spans="1:12" ht="14.25" customHeight="1" x14ac:dyDescent="0.25">
      <c r="A572" t="s">
        <v>2554</v>
      </c>
      <c r="B572" s="232">
        <v>8</v>
      </c>
      <c r="C572" t="s">
        <v>932</v>
      </c>
      <c r="D572" t="s">
        <v>2565</v>
      </c>
      <c r="E572" t="s">
        <v>2906</v>
      </c>
      <c r="F572" t="s">
        <v>2553</v>
      </c>
      <c r="G572" s="27">
        <v>44679</v>
      </c>
      <c r="I572" t="s">
        <v>2663</v>
      </c>
      <c r="J572" s="232">
        <v>50</v>
      </c>
      <c r="K572" s="1" t="s">
        <v>2907</v>
      </c>
      <c r="L572" t="s">
        <v>47</v>
      </c>
    </row>
    <row r="573" spans="1:12" ht="14.25" customHeight="1" x14ac:dyDescent="0.25">
      <c r="A573" t="s">
        <v>2554</v>
      </c>
      <c r="B573" s="232">
        <v>8</v>
      </c>
      <c r="C573" t="s">
        <v>932</v>
      </c>
      <c r="D573" t="s">
        <v>2565</v>
      </c>
      <c r="E573" t="s">
        <v>2906</v>
      </c>
      <c r="F573" t="s">
        <v>2553</v>
      </c>
      <c r="G573" s="27">
        <v>44679</v>
      </c>
      <c r="I573" t="s">
        <v>2664</v>
      </c>
      <c r="J573" s="232">
        <v>51</v>
      </c>
      <c r="K573" s="248" t="s">
        <v>2908</v>
      </c>
      <c r="L573" t="s">
        <v>47</v>
      </c>
    </row>
    <row r="574" spans="1:12" ht="14.25" customHeight="1" x14ac:dyDescent="0.25">
      <c r="A574" t="s">
        <v>2554</v>
      </c>
      <c r="B574" s="232">
        <v>8</v>
      </c>
      <c r="C574" t="s">
        <v>932</v>
      </c>
      <c r="D574" t="s">
        <v>2565</v>
      </c>
      <c r="E574" t="s">
        <v>2906</v>
      </c>
      <c r="F574" t="s">
        <v>2553</v>
      </c>
      <c r="G574" s="27">
        <v>44679</v>
      </c>
      <c r="I574" t="s">
        <v>2665</v>
      </c>
      <c r="J574" s="232">
        <v>52</v>
      </c>
      <c r="K574" s="1" t="s">
        <v>2848</v>
      </c>
      <c r="L574" t="s">
        <v>1968</v>
      </c>
    </row>
    <row r="575" spans="1:12" ht="14.25" customHeight="1" x14ac:dyDescent="0.25">
      <c r="A575" t="s">
        <v>2554</v>
      </c>
      <c r="B575" s="232">
        <v>8</v>
      </c>
      <c r="C575" t="s">
        <v>932</v>
      </c>
      <c r="D575" t="s">
        <v>2565</v>
      </c>
      <c r="E575" t="s">
        <v>2906</v>
      </c>
      <c r="F575" t="s">
        <v>2553</v>
      </c>
      <c r="G575" s="27">
        <v>44679</v>
      </c>
      <c r="I575" t="s">
        <v>2771</v>
      </c>
      <c r="J575" s="232">
        <v>53</v>
      </c>
      <c r="K575" s="1" t="s">
        <v>2849</v>
      </c>
      <c r="L575" t="s">
        <v>1968</v>
      </c>
    </row>
    <row r="576" spans="1:12" ht="14.25" customHeight="1" x14ac:dyDescent="0.25">
      <c r="A576" t="s">
        <v>2554</v>
      </c>
      <c r="B576" s="232">
        <v>8</v>
      </c>
      <c r="C576" t="s">
        <v>932</v>
      </c>
      <c r="D576" t="s">
        <v>2565</v>
      </c>
      <c r="E576" t="s">
        <v>2906</v>
      </c>
      <c r="F576" t="s">
        <v>2553</v>
      </c>
      <c r="G576" s="27">
        <v>44679</v>
      </c>
      <c r="I576" t="s">
        <v>2773</v>
      </c>
      <c r="J576" s="232">
        <v>54</v>
      </c>
      <c r="K576" s="1" t="s">
        <v>2850</v>
      </c>
      <c r="L576" t="s">
        <v>47</v>
      </c>
    </row>
    <row r="577" spans="1:12" ht="14.25" customHeight="1" x14ac:dyDescent="0.25">
      <c r="A577" t="s">
        <v>2554</v>
      </c>
      <c r="B577" s="232">
        <v>8</v>
      </c>
      <c r="C577" t="s">
        <v>932</v>
      </c>
      <c r="D577" t="s">
        <v>2565</v>
      </c>
      <c r="E577" t="s">
        <v>2906</v>
      </c>
      <c r="F577" t="s">
        <v>2553</v>
      </c>
      <c r="G577" s="27">
        <v>44679</v>
      </c>
      <c r="I577" t="s">
        <v>2775</v>
      </c>
      <c r="J577" s="232">
        <v>55</v>
      </c>
      <c r="K577" s="1" t="s">
        <v>2776</v>
      </c>
      <c r="L577" t="s">
        <v>47</v>
      </c>
    </row>
    <row r="578" spans="1:12" ht="14.25" customHeight="1" x14ac:dyDescent="0.25">
      <c r="A578" t="s">
        <v>2554</v>
      </c>
      <c r="B578" s="232">
        <v>9</v>
      </c>
      <c r="C578" t="s">
        <v>932</v>
      </c>
      <c r="D578" t="s">
        <v>2565</v>
      </c>
      <c r="E578" t="s">
        <v>2779</v>
      </c>
      <c r="F578" t="s">
        <v>2553</v>
      </c>
      <c r="G578" s="27">
        <v>44679</v>
      </c>
      <c r="I578" t="s">
        <v>2669</v>
      </c>
      <c r="J578" s="232">
        <v>56</v>
      </c>
      <c r="K578" s="1" t="s">
        <v>2780</v>
      </c>
      <c r="L578" t="s">
        <v>47</v>
      </c>
    </row>
    <row r="579" spans="1:12" ht="14.25" customHeight="1" x14ac:dyDescent="0.25">
      <c r="A579" t="s">
        <v>2554</v>
      </c>
      <c r="B579" s="232">
        <v>9</v>
      </c>
      <c r="C579" t="s">
        <v>932</v>
      </c>
      <c r="D579" t="s">
        <v>2565</v>
      </c>
      <c r="E579" t="s">
        <v>2779</v>
      </c>
      <c r="F579" t="s">
        <v>2553</v>
      </c>
      <c r="G579" s="27">
        <v>44679</v>
      </c>
      <c r="I579" t="s">
        <v>2782</v>
      </c>
      <c r="J579" s="232">
        <v>57</v>
      </c>
      <c r="K579" s="1" t="s">
        <v>2570</v>
      </c>
      <c r="L579" t="s">
        <v>47</v>
      </c>
    </row>
    <row r="580" spans="1:12" ht="14.25" customHeight="1" x14ac:dyDescent="0.25">
      <c r="A580" t="s">
        <v>2554</v>
      </c>
      <c r="B580" s="232">
        <v>9</v>
      </c>
      <c r="C580" t="s">
        <v>932</v>
      </c>
      <c r="D580" t="s">
        <v>2565</v>
      </c>
      <c r="E580" t="s">
        <v>2779</v>
      </c>
      <c r="F580" t="s">
        <v>2553</v>
      </c>
      <c r="G580" s="27">
        <v>44679</v>
      </c>
      <c r="I580" t="s">
        <v>2673</v>
      </c>
      <c r="J580" s="232">
        <v>58</v>
      </c>
      <c r="K580" s="1" t="s">
        <v>2571</v>
      </c>
      <c r="L580" t="s">
        <v>47</v>
      </c>
    </row>
    <row r="581" spans="1:12" ht="14.25" customHeight="1" x14ac:dyDescent="0.25">
      <c r="A581" t="s">
        <v>2554</v>
      </c>
      <c r="B581" s="232">
        <v>9</v>
      </c>
      <c r="C581" t="s">
        <v>932</v>
      </c>
      <c r="D581" t="s">
        <v>2565</v>
      </c>
      <c r="E581" t="s">
        <v>2779</v>
      </c>
      <c r="F581" t="s">
        <v>2553</v>
      </c>
      <c r="G581" s="27">
        <v>44679</v>
      </c>
      <c r="I581" t="s">
        <v>2681</v>
      </c>
      <c r="J581" s="232">
        <v>59</v>
      </c>
      <c r="K581" s="1" t="s">
        <v>2572</v>
      </c>
      <c r="L581" t="s">
        <v>47</v>
      </c>
    </row>
    <row r="582" spans="1:12" ht="14.25" customHeight="1" x14ac:dyDescent="0.25">
      <c r="A582" t="s">
        <v>2554</v>
      </c>
      <c r="B582" s="232">
        <v>9</v>
      </c>
      <c r="C582" t="s">
        <v>932</v>
      </c>
      <c r="D582" t="s">
        <v>2565</v>
      </c>
      <c r="E582" t="s">
        <v>2779</v>
      </c>
      <c r="F582" t="s">
        <v>2553</v>
      </c>
      <c r="G582" s="27">
        <v>44679</v>
      </c>
      <c r="I582" t="s">
        <v>2683</v>
      </c>
      <c r="J582" s="232">
        <v>60</v>
      </c>
      <c r="K582" s="1" t="s">
        <v>2573</v>
      </c>
      <c r="L582" t="s">
        <v>47</v>
      </c>
    </row>
    <row r="583" spans="1:12" ht="14.25" customHeight="1" x14ac:dyDescent="0.25">
      <c r="A583" t="s">
        <v>2554</v>
      </c>
      <c r="B583" s="232">
        <v>10</v>
      </c>
      <c r="C583" t="s">
        <v>932</v>
      </c>
      <c r="D583" t="s">
        <v>2565</v>
      </c>
      <c r="E583" t="s">
        <v>2783</v>
      </c>
      <c r="F583" t="s">
        <v>2553</v>
      </c>
      <c r="G583" s="27">
        <v>44679</v>
      </c>
      <c r="I583" t="s">
        <v>2784</v>
      </c>
      <c r="J583" s="232">
        <v>61</v>
      </c>
      <c r="K583" s="1" t="s">
        <v>2574</v>
      </c>
      <c r="L583" t="s">
        <v>47</v>
      </c>
    </row>
    <row r="584" spans="1:12" ht="14.25" customHeight="1" x14ac:dyDescent="0.25">
      <c r="A584" t="s">
        <v>2554</v>
      </c>
      <c r="B584" s="232">
        <v>10</v>
      </c>
      <c r="C584" t="s">
        <v>932</v>
      </c>
      <c r="D584" t="s">
        <v>2565</v>
      </c>
      <c r="E584" t="s">
        <v>2783</v>
      </c>
      <c r="F584" t="s">
        <v>2553</v>
      </c>
      <c r="G584" s="27">
        <v>44679</v>
      </c>
      <c r="I584" t="s">
        <v>2785</v>
      </c>
      <c r="J584" s="232">
        <v>62</v>
      </c>
      <c r="K584" s="1" t="s">
        <v>2575</v>
      </c>
      <c r="L584" t="s">
        <v>47</v>
      </c>
    </row>
    <row r="585" spans="1:12" ht="14.25" customHeight="1" x14ac:dyDescent="0.25">
      <c r="A585" t="s">
        <v>2554</v>
      </c>
      <c r="B585" s="232">
        <v>10</v>
      </c>
      <c r="C585" t="s">
        <v>932</v>
      </c>
      <c r="D585" t="s">
        <v>2565</v>
      </c>
      <c r="E585" t="s">
        <v>2783</v>
      </c>
      <c r="F585" t="s">
        <v>2553</v>
      </c>
      <c r="G585" s="27">
        <v>44679</v>
      </c>
      <c r="I585" t="s">
        <v>2786</v>
      </c>
      <c r="J585" s="232">
        <v>63</v>
      </c>
      <c r="K585" s="1" t="s">
        <v>2576</v>
      </c>
      <c r="L585" t="s">
        <v>47</v>
      </c>
    </row>
    <row r="586" spans="1:12" ht="14.25" customHeight="1" x14ac:dyDescent="0.25">
      <c r="A586" t="s">
        <v>2554</v>
      </c>
      <c r="B586" s="232">
        <v>10</v>
      </c>
      <c r="C586" t="s">
        <v>932</v>
      </c>
      <c r="D586" t="s">
        <v>2565</v>
      </c>
      <c r="E586" t="s">
        <v>2783</v>
      </c>
      <c r="F586" t="s">
        <v>2553</v>
      </c>
      <c r="G586" s="27">
        <v>44679</v>
      </c>
      <c r="I586" t="s">
        <v>2787</v>
      </c>
      <c r="J586" s="232">
        <v>64</v>
      </c>
      <c r="K586" s="1" t="s">
        <v>2577</v>
      </c>
      <c r="L586" t="s">
        <v>1968</v>
      </c>
    </row>
    <row r="587" spans="1:12" ht="14.25" customHeight="1" x14ac:dyDescent="0.25">
      <c r="A587" t="s">
        <v>2554</v>
      </c>
      <c r="B587" s="232">
        <v>10</v>
      </c>
      <c r="C587" t="s">
        <v>932</v>
      </c>
      <c r="D587" t="s">
        <v>2565</v>
      </c>
      <c r="E587" t="s">
        <v>2783</v>
      </c>
      <c r="F587" t="s">
        <v>2553</v>
      </c>
      <c r="G587" s="27">
        <v>44679</v>
      </c>
      <c r="I587" t="s">
        <v>2579</v>
      </c>
      <c r="J587" s="232">
        <v>65</v>
      </c>
      <c r="K587" s="1" t="s">
        <v>2788</v>
      </c>
      <c r="L587" t="s">
        <v>47</v>
      </c>
    </row>
    <row r="588" spans="1:12" ht="14.25" customHeight="1" x14ac:dyDescent="0.25">
      <c r="A588" t="s">
        <v>2554</v>
      </c>
      <c r="B588" s="232">
        <v>10</v>
      </c>
      <c r="C588" t="s">
        <v>932</v>
      </c>
      <c r="D588" t="s">
        <v>2565</v>
      </c>
      <c r="E588" t="s">
        <v>2783</v>
      </c>
      <c r="F588" t="s">
        <v>2553</v>
      </c>
      <c r="G588" s="27">
        <v>44679</v>
      </c>
      <c r="I588" t="s">
        <v>2789</v>
      </c>
      <c r="J588" s="232">
        <v>66</v>
      </c>
      <c r="K588" s="1" t="s">
        <v>2578</v>
      </c>
      <c r="L588" t="s">
        <v>47</v>
      </c>
    </row>
    <row r="589" spans="1:12" ht="14.25" customHeight="1" x14ac:dyDescent="0.25">
      <c r="A589" t="s">
        <v>2554</v>
      </c>
      <c r="B589" s="232">
        <v>11</v>
      </c>
      <c r="C589" t="s">
        <v>932</v>
      </c>
      <c r="D589" t="s">
        <v>2565</v>
      </c>
      <c r="E589" t="s">
        <v>2668</v>
      </c>
      <c r="F589" t="s">
        <v>2553</v>
      </c>
      <c r="G589" s="27">
        <v>44679</v>
      </c>
      <c r="I589" t="s">
        <v>2790</v>
      </c>
      <c r="J589" s="232">
        <v>67</v>
      </c>
      <c r="K589" s="1" t="s">
        <v>2580</v>
      </c>
      <c r="L589" t="s">
        <v>47</v>
      </c>
    </row>
    <row r="590" spans="1:12" ht="14.25" customHeight="1" x14ac:dyDescent="0.25">
      <c r="A590" t="s">
        <v>2554</v>
      </c>
      <c r="B590" s="232">
        <v>11</v>
      </c>
      <c r="C590" t="s">
        <v>932</v>
      </c>
      <c r="D590" t="s">
        <v>2565</v>
      </c>
      <c r="E590" t="s">
        <v>2668</v>
      </c>
      <c r="F590" t="s">
        <v>2553</v>
      </c>
      <c r="G590" s="27">
        <v>44679</v>
      </c>
      <c r="I590" t="s">
        <v>2791</v>
      </c>
      <c r="J590" s="232">
        <v>68</v>
      </c>
      <c r="K590" s="1" t="s">
        <v>2581</v>
      </c>
      <c r="L590" t="s">
        <v>47</v>
      </c>
    </row>
    <row r="591" spans="1:12" ht="14.25" customHeight="1" x14ac:dyDescent="0.25">
      <c r="A591" t="s">
        <v>2554</v>
      </c>
      <c r="B591" s="232">
        <v>11</v>
      </c>
      <c r="C591" t="s">
        <v>932</v>
      </c>
      <c r="D591" t="s">
        <v>2565</v>
      </c>
      <c r="E591" t="s">
        <v>2668</v>
      </c>
      <c r="F591" t="s">
        <v>2553</v>
      </c>
      <c r="G591" s="27">
        <v>44679</v>
      </c>
      <c r="I591" t="s">
        <v>2792</v>
      </c>
      <c r="J591" s="232">
        <v>69</v>
      </c>
      <c r="K591" s="1" t="s">
        <v>2582</v>
      </c>
      <c r="L591" t="s">
        <v>47</v>
      </c>
    </row>
    <row r="592" spans="1:12" ht="14.25" customHeight="1" x14ac:dyDescent="0.25">
      <c r="A592" t="s">
        <v>2554</v>
      </c>
      <c r="B592" s="232">
        <v>11</v>
      </c>
      <c r="C592" t="s">
        <v>932</v>
      </c>
      <c r="D592" t="s">
        <v>2565</v>
      </c>
      <c r="E592" t="s">
        <v>2668</v>
      </c>
      <c r="F592" t="s">
        <v>2553</v>
      </c>
      <c r="G592" s="27">
        <v>44679</v>
      </c>
      <c r="I592" t="s">
        <v>2793</v>
      </c>
      <c r="J592" s="232">
        <v>70</v>
      </c>
      <c r="K592" s="1" t="s">
        <v>2583</v>
      </c>
      <c r="L592" t="s">
        <v>47</v>
      </c>
    </row>
    <row r="593" spans="1:12" ht="14.25" customHeight="1" x14ac:dyDescent="0.25">
      <c r="A593" t="s">
        <v>2554</v>
      </c>
      <c r="B593" s="232">
        <v>11</v>
      </c>
      <c r="C593" t="s">
        <v>932</v>
      </c>
      <c r="D593" t="s">
        <v>2565</v>
      </c>
      <c r="E593" t="s">
        <v>2668</v>
      </c>
      <c r="F593" t="s">
        <v>2553</v>
      </c>
      <c r="G593" s="27">
        <v>44679</v>
      </c>
      <c r="I593" t="s">
        <v>2794</v>
      </c>
      <c r="J593" s="232">
        <v>71</v>
      </c>
      <c r="K593" s="1" t="s">
        <v>2584</v>
      </c>
      <c r="L593" t="s">
        <v>47</v>
      </c>
    </row>
    <row r="594" spans="1:12" ht="14.25" customHeight="1" x14ac:dyDescent="0.25">
      <c r="A594" t="s">
        <v>2554</v>
      </c>
      <c r="B594" s="232">
        <v>11</v>
      </c>
      <c r="C594" t="s">
        <v>932</v>
      </c>
      <c r="D594" t="s">
        <v>2565</v>
      </c>
      <c r="E594" t="s">
        <v>2668</v>
      </c>
      <c r="F594" t="s">
        <v>2553</v>
      </c>
      <c r="G594" s="27">
        <v>44679</v>
      </c>
      <c r="I594" t="s">
        <v>2795</v>
      </c>
      <c r="J594" s="232">
        <v>72</v>
      </c>
      <c r="K594" s="1" t="s">
        <v>2924</v>
      </c>
      <c r="L594" t="s">
        <v>47</v>
      </c>
    </row>
    <row r="595" spans="1:12" ht="14.25" customHeight="1" x14ac:dyDescent="0.25">
      <c r="A595" t="s">
        <v>2554</v>
      </c>
      <c r="B595" s="232">
        <v>11</v>
      </c>
      <c r="C595" t="s">
        <v>932</v>
      </c>
      <c r="D595" t="s">
        <v>2565</v>
      </c>
      <c r="E595" t="s">
        <v>2668</v>
      </c>
      <c r="F595" t="s">
        <v>2553</v>
      </c>
      <c r="G595" s="27">
        <v>44679</v>
      </c>
      <c r="I595" t="s">
        <v>2796</v>
      </c>
      <c r="J595" s="232">
        <v>73</v>
      </c>
      <c r="K595" s="1" t="s">
        <v>2586</v>
      </c>
      <c r="L595" t="s">
        <v>47</v>
      </c>
    </row>
    <row r="596" spans="1:12" ht="14.25" customHeight="1" x14ac:dyDescent="0.25">
      <c r="A596" t="s">
        <v>2554</v>
      </c>
      <c r="B596" s="232">
        <v>11</v>
      </c>
      <c r="C596" t="s">
        <v>932</v>
      </c>
      <c r="D596" t="s">
        <v>2565</v>
      </c>
      <c r="E596" t="s">
        <v>2668</v>
      </c>
      <c r="F596" t="s">
        <v>2553</v>
      </c>
      <c r="G596" s="27">
        <v>44679</v>
      </c>
      <c r="I596" t="s">
        <v>2797</v>
      </c>
      <c r="J596" s="232">
        <v>74</v>
      </c>
      <c r="K596" s="1" t="s">
        <v>2587</v>
      </c>
      <c r="L596" t="s">
        <v>47</v>
      </c>
    </row>
    <row r="597" spans="1:12" ht="14.25" customHeight="1" x14ac:dyDescent="0.25">
      <c r="A597" t="s">
        <v>2554</v>
      </c>
      <c r="B597" s="232">
        <v>11</v>
      </c>
      <c r="C597" t="s">
        <v>932</v>
      </c>
      <c r="D597" t="s">
        <v>2565</v>
      </c>
      <c r="E597" t="s">
        <v>2668</v>
      </c>
      <c r="F597" t="s">
        <v>2553</v>
      </c>
      <c r="G597" s="27">
        <v>44679</v>
      </c>
      <c r="I597" t="s">
        <v>2588</v>
      </c>
      <c r="J597" s="232">
        <v>75</v>
      </c>
      <c r="K597" s="1" t="s">
        <v>2589</v>
      </c>
      <c r="L597" t="s">
        <v>47</v>
      </c>
    </row>
    <row r="598" spans="1:12" ht="14.25" customHeight="1" x14ac:dyDescent="0.25">
      <c r="A598" t="s">
        <v>2554</v>
      </c>
      <c r="B598" s="232">
        <v>11</v>
      </c>
      <c r="C598" t="s">
        <v>932</v>
      </c>
      <c r="D598" t="s">
        <v>2565</v>
      </c>
      <c r="E598" t="s">
        <v>2668</v>
      </c>
      <c r="F598" t="s">
        <v>2553</v>
      </c>
      <c r="G598" s="27">
        <v>44679</v>
      </c>
      <c r="I598" t="s">
        <v>2798</v>
      </c>
      <c r="J598" s="232">
        <v>76</v>
      </c>
      <c r="K598" s="1" t="s">
        <v>2590</v>
      </c>
      <c r="L598" t="s">
        <v>47</v>
      </c>
    </row>
    <row r="599" spans="1:12" ht="14.25" customHeight="1" x14ac:dyDescent="0.25">
      <c r="A599" t="s">
        <v>2554</v>
      </c>
      <c r="B599" s="232">
        <v>11</v>
      </c>
      <c r="C599" t="s">
        <v>932</v>
      </c>
      <c r="D599" t="s">
        <v>2565</v>
      </c>
      <c r="E599" t="s">
        <v>2668</v>
      </c>
      <c r="F599" t="s">
        <v>2553</v>
      </c>
      <c r="G599" s="27">
        <v>44679</v>
      </c>
      <c r="I599" t="s">
        <v>2799</v>
      </c>
      <c r="J599" s="232">
        <v>77</v>
      </c>
      <c r="K599" s="1" t="s">
        <v>2800</v>
      </c>
      <c r="L599" t="s">
        <v>47</v>
      </c>
    </row>
    <row r="600" spans="1:12" ht="14.25" customHeight="1" x14ac:dyDescent="0.25">
      <c r="A600" t="s">
        <v>2554</v>
      </c>
      <c r="B600" s="232">
        <v>11</v>
      </c>
      <c r="C600" t="s">
        <v>932</v>
      </c>
      <c r="D600" t="s">
        <v>2565</v>
      </c>
      <c r="E600" t="s">
        <v>2668</v>
      </c>
      <c r="F600" t="s">
        <v>2553</v>
      </c>
      <c r="G600" s="27">
        <v>44679</v>
      </c>
      <c r="I600" t="s">
        <v>2591</v>
      </c>
      <c r="J600" s="232">
        <v>78</v>
      </c>
      <c r="K600" s="1" t="s">
        <v>2801</v>
      </c>
      <c r="L600" t="s">
        <v>47</v>
      </c>
    </row>
    <row r="601" spans="1:12" ht="14.25" customHeight="1" x14ac:dyDescent="0.25">
      <c r="A601" t="s">
        <v>2554</v>
      </c>
      <c r="B601" s="232">
        <v>12</v>
      </c>
      <c r="C601" t="s">
        <v>932</v>
      </c>
      <c r="D601" t="s">
        <v>2565</v>
      </c>
      <c r="E601" s="50" t="s">
        <v>2802</v>
      </c>
      <c r="F601" t="s">
        <v>2553</v>
      </c>
      <c r="G601" s="27">
        <v>44679</v>
      </c>
      <c r="I601">
        <v>1</v>
      </c>
      <c r="J601" s="232">
        <v>79</v>
      </c>
      <c r="K601" s="1" t="s">
        <v>2925</v>
      </c>
      <c r="L601" t="s">
        <v>47</v>
      </c>
    </row>
    <row r="602" spans="1:12" ht="14.25" customHeight="1" x14ac:dyDescent="0.25">
      <c r="A602" t="s">
        <v>2554</v>
      </c>
      <c r="B602" s="232">
        <v>12</v>
      </c>
      <c r="C602" t="s">
        <v>932</v>
      </c>
      <c r="D602" t="s">
        <v>2565</v>
      </c>
      <c r="E602" s="50" t="s">
        <v>2802</v>
      </c>
      <c r="F602" t="s">
        <v>2553</v>
      </c>
      <c r="G602" s="27">
        <v>44679</v>
      </c>
      <c r="I602">
        <v>2</v>
      </c>
      <c r="J602" s="232">
        <v>80</v>
      </c>
      <c r="K602" s="1" t="s">
        <v>2892</v>
      </c>
      <c r="L602" t="s">
        <v>47</v>
      </c>
    </row>
    <row r="603" spans="1:12" ht="14.25" customHeight="1" x14ac:dyDescent="0.25">
      <c r="A603" t="s">
        <v>2554</v>
      </c>
      <c r="B603" s="232">
        <v>12</v>
      </c>
      <c r="C603" t="s">
        <v>932</v>
      </c>
      <c r="D603" t="s">
        <v>2565</v>
      </c>
      <c r="E603" s="50" t="s">
        <v>2802</v>
      </c>
      <c r="F603" t="s">
        <v>2553</v>
      </c>
      <c r="G603" s="27">
        <v>44679</v>
      </c>
      <c r="I603" t="s">
        <v>2605</v>
      </c>
      <c r="J603" s="232">
        <v>81</v>
      </c>
      <c r="K603" s="1" t="s">
        <v>2927</v>
      </c>
      <c r="L603" t="s">
        <v>1968</v>
      </c>
    </row>
    <row r="604" spans="1:12" ht="14.25" customHeight="1" x14ac:dyDescent="0.25">
      <c r="A604" t="s">
        <v>2554</v>
      </c>
      <c r="B604" s="232">
        <v>12</v>
      </c>
      <c r="C604" t="s">
        <v>932</v>
      </c>
      <c r="D604" t="s">
        <v>2565</v>
      </c>
      <c r="E604" s="50" t="s">
        <v>2802</v>
      </c>
      <c r="F604" t="s">
        <v>2553</v>
      </c>
      <c r="G604" s="27">
        <v>44679</v>
      </c>
      <c r="I604" s="229" t="s">
        <v>2607</v>
      </c>
      <c r="J604" s="232">
        <v>82</v>
      </c>
      <c r="K604" s="1" t="s">
        <v>2928</v>
      </c>
      <c r="L604" t="s">
        <v>47</v>
      </c>
    </row>
    <row r="605" spans="1:12" ht="14.25" customHeight="1" x14ac:dyDescent="0.25">
      <c r="A605" t="s">
        <v>2554</v>
      </c>
      <c r="B605" s="232">
        <v>12</v>
      </c>
      <c r="C605" t="s">
        <v>932</v>
      </c>
      <c r="D605" t="s">
        <v>2565</v>
      </c>
      <c r="E605" s="50" t="s">
        <v>2802</v>
      </c>
      <c r="F605" t="s">
        <v>2553</v>
      </c>
      <c r="G605" s="27">
        <v>44679</v>
      </c>
      <c r="I605" t="s">
        <v>2729</v>
      </c>
      <c r="J605" s="232">
        <v>83</v>
      </c>
      <c r="K605" s="1" t="s">
        <v>3029</v>
      </c>
      <c r="L605" t="s">
        <v>1968</v>
      </c>
    </row>
    <row r="606" spans="1:12" ht="14.25" customHeight="1" x14ac:dyDescent="0.25">
      <c r="A606" t="s">
        <v>2554</v>
      </c>
      <c r="B606" s="232">
        <v>12</v>
      </c>
      <c r="C606" t="s">
        <v>932</v>
      </c>
      <c r="D606" t="s">
        <v>2565</v>
      </c>
      <c r="E606" s="50" t="s">
        <v>2802</v>
      </c>
      <c r="F606" t="s">
        <v>2553</v>
      </c>
      <c r="G606" s="27">
        <v>44679</v>
      </c>
      <c r="I606" t="s">
        <v>2730</v>
      </c>
      <c r="J606" s="232">
        <v>84</v>
      </c>
      <c r="K606" s="1" t="s">
        <v>3030</v>
      </c>
      <c r="L606" t="s">
        <v>1968</v>
      </c>
    </row>
    <row r="607" spans="1:12" ht="14.25" customHeight="1" x14ac:dyDescent="0.25">
      <c r="A607" t="s">
        <v>2554</v>
      </c>
      <c r="B607" s="232">
        <v>12</v>
      </c>
      <c r="C607" t="s">
        <v>932</v>
      </c>
      <c r="D607" t="s">
        <v>2565</v>
      </c>
      <c r="E607" s="50" t="s">
        <v>2802</v>
      </c>
      <c r="F607" t="s">
        <v>2553</v>
      </c>
      <c r="G607" s="27">
        <v>44679</v>
      </c>
      <c r="I607" t="s">
        <v>2732</v>
      </c>
      <c r="J607" s="232">
        <v>85</v>
      </c>
      <c r="K607" s="1" t="s">
        <v>3031</v>
      </c>
      <c r="L607" t="s">
        <v>1968</v>
      </c>
    </row>
    <row r="608" spans="1:12" ht="15" customHeight="1" x14ac:dyDescent="0.25">
      <c r="A608" t="s">
        <v>2554</v>
      </c>
      <c r="B608" s="232">
        <v>12</v>
      </c>
      <c r="C608" t="s">
        <v>932</v>
      </c>
      <c r="D608" t="s">
        <v>2565</v>
      </c>
      <c r="E608" s="50" t="s">
        <v>2802</v>
      </c>
      <c r="F608" t="s">
        <v>2553</v>
      </c>
      <c r="G608" s="27">
        <v>44679</v>
      </c>
      <c r="I608">
        <v>3</v>
      </c>
      <c r="J608" s="232">
        <v>86</v>
      </c>
      <c r="K608" s="1" t="s">
        <v>3032</v>
      </c>
      <c r="L608" t="s">
        <v>47</v>
      </c>
    </row>
    <row r="609" spans="1:12" ht="17.25" customHeight="1" x14ac:dyDescent="0.25">
      <c r="A609" t="s">
        <v>2554</v>
      </c>
      <c r="B609" s="232">
        <v>13</v>
      </c>
      <c r="C609" t="s">
        <v>932</v>
      </c>
      <c r="D609" t="s">
        <v>2565</v>
      </c>
      <c r="E609" s="50" t="s">
        <v>2802</v>
      </c>
      <c r="F609" t="s">
        <v>2553</v>
      </c>
      <c r="G609" s="27">
        <v>44679</v>
      </c>
      <c r="I609">
        <v>4</v>
      </c>
      <c r="J609" s="232">
        <v>87</v>
      </c>
      <c r="K609" s="1" t="s">
        <v>2920</v>
      </c>
      <c r="L609" t="s">
        <v>47</v>
      </c>
    </row>
    <row r="610" spans="1:12" x14ac:dyDescent="0.25">
      <c r="A610" t="s">
        <v>2554</v>
      </c>
      <c r="B610" s="232">
        <v>1</v>
      </c>
      <c r="C610" t="s">
        <v>237</v>
      </c>
      <c r="D610" t="s">
        <v>2565</v>
      </c>
      <c r="E610" t="s">
        <v>2890</v>
      </c>
      <c r="F610" t="s">
        <v>2553</v>
      </c>
      <c r="G610" s="27">
        <v>43871</v>
      </c>
      <c r="I610" t="s">
        <v>2593</v>
      </c>
      <c r="J610" s="232">
        <v>1</v>
      </c>
      <c r="K610" s="1" t="s">
        <v>2709</v>
      </c>
      <c r="L610" t="s">
        <v>47</v>
      </c>
    </row>
    <row r="611" spans="1:12" ht="15.75" customHeight="1" x14ac:dyDescent="0.25">
      <c r="A611" t="s">
        <v>2554</v>
      </c>
      <c r="B611" s="232">
        <v>1</v>
      </c>
      <c r="C611" t="s">
        <v>237</v>
      </c>
      <c r="D611" t="s">
        <v>2565</v>
      </c>
      <c r="E611" t="s">
        <v>2890</v>
      </c>
      <c r="F611" t="s">
        <v>2553</v>
      </c>
      <c r="G611" s="27">
        <v>43871</v>
      </c>
      <c r="I611" t="s">
        <v>2597</v>
      </c>
      <c r="J611" s="232">
        <v>2</v>
      </c>
      <c r="K611" s="1" t="s">
        <v>2710</v>
      </c>
      <c r="L611" t="s">
        <v>47</v>
      </c>
    </row>
    <row r="612" spans="1:12" ht="15.75" customHeight="1" x14ac:dyDescent="0.25">
      <c r="A612" t="s">
        <v>2554</v>
      </c>
      <c r="B612" s="232">
        <v>1</v>
      </c>
      <c r="C612" t="s">
        <v>237</v>
      </c>
      <c r="D612" t="s">
        <v>2565</v>
      </c>
      <c r="E612" t="s">
        <v>2890</v>
      </c>
      <c r="F612" t="s">
        <v>2553</v>
      </c>
      <c r="G612" s="27">
        <v>43871</v>
      </c>
      <c r="I612" t="s">
        <v>2599</v>
      </c>
      <c r="J612" s="232">
        <v>3</v>
      </c>
      <c r="K612" s="1" t="s">
        <v>2711</v>
      </c>
      <c r="L612" t="s">
        <v>47</v>
      </c>
    </row>
    <row r="613" spans="1:12" ht="15.75" customHeight="1" x14ac:dyDescent="0.25">
      <c r="A613" t="s">
        <v>2554</v>
      </c>
      <c r="B613" s="232">
        <v>1</v>
      </c>
      <c r="C613" t="s">
        <v>237</v>
      </c>
      <c r="D613" t="s">
        <v>2565</v>
      </c>
      <c r="E613" t="s">
        <v>2890</v>
      </c>
      <c r="F613" t="s">
        <v>2553</v>
      </c>
      <c r="G613" s="27">
        <v>43871</v>
      </c>
      <c r="I613" t="s">
        <v>2555</v>
      </c>
      <c r="J613" s="232">
        <v>4</v>
      </c>
      <c r="K613" s="1" t="s">
        <v>2552</v>
      </c>
      <c r="L613" t="s">
        <v>1968</v>
      </c>
    </row>
    <row r="614" spans="1:12" ht="15.75" customHeight="1" x14ac:dyDescent="0.25">
      <c r="A614" t="s">
        <v>2554</v>
      </c>
      <c r="B614" s="232">
        <v>1</v>
      </c>
      <c r="C614" t="s">
        <v>237</v>
      </c>
      <c r="D614" t="s">
        <v>2565</v>
      </c>
      <c r="E614" t="s">
        <v>2890</v>
      </c>
      <c r="F614" t="s">
        <v>2553</v>
      </c>
      <c r="G614" s="27">
        <v>43871</v>
      </c>
      <c r="I614" t="s">
        <v>2557</v>
      </c>
      <c r="J614" s="232">
        <v>5</v>
      </c>
      <c r="K614" s="1" t="s">
        <v>2559</v>
      </c>
      <c r="L614" t="s">
        <v>47</v>
      </c>
    </row>
    <row r="615" spans="1:12" ht="15.75" customHeight="1" x14ac:dyDescent="0.25">
      <c r="A615" t="s">
        <v>2554</v>
      </c>
      <c r="B615" s="232">
        <v>1</v>
      </c>
      <c r="C615" t="s">
        <v>237</v>
      </c>
      <c r="D615" t="s">
        <v>2565</v>
      </c>
      <c r="E615" t="s">
        <v>2890</v>
      </c>
      <c r="F615" t="s">
        <v>2553</v>
      </c>
      <c r="G615" s="27">
        <v>43871</v>
      </c>
      <c r="I615" t="s">
        <v>2556</v>
      </c>
      <c r="J615" s="232">
        <v>6</v>
      </c>
      <c r="K615" s="1" t="s">
        <v>2713</v>
      </c>
      <c r="L615" t="s">
        <v>47</v>
      </c>
    </row>
    <row r="616" spans="1:12" ht="15.75" customHeight="1" x14ac:dyDescent="0.25">
      <c r="A616" t="s">
        <v>2554</v>
      </c>
      <c r="B616" s="232">
        <v>2</v>
      </c>
      <c r="C616" t="s">
        <v>237</v>
      </c>
      <c r="D616" t="s">
        <v>2565</v>
      </c>
      <c r="E616" t="s">
        <v>2603</v>
      </c>
      <c r="F616" t="s">
        <v>2553</v>
      </c>
      <c r="G616" s="27">
        <v>43871</v>
      </c>
      <c r="I616" t="s">
        <v>2601</v>
      </c>
      <c r="J616" s="232">
        <v>7</v>
      </c>
      <c r="K616" s="1" t="s">
        <v>2561</v>
      </c>
      <c r="L616" t="s">
        <v>47</v>
      </c>
    </row>
    <row r="617" spans="1:12" ht="15.75" customHeight="1" x14ac:dyDescent="0.25">
      <c r="A617" t="s">
        <v>2554</v>
      </c>
      <c r="B617" s="232">
        <v>2</v>
      </c>
      <c r="C617" t="s">
        <v>237</v>
      </c>
      <c r="D617" t="s">
        <v>2565</v>
      </c>
      <c r="E617" t="s">
        <v>2603</v>
      </c>
      <c r="F617" t="s">
        <v>2553</v>
      </c>
      <c r="G617" s="27">
        <v>43871</v>
      </c>
      <c r="I617" t="s">
        <v>2714</v>
      </c>
      <c r="J617" s="232">
        <v>8</v>
      </c>
      <c r="K617" s="1" t="s">
        <v>2715</v>
      </c>
      <c r="L617" t="s">
        <v>47</v>
      </c>
    </row>
    <row r="618" spans="1:12" ht="15.75" customHeight="1" x14ac:dyDescent="0.25">
      <c r="A618" t="s">
        <v>2554</v>
      </c>
      <c r="B618" s="232">
        <v>2</v>
      </c>
      <c r="C618" t="s">
        <v>237</v>
      </c>
      <c r="D618" t="s">
        <v>2565</v>
      </c>
      <c r="E618" t="s">
        <v>2603</v>
      </c>
      <c r="F618" t="s">
        <v>2553</v>
      </c>
      <c r="G618" s="27">
        <v>43871</v>
      </c>
      <c r="I618" s="228" t="s">
        <v>2716</v>
      </c>
      <c r="J618" s="232">
        <v>9</v>
      </c>
      <c r="K618" s="1" t="s">
        <v>2562</v>
      </c>
      <c r="L618" t="s">
        <v>47</v>
      </c>
    </row>
    <row r="619" spans="1:12" ht="15.75" customHeight="1" x14ac:dyDescent="0.25">
      <c r="A619" t="s">
        <v>2554</v>
      </c>
      <c r="B619" s="232">
        <v>2</v>
      </c>
      <c r="C619" t="s">
        <v>237</v>
      </c>
      <c r="D619" t="s">
        <v>2565</v>
      </c>
      <c r="E619" t="s">
        <v>2603</v>
      </c>
      <c r="F619" t="s">
        <v>2553</v>
      </c>
      <c r="G619" s="27">
        <v>43871</v>
      </c>
      <c r="I619" s="228" t="s">
        <v>2717</v>
      </c>
      <c r="J619" s="232">
        <v>10</v>
      </c>
      <c r="K619" s="1" t="s">
        <v>2718</v>
      </c>
      <c r="L619" t="s">
        <v>47</v>
      </c>
    </row>
    <row r="620" spans="1:12" ht="15.75" customHeight="1" x14ac:dyDescent="0.25">
      <c r="A620" t="s">
        <v>2554</v>
      </c>
      <c r="B620" s="232">
        <v>2</v>
      </c>
      <c r="C620" t="s">
        <v>237</v>
      </c>
      <c r="D620" t="s">
        <v>2565</v>
      </c>
      <c r="E620" t="s">
        <v>2603</v>
      </c>
      <c r="F620" t="s">
        <v>2553</v>
      </c>
      <c r="G620" s="27">
        <v>43871</v>
      </c>
      <c r="I620" t="s">
        <v>2719</v>
      </c>
      <c r="J620" s="232">
        <v>11</v>
      </c>
      <c r="K620" s="1" t="s">
        <v>2720</v>
      </c>
      <c r="L620" t="s">
        <v>47</v>
      </c>
    </row>
    <row r="621" spans="1:12" ht="15.75" customHeight="1" x14ac:dyDescent="0.25">
      <c r="A621" t="s">
        <v>2554</v>
      </c>
      <c r="B621" s="232">
        <v>2</v>
      </c>
      <c r="C621" t="s">
        <v>237</v>
      </c>
      <c r="D621" t="s">
        <v>2565</v>
      </c>
      <c r="E621" t="s">
        <v>2603</v>
      </c>
      <c r="F621" t="s">
        <v>2553</v>
      </c>
      <c r="G621" s="27">
        <v>43871</v>
      </c>
      <c r="I621" t="s">
        <v>2721</v>
      </c>
      <c r="J621" s="232">
        <v>12</v>
      </c>
      <c r="K621" s="1" t="s">
        <v>2722</v>
      </c>
      <c r="L621" t="s">
        <v>47</v>
      </c>
    </row>
    <row r="622" spans="1:12" ht="15.75" customHeight="1" x14ac:dyDescent="0.25">
      <c r="A622" t="s">
        <v>2554</v>
      </c>
      <c r="B622" s="232">
        <v>2</v>
      </c>
      <c r="C622" t="s">
        <v>237</v>
      </c>
      <c r="D622" t="s">
        <v>2565</v>
      </c>
      <c r="E622" t="s">
        <v>2603</v>
      </c>
      <c r="F622" t="s">
        <v>2553</v>
      </c>
      <c r="G622" s="27">
        <v>43871</v>
      </c>
      <c r="I622" s="228" t="s">
        <v>2724</v>
      </c>
      <c r="J622" s="232">
        <v>13</v>
      </c>
      <c r="K622" s="1" t="s">
        <v>2725</v>
      </c>
      <c r="L622" t="s">
        <v>47</v>
      </c>
    </row>
    <row r="623" spans="1:12" ht="15.75" customHeight="1" x14ac:dyDescent="0.25">
      <c r="A623" t="s">
        <v>2554</v>
      </c>
      <c r="B623" s="232">
        <v>3</v>
      </c>
      <c r="C623" t="s">
        <v>237</v>
      </c>
      <c r="D623" t="s">
        <v>2565</v>
      </c>
      <c r="E623" t="s">
        <v>2726</v>
      </c>
      <c r="F623" t="s">
        <v>2553</v>
      </c>
      <c r="G623" s="27">
        <v>43871</v>
      </c>
      <c r="I623" s="228" t="s">
        <v>2605</v>
      </c>
      <c r="J623" s="232">
        <v>14</v>
      </c>
      <c r="K623" s="1" t="s">
        <v>2727</v>
      </c>
      <c r="L623" t="s">
        <v>47</v>
      </c>
    </row>
    <row r="624" spans="1:12" ht="15.75" customHeight="1" x14ac:dyDescent="0.25">
      <c r="A624" t="s">
        <v>2554</v>
      </c>
      <c r="B624" s="232">
        <v>3</v>
      </c>
      <c r="C624" t="s">
        <v>237</v>
      </c>
      <c r="D624" t="s">
        <v>2565</v>
      </c>
      <c r="E624" t="s">
        <v>2726</v>
      </c>
      <c r="F624" t="s">
        <v>2553</v>
      </c>
      <c r="G624" s="27">
        <v>43871</v>
      </c>
      <c r="I624" s="228" t="s">
        <v>2607</v>
      </c>
      <c r="J624" s="232">
        <v>15</v>
      </c>
      <c r="K624" s="248" t="s">
        <v>2813</v>
      </c>
      <c r="L624" t="s">
        <v>47</v>
      </c>
    </row>
    <row r="625" spans="1:12" ht="15.75" customHeight="1" x14ac:dyDescent="0.25">
      <c r="A625" t="s">
        <v>2554</v>
      </c>
      <c r="B625" s="232">
        <v>3</v>
      </c>
      <c r="C625" t="s">
        <v>237</v>
      </c>
      <c r="D625" t="s">
        <v>2565</v>
      </c>
      <c r="E625" t="s">
        <v>2726</v>
      </c>
      <c r="F625" t="s">
        <v>2553</v>
      </c>
      <c r="G625" s="27">
        <v>43871</v>
      </c>
      <c r="I625" s="228" t="s">
        <v>2729</v>
      </c>
      <c r="J625" s="232">
        <v>16</v>
      </c>
      <c r="K625" s="248" t="s">
        <v>2814</v>
      </c>
      <c r="L625" t="s">
        <v>47</v>
      </c>
    </row>
    <row r="626" spans="1:12" ht="15.75" customHeight="1" x14ac:dyDescent="0.25">
      <c r="A626" t="s">
        <v>2554</v>
      </c>
      <c r="B626" s="232">
        <v>3</v>
      </c>
      <c r="C626" t="s">
        <v>237</v>
      </c>
      <c r="D626" t="s">
        <v>2565</v>
      </c>
      <c r="E626" t="s">
        <v>2726</v>
      </c>
      <c r="F626" t="s">
        <v>2553</v>
      </c>
      <c r="G626" s="27">
        <v>43871</v>
      </c>
      <c r="I626" s="228" t="s">
        <v>2730</v>
      </c>
      <c r="J626" s="232">
        <v>17</v>
      </c>
      <c r="K626" s="1" t="s">
        <v>2563</v>
      </c>
      <c r="L626" t="s">
        <v>47</v>
      </c>
    </row>
    <row r="627" spans="1:12" ht="15.75" customHeight="1" x14ac:dyDescent="0.25">
      <c r="A627" t="s">
        <v>2554</v>
      </c>
      <c r="B627" s="232">
        <v>3</v>
      </c>
      <c r="C627" t="s">
        <v>237</v>
      </c>
      <c r="D627" t="s">
        <v>2565</v>
      </c>
      <c r="E627" t="s">
        <v>2726</v>
      </c>
      <c r="F627" t="s">
        <v>2553</v>
      </c>
      <c r="G627" s="27">
        <v>43871</v>
      </c>
      <c r="I627" s="228" t="s">
        <v>2732</v>
      </c>
      <c r="J627" s="232">
        <v>18</v>
      </c>
      <c r="K627" s="1" t="s">
        <v>2731</v>
      </c>
      <c r="L627" t="s">
        <v>47</v>
      </c>
    </row>
    <row r="628" spans="1:12" ht="15.75" customHeight="1" x14ac:dyDescent="0.25">
      <c r="A628" t="s">
        <v>2554</v>
      </c>
      <c r="B628" s="232">
        <v>3</v>
      </c>
      <c r="C628" t="s">
        <v>237</v>
      </c>
      <c r="D628" t="s">
        <v>2565</v>
      </c>
      <c r="E628" t="s">
        <v>2726</v>
      </c>
      <c r="F628" t="s">
        <v>2553</v>
      </c>
      <c r="G628" s="27">
        <v>43871</v>
      </c>
      <c r="I628" s="228" t="s">
        <v>2734</v>
      </c>
      <c r="J628" s="232">
        <v>19</v>
      </c>
      <c r="K628" s="1" t="s">
        <v>3033</v>
      </c>
      <c r="L628" t="s">
        <v>1968</v>
      </c>
    </row>
    <row r="629" spans="1:12" ht="15.75" customHeight="1" x14ac:dyDescent="0.25">
      <c r="A629" t="s">
        <v>2554</v>
      </c>
      <c r="B629" s="232">
        <v>3</v>
      </c>
      <c r="C629" t="s">
        <v>237</v>
      </c>
      <c r="D629" t="s">
        <v>2565</v>
      </c>
      <c r="E629" t="s">
        <v>2726</v>
      </c>
      <c r="F629" t="s">
        <v>2553</v>
      </c>
      <c r="G629" s="27">
        <v>43871</v>
      </c>
      <c r="I629" s="228" t="s">
        <v>2736</v>
      </c>
      <c r="J629" s="232">
        <v>20</v>
      </c>
      <c r="K629" s="1" t="s">
        <v>2816</v>
      </c>
      <c r="L629" t="s">
        <v>47</v>
      </c>
    </row>
    <row r="630" spans="1:12" ht="15.75" customHeight="1" x14ac:dyDescent="0.25">
      <c r="A630" t="s">
        <v>2554</v>
      </c>
      <c r="B630" s="232">
        <v>3</v>
      </c>
      <c r="C630" t="s">
        <v>237</v>
      </c>
      <c r="D630" t="s">
        <v>2565</v>
      </c>
      <c r="E630" t="s">
        <v>2726</v>
      </c>
      <c r="F630" t="s">
        <v>2553</v>
      </c>
      <c r="G630" s="27">
        <v>43871</v>
      </c>
      <c r="I630" s="228" t="s">
        <v>2737</v>
      </c>
      <c r="J630" s="232">
        <v>21</v>
      </c>
      <c r="K630" s="1" t="s">
        <v>2733</v>
      </c>
      <c r="L630" t="s">
        <v>47</v>
      </c>
    </row>
    <row r="631" spans="1:12" ht="15.75" customHeight="1" x14ac:dyDescent="0.25">
      <c r="A631" t="s">
        <v>2554</v>
      </c>
      <c r="B631" s="232">
        <v>3</v>
      </c>
      <c r="C631" t="s">
        <v>237</v>
      </c>
      <c r="D631" t="s">
        <v>2565</v>
      </c>
      <c r="E631" t="s">
        <v>2726</v>
      </c>
      <c r="F631" t="s">
        <v>2553</v>
      </c>
      <c r="G631" s="27">
        <v>43871</v>
      </c>
      <c r="I631" s="228" t="s">
        <v>2738</v>
      </c>
      <c r="J631" s="232">
        <v>22</v>
      </c>
      <c r="K631" s="1" t="s">
        <v>2817</v>
      </c>
      <c r="L631" t="s">
        <v>47</v>
      </c>
    </row>
    <row r="632" spans="1:12" ht="15.75" customHeight="1" x14ac:dyDescent="0.25">
      <c r="A632" t="s">
        <v>2554</v>
      </c>
      <c r="B632" s="232">
        <v>3</v>
      </c>
      <c r="C632" t="s">
        <v>237</v>
      </c>
      <c r="D632" t="s">
        <v>2565</v>
      </c>
      <c r="E632" t="s">
        <v>2726</v>
      </c>
      <c r="F632" t="s">
        <v>2553</v>
      </c>
      <c r="G632" s="27">
        <v>43871</v>
      </c>
      <c r="I632" s="228" t="s">
        <v>2742</v>
      </c>
      <c r="J632" s="232">
        <v>23</v>
      </c>
      <c r="K632" s="1" t="s">
        <v>2818</v>
      </c>
      <c r="L632" t="s">
        <v>47</v>
      </c>
    </row>
    <row r="633" spans="1:12" ht="15.75" customHeight="1" x14ac:dyDescent="0.25">
      <c r="A633" t="s">
        <v>2554</v>
      </c>
      <c r="B633" s="232">
        <v>3</v>
      </c>
      <c r="C633" t="s">
        <v>237</v>
      </c>
      <c r="D633" t="s">
        <v>2565</v>
      </c>
      <c r="E633" t="s">
        <v>2726</v>
      </c>
      <c r="F633" t="s">
        <v>2553</v>
      </c>
      <c r="G633" s="27">
        <v>43871</v>
      </c>
      <c r="I633" s="228" t="s">
        <v>2819</v>
      </c>
      <c r="J633" s="232">
        <v>24</v>
      </c>
      <c r="K633" s="1" t="s">
        <v>2820</v>
      </c>
      <c r="L633" t="s">
        <v>47</v>
      </c>
    </row>
    <row r="634" spans="1:12" ht="15.75" customHeight="1" x14ac:dyDescent="0.25">
      <c r="A634" t="s">
        <v>2554</v>
      </c>
      <c r="B634" s="232">
        <v>3</v>
      </c>
      <c r="C634" t="s">
        <v>237</v>
      </c>
      <c r="D634" t="s">
        <v>2565</v>
      </c>
      <c r="E634" t="s">
        <v>2726</v>
      </c>
      <c r="F634" t="s">
        <v>2553</v>
      </c>
      <c r="G634" s="27">
        <v>43871</v>
      </c>
      <c r="I634" s="228" t="s">
        <v>2821</v>
      </c>
      <c r="J634" s="232">
        <v>25</v>
      </c>
      <c r="K634" s="1" t="s">
        <v>3034</v>
      </c>
      <c r="L634" t="s">
        <v>1968</v>
      </c>
    </row>
    <row r="635" spans="1:12" ht="15.75" customHeight="1" x14ac:dyDescent="0.25">
      <c r="A635" t="s">
        <v>2554</v>
      </c>
      <c r="B635" s="232">
        <v>3</v>
      </c>
      <c r="C635" t="s">
        <v>237</v>
      </c>
      <c r="D635" t="s">
        <v>2565</v>
      </c>
      <c r="E635" t="s">
        <v>2726</v>
      </c>
      <c r="F635" t="s">
        <v>2553</v>
      </c>
      <c r="G635" s="27">
        <v>43871</v>
      </c>
      <c r="I635" s="228" t="s">
        <v>2823</v>
      </c>
      <c r="J635" s="232">
        <v>26</v>
      </c>
      <c r="K635" s="1" t="s">
        <v>2735</v>
      </c>
      <c r="L635" t="s">
        <v>47</v>
      </c>
    </row>
    <row r="636" spans="1:12" ht="15.75" customHeight="1" x14ac:dyDescent="0.25">
      <c r="A636" t="s">
        <v>2554</v>
      </c>
      <c r="B636" s="232">
        <v>3</v>
      </c>
      <c r="C636" t="s">
        <v>237</v>
      </c>
      <c r="D636" t="s">
        <v>2565</v>
      </c>
      <c r="E636" t="s">
        <v>2726</v>
      </c>
      <c r="F636" t="s">
        <v>2553</v>
      </c>
      <c r="G636" s="27">
        <v>43871</v>
      </c>
      <c r="I636" s="228" t="s">
        <v>2825</v>
      </c>
      <c r="J636" s="232">
        <v>27</v>
      </c>
      <c r="K636" s="1" t="s">
        <v>2568</v>
      </c>
      <c r="L636" t="s">
        <v>1968</v>
      </c>
    </row>
    <row r="637" spans="1:12" ht="15.75" customHeight="1" x14ac:dyDescent="0.25">
      <c r="A637" t="s">
        <v>2554</v>
      </c>
      <c r="B637" s="232">
        <v>3</v>
      </c>
      <c r="C637" t="s">
        <v>237</v>
      </c>
      <c r="D637" t="s">
        <v>2565</v>
      </c>
      <c r="E637" t="s">
        <v>2726</v>
      </c>
      <c r="F637" t="s">
        <v>2553</v>
      </c>
      <c r="G637" s="27">
        <v>43871</v>
      </c>
      <c r="I637" s="228" t="s">
        <v>2826</v>
      </c>
      <c r="J637" s="232">
        <v>28</v>
      </c>
      <c r="K637" s="1" t="s">
        <v>2569</v>
      </c>
      <c r="L637" t="s">
        <v>47</v>
      </c>
    </row>
    <row r="638" spans="1:12" ht="15.75" customHeight="1" x14ac:dyDescent="0.25">
      <c r="A638" t="s">
        <v>2554</v>
      </c>
      <c r="B638" s="232">
        <v>3</v>
      </c>
      <c r="C638" t="s">
        <v>237</v>
      </c>
      <c r="D638" t="s">
        <v>2565</v>
      </c>
      <c r="E638" t="s">
        <v>2726</v>
      </c>
      <c r="F638" t="s">
        <v>2553</v>
      </c>
      <c r="G638" s="27">
        <v>43871</v>
      </c>
      <c r="I638" s="228" t="s">
        <v>2827</v>
      </c>
      <c r="J638" s="232">
        <v>29</v>
      </c>
      <c r="K638" s="1" t="s">
        <v>2828</v>
      </c>
      <c r="L638" t="s">
        <v>1968</v>
      </c>
    </row>
    <row r="639" spans="1:12" ht="15.75" customHeight="1" x14ac:dyDescent="0.25">
      <c r="A639" t="s">
        <v>2554</v>
      </c>
      <c r="B639" s="232">
        <v>3</v>
      </c>
      <c r="C639" t="s">
        <v>237</v>
      </c>
      <c r="D639" t="s">
        <v>2565</v>
      </c>
      <c r="E639" t="s">
        <v>2726</v>
      </c>
      <c r="F639" t="s">
        <v>2553</v>
      </c>
      <c r="G639" s="27">
        <v>43871</v>
      </c>
      <c r="I639" s="228" t="s">
        <v>2830</v>
      </c>
      <c r="J639" s="232">
        <v>30</v>
      </c>
      <c r="K639" s="1" t="s">
        <v>2741</v>
      </c>
      <c r="L639" t="s">
        <v>1968</v>
      </c>
    </row>
    <row r="640" spans="1:12" ht="15.75" customHeight="1" x14ac:dyDescent="0.25">
      <c r="A640" t="s">
        <v>2554</v>
      </c>
      <c r="B640" s="232">
        <v>3</v>
      </c>
      <c r="C640" t="s">
        <v>237</v>
      </c>
      <c r="D640" t="s">
        <v>2565</v>
      </c>
      <c r="E640" t="s">
        <v>2726</v>
      </c>
      <c r="F640" t="s">
        <v>2553</v>
      </c>
      <c r="G640" s="27">
        <v>43871</v>
      </c>
      <c r="I640" s="228" t="s">
        <v>2829</v>
      </c>
      <c r="J640" s="232">
        <v>31</v>
      </c>
      <c r="K640" s="1" t="s">
        <v>2831</v>
      </c>
      <c r="L640" t="s">
        <v>47</v>
      </c>
    </row>
    <row r="641" spans="1:12" ht="15.75" customHeight="1" x14ac:dyDescent="0.25">
      <c r="A641" t="s">
        <v>2554</v>
      </c>
      <c r="B641" s="232">
        <v>3</v>
      </c>
      <c r="C641" t="s">
        <v>237</v>
      </c>
      <c r="D641" t="s">
        <v>2565</v>
      </c>
      <c r="E641" t="s">
        <v>2726</v>
      </c>
      <c r="F641" t="s">
        <v>2553</v>
      </c>
      <c r="G641" s="27">
        <v>43871</v>
      </c>
      <c r="I641" s="228" t="s">
        <v>3035</v>
      </c>
      <c r="J641" s="232">
        <v>32</v>
      </c>
      <c r="K641" s="1" t="s">
        <v>3036</v>
      </c>
      <c r="L641" t="s">
        <v>47</v>
      </c>
    </row>
    <row r="642" spans="1:12" ht="15.75" customHeight="1" x14ac:dyDescent="0.25">
      <c r="A642" t="s">
        <v>2554</v>
      </c>
      <c r="B642" s="232">
        <v>4</v>
      </c>
      <c r="C642" t="s">
        <v>237</v>
      </c>
      <c r="D642" t="s">
        <v>2565</v>
      </c>
      <c r="E642" t="s">
        <v>2746</v>
      </c>
      <c r="F642" t="s">
        <v>2553</v>
      </c>
      <c r="G642" s="27">
        <v>43871</v>
      </c>
      <c r="I642" t="s">
        <v>2610</v>
      </c>
      <c r="J642" s="232">
        <v>33</v>
      </c>
      <c r="K642" s="1" t="s">
        <v>2743</v>
      </c>
      <c r="L642" t="s">
        <v>47</v>
      </c>
    </row>
    <row r="643" spans="1:12" ht="15.75" customHeight="1" x14ac:dyDescent="0.25">
      <c r="A643" t="s">
        <v>2554</v>
      </c>
      <c r="B643" s="232">
        <v>4</v>
      </c>
      <c r="C643" t="s">
        <v>237</v>
      </c>
      <c r="D643" t="s">
        <v>2565</v>
      </c>
      <c r="E643" t="s">
        <v>2746</v>
      </c>
      <c r="F643" t="s">
        <v>2553</v>
      </c>
      <c r="G643" s="27">
        <v>43871</v>
      </c>
      <c r="I643" t="s">
        <v>2612</v>
      </c>
      <c r="J643" s="232">
        <v>34</v>
      </c>
      <c r="K643" s="1" t="s">
        <v>2744</v>
      </c>
      <c r="L643" t="s">
        <v>47</v>
      </c>
    </row>
    <row r="644" spans="1:12" ht="15.75" customHeight="1" x14ac:dyDescent="0.25">
      <c r="A644" t="s">
        <v>2554</v>
      </c>
      <c r="B644" s="232">
        <v>4</v>
      </c>
      <c r="C644" t="s">
        <v>237</v>
      </c>
      <c r="D644" t="s">
        <v>2565</v>
      </c>
      <c r="E644" t="s">
        <v>2746</v>
      </c>
      <c r="F644" t="s">
        <v>2553</v>
      </c>
      <c r="G644" s="27">
        <v>43871</v>
      </c>
      <c r="I644" t="s">
        <v>2614</v>
      </c>
      <c r="J644" s="232">
        <v>35</v>
      </c>
      <c r="K644" s="1" t="s">
        <v>2745</v>
      </c>
      <c r="L644" t="s">
        <v>47</v>
      </c>
    </row>
    <row r="645" spans="1:12" ht="15.75" customHeight="1" x14ac:dyDescent="0.25">
      <c r="A645" t="s">
        <v>2554</v>
      </c>
      <c r="B645" s="232">
        <v>4</v>
      </c>
      <c r="C645" t="s">
        <v>237</v>
      </c>
      <c r="D645" t="s">
        <v>2565</v>
      </c>
      <c r="E645" t="s">
        <v>2746</v>
      </c>
      <c r="F645" t="s">
        <v>2553</v>
      </c>
      <c r="G645" s="27">
        <v>43871</v>
      </c>
      <c r="I645" t="s">
        <v>2617</v>
      </c>
      <c r="J645" s="232">
        <v>36</v>
      </c>
      <c r="K645" s="248" t="s">
        <v>2747</v>
      </c>
      <c r="L645" t="s">
        <v>47</v>
      </c>
    </row>
    <row r="646" spans="1:12" ht="15.75" customHeight="1" x14ac:dyDescent="0.25">
      <c r="A646" t="s">
        <v>2554</v>
      </c>
      <c r="B646" s="232">
        <v>4</v>
      </c>
      <c r="C646" t="s">
        <v>237</v>
      </c>
      <c r="D646" t="s">
        <v>2565</v>
      </c>
      <c r="E646" t="s">
        <v>2746</v>
      </c>
      <c r="F646" t="s">
        <v>2553</v>
      </c>
      <c r="G646" s="27">
        <v>43871</v>
      </c>
      <c r="I646" t="s">
        <v>2621</v>
      </c>
      <c r="J646" s="232">
        <v>37</v>
      </c>
      <c r="K646" s="1" t="s">
        <v>2832</v>
      </c>
      <c r="L646" t="s">
        <v>47</v>
      </c>
    </row>
    <row r="647" spans="1:12" ht="15.75" customHeight="1" x14ac:dyDescent="0.25">
      <c r="A647" t="s">
        <v>2554</v>
      </c>
      <c r="B647" s="232">
        <v>4</v>
      </c>
      <c r="C647" t="s">
        <v>237</v>
      </c>
      <c r="D647" t="s">
        <v>2565</v>
      </c>
      <c r="E647" t="s">
        <v>2746</v>
      </c>
      <c r="F647" t="s">
        <v>2553</v>
      </c>
      <c r="G647" s="27">
        <v>43871</v>
      </c>
      <c r="I647" t="s">
        <v>2749</v>
      </c>
      <c r="J647" s="232">
        <v>38</v>
      </c>
      <c r="K647" s="1" t="s">
        <v>2750</v>
      </c>
      <c r="L647" t="s">
        <v>47</v>
      </c>
    </row>
    <row r="648" spans="1:12" ht="15.75" customHeight="1" x14ac:dyDescent="0.25">
      <c r="A648" t="s">
        <v>2554</v>
      </c>
      <c r="B648" s="232">
        <v>5</v>
      </c>
      <c r="C648" t="s">
        <v>237</v>
      </c>
      <c r="D648" t="s">
        <v>2565</v>
      </c>
      <c r="E648" t="s">
        <v>2846</v>
      </c>
      <c r="F648" t="s">
        <v>2553</v>
      </c>
      <c r="G648" s="27">
        <v>43871</v>
      </c>
      <c r="I648" t="s">
        <v>2623</v>
      </c>
      <c r="J648" s="232">
        <v>39</v>
      </c>
      <c r="K648" s="1" t="s">
        <v>2564</v>
      </c>
      <c r="L648" t="s">
        <v>47</v>
      </c>
    </row>
    <row r="649" spans="1:12" ht="15.75" customHeight="1" x14ac:dyDescent="0.25">
      <c r="A649" t="s">
        <v>2554</v>
      </c>
      <c r="B649" s="232">
        <v>5</v>
      </c>
      <c r="C649" t="s">
        <v>237</v>
      </c>
      <c r="D649" t="s">
        <v>2565</v>
      </c>
      <c r="E649" t="s">
        <v>2846</v>
      </c>
      <c r="F649" t="s">
        <v>2553</v>
      </c>
      <c r="G649" s="27">
        <v>43871</v>
      </c>
      <c r="I649" s="228" t="s">
        <v>2627</v>
      </c>
      <c r="J649" s="232">
        <v>40</v>
      </c>
      <c r="K649" s="1" t="s">
        <v>2751</v>
      </c>
      <c r="L649" t="s">
        <v>47</v>
      </c>
    </row>
    <row r="650" spans="1:12" ht="15.75" customHeight="1" x14ac:dyDescent="0.25">
      <c r="A650" t="s">
        <v>2554</v>
      </c>
      <c r="B650" s="232">
        <v>5</v>
      </c>
      <c r="C650" t="s">
        <v>237</v>
      </c>
      <c r="D650" t="s">
        <v>2565</v>
      </c>
      <c r="E650" t="s">
        <v>2846</v>
      </c>
      <c r="F650" t="s">
        <v>2553</v>
      </c>
      <c r="G650" s="27">
        <v>43871</v>
      </c>
      <c r="I650" t="s">
        <v>2752</v>
      </c>
      <c r="J650" s="232">
        <v>41</v>
      </c>
      <c r="K650" s="1" t="s">
        <v>2753</v>
      </c>
      <c r="L650" t="s">
        <v>47</v>
      </c>
    </row>
    <row r="651" spans="1:12" ht="15.75" customHeight="1" x14ac:dyDescent="0.25">
      <c r="A651" t="s">
        <v>2554</v>
      </c>
      <c r="B651" s="232">
        <v>6</v>
      </c>
      <c r="C651" t="s">
        <v>237</v>
      </c>
      <c r="D651" t="s">
        <v>2565</v>
      </c>
      <c r="E651" t="s">
        <v>3037</v>
      </c>
      <c r="F651" t="s">
        <v>2553</v>
      </c>
      <c r="G651" s="27">
        <v>43871</v>
      </c>
      <c r="I651" t="s">
        <v>2630</v>
      </c>
      <c r="J651" s="232">
        <v>42</v>
      </c>
      <c r="K651" s="1" t="s">
        <v>2754</v>
      </c>
      <c r="L651" t="s">
        <v>47</v>
      </c>
    </row>
    <row r="652" spans="1:12" ht="15.75" customHeight="1" x14ac:dyDescent="0.25">
      <c r="A652" t="s">
        <v>2554</v>
      </c>
      <c r="B652" s="232">
        <v>6</v>
      </c>
      <c r="C652" t="s">
        <v>237</v>
      </c>
      <c r="D652" t="s">
        <v>2565</v>
      </c>
      <c r="E652" t="s">
        <v>3037</v>
      </c>
      <c r="F652" t="s">
        <v>2553</v>
      </c>
      <c r="G652" s="27">
        <v>43871</v>
      </c>
      <c r="I652" t="s">
        <v>2632</v>
      </c>
      <c r="J652" s="232">
        <v>43</v>
      </c>
      <c r="K652" s="1" t="s">
        <v>2755</v>
      </c>
      <c r="L652" t="s">
        <v>47</v>
      </c>
    </row>
    <row r="653" spans="1:12" ht="15.75" customHeight="1" x14ac:dyDescent="0.25">
      <c r="A653" t="s">
        <v>2554</v>
      </c>
      <c r="B653" s="232">
        <v>6</v>
      </c>
      <c r="C653" t="s">
        <v>237</v>
      </c>
      <c r="D653" t="s">
        <v>2565</v>
      </c>
      <c r="E653" t="s">
        <v>3037</v>
      </c>
      <c r="F653" t="s">
        <v>2553</v>
      </c>
      <c r="G653" s="27">
        <v>43871</v>
      </c>
      <c r="I653" t="s">
        <v>2636</v>
      </c>
      <c r="J653" s="232">
        <v>44</v>
      </c>
      <c r="K653" s="1" t="s">
        <v>2922</v>
      </c>
      <c r="L653" t="s">
        <v>47</v>
      </c>
    </row>
    <row r="654" spans="1:12" ht="15.75" customHeight="1" x14ac:dyDescent="0.25">
      <c r="A654" t="s">
        <v>2554</v>
      </c>
      <c r="B654" s="232">
        <v>6</v>
      </c>
      <c r="C654" t="s">
        <v>237</v>
      </c>
      <c r="D654" t="s">
        <v>2565</v>
      </c>
      <c r="E654" t="s">
        <v>3037</v>
      </c>
      <c r="F654" t="s">
        <v>2553</v>
      </c>
      <c r="G654" s="27">
        <v>43871</v>
      </c>
      <c r="I654" t="s">
        <v>2638</v>
      </c>
      <c r="J654" s="232">
        <v>45</v>
      </c>
      <c r="K654" s="1" t="s">
        <v>2756</v>
      </c>
      <c r="L654" t="s">
        <v>47</v>
      </c>
    </row>
    <row r="655" spans="1:12" ht="15.75" customHeight="1" x14ac:dyDescent="0.25">
      <c r="A655" t="s">
        <v>2554</v>
      </c>
      <c r="B655" s="232">
        <v>6</v>
      </c>
      <c r="C655" t="s">
        <v>237</v>
      </c>
      <c r="D655" t="s">
        <v>2565</v>
      </c>
      <c r="E655" t="s">
        <v>3037</v>
      </c>
      <c r="F655" t="s">
        <v>2553</v>
      </c>
      <c r="G655" s="27">
        <v>43871</v>
      </c>
      <c r="I655" t="s">
        <v>2757</v>
      </c>
      <c r="J655" s="232">
        <v>46</v>
      </c>
      <c r="K655" s="1" t="s">
        <v>2758</v>
      </c>
      <c r="L655" t="s">
        <v>47</v>
      </c>
    </row>
    <row r="656" spans="1:12" ht="15.75" customHeight="1" x14ac:dyDescent="0.25">
      <c r="A656" t="s">
        <v>2554</v>
      </c>
      <c r="B656" s="232">
        <v>6</v>
      </c>
      <c r="C656" t="s">
        <v>237</v>
      </c>
      <c r="D656" t="s">
        <v>2565</v>
      </c>
      <c r="E656" t="s">
        <v>3037</v>
      </c>
      <c r="F656" t="s">
        <v>2553</v>
      </c>
      <c r="G656" s="27">
        <v>43871</v>
      </c>
      <c r="I656" t="s">
        <v>2759</v>
      </c>
      <c r="J656" s="232">
        <v>47</v>
      </c>
      <c r="K656" s="1" t="s">
        <v>2760</v>
      </c>
      <c r="L656" t="s">
        <v>47</v>
      </c>
    </row>
    <row r="657" spans="1:12" ht="15.75" customHeight="1" x14ac:dyDescent="0.25">
      <c r="A657" t="s">
        <v>2554</v>
      </c>
      <c r="B657" s="232">
        <v>6</v>
      </c>
      <c r="C657" t="s">
        <v>237</v>
      </c>
      <c r="D657" t="s">
        <v>2565</v>
      </c>
      <c r="E657" t="s">
        <v>3037</v>
      </c>
      <c r="F657" t="s">
        <v>2553</v>
      </c>
      <c r="G657" s="27">
        <v>43871</v>
      </c>
      <c r="I657" t="s">
        <v>2762</v>
      </c>
      <c r="J657" s="232">
        <v>48</v>
      </c>
      <c r="K657" s="1" t="s">
        <v>3038</v>
      </c>
      <c r="L657" t="s">
        <v>47</v>
      </c>
    </row>
    <row r="658" spans="1:12" ht="15.75" customHeight="1" x14ac:dyDescent="0.25">
      <c r="A658" t="s">
        <v>2554</v>
      </c>
      <c r="B658" s="232">
        <v>7</v>
      </c>
      <c r="C658" t="s">
        <v>237</v>
      </c>
      <c r="D658" t="s">
        <v>2565</v>
      </c>
      <c r="E658" t="s">
        <v>2764</v>
      </c>
      <c r="F658" t="s">
        <v>2553</v>
      </c>
      <c r="G658" s="27">
        <v>43871</v>
      </c>
      <c r="I658" t="s">
        <v>2643</v>
      </c>
      <c r="J658" s="232">
        <v>49</v>
      </c>
      <c r="K658" s="1" t="s">
        <v>2765</v>
      </c>
      <c r="L658" t="s">
        <v>47</v>
      </c>
    </row>
    <row r="659" spans="1:12" ht="15.75" customHeight="1" x14ac:dyDescent="0.25">
      <c r="A659" t="s">
        <v>2554</v>
      </c>
      <c r="B659" s="232">
        <v>7</v>
      </c>
      <c r="C659" t="s">
        <v>237</v>
      </c>
      <c r="D659" t="s">
        <v>2565</v>
      </c>
      <c r="E659" t="s">
        <v>2764</v>
      </c>
      <c r="F659" t="s">
        <v>2553</v>
      </c>
      <c r="G659" s="27">
        <v>43871</v>
      </c>
      <c r="I659" t="s">
        <v>2649</v>
      </c>
      <c r="J659" s="232">
        <v>50</v>
      </c>
      <c r="K659" s="1" t="s">
        <v>2766</v>
      </c>
      <c r="L659" t="s">
        <v>1968</v>
      </c>
    </row>
    <row r="660" spans="1:12" ht="15.75" customHeight="1" x14ac:dyDescent="0.25">
      <c r="A660" t="s">
        <v>2554</v>
      </c>
      <c r="B660" s="232">
        <v>7</v>
      </c>
      <c r="C660" t="s">
        <v>237</v>
      </c>
      <c r="D660" t="s">
        <v>2565</v>
      </c>
      <c r="E660" t="s">
        <v>2764</v>
      </c>
      <c r="F660" t="s">
        <v>2553</v>
      </c>
      <c r="G660" s="27">
        <v>43871</v>
      </c>
      <c r="I660" t="s">
        <v>2651</v>
      </c>
      <c r="J660" s="232">
        <v>51</v>
      </c>
      <c r="K660" s="1" t="s">
        <v>2767</v>
      </c>
      <c r="L660" t="s">
        <v>47</v>
      </c>
    </row>
    <row r="661" spans="1:12" ht="15.75" customHeight="1" x14ac:dyDescent="0.25">
      <c r="A661" t="s">
        <v>2554</v>
      </c>
      <c r="B661" s="232">
        <v>8</v>
      </c>
      <c r="C661" t="s">
        <v>237</v>
      </c>
      <c r="D661" t="s">
        <v>2565</v>
      </c>
      <c r="E661" t="s">
        <v>2906</v>
      </c>
      <c r="F661" t="s">
        <v>2553</v>
      </c>
      <c r="G661" s="27">
        <v>43871</v>
      </c>
      <c r="I661" t="s">
        <v>2663</v>
      </c>
      <c r="J661" s="232">
        <v>52</v>
      </c>
      <c r="K661" s="1" t="s">
        <v>2907</v>
      </c>
      <c r="L661" t="s">
        <v>47</v>
      </c>
    </row>
    <row r="662" spans="1:12" ht="15.75" customHeight="1" x14ac:dyDescent="0.25">
      <c r="A662" t="s">
        <v>2554</v>
      </c>
      <c r="B662" s="232">
        <v>8</v>
      </c>
      <c r="C662" t="s">
        <v>237</v>
      </c>
      <c r="D662" t="s">
        <v>2565</v>
      </c>
      <c r="E662" t="s">
        <v>2906</v>
      </c>
      <c r="F662" t="s">
        <v>2553</v>
      </c>
      <c r="G662" s="27">
        <v>43871</v>
      </c>
      <c r="I662" t="s">
        <v>2664</v>
      </c>
      <c r="J662" s="232">
        <v>53</v>
      </c>
      <c r="K662" s="248" t="s">
        <v>2980</v>
      </c>
      <c r="L662" t="s">
        <v>1968</v>
      </c>
    </row>
    <row r="663" spans="1:12" ht="15.75" customHeight="1" x14ac:dyDescent="0.25">
      <c r="A663" t="s">
        <v>2554</v>
      </c>
      <c r="B663" s="232">
        <v>8</v>
      </c>
      <c r="C663" t="s">
        <v>237</v>
      </c>
      <c r="D663" t="s">
        <v>2565</v>
      </c>
      <c r="E663" t="s">
        <v>2906</v>
      </c>
      <c r="F663" t="s">
        <v>2553</v>
      </c>
      <c r="G663" s="27">
        <v>43871</v>
      </c>
      <c r="I663" t="s">
        <v>2665</v>
      </c>
      <c r="J663" s="232">
        <v>54</v>
      </c>
      <c r="K663" s="1" t="s">
        <v>3039</v>
      </c>
      <c r="L663" t="s">
        <v>1968</v>
      </c>
    </row>
    <row r="664" spans="1:12" ht="15.75" customHeight="1" x14ac:dyDescent="0.25">
      <c r="A664" t="s">
        <v>2554</v>
      </c>
      <c r="B664" s="232">
        <v>8</v>
      </c>
      <c r="C664" t="s">
        <v>237</v>
      </c>
      <c r="D664" t="s">
        <v>2565</v>
      </c>
      <c r="E664" t="s">
        <v>2906</v>
      </c>
      <c r="F664" t="s">
        <v>2553</v>
      </c>
      <c r="G664" s="27">
        <v>43871</v>
      </c>
      <c r="I664" t="s">
        <v>2771</v>
      </c>
      <c r="J664" s="232">
        <v>55</v>
      </c>
      <c r="K664" s="1" t="s">
        <v>3040</v>
      </c>
      <c r="L664" t="s">
        <v>1968</v>
      </c>
    </row>
    <row r="665" spans="1:12" ht="15.75" customHeight="1" x14ac:dyDescent="0.25">
      <c r="A665" t="s">
        <v>2554</v>
      </c>
      <c r="B665" s="232">
        <v>8</v>
      </c>
      <c r="C665" t="s">
        <v>237</v>
      </c>
      <c r="D665" t="s">
        <v>2565</v>
      </c>
      <c r="E665" t="s">
        <v>2906</v>
      </c>
      <c r="F665" t="s">
        <v>2553</v>
      </c>
      <c r="G665" s="27">
        <v>43871</v>
      </c>
      <c r="I665" t="s">
        <v>2773</v>
      </c>
      <c r="J665" s="232">
        <v>56</v>
      </c>
      <c r="K665" s="1" t="s">
        <v>3041</v>
      </c>
      <c r="L665" t="s">
        <v>47</v>
      </c>
    </row>
    <row r="666" spans="1:12" ht="15.75" customHeight="1" x14ac:dyDescent="0.25">
      <c r="A666" t="s">
        <v>2554</v>
      </c>
      <c r="B666" s="232">
        <v>8</v>
      </c>
      <c r="C666" t="s">
        <v>237</v>
      </c>
      <c r="D666" t="s">
        <v>2565</v>
      </c>
      <c r="E666" t="s">
        <v>2906</v>
      </c>
      <c r="F666" t="s">
        <v>2553</v>
      </c>
      <c r="G666" s="27">
        <v>43871</v>
      </c>
      <c r="I666" t="s">
        <v>2775</v>
      </c>
      <c r="J666" s="232">
        <v>57</v>
      </c>
      <c r="K666" s="1" t="s">
        <v>3044</v>
      </c>
      <c r="L666" t="s">
        <v>1968</v>
      </c>
    </row>
    <row r="667" spans="1:12" ht="15.75" customHeight="1" x14ac:dyDescent="0.25">
      <c r="A667" t="s">
        <v>2554</v>
      </c>
      <c r="B667" s="232">
        <v>8</v>
      </c>
      <c r="C667" t="s">
        <v>237</v>
      </c>
      <c r="D667" t="s">
        <v>2565</v>
      </c>
      <c r="E667" t="s">
        <v>2906</v>
      </c>
      <c r="F667" t="s">
        <v>2553</v>
      </c>
      <c r="G667" s="27">
        <v>43871</v>
      </c>
      <c r="I667" t="s">
        <v>2777</v>
      </c>
      <c r="J667" s="232">
        <v>58</v>
      </c>
      <c r="K667" s="1" t="s">
        <v>3043</v>
      </c>
      <c r="L667" t="s">
        <v>47</v>
      </c>
    </row>
    <row r="668" spans="1:12" ht="15.75" customHeight="1" x14ac:dyDescent="0.25">
      <c r="A668" t="s">
        <v>2554</v>
      </c>
      <c r="B668" s="232">
        <v>8</v>
      </c>
      <c r="C668" t="s">
        <v>237</v>
      </c>
      <c r="D668" t="s">
        <v>2565</v>
      </c>
      <c r="E668" t="s">
        <v>2906</v>
      </c>
      <c r="F668" t="s">
        <v>2553</v>
      </c>
      <c r="G668" s="27">
        <v>43871</v>
      </c>
      <c r="I668" t="s">
        <v>3042</v>
      </c>
      <c r="J668" s="232">
        <v>59</v>
      </c>
      <c r="K668" s="1" t="s">
        <v>3045</v>
      </c>
      <c r="L668" t="s">
        <v>47</v>
      </c>
    </row>
    <row r="669" spans="1:12" ht="15.75" customHeight="1" x14ac:dyDescent="0.25">
      <c r="A669" t="s">
        <v>2554</v>
      </c>
      <c r="B669" s="232">
        <v>8</v>
      </c>
      <c r="C669" t="s">
        <v>237</v>
      </c>
      <c r="D669" t="s">
        <v>2565</v>
      </c>
      <c r="E669" t="s">
        <v>2906</v>
      </c>
      <c r="F669" t="s">
        <v>2553</v>
      </c>
      <c r="G669" s="27">
        <v>43871</v>
      </c>
      <c r="I669" t="s">
        <v>3047</v>
      </c>
      <c r="J669" s="232">
        <v>60</v>
      </c>
      <c r="K669" s="1" t="s">
        <v>3046</v>
      </c>
      <c r="L669" t="s">
        <v>47</v>
      </c>
    </row>
    <row r="670" spans="1:12" ht="15.75" customHeight="1" x14ac:dyDescent="0.25">
      <c r="A670" t="s">
        <v>2554</v>
      </c>
      <c r="B670" s="232">
        <v>9</v>
      </c>
      <c r="C670" t="s">
        <v>237</v>
      </c>
      <c r="D670" t="s">
        <v>2565</v>
      </c>
      <c r="E670" t="s">
        <v>2779</v>
      </c>
      <c r="F670" t="s">
        <v>2553</v>
      </c>
      <c r="G670" s="27">
        <v>43871</v>
      </c>
      <c r="I670" t="s">
        <v>2669</v>
      </c>
      <c r="J670" s="232">
        <v>61</v>
      </c>
      <c r="K670" s="1" t="s">
        <v>2780</v>
      </c>
      <c r="L670" t="s">
        <v>47</v>
      </c>
    </row>
    <row r="671" spans="1:12" ht="15.75" customHeight="1" x14ac:dyDescent="0.25">
      <c r="A671" t="s">
        <v>2554</v>
      </c>
      <c r="B671" s="232">
        <v>9</v>
      </c>
      <c r="C671" t="s">
        <v>237</v>
      </c>
      <c r="D671" t="s">
        <v>2565</v>
      </c>
      <c r="E671" t="s">
        <v>2779</v>
      </c>
      <c r="F671" t="s">
        <v>2553</v>
      </c>
      <c r="G671" s="27">
        <v>43871</v>
      </c>
      <c r="I671" t="s">
        <v>2782</v>
      </c>
      <c r="J671" s="232">
        <v>62</v>
      </c>
      <c r="K671" s="1" t="s">
        <v>2570</v>
      </c>
      <c r="L671" t="s">
        <v>47</v>
      </c>
    </row>
    <row r="672" spans="1:12" ht="15.75" customHeight="1" x14ac:dyDescent="0.25">
      <c r="A672" t="s">
        <v>2554</v>
      </c>
      <c r="B672" s="232">
        <v>9</v>
      </c>
      <c r="C672" t="s">
        <v>237</v>
      </c>
      <c r="D672" t="s">
        <v>2565</v>
      </c>
      <c r="E672" t="s">
        <v>2779</v>
      </c>
      <c r="F672" t="s">
        <v>2553</v>
      </c>
      <c r="G672" s="27">
        <v>43871</v>
      </c>
      <c r="I672" t="s">
        <v>2673</v>
      </c>
      <c r="J672" s="232">
        <v>63</v>
      </c>
      <c r="K672" s="1" t="s">
        <v>2571</v>
      </c>
      <c r="L672" t="s">
        <v>47</v>
      </c>
    </row>
    <row r="673" spans="1:12" ht="15.75" customHeight="1" x14ac:dyDescent="0.25">
      <c r="A673" t="s">
        <v>2554</v>
      </c>
      <c r="B673" s="232">
        <v>9</v>
      </c>
      <c r="C673" t="s">
        <v>237</v>
      </c>
      <c r="D673" t="s">
        <v>2565</v>
      </c>
      <c r="E673" t="s">
        <v>2779</v>
      </c>
      <c r="F673" t="s">
        <v>2553</v>
      </c>
      <c r="G673" s="27">
        <v>43871</v>
      </c>
      <c r="I673" t="s">
        <v>2681</v>
      </c>
      <c r="J673" s="232">
        <v>64</v>
      </c>
      <c r="K673" s="1" t="s">
        <v>2572</v>
      </c>
      <c r="L673" t="s">
        <v>47</v>
      </c>
    </row>
    <row r="674" spans="1:12" ht="15.75" customHeight="1" x14ac:dyDescent="0.25">
      <c r="A674" t="s">
        <v>2554</v>
      </c>
      <c r="B674" s="232">
        <v>9</v>
      </c>
      <c r="C674" t="s">
        <v>237</v>
      </c>
      <c r="D674" t="s">
        <v>2565</v>
      </c>
      <c r="E674" t="s">
        <v>2779</v>
      </c>
      <c r="F674" t="s">
        <v>2553</v>
      </c>
      <c r="G674" s="27">
        <v>43871</v>
      </c>
      <c r="I674" t="s">
        <v>2683</v>
      </c>
      <c r="J674" s="232">
        <v>65</v>
      </c>
      <c r="K674" s="1" t="s">
        <v>2573</v>
      </c>
      <c r="L674" t="s">
        <v>47</v>
      </c>
    </row>
    <row r="675" spans="1:12" ht="15.75" customHeight="1" x14ac:dyDescent="0.25">
      <c r="A675" t="s">
        <v>2554</v>
      </c>
      <c r="B675" s="232">
        <v>9</v>
      </c>
      <c r="C675" t="s">
        <v>237</v>
      </c>
      <c r="D675" t="s">
        <v>2565</v>
      </c>
      <c r="E675" t="s">
        <v>2779</v>
      </c>
      <c r="F675" t="s">
        <v>2553</v>
      </c>
      <c r="G675" s="27">
        <v>43871</v>
      </c>
      <c r="I675" t="s">
        <v>2685</v>
      </c>
      <c r="J675" s="232">
        <v>66</v>
      </c>
      <c r="K675" s="1" t="s">
        <v>3048</v>
      </c>
      <c r="L675" t="s">
        <v>47</v>
      </c>
    </row>
    <row r="676" spans="1:12" ht="15.75" customHeight="1" x14ac:dyDescent="0.25">
      <c r="A676" t="s">
        <v>2554</v>
      </c>
      <c r="B676" s="232">
        <v>9</v>
      </c>
      <c r="C676" t="s">
        <v>237</v>
      </c>
      <c r="D676" t="s">
        <v>2565</v>
      </c>
      <c r="E676" t="s">
        <v>2779</v>
      </c>
      <c r="F676" t="s">
        <v>2553</v>
      </c>
      <c r="G676" s="27">
        <v>43871</v>
      </c>
      <c r="I676" t="s">
        <v>3049</v>
      </c>
      <c r="J676" s="232">
        <v>67</v>
      </c>
      <c r="K676" s="1" t="s">
        <v>3051</v>
      </c>
      <c r="L676" t="s">
        <v>47</v>
      </c>
    </row>
    <row r="677" spans="1:12" ht="15.75" customHeight="1" x14ac:dyDescent="0.25">
      <c r="A677" t="s">
        <v>2554</v>
      </c>
      <c r="B677" s="232">
        <v>9</v>
      </c>
      <c r="C677" t="s">
        <v>237</v>
      </c>
      <c r="D677" t="s">
        <v>2565</v>
      </c>
      <c r="E677" t="s">
        <v>2779</v>
      </c>
      <c r="F677" t="s">
        <v>2553</v>
      </c>
      <c r="G677" s="27">
        <v>43871</v>
      </c>
      <c r="I677" t="s">
        <v>3050</v>
      </c>
      <c r="J677" s="232">
        <v>68</v>
      </c>
      <c r="K677" s="1" t="s">
        <v>3052</v>
      </c>
      <c r="L677" t="s">
        <v>1968</v>
      </c>
    </row>
    <row r="678" spans="1:12" ht="15.75" customHeight="1" x14ac:dyDescent="0.25">
      <c r="A678" t="s">
        <v>2554</v>
      </c>
      <c r="B678" s="232">
        <v>10</v>
      </c>
      <c r="C678" t="s">
        <v>237</v>
      </c>
      <c r="D678" t="s">
        <v>2565</v>
      </c>
      <c r="E678" t="s">
        <v>2783</v>
      </c>
      <c r="F678" t="s">
        <v>2553</v>
      </c>
      <c r="G678" s="27">
        <v>43871</v>
      </c>
      <c r="I678" t="s">
        <v>2784</v>
      </c>
      <c r="J678" s="232">
        <v>69</v>
      </c>
      <c r="K678" s="1" t="s">
        <v>2574</v>
      </c>
      <c r="L678" t="s">
        <v>47</v>
      </c>
    </row>
    <row r="679" spans="1:12" ht="15.75" customHeight="1" x14ac:dyDescent="0.25">
      <c r="A679" t="s">
        <v>2554</v>
      </c>
      <c r="B679" s="232">
        <v>10</v>
      </c>
      <c r="C679" t="s">
        <v>237</v>
      </c>
      <c r="D679" t="s">
        <v>2565</v>
      </c>
      <c r="E679" t="s">
        <v>2783</v>
      </c>
      <c r="F679" t="s">
        <v>2553</v>
      </c>
      <c r="G679" s="27">
        <v>43871</v>
      </c>
      <c r="I679" t="s">
        <v>2785</v>
      </c>
      <c r="J679" s="232">
        <v>70</v>
      </c>
      <c r="K679" s="1" t="s">
        <v>2575</v>
      </c>
      <c r="L679" t="s">
        <v>47</v>
      </c>
    </row>
    <row r="680" spans="1:12" ht="15.75" customHeight="1" x14ac:dyDescent="0.25">
      <c r="A680" t="s">
        <v>2554</v>
      </c>
      <c r="B680" s="232">
        <v>10</v>
      </c>
      <c r="C680" t="s">
        <v>237</v>
      </c>
      <c r="D680" t="s">
        <v>2565</v>
      </c>
      <c r="E680" t="s">
        <v>2783</v>
      </c>
      <c r="F680" t="s">
        <v>2553</v>
      </c>
      <c r="G680" s="27">
        <v>43871</v>
      </c>
      <c r="I680" t="s">
        <v>2786</v>
      </c>
      <c r="J680" s="232">
        <v>71</v>
      </c>
      <c r="K680" s="1" t="s">
        <v>2576</v>
      </c>
      <c r="L680" t="s">
        <v>47</v>
      </c>
    </row>
    <row r="681" spans="1:12" ht="15.75" customHeight="1" x14ac:dyDescent="0.25">
      <c r="A681" t="s">
        <v>2554</v>
      </c>
      <c r="B681" s="232">
        <v>10</v>
      </c>
      <c r="C681" t="s">
        <v>237</v>
      </c>
      <c r="D681" t="s">
        <v>2565</v>
      </c>
      <c r="E681" t="s">
        <v>2783</v>
      </c>
      <c r="F681" t="s">
        <v>2553</v>
      </c>
      <c r="G681" s="27">
        <v>43871</v>
      </c>
      <c r="I681" t="s">
        <v>2787</v>
      </c>
      <c r="J681" s="232">
        <v>72</v>
      </c>
      <c r="K681" s="1" t="s">
        <v>2577</v>
      </c>
      <c r="L681" t="s">
        <v>1968</v>
      </c>
    </row>
    <row r="682" spans="1:12" ht="15.75" customHeight="1" x14ac:dyDescent="0.25">
      <c r="A682" t="s">
        <v>2554</v>
      </c>
      <c r="B682" s="232">
        <v>10</v>
      </c>
      <c r="C682" t="s">
        <v>237</v>
      </c>
      <c r="D682" t="s">
        <v>2565</v>
      </c>
      <c r="E682" t="s">
        <v>2783</v>
      </c>
      <c r="F682" t="s">
        <v>2553</v>
      </c>
      <c r="G682" s="27">
        <v>43871</v>
      </c>
      <c r="I682" t="s">
        <v>2579</v>
      </c>
      <c r="J682" s="232">
        <v>73</v>
      </c>
      <c r="K682" s="1" t="s">
        <v>2788</v>
      </c>
      <c r="L682" t="s">
        <v>47</v>
      </c>
    </row>
    <row r="683" spans="1:12" ht="15.75" customHeight="1" x14ac:dyDescent="0.25">
      <c r="A683" t="s">
        <v>2554</v>
      </c>
      <c r="B683" s="232">
        <v>10</v>
      </c>
      <c r="C683" t="s">
        <v>237</v>
      </c>
      <c r="D683" t="s">
        <v>2565</v>
      </c>
      <c r="E683" t="s">
        <v>2783</v>
      </c>
      <c r="F683" t="s">
        <v>2553</v>
      </c>
      <c r="G683" s="27">
        <v>43871</v>
      </c>
      <c r="I683" t="s">
        <v>2789</v>
      </c>
      <c r="J683" s="232">
        <v>74</v>
      </c>
      <c r="K683" s="1" t="s">
        <v>2578</v>
      </c>
      <c r="L683" t="s">
        <v>47</v>
      </c>
    </row>
    <row r="684" spans="1:12" ht="15.75" customHeight="1" x14ac:dyDescent="0.25">
      <c r="A684" t="s">
        <v>2554</v>
      </c>
      <c r="B684" s="232">
        <v>11</v>
      </c>
      <c r="C684" t="s">
        <v>237</v>
      </c>
      <c r="D684" t="s">
        <v>2565</v>
      </c>
      <c r="E684" t="s">
        <v>2668</v>
      </c>
      <c r="F684" t="s">
        <v>2553</v>
      </c>
      <c r="G684" s="27">
        <v>43871</v>
      </c>
      <c r="I684" t="s">
        <v>2790</v>
      </c>
      <c r="J684" s="232">
        <v>75</v>
      </c>
      <c r="K684" s="1" t="s">
        <v>2580</v>
      </c>
      <c r="L684" t="s">
        <v>47</v>
      </c>
    </row>
    <row r="685" spans="1:12" ht="15.75" customHeight="1" x14ac:dyDescent="0.25">
      <c r="A685" t="s">
        <v>2554</v>
      </c>
      <c r="B685" s="232">
        <v>11</v>
      </c>
      <c r="C685" t="s">
        <v>237</v>
      </c>
      <c r="D685" t="s">
        <v>2565</v>
      </c>
      <c r="E685" t="s">
        <v>2668</v>
      </c>
      <c r="F685" t="s">
        <v>2553</v>
      </c>
      <c r="G685" s="27">
        <v>43871</v>
      </c>
      <c r="I685" t="s">
        <v>2791</v>
      </c>
      <c r="J685" s="232">
        <v>76</v>
      </c>
      <c r="K685" s="1" t="s">
        <v>2581</v>
      </c>
      <c r="L685" t="s">
        <v>47</v>
      </c>
    </row>
    <row r="686" spans="1:12" ht="15.75" customHeight="1" x14ac:dyDescent="0.25">
      <c r="A686" t="s">
        <v>2554</v>
      </c>
      <c r="B686" s="232">
        <v>11</v>
      </c>
      <c r="C686" t="s">
        <v>237</v>
      </c>
      <c r="D686" t="s">
        <v>2565</v>
      </c>
      <c r="E686" t="s">
        <v>2668</v>
      </c>
      <c r="F686" t="s">
        <v>2553</v>
      </c>
      <c r="G686" s="27">
        <v>43871</v>
      </c>
      <c r="I686" t="s">
        <v>2792</v>
      </c>
      <c r="J686" s="232">
        <v>77</v>
      </c>
      <c r="K686" s="1" t="s">
        <v>2582</v>
      </c>
      <c r="L686" t="s">
        <v>47</v>
      </c>
    </row>
    <row r="687" spans="1:12" ht="15.75" customHeight="1" x14ac:dyDescent="0.25">
      <c r="A687" t="s">
        <v>2554</v>
      </c>
      <c r="B687" s="232">
        <v>11</v>
      </c>
      <c r="C687" t="s">
        <v>237</v>
      </c>
      <c r="D687" t="s">
        <v>2565</v>
      </c>
      <c r="E687" t="s">
        <v>2668</v>
      </c>
      <c r="F687" t="s">
        <v>2553</v>
      </c>
      <c r="G687" s="27">
        <v>43871</v>
      </c>
      <c r="I687" t="s">
        <v>2793</v>
      </c>
      <c r="J687" s="232">
        <v>78</v>
      </c>
      <c r="K687" s="1" t="s">
        <v>2583</v>
      </c>
      <c r="L687" t="s">
        <v>47</v>
      </c>
    </row>
    <row r="688" spans="1:12" ht="15.75" customHeight="1" x14ac:dyDescent="0.25">
      <c r="A688" t="s">
        <v>2554</v>
      </c>
      <c r="B688" s="232">
        <v>11</v>
      </c>
      <c r="C688" t="s">
        <v>237</v>
      </c>
      <c r="D688" t="s">
        <v>2565</v>
      </c>
      <c r="E688" t="s">
        <v>2668</v>
      </c>
      <c r="F688" t="s">
        <v>2553</v>
      </c>
      <c r="G688" s="27">
        <v>43871</v>
      </c>
      <c r="I688" t="s">
        <v>2794</v>
      </c>
      <c r="J688" s="232">
        <v>79</v>
      </c>
      <c r="K688" s="1" t="s">
        <v>2584</v>
      </c>
      <c r="L688" t="s">
        <v>47</v>
      </c>
    </row>
    <row r="689" spans="1:12" ht="15.75" customHeight="1" x14ac:dyDescent="0.25">
      <c r="A689" t="s">
        <v>2554</v>
      </c>
      <c r="B689" s="232">
        <v>11</v>
      </c>
      <c r="C689" t="s">
        <v>237</v>
      </c>
      <c r="D689" t="s">
        <v>2565</v>
      </c>
      <c r="E689" t="s">
        <v>2668</v>
      </c>
      <c r="F689" t="s">
        <v>2553</v>
      </c>
      <c r="G689" s="27">
        <v>43871</v>
      </c>
      <c r="I689" t="s">
        <v>2795</v>
      </c>
      <c r="J689" s="232">
        <v>80</v>
      </c>
      <c r="K689" s="1" t="s">
        <v>2585</v>
      </c>
      <c r="L689" t="s">
        <v>47</v>
      </c>
    </row>
    <row r="690" spans="1:12" ht="15.75" customHeight="1" x14ac:dyDescent="0.25">
      <c r="A690" t="s">
        <v>2554</v>
      </c>
      <c r="B690" s="232">
        <v>11</v>
      </c>
      <c r="C690" t="s">
        <v>237</v>
      </c>
      <c r="D690" t="s">
        <v>2565</v>
      </c>
      <c r="E690" t="s">
        <v>2668</v>
      </c>
      <c r="F690" t="s">
        <v>2553</v>
      </c>
      <c r="G690" s="27">
        <v>43871</v>
      </c>
      <c r="I690" t="s">
        <v>2796</v>
      </c>
      <c r="J690" s="232">
        <v>81</v>
      </c>
      <c r="K690" s="1" t="s">
        <v>2586</v>
      </c>
      <c r="L690" t="s">
        <v>47</v>
      </c>
    </row>
    <row r="691" spans="1:12" ht="15.75" customHeight="1" x14ac:dyDescent="0.25">
      <c r="A691" t="s">
        <v>2554</v>
      </c>
      <c r="B691" s="232">
        <v>11</v>
      </c>
      <c r="C691" t="s">
        <v>237</v>
      </c>
      <c r="D691" t="s">
        <v>2565</v>
      </c>
      <c r="E691" t="s">
        <v>2668</v>
      </c>
      <c r="F691" t="s">
        <v>2553</v>
      </c>
      <c r="G691" s="27">
        <v>43871</v>
      </c>
      <c r="I691" t="s">
        <v>2797</v>
      </c>
      <c r="J691" s="232">
        <v>82</v>
      </c>
      <c r="K691" s="1" t="s">
        <v>2587</v>
      </c>
      <c r="L691" t="s">
        <v>47</v>
      </c>
    </row>
    <row r="692" spans="1:12" ht="15.75" customHeight="1" x14ac:dyDescent="0.25">
      <c r="A692" t="s">
        <v>2554</v>
      </c>
      <c r="B692" s="232">
        <v>11</v>
      </c>
      <c r="C692" t="s">
        <v>237</v>
      </c>
      <c r="D692" t="s">
        <v>2565</v>
      </c>
      <c r="E692" t="s">
        <v>2668</v>
      </c>
      <c r="F692" t="s">
        <v>2553</v>
      </c>
      <c r="G692" s="27">
        <v>43871</v>
      </c>
      <c r="I692" t="s">
        <v>2588</v>
      </c>
      <c r="J692" s="232">
        <v>83</v>
      </c>
      <c r="K692" s="1" t="s">
        <v>2589</v>
      </c>
      <c r="L692" t="s">
        <v>47</v>
      </c>
    </row>
    <row r="693" spans="1:12" ht="15.75" customHeight="1" x14ac:dyDescent="0.25">
      <c r="A693" t="s">
        <v>2554</v>
      </c>
      <c r="B693" s="232">
        <v>11</v>
      </c>
      <c r="C693" t="s">
        <v>237</v>
      </c>
      <c r="D693" t="s">
        <v>2565</v>
      </c>
      <c r="E693" t="s">
        <v>2668</v>
      </c>
      <c r="F693" t="s">
        <v>2553</v>
      </c>
      <c r="G693" s="27">
        <v>43871</v>
      </c>
      <c r="I693" t="s">
        <v>2798</v>
      </c>
      <c r="J693" s="232">
        <v>84</v>
      </c>
      <c r="K693" s="1" t="s">
        <v>2590</v>
      </c>
      <c r="L693" t="s">
        <v>47</v>
      </c>
    </row>
    <row r="694" spans="1:12" ht="15.75" customHeight="1" x14ac:dyDescent="0.25">
      <c r="A694" t="s">
        <v>2554</v>
      </c>
      <c r="B694" s="232">
        <v>11</v>
      </c>
      <c r="C694" t="s">
        <v>237</v>
      </c>
      <c r="D694" t="s">
        <v>2565</v>
      </c>
      <c r="E694" t="s">
        <v>2668</v>
      </c>
      <c r="F694" t="s">
        <v>2553</v>
      </c>
      <c r="G694" s="27">
        <v>43871</v>
      </c>
      <c r="I694" t="s">
        <v>2799</v>
      </c>
      <c r="J694" s="232">
        <v>85</v>
      </c>
      <c r="K694" s="1" t="s">
        <v>2800</v>
      </c>
      <c r="L694" t="s">
        <v>47</v>
      </c>
    </row>
    <row r="695" spans="1:12" ht="15.75" customHeight="1" x14ac:dyDescent="0.25">
      <c r="A695" t="s">
        <v>2554</v>
      </c>
      <c r="B695" s="232">
        <v>11</v>
      </c>
      <c r="C695" t="s">
        <v>237</v>
      </c>
      <c r="D695" t="s">
        <v>2565</v>
      </c>
      <c r="E695" t="s">
        <v>2668</v>
      </c>
      <c r="F695" t="s">
        <v>2553</v>
      </c>
      <c r="G695" s="27">
        <v>43871</v>
      </c>
      <c r="I695" t="s">
        <v>2591</v>
      </c>
      <c r="J695" s="232">
        <v>86</v>
      </c>
      <c r="K695" s="1" t="s">
        <v>2801</v>
      </c>
      <c r="L695" t="s">
        <v>47</v>
      </c>
    </row>
    <row r="696" spans="1:12" ht="15.75" customHeight="1" x14ac:dyDescent="0.25">
      <c r="A696" t="s">
        <v>2554</v>
      </c>
      <c r="B696" s="232">
        <v>12</v>
      </c>
      <c r="C696" t="s">
        <v>237</v>
      </c>
      <c r="D696" t="s">
        <v>2565</v>
      </c>
      <c r="E696" s="50" t="s">
        <v>3545</v>
      </c>
      <c r="F696" t="s">
        <v>2553</v>
      </c>
      <c r="G696" s="27">
        <v>43871</v>
      </c>
      <c r="I696">
        <v>1</v>
      </c>
      <c r="J696" s="232">
        <v>87</v>
      </c>
      <c r="K696" s="1" t="s">
        <v>3054</v>
      </c>
      <c r="L696" t="s">
        <v>47</v>
      </c>
    </row>
    <row r="697" spans="1:12" ht="15.75" customHeight="1" x14ac:dyDescent="0.25">
      <c r="A697" t="s">
        <v>2554</v>
      </c>
      <c r="B697" s="232">
        <v>12</v>
      </c>
      <c r="C697" t="s">
        <v>237</v>
      </c>
      <c r="D697" t="s">
        <v>2565</v>
      </c>
      <c r="E697" s="50" t="s">
        <v>3545</v>
      </c>
      <c r="F697" t="s">
        <v>2553</v>
      </c>
      <c r="G697" s="27">
        <v>43871</v>
      </c>
      <c r="I697">
        <v>2</v>
      </c>
      <c r="J697" s="232">
        <v>88</v>
      </c>
      <c r="K697" s="1" t="s">
        <v>2892</v>
      </c>
      <c r="L697" t="s">
        <v>47</v>
      </c>
    </row>
    <row r="698" spans="1:12" ht="15.75" customHeight="1" x14ac:dyDescent="0.25">
      <c r="A698" t="s">
        <v>2554</v>
      </c>
      <c r="B698" s="232">
        <v>12</v>
      </c>
      <c r="C698" t="s">
        <v>237</v>
      </c>
      <c r="D698" t="s">
        <v>2565</v>
      </c>
      <c r="E698" s="50" t="s">
        <v>3053</v>
      </c>
      <c r="F698" t="s">
        <v>2553</v>
      </c>
      <c r="G698" s="27">
        <v>43871</v>
      </c>
      <c r="I698" t="s">
        <v>2605</v>
      </c>
      <c r="J698" s="232">
        <v>89</v>
      </c>
      <c r="K698" s="247" t="s">
        <v>3547</v>
      </c>
      <c r="L698" t="s">
        <v>47</v>
      </c>
    </row>
    <row r="699" spans="1:12" ht="15.75" customHeight="1" x14ac:dyDescent="0.25">
      <c r="A699" t="s">
        <v>2554</v>
      </c>
      <c r="B699" s="232">
        <v>12</v>
      </c>
      <c r="C699" t="s">
        <v>237</v>
      </c>
      <c r="D699" t="s">
        <v>2565</v>
      </c>
      <c r="E699" s="50" t="s">
        <v>3053</v>
      </c>
      <c r="F699" t="s">
        <v>2553</v>
      </c>
      <c r="G699" s="27">
        <v>43871</v>
      </c>
      <c r="I699" s="229" t="s">
        <v>2607</v>
      </c>
      <c r="J699" s="232">
        <v>90</v>
      </c>
      <c r="K699" s="1" t="s">
        <v>3546</v>
      </c>
      <c r="L699" t="s">
        <v>1968</v>
      </c>
    </row>
    <row r="700" spans="1:12" ht="15.75" customHeight="1" x14ac:dyDescent="0.25">
      <c r="A700" t="s">
        <v>2554</v>
      </c>
      <c r="B700" s="232">
        <v>12</v>
      </c>
      <c r="C700" t="s">
        <v>237</v>
      </c>
      <c r="D700" t="s">
        <v>2565</v>
      </c>
      <c r="E700" s="50" t="s">
        <v>3053</v>
      </c>
      <c r="F700" t="s">
        <v>2553</v>
      </c>
      <c r="G700" s="27">
        <v>43871</v>
      </c>
      <c r="I700" t="s">
        <v>2729</v>
      </c>
      <c r="J700" s="232">
        <v>91</v>
      </c>
      <c r="K700" s="247" t="s">
        <v>3548</v>
      </c>
      <c r="L700" t="s">
        <v>47</v>
      </c>
    </row>
    <row r="701" spans="1:12" ht="15.75" customHeight="1" x14ac:dyDescent="0.25">
      <c r="A701" t="s">
        <v>2554</v>
      </c>
      <c r="B701" s="232">
        <v>12</v>
      </c>
      <c r="C701" t="s">
        <v>237</v>
      </c>
      <c r="D701" t="s">
        <v>2565</v>
      </c>
      <c r="E701" s="50" t="s">
        <v>3053</v>
      </c>
      <c r="F701" t="s">
        <v>2553</v>
      </c>
      <c r="G701" s="27">
        <v>43871</v>
      </c>
      <c r="I701">
        <v>3</v>
      </c>
      <c r="J701" s="232">
        <v>92</v>
      </c>
      <c r="K701" s="247" t="s">
        <v>3549</v>
      </c>
      <c r="L701" t="s">
        <v>47</v>
      </c>
    </row>
    <row r="702" spans="1:12" ht="15.75" customHeight="1" x14ac:dyDescent="0.25">
      <c r="A702" t="s">
        <v>2554</v>
      </c>
      <c r="B702" s="232">
        <v>13</v>
      </c>
      <c r="C702" t="s">
        <v>237</v>
      </c>
      <c r="D702" t="s">
        <v>2565</v>
      </c>
      <c r="E702" s="50" t="s">
        <v>3053</v>
      </c>
      <c r="F702" t="s">
        <v>2553</v>
      </c>
      <c r="G702" s="27">
        <v>43871</v>
      </c>
      <c r="I702">
        <v>4</v>
      </c>
      <c r="J702" s="232">
        <v>93</v>
      </c>
      <c r="K702" s="1" t="s">
        <v>2920</v>
      </c>
      <c r="L702" t="s">
        <v>47</v>
      </c>
    </row>
    <row r="703" spans="1:12" ht="14.25" customHeight="1" x14ac:dyDescent="0.25">
      <c r="A703" t="s">
        <v>2554</v>
      </c>
      <c r="B703" s="232">
        <v>1</v>
      </c>
      <c r="C703" t="s">
        <v>3055</v>
      </c>
      <c r="D703" t="s">
        <v>2565</v>
      </c>
      <c r="E703" t="s">
        <v>3068</v>
      </c>
      <c r="F703" t="s">
        <v>272</v>
      </c>
      <c r="G703" s="27">
        <v>44809</v>
      </c>
      <c r="I703" t="s">
        <v>2601</v>
      </c>
      <c r="J703" s="232">
        <v>1</v>
      </c>
      <c r="K703" s="1" t="s">
        <v>3056</v>
      </c>
      <c r="L703" t="s">
        <v>47</v>
      </c>
    </row>
    <row r="704" spans="1:12" ht="14.25" customHeight="1" x14ac:dyDescent="0.25">
      <c r="A704" t="s">
        <v>2554</v>
      </c>
      <c r="B704" s="232">
        <v>1</v>
      </c>
      <c r="C704" t="s">
        <v>3055</v>
      </c>
      <c r="D704" t="s">
        <v>2565</v>
      </c>
      <c r="E704" t="s">
        <v>3068</v>
      </c>
      <c r="F704" t="s">
        <v>272</v>
      </c>
      <c r="G704" s="27">
        <v>44809</v>
      </c>
      <c r="I704" t="s">
        <v>2714</v>
      </c>
      <c r="J704" s="232">
        <v>2</v>
      </c>
      <c r="K704" s="1" t="s">
        <v>3057</v>
      </c>
      <c r="L704" t="s">
        <v>1968</v>
      </c>
    </row>
    <row r="705" spans="1:12" ht="14.25" customHeight="1" x14ac:dyDescent="0.25">
      <c r="A705" t="s">
        <v>2554</v>
      </c>
      <c r="B705" s="232">
        <v>1</v>
      </c>
      <c r="C705" t="s">
        <v>3055</v>
      </c>
      <c r="D705" t="s">
        <v>2565</v>
      </c>
      <c r="E705" t="s">
        <v>3068</v>
      </c>
      <c r="F705" t="s">
        <v>272</v>
      </c>
      <c r="G705" s="27">
        <v>44809</v>
      </c>
      <c r="I705">
        <v>2</v>
      </c>
      <c r="J705" s="232">
        <v>3</v>
      </c>
      <c r="K705" s="1" t="s">
        <v>3058</v>
      </c>
      <c r="L705" t="s">
        <v>47</v>
      </c>
    </row>
    <row r="706" spans="1:12" ht="14.25" customHeight="1" x14ac:dyDescent="0.25">
      <c r="A706" t="s">
        <v>2554</v>
      </c>
      <c r="B706" s="232">
        <v>2</v>
      </c>
      <c r="C706" t="s">
        <v>3055</v>
      </c>
      <c r="D706" t="s">
        <v>2565</v>
      </c>
      <c r="E706" t="s">
        <v>3058</v>
      </c>
      <c r="F706" t="s">
        <v>272</v>
      </c>
      <c r="G706" s="27">
        <v>44809</v>
      </c>
      <c r="I706" t="s">
        <v>2605</v>
      </c>
      <c r="J706" s="232">
        <v>4</v>
      </c>
      <c r="K706" s="1" t="s">
        <v>3059</v>
      </c>
      <c r="L706" t="s">
        <v>47</v>
      </c>
    </row>
    <row r="707" spans="1:12" ht="14.25" customHeight="1" x14ac:dyDescent="0.25">
      <c r="A707" t="s">
        <v>2554</v>
      </c>
      <c r="B707" s="232">
        <v>2</v>
      </c>
      <c r="C707" t="s">
        <v>3055</v>
      </c>
      <c r="D707" t="s">
        <v>2565</v>
      </c>
      <c r="E707" t="s">
        <v>3058</v>
      </c>
      <c r="F707" t="s">
        <v>272</v>
      </c>
      <c r="G707" s="27">
        <v>44809</v>
      </c>
      <c r="I707" t="s">
        <v>2607</v>
      </c>
      <c r="J707" s="232">
        <v>5</v>
      </c>
      <c r="K707" s="1" t="s">
        <v>3060</v>
      </c>
      <c r="L707" t="s">
        <v>47</v>
      </c>
    </row>
    <row r="708" spans="1:12" ht="14.25" customHeight="1" x14ac:dyDescent="0.25">
      <c r="A708" t="s">
        <v>2554</v>
      </c>
      <c r="B708" s="232">
        <v>2</v>
      </c>
      <c r="C708" t="s">
        <v>3055</v>
      </c>
      <c r="D708" t="s">
        <v>2565</v>
      </c>
      <c r="E708" t="s">
        <v>3058</v>
      </c>
      <c r="F708" t="s">
        <v>272</v>
      </c>
      <c r="G708" s="27">
        <v>44809</v>
      </c>
      <c r="I708" t="s">
        <v>2729</v>
      </c>
      <c r="J708" s="232">
        <v>6</v>
      </c>
      <c r="K708" s="1" t="s">
        <v>3061</v>
      </c>
      <c r="L708" t="s">
        <v>47</v>
      </c>
    </row>
    <row r="709" spans="1:12" ht="14.25" customHeight="1" x14ac:dyDescent="0.25">
      <c r="A709" t="s">
        <v>2554</v>
      </c>
      <c r="B709" s="232">
        <v>2</v>
      </c>
      <c r="C709" t="s">
        <v>3055</v>
      </c>
      <c r="D709" t="s">
        <v>2565</v>
      </c>
      <c r="E709" t="s">
        <v>3058</v>
      </c>
      <c r="F709" t="s">
        <v>272</v>
      </c>
      <c r="G709" s="27">
        <v>44809</v>
      </c>
      <c r="I709" t="s">
        <v>3062</v>
      </c>
      <c r="J709" s="232">
        <v>7</v>
      </c>
      <c r="K709" s="1" t="s">
        <v>3063</v>
      </c>
      <c r="L709" t="s">
        <v>47</v>
      </c>
    </row>
    <row r="710" spans="1:12" ht="14.25" customHeight="1" x14ac:dyDescent="0.25">
      <c r="A710" t="s">
        <v>2554</v>
      </c>
      <c r="B710" s="232">
        <v>2</v>
      </c>
      <c r="C710" t="s">
        <v>3055</v>
      </c>
      <c r="D710" t="s">
        <v>2565</v>
      </c>
      <c r="E710" t="s">
        <v>3058</v>
      </c>
      <c r="F710" t="s">
        <v>272</v>
      </c>
      <c r="G710" s="27">
        <v>44809</v>
      </c>
      <c r="I710" s="228" t="s">
        <v>2730</v>
      </c>
      <c r="J710" s="232">
        <v>8</v>
      </c>
      <c r="K710" s="1" t="s">
        <v>3064</v>
      </c>
      <c r="L710" t="s">
        <v>47</v>
      </c>
    </row>
    <row r="711" spans="1:12" ht="14.25" customHeight="1" x14ac:dyDescent="0.25">
      <c r="A711" t="s">
        <v>2554</v>
      </c>
      <c r="B711" s="232">
        <v>3</v>
      </c>
      <c r="C711" t="s">
        <v>3055</v>
      </c>
      <c r="D711" t="s">
        <v>2565</v>
      </c>
      <c r="E711" t="s">
        <v>3069</v>
      </c>
      <c r="F711" t="s">
        <v>272</v>
      </c>
      <c r="G711" s="27">
        <v>44809</v>
      </c>
      <c r="I711" s="228" t="s">
        <v>2610</v>
      </c>
      <c r="J711" s="232">
        <v>9</v>
      </c>
      <c r="K711" s="1" t="s">
        <v>3065</v>
      </c>
      <c r="L711" t="s">
        <v>1968</v>
      </c>
    </row>
    <row r="712" spans="1:12" ht="14.25" customHeight="1" x14ac:dyDescent="0.25">
      <c r="A712" t="s">
        <v>2554</v>
      </c>
      <c r="B712" s="232">
        <v>3</v>
      </c>
      <c r="C712" t="s">
        <v>3055</v>
      </c>
      <c r="D712" t="s">
        <v>2565</v>
      </c>
      <c r="E712" t="s">
        <v>3069</v>
      </c>
      <c r="F712" t="s">
        <v>272</v>
      </c>
      <c r="G712" s="27">
        <v>44809</v>
      </c>
      <c r="I712" s="228" t="s">
        <v>3066</v>
      </c>
      <c r="J712" s="232">
        <v>10</v>
      </c>
      <c r="K712" s="1" t="s">
        <v>3067</v>
      </c>
      <c r="L712" t="s">
        <v>1968</v>
      </c>
    </row>
    <row r="713" spans="1:12" ht="14.25" customHeight="1" x14ac:dyDescent="0.25">
      <c r="A713" t="s">
        <v>2554</v>
      </c>
      <c r="B713" s="232">
        <v>3</v>
      </c>
      <c r="C713" t="s">
        <v>3055</v>
      </c>
      <c r="D713" t="s">
        <v>2565</v>
      </c>
      <c r="E713" t="s">
        <v>3069</v>
      </c>
      <c r="F713" t="s">
        <v>272</v>
      </c>
      <c r="G713" s="27">
        <v>44809</v>
      </c>
      <c r="I713" s="228" t="s">
        <v>2612</v>
      </c>
      <c r="J713" s="232">
        <v>11</v>
      </c>
      <c r="K713" s="1" t="s">
        <v>3070</v>
      </c>
      <c r="L713" t="s">
        <v>1968</v>
      </c>
    </row>
    <row r="714" spans="1:12" ht="14.25" customHeight="1" x14ac:dyDescent="0.25">
      <c r="A714" t="s">
        <v>2554</v>
      </c>
      <c r="B714" s="232">
        <v>3</v>
      </c>
      <c r="C714" t="s">
        <v>3055</v>
      </c>
      <c r="D714" t="s">
        <v>2565</v>
      </c>
      <c r="E714" t="s">
        <v>3069</v>
      </c>
      <c r="F714" t="s">
        <v>272</v>
      </c>
      <c r="G714" s="27">
        <v>44809</v>
      </c>
      <c r="I714" s="228" t="s">
        <v>3072</v>
      </c>
      <c r="J714" s="232">
        <v>12</v>
      </c>
      <c r="K714" s="1" t="s">
        <v>3071</v>
      </c>
      <c r="L714" t="s">
        <v>47</v>
      </c>
    </row>
    <row r="715" spans="1:12" ht="14.25" customHeight="1" x14ac:dyDescent="0.25">
      <c r="A715" t="s">
        <v>2554</v>
      </c>
      <c r="B715" s="232">
        <v>3</v>
      </c>
      <c r="C715" t="s">
        <v>3055</v>
      </c>
      <c r="D715" t="s">
        <v>2565</v>
      </c>
      <c r="E715" t="s">
        <v>3069</v>
      </c>
      <c r="F715" t="s">
        <v>272</v>
      </c>
      <c r="G715" s="27">
        <v>44809</v>
      </c>
      <c r="I715" s="228" t="s">
        <v>2614</v>
      </c>
      <c r="J715" s="232">
        <v>13</v>
      </c>
      <c r="K715" s="1" t="s">
        <v>3073</v>
      </c>
      <c r="L715" t="s">
        <v>1968</v>
      </c>
    </row>
    <row r="716" spans="1:12" ht="14.25" customHeight="1" x14ac:dyDescent="0.25">
      <c r="A716" t="s">
        <v>2554</v>
      </c>
      <c r="B716" s="232">
        <v>3</v>
      </c>
      <c r="C716" t="s">
        <v>3055</v>
      </c>
      <c r="D716" t="s">
        <v>2565</v>
      </c>
      <c r="E716" t="s">
        <v>3069</v>
      </c>
      <c r="F716" t="s">
        <v>272</v>
      </c>
      <c r="G716" s="27">
        <v>44809</v>
      </c>
      <c r="I716" s="228" t="s">
        <v>2617</v>
      </c>
      <c r="J716" s="232">
        <v>14</v>
      </c>
      <c r="K716" s="1" t="s">
        <v>3074</v>
      </c>
      <c r="L716" t="s">
        <v>47</v>
      </c>
    </row>
    <row r="717" spans="1:12" ht="14.25" customHeight="1" x14ac:dyDescent="0.25">
      <c r="A717" t="s">
        <v>2554</v>
      </c>
      <c r="B717" s="232">
        <v>3</v>
      </c>
      <c r="C717" t="s">
        <v>3055</v>
      </c>
      <c r="D717" t="s">
        <v>2565</v>
      </c>
      <c r="E717" t="s">
        <v>3069</v>
      </c>
      <c r="F717" t="s">
        <v>272</v>
      </c>
      <c r="G717" s="27">
        <v>44809</v>
      </c>
      <c r="I717" s="228" t="s">
        <v>2619</v>
      </c>
      <c r="J717" s="232">
        <v>15</v>
      </c>
      <c r="K717" s="1" t="s">
        <v>3075</v>
      </c>
      <c r="L717" t="s">
        <v>47</v>
      </c>
    </row>
    <row r="718" spans="1:12" ht="14.25" customHeight="1" x14ac:dyDescent="0.25">
      <c r="A718" t="s">
        <v>2554</v>
      </c>
      <c r="B718" s="232">
        <v>3</v>
      </c>
      <c r="C718" t="s">
        <v>3055</v>
      </c>
      <c r="D718" t="s">
        <v>2565</v>
      </c>
      <c r="E718" t="s">
        <v>3069</v>
      </c>
      <c r="F718" t="s">
        <v>272</v>
      </c>
      <c r="G718" s="27">
        <v>44809</v>
      </c>
      <c r="I718" s="228" t="s">
        <v>3076</v>
      </c>
      <c r="J718" s="232">
        <v>16</v>
      </c>
      <c r="K718" s="1" t="s">
        <v>3077</v>
      </c>
      <c r="L718" t="s">
        <v>47</v>
      </c>
    </row>
    <row r="719" spans="1:12" ht="14.25" customHeight="1" x14ac:dyDescent="0.25">
      <c r="A719" t="s">
        <v>2554</v>
      </c>
      <c r="B719" s="232">
        <v>3</v>
      </c>
      <c r="C719" t="s">
        <v>3055</v>
      </c>
      <c r="D719" t="s">
        <v>2565</v>
      </c>
      <c r="E719" t="s">
        <v>3069</v>
      </c>
      <c r="F719" t="s">
        <v>272</v>
      </c>
      <c r="G719" s="27">
        <v>44809</v>
      </c>
      <c r="I719" s="228" t="s">
        <v>3079</v>
      </c>
      <c r="J719" s="232">
        <v>17</v>
      </c>
      <c r="K719" s="1" t="s">
        <v>3078</v>
      </c>
      <c r="L719" t="s">
        <v>47</v>
      </c>
    </row>
    <row r="720" spans="1:12" ht="14.25" customHeight="1" x14ac:dyDescent="0.25">
      <c r="A720" t="s">
        <v>2554</v>
      </c>
      <c r="B720" s="232">
        <v>3</v>
      </c>
      <c r="C720" t="s">
        <v>3055</v>
      </c>
      <c r="D720" t="s">
        <v>2565</v>
      </c>
      <c r="E720" t="s">
        <v>3069</v>
      </c>
      <c r="F720" t="s">
        <v>272</v>
      </c>
      <c r="G720" s="27">
        <v>44809</v>
      </c>
      <c r="I720" s="228" t="s">
        <v>3079</v>
      </c>
      <c r="J720" s="232">
        <v>18</v>
      </c>
      <c r="K720" s="1" t="s">
        <v>3080</v>
      </c>
      <c r="L720" t="s">
        <v>47</v>
      </c>
    </row>
    <row r="721" spans="1:12" ht="14.25" customHeight="1" x14ac:dyDescent="0.25">
      <c r="A721" t="s">
        <v>2554</v>
      </c>
      <c r="B721" s="232">
        <v>3</v>
      </c>
      <c r="C721" t="s">
        <v>3055</v>
      </c>
      <c r="D721" t="s">
        <v>2565</v>
      </c>
      <c r="E721" t="s">
        <v>3069</v>
      </c>
      <c r="F721" t="s">
        <v>272</v>
      </c>
      <c r="G721" s="27">
        <v>44809</v>
      </c>
      <c r="I721" s="228" t="s">
        <v>2621</v>
      </c>
      <c r="J721" s="232">
        <v>19</v>
      </c>
      <c r="K721" s="1" t="s">
        <v>3081</v>
      </c>
      <c r="L721" t="s">
        <v>1968</v>
      </c>
    </row>
    <row r="722" spans="1:12" ht="14.25" customHeight="1" x14ac:dyDescent="0.25">
      <c r="A722" t="s">
        <v>2554</v>
      </c>
      <c r="B722" s="232">
        <v>3</v>
      </c>
      <c r="C722" t="s">
        <v>3055</v>
      </c>
      <c r="D722" t="s">
        <v>2565</v>
      </c>
      <c r="E722" t="s">
        <v>3069</v>
      </c>
      <c r="F722" t="s">
        <v>272</v>
      </c>
      <c r="G722" s="27">
        <v>44809</v>
      </c>
      <c r="I722" s="228" t="s">
        <v>3083</v>
      </c>
      <c r="J722" s="232">
        <v>20</v>
      </c>
      <c r="K722" s="1" t="s">
        <v>3082</v>
      </c>
      <c r="L722" t="s">
        <v>47</v>
      </c>
    </row>
    <row r="723" spans="1:12" ht="14.25" customHeight="1" x14ac:dyDescent="0.25">
      <c r="A723" t="s">
        <v>2554</v>
      </c>
      <c r="B723" s="232">
        <v>3</v>
      </c>
      <c r="C723" t="s">
        <v>3055</v>
      </c>
      <c r="D723" t="s">
        <v>2565</v>
      </c>
      <c r="E723" t="s">
        <v>3069</v>
      </c>
      <c r="F723" t="s">
        <v>272</v>
      </c>
      <c r="G723" s="27">
        <v>44809</v>
      </c>
      <c r="I723" s="228" t="s">
        <v>2749</v>
      </c>
      <c r="J723" s="232">
        <v>21</v>
      </c>
      <c r="K723" s="1" t="s">
        <v>3084</v>
      </c>
      <c r="L723" t="s">
        <v>47</v>
      </c>
    </row>
    <row r="724" spans="1:12" ht="14.25" customHeight="1" x14ac:dyDescent="0.25">
      <c r="A724" t="s">
        <v>2554</v>
      </c>
      <c r="B724" s="232">
        <v>3</v>
      </c>
      <c r="C724" t="s">
        <v>3055</v>
      </c>
      <c r="D724" t="s">
        <v>2565</v>
      </c>
      <c r="E724" t="s">
        <v>3069</v>
      </c>
      <c r="F724" t="s">
        <v>272</v>
      </c>
      <c r="G724" s="27">
        <v>44809</v>
      </c>
      <c r="I724" s="228" t="s">
        <v>2833</v>
      </c>
      <c r="J724" s="232">
        <v>22</v>
      </c>
      <c r="K724" s="1" t="s">
        <v>3085</v>
      </c>
      <c r="L724" t="s">
        <v>47</v>
      </c>
    </row>
    <row r="725" spans="1:12" ht="14.25" customHeight="1" x14ac:dyDescent="0.25">
      <c r="A725" t="s">
        <v>2554</v>
      </c>
      <c r="B725" s="232">
        <v>4</v>
      </c>
      <c r="C725" t="s">
        <v>3055</v>
      </c>
      <c r="D725" t="s">
        <v>2565</v>
      </c>
      <c r="E725" t="s">
        <v>3116</v>
      </c>
      <c r="F725" t="s">
        <v>272</v>
      </c>
      <c r="G725" s="27">
        <v>44809</v>
      </c>
      <c r="I725" s="228" t="s">
        <v>2623</v>
      </c>
      <c r="J725" s="232">
        <v>23</v>
      </c>
      <c r="K725" s="1" t="s">
        <v>3086</v>
      </c>
      <c r="L725" t="s">
        <v>47</v>
      </c>
    </row>
    <row r="726" spans="1:12" ht="14.25" customHeight="1" x14ac:dyDescent="0.25">
      <c r="A726" t="s">
        <v>2554</v>
      </c>
      <c r="B726" s="232">
        <v>4</v>
      </c>
      <c r="C726" t="s">
        <v>3055</v>
      </c>
      <c r="D726" t="s">
        <v>2565</v>
      </c>
      <c r="E726" t="s">
        <v>3116</v>
      </c>
      <c r="F726" t="s">
        <v>272</v>
      </c>
      <c r="G726" s="27">
        <v>44809</v>
      </c>
      <c r="I726" s="228" t="s">
        <v>2627</v>
      </c>
      <c r="J726" s="232">
        <v>24</v>
      </c>
      <c r="K726" s="1" t="s">
        <v>3087</v>
      </c>
      <c r="L726" t="s">
        <v>47</v>
      </c>
    </row>
    <row r="727" spans="1:12" ht="14.25" customHeight="1" x14ac:dyDescent="0.25">
      <c r="A727" t="s">
        <v>2554</v>
      </c>
      <c r="B727" s="232">
        <v>5</v>
      </c>
      <c r="C727" t="s">
        <v>3055</v>
      </c>
      <c r="D727" t="s">
        <v>2565</v>
      </c>
      <c r="E727" t="s">
        <v>3115</v>
      </c>
      <c r="F727" t="s">
        <v>272</v>
      </c>
      <c r="G727" s="27">
        <v>44809</v>
      </c>
      <c r="I727" s="228" t="s">
        <v>2630</v>
      </c>
      <c r="J727" s="232">
        <v>25</v>
      </c>
      <c r="K727" s="1" t="s">
        <v>3088</v>
      </c>
      <c r="L727" t="s">
        <v>1968</v>
      </c>
    </row>
    <row r="728" spans="1:12" ht="14.25" customHeight="1" x14ac:dyDescent="0.25">
      <c r="A728" t="s">
        <v>2554</v>
      </c>
      <c r="B728" s="232">
        <v>5</v>
      </c>
      <c r="C728" t="s">
        <v>3055</v>
      </c>
      <c r="D728" t="s">
        <v>2565</v>
      </c>
      <c r="E728" t="s">
        <v>3115</v>
      </c>
      <c r="F728" t="s">
        <v>272</v>
      </c>
      <c r="G728" s="27">
        <v>44809</v>
      </c>
      <c r="I728" s="228" t="s">
        <v>2632</v>
      </c>
      <c r="J728" s="232">
        <v>26</v>
      </c>
      <c r="K728" s="1" t="s">
        <v>3089</v>
      </c>
      <c r="L728" t="s">
        <v>1968</v>
      </c>
    </row>
    <row r="729" spans="1:12" ht="14.25" customHeight="1" x14ac:dyDescent="0.25">
      <c r="A729" t="s">
        <v>2554</v>
      </c>
      <c r="B729" s="232">
        <v>5</v>
      </c>
      <c r="C729" t="s">
        <v>3055</v>
      </c>
      <c r="D729" t="s">
        <v>2565</v>
      </c>
      <c r="E729" t="s">
        <v>3115</v>
      </c>
      <c r="F729" t="s">
        <v>272</v>
      </c>
      <c r="G729" s="27">
        <v>44809</v>
      </c>
      <c r="I729" s="228" t="s">
        <v>2643</v>
      </c>
      <c r="J729" s="232">
        <v>27</v>
      </c>
      <c r="K729" s="1" t="s">
        <v>3090</v>
      </c>
      <c r="L729" t="s">
        <v>47</v>
      </c>
    </row>
    <row r="730" spans="1:12" ht="14.25" customHeight="1" x14ac:dyDescent="0.25">
      <c r="A730" t="s">
        <v>2554</v>
      </c>
      <c r="B730" s="232">
        <v>5</v>
      </c>
      <c r="C730" t="s">
        <v>3055</v>
      </c>
      <c r="D730" t="s">
        <v>2565</v>
      </c>
      <c r="E730" t="s">
        <v>3115</v>
      </c>
      <c r="F730" t="s">
        <v>272</v>
      </c>
      <c r="G730" s="27">
        <v>44809</v>
      </c>
      <c r="I730" s="228" t="s">
        <v>2649</v>
      </c>
      <c r="J730" s="232">
        <v>28</v>
      </c>
      <c r="K730" s="1" t="s">
        <v>3091</v>
      </c>
      <c r="L730" t="s">
        <v>1968</v>
      </c>
    </row>
    <row r="731" spans="1:12" ht="14.25" customHeight="1" x14ac:dyDescent="0.25">
      <c r="A731" t="s">
        <v>2554</v>
      </c>
      <c r="B731" s="232">
        <v>5</v>
      </c>
      <c r="C731" t="s">
        <v>3055</v>
      </c>
      <c r="D731" t="s">
        <v>2565</v>
      </c>
      <c r="E731" t="s">
        <v>3115</v>
      </c>
      <c r="F731" t="s">
        <v>272</v>
      </c>
      <c r="G731" s="27">
        <v>44809</v>
      </c>
      <c r="I731" s="228" t="s">
        <v>2651</v>
      </c>
      <c r="J731" s="232">
        <v>29</v>
      </c>
      <c r="K731" s="1" t="s">
        <v>3092</v>
      </c>
      <c r="L731" t="s">
        <v>47</v>
      </c>
    </row>
    <row r="732" spans="1:12" ht="14.25" customHeight="1" x14ac:dyDescent="0.25">
      <c r="A732" t="s">
        <v>2554</v>
      </c>
      <c r="B732" s="232">
        <v>5</v>
      </c>
      <c r="C732" t="s">
        <v>3055</v>
      </c>
      <c r="D732" t="s">
        <v>2565</v>
      </c>
      <c r="E732" t="s">
        <v>3115</v>
      </c>
      <c r="F732" t="s">
        <v>272</v>
      </c>
      <c r="G732" s="27">
        <v>44809</v>
      </c>
      <c r="I732" s="228" t="s">
        <v>3093</v>
      </c>
      <c r="J732" s="232">
        <v>30</v>
      </c>
      <c r="K732" s="1" t="s">
        <v>3094</v>
      </c>
      <c r="L732" t="s">
        <v>47</v>
      </c>
    </row>
    <row r="733" spans="1:12" ht="14.25" customHeight="1" x14ac:dyDescent="0.25">
      <c r="A733" t="s">
        <v>2554</v>
      </c>
      <c r="B733" s="232">
        <v>5</v>
      </c>
      <c r="C733" t="s">
        <v>3055</v>
      </c>
      <c r="D733" t="s">
        <v>2565</v>
      </c>
      <c r="E733" t="s">
        <v>3115</v>
      </c>
      <c r="F733" t="s">
        <v>272</v>
      </c>
      <c r="G733" s="27">
        <v>44809</v>
      </c>
      <c r="I733" s="228" t="s">
        <v>2653</v>
      </c>
      <c r="J733" s="232">
        <v>31</v>
      </c>
      <c r="K733" s="1" t="s">
        <v>3095</v>
      </c>
      <c r="L733" t="s">
        <v>47</v>
      </c>
    </row>
    <row r="734" spans="1:12" ht="14.25" customHeight="1" x14ac:dyDescent="0.25">
      <c r="A734" t="s">
        <v>2554</v>
      </c>
      <c r="B734" s="232">
        <v>5</v>
      </c>
      <c r="C734" t="s">
        <v>3055</v>
      </c>
      <c r="D734" t="s">
        <v>2565</v>
      </c>
      <c r="E734" t="s">
        <v>3115</v>
      </c>
      <c r="F734" t="s">
        <v>272</v>
      </c>
      <c r="G734" s="27">
        <v>44809</v>
      </c>
      <c r="I734" s="228" t="s">
        <v>2655</v>
      </c>
      <c r="J734" s="232">
        <v>32</v>
      </c>
      <c r="K734" s="1" t="s">
        <v>3096</v>
      </c>
      <c r="L734" t="s">
        <v>47</v>
      </c>
    </row>
    <row r="735" spans="1:12" ht="14.25" customHeight="1" x14ac:dyDescent="0.25">
      <c r="A735" t="s">
        <v>2554</v>
      </c>
      <c r="B735" s="232">
        <v>5</v>
      </c>
      <c r="C735" t="s">
        <v>3055</v>
      </c>
      <c r="D735" t="s">
        <v>2565</v>
      </c>
      <c r="E735" t="s">
        <v>3115</v>
      </c>
      <c r="F735" t="s">
        <v>272</v>
      </c>
      <c r="G735" s="27">
        <v>44809</v>
      </c>
      <c r="I735" s="228" t="s">
        <v>2657</v>
      </c>
      <c r="J735" s="232">
        <v>33</v>
      </c>
      <c r="K735" s="1" t="s">
        <v>3097</v>
      </c>
      <c r="L735" t="s">
        <v>47</v>
      </c>
    </row>
    <row r="736" spans="1:12" ht="14.25" customHeight="1" x14ac:dyDescent="0.25">
      <c r="A736" t="s">
        <v>2554</v>
      </c>
      <c r="B736" s="232">
        <v>5</v>
      </c>
      <c r="C736" t="s">
        <v>3055</v>
      </c>
      <c r="D736" t="s">
        <v>2565</v>
      </c>
      <c r="E736" t="s">
        <v>3115</v>
      </c>
      <c r="F736" t="s">
        <v>272</v>
      </c>
      <c r="G736" s="27">
        <v>44809</v>
      </c>
      <c r="I736" s="228" t="s">
        <v>2659</v>
      </c>
      <c r="J736" s="232">
        <v>34</v>
      </c>
      <c r="K736" s="1" t="s">
        <v>3098</v>
      </c>
      <c r="L736" t="s">
        <v>47</v>
      </c>
    </row>
    <row r="737" spans="1:12" ht="14.25" customHeight="1" x14ac:dyDescent="0.25">
      <c r="A737" t="s">
        <v>2554</v>
      </c>
      <c r="B737" s="232">
        <v>5</v>
      </c>
      <c r="C737" t="s">
        <v>3055</v>
      </c>
      <c r="D737" t="s">
        <v>2565</v>
      </c>
      <c r="E737" t="s">
        <v>3115</v>
      </c>
      <c r="F737" t="s">
        <v>272</v>
      </c>
      <c r="G737" s="27">
        <v>44809</v>
      </c>
      <c r="I737" s="228" t="s">
        <v>3100</v>
      </c>
      <c r="J737" s="232">
        <v>35</v>
      </c>
      <c r="K737" s="1" t="s">
        <v>3099</v>
      </c>
      <c r="L737" t="s">
        <v>47</v>
      </c>
    </row>
    <row r="738" spans="1:12" ht="14.25" customHeight="1" x14ac:dyDescent="0.25">
      <c r="A738" t="s">
        <v>2554</v>
      </c>
      <c r="B738" s="232">
        <v>5</v>
      </c>
      <c r="C738" t="s">
        <v>3055</v>
      </c>
      <c r="D738" t="s">
        <v>2565</v>
      </c>
      <c r="E738" t="s">
        <v>3115</v>
      </c>
      <c r="F738" t="s">
        <v>272</v>
      </c>
      <c r="G738" s="27">
        <v>44809</v>
      </c>
      <c r="I738" s="228" t="s">
        <v>3102</v>
      </c>
      <c r="J738" s="232">
        <v>36</v>
      </c>
      <c r="K738" s="1" t="s">
        <v>3101</v>
      </c>
      <c r="L738" t="s">
        <v>47</v>
      </c>
    </row>
    <row r="739" spans="1:12" ht="14.25" customHeight="1" x14ac:dyDescent="0.25">
      <c r="A739" t="s">
        <v>2554</v>
      </c>
      <c r="B739" s="232">
        <v>5</v>
      </c>
      <c r="C739" t="s">
        <v>3055</v>
      </c>
      <c r="D739" t="s">
        <v>2565</v>
      </c>
      <c r="E739" t="s">
        <v>3115</v>
      </c>
      <c r="F739" t="s">
        <v>272</v>
      </c>
      <c r="G739" s="27">
        <v>44809</v>
      </c>
      <c r="I739" s="228" t="s">
        <v>3104</v>
      </c>
      <c r="J739" s="232">
        <v>37</v>
      </c>
      <c r="K739" s="1" t="s">
        <v>3103</v>
      </c>
      <c r="L739" t="s">
        <v>47</v>
      </c>
    </row>
    <row r="740" spans="1:12" ht="14.25" customHeight="1" x14ac:dyDescent="0.25">
      <c r="A740" t="s">
        <v>2554</v>
      </c>
      <c r="B740" s="232">
        <v>5</v>
      </c>
      <c r="C740" t="s">
        <v>3055</v>
      </c>
      <c r="D740" t="s">
        <v>2565</v>
      </c>
      <c r="E740" t="s">
        <v>3115</v>
      </c>
      <c r="F740" t="s">
        <v>272</v>
      </c>
      <c r="G740" s="27">
        <v>44809</v>
      </c>
      <c r="I740" s="228" t="s">
        <v>3105</v>
      </c>
      <c r="J740" s="232">
        <v>38</v>
      </c>
      <c r="K740" s="1" t="s">
        <v>3106</v>
      </c>
      <c r="L740" t="s">
        <v>47</v>
      </c>
    </row>
    <row r="741" spans="1:12" ht="14.25" customHeight="1" x14ac:dyDescent="0.25">
      <c r="A741" t="s">
        <v>2554</v>
      </c>
      <c r="B741" s="232">
        <v>5</v>
      </c>
      <c r="C741" t="s">
        <v>3055</v>
      </c>
      <c r="D741" t="s">
        <v>2565</v>
      </c>
      <c r="E741" t="s">
        <v>3115</v>
      </c>
      <c r="F741" t="s">
        <v>272</v>
      </c>
      <c r="G741" s="27">
        <v>44809</v>
      </c>
      <c r="I741" s="228" t="s">
        <v>3108</v>
      </c>
      <c r="J741" s="232">
        <v>39</v>
      </c>
      <c r="K741" s="1" t="s">
        <v>3107</v>
      </c>
      <c r="L741" t="s">
        <v>47</v>
      </c>
    </row>
    <row r="742" spans="1:12" ht="14.25" customHeight="1" x14ac:dyDescent="0.25">
      <c r="A742" t="s">
        <v>2554</v>
      </c>
      <c r="B742" s="232">
        <v>5</v>
      </c>
      <c r="C742" t="s">
        <v>3055</v>
      </c>
      <c r="D742" t="s">
        <v>2565</v>
      </c>
      <c r="E742" t="s">
        <v>3115</v>
      </c>
      <c r="F742" t="s">
        <v>272</v>
      </c>
      <c r="G742" s="27">
        <v>44809</v>
      </c>
      <c r="I742" s="228" t="s">
        <v>3110</v>
      </c>
      <c r="J742" s="232">
        <v>40</v>
      </c>
      <c r="K742" s="1" t="s">
        <v>3109</v>
      </c>
      <c r="L742" t="s">
        <v>47</v>
      </c>
    </row>
    <row r="743" spans="1:12" ht="14.25" customHeight="1" x14ac:dyDescent="0.25">
      <c r="A743" t="s">
        <v>2554</v>
      </c>
      <c r="B743" s="232">
        <v>5</v>
      </c>
      <c r="C743" t="s">
        <v>3055</v>
      </c>
      <c r="D743" t="s">
        <v>2565</v>
      </c>
      <c r="E743" t="s">
        <v>3115</v>
      </c>
      <c r="F743" t="s">
        <v>272</v>
      </c>
      <c r="G743" s="27">
        <v>44809</v>
      </c>
      <c r="I743" s="228" t="s">
        <v>3112</v>
      </c>
      <c r="J743" s="232">
        <v>41</v>
      </c>
      <c r="K743" s="1" t="s">
        <v>3111</v>
      </c>
      <c r="L743" t="s">
        <v>47</v>
      </c>
    </row>
    <row r="744" spans="1:12" ht="14.25" customHeight="1" x14ac:dyDescent="0.25">
      <c r="A744" t="s">
        <v>2554</v>
      </c>
      <c r="B744" s="232">
        <v>5</v>
      </c>
      <c r="C744" t="s">
        <v>3055</v>
      </c>
      <c r="D744" t="s">
        <v>2565</v>
      </c>
      <c r="E744" t="s">
        <v>3115</v>
      </c>
      <c r="F744" t="s">
        <v>272</v>
      </c>
      <c r="G744" s="27">
        <v>44809</v>
      </c>
      <c r="I744" s="228" t="s">
        <v>3114</v>
      </c>
      <c r="J744" s="232">
        <v>42</v>
      </c>
      <c r="K744" s="1" t="s">
        <v>3113</v>
      </c>
      <c r="L744" t="s">
        <v>47</v>
      </c>
    </row>
    <row r="745" spans="1:12" ht="14.25" customHeight="1" x14ac:dyDescent="0.25">
      <c r="A745" t="s">
        <v>2554</v>
      </c>
      <c r="B745" s="232">
        <v>5</v>
      </c>
      <c r="C745" t="s">
        <v>3055</v>
      </c>
      <c r="D745" t="s">
        <v>2565</v>
      </c>
      <c r="E745" t="s">
        <v>3115</v>
      </c>
      <c r="F745" t="s">
        <v>272</v>
      </c>
      <c r="G745" s="27">
        <v>44809</v>
      </c>
      <c r="I745" s="228" t="s">
        <v>3117</v>
      </c>
      <c r="J745" s="232">
        <v>43</v>
      </c>
      <c r="K745" s="1" t="s">
        <v>3118</v>
      </c>
      <c r="L745" t="s">
        <v>47</v>
      </c>
    </row>
    <row r="746" spans="1:12" ht="14.25" customHeight="1" x14ac:dyDescent="0.25">
      <c r="A746" t="s">
        <v>2554</v>
      </c>
      <c r="B746" s="232">
        <v>5</v>
      </c>
      <c r="C746" t="s">
        <v>3055</v>
      </c>
      <c r="D746" t="s">
        <v>2565</v>
      </c>
      <c r="E746" t="s">
        <v>3115</v>
      </c>
      <c r="F746" t="s">
        <v>272</v>
      </c>
      <c r="G746" s="27">
        <v>44809</v>
      </c>
      <c r="I746" s="228" t="s">
        <v>3120</v>
      </c>
      <c r="J746" s="232">
        <v>44</v>
      </c>
      <c r="K746" s="1" t="s">
        <v>3119</v>
      </c>
      <c r="L746" t="s">
        <v>47</v>
      </c>
    </row>
    <row r="747" spans="1:12" ht="14.25" customHeight="1" x14ac:dyDescent="0.25">
      <c r="A747" t="s">
        <v>2554</v>
      </c>
      <c r="B747" s="232">
        <v>5</v>
      </c>
      <c r="C747" t="s">
        <v>3055</v>
      </c>
      <c r="D747" t="s">
        <v>2565</v>
      </c>
      <c r="E747" t="s">
        <v>3115</v>
      </c>
      <c r="F747" t="s">
        <v>272</v>
      </c>
      <c r="G747" s="27">
        <v>44809</v>
      </c>
      <c r="I747" s="228" t="s">
        <v>3122</v>
      </c>
      <c r="J747" s="232">
        <v>45</v>
      </c>
      <c r="K747" s="1" t="s">
        <v>3121</v>
      </c>
      <c r="L747" t="s">
        <v>47</v>
      </c>
    </row>
    <row r="748" spans="1:12" ht="14.25" customHeight="1" x14ac:dyDescent="0.25">
      <c r="A748" t="s">
        <v>2554</v>
      </c>
      <c r="B748" s="232">
        <v>6</v>
      </c>
      <c r="C748" t="s">
        <v>3055</v>
      </c>
      <c r="D748" t="s">
        <v>2565</v>
      </c>
      <c r="E748" t="s">
        <v>3123</v>
      </c>
      <c r="F748" t="s">
        <v>272</v>
      </c>
      <c r="G748" s="27">
        <v>44809</v>
      </c>
      <c r="I748" s="228" t="s">
        <v>2663</v>
      </c>
      <c r="J748" s="232">
        <v>46</v>
      </c>
      <c r="K748" s="1" t="s">
        <v>3124</v>
      </c>
      <c r="L748" t="s">
        <v>47</v>
      </c>
    </row>
    <row r="749" spans="1:12" ht="14.25" customHeight="1" x14ac:dyDescent="0.25">
      <c r="A749" t="s">
        <v>2554</v>
      </c>
      <c r="B749" s="232">
        <v>6</v>
      </c>
      <c r="C749" t="s">
        <v>3055</v>
      </c>
      <c r="D749" t="s">
        <v>2565</v>
      </c>
      <c r="E749" t="s">
        <v>3123</v>
      </c>
      <c r="F749" t="s">
        <v>272</v>
      </c>
      <c r="G749" s="27">
        <v>44809</v>
      </c>
      <c r="I749" s="228" t="s">
        <v>2664</v>
      </c>
      <c r="J749" s="232">
        <v>47</v>
      </c>
      <c r="K749" s="1" t="s">
        <v>3125</v>
      </c>
      <c r="L749" t="s">
        <v>47</v>
      </c>
    </row>
    <row r="750" spans="1:12" ht="14.25" customHeight="1" x14ac:dyDescent="0.25">
      <c r="A750" t="s">
        <v>2554</v>
      </c>
      <c r="B750" s="232">
        <v>6</v>
      </c>
      <c r="C750" t="s">
        <v>3055</v>
      </c>
      <c r="D750" t="s">
        <v>2565</v>
      </c>
      <c r="E750" t="s">
        <v>3123</v>
      </c>
      <c r="F750" t="s">
        <v>272</v>
      </c>
      <c r="G750" s="27">
        <v>44809</v>
      </c>
      <c r="I750" s="228" t="s">
        <v>2665</v>
      </c>
      <c r="J750" s="232">
        <v>48</v>
      </c>
      <c r="K750" s="1" t="s">
        <v>3126</v>
      </c>
      <c r="L750" t="s">
        <v>47</v>
      </c>
    </row>
    <row r="751" spans="1:12" ht="14.25" customHeight="1" x14ac:dyDescent="0.25">
      <c r="A751" t="s">
        <v>2554</v>
      </c>
      <c r="B751" s="232">
        <v>6</v>
      </c>
      <c r="C751" t="s">
        <v>3055</v>
      </c>
      <c r="D751" t="s">
        <v>2565</v>
      </c>
      <c r="E751" t="s">
        <v>3123</v>
      </c>
      <c r="F751" t="s">
        <v>272</v>
      </c>
      <c r="G751" s="27">
        <v>44809</v>
      </c>
      <c r="I751" s="228" t="s">
        <v>3127</v>
      </c>
      <c r="J751" s="232">
        <v>49</v>
      </c>
      <c r="K751" s="1" t="s">
        <v>3128</v>
      </c>
      <c r="L751" t="s">
        <v>47</v>
      </c>
    </row>
    <row r="752" spans="1:12" ht="14.25" customHeight="1" x14ac:dyDescent="0.25">
      <c r="A752" t="s">
        <v>2554</v>
      </c>
      <c r="B752" s="232">
        <v>7</v>
      </c>
      <c r="C752" t="s">
        <v>3055</v>
      </c>
      <c r="D752" t="s">
        <v>2565</v>
      </c>
      <c r="E752" t="s">
        <v>2979</v>
      </c>
      <c r="F752" t="s">
        <v>272</v>
      </c>
      <c r="G752" s="27">
        <v>44809</v>
      </c>
      <c r="I752" s="228" t="s">
        <v>2669</v>
      </c>
      <c r="J752" s="232">
        <v>50</v>
      </c>
      <c r="K752" s="1" t="s">
        <v>3129</v>
      </c>
      <c r="L752" t="s">
        <v>47</v>
      </c>
    </row>
    <row r="753" spans="1:12" ht="14.25" customHeight="1" x14ac:dyDescent="0.25">
      <c r="A753" t="s">
        <v>2554</v>
      </c>
      <c r="B753" s="232">
        <v>7</v>
      </c>
      <c r="C753" t="s">
        <v>3055</v>
      </c>
      <c r="D753" t="s">
        <v>2565</v>
      </c>
      <c r="E753" t="s">
        <v>2979</v>
      </c>
      <c r="F753" t="s">
        <v>272</v>
      </c>
      <c r="G753" s="27">
        <v>44809</v>
      </c>
      <c r="I753" s="228" t="s">
        <v>2782</v>
      </c>
      <c r="J753" s="232">
        <v>51</v>
      </c>
      <c r="K753" s="1" t="s">
        <v>3130</v>
      </c>
      <c r="L753" t="s">
        <v>47</v>
      </c>
    </row>
    <row r="754" spans="1:12" ht="14.25" customHeight="1" x14ac:dyDescent="0.25">
      <c r="A754" t="s">
        <v>2554</v>
      </c>
      <c r="B754" s="232">
        <v>7</v>
      </c>
      <c r="C754" t="s">
        <v>3055</v>
      </c>
      <c r="D754" t="s">
        <v>2565</v>
      </c>
      <c r="E754" t="s">
        <v>2979</v>
      </c>
      <c r="F754" t="s">
        <v>272</v>
      </c>
      <c r="G754" s="27">
        <v>44809</v>
      </c>
      <c r="I754" s="228" t="s">
        <v>2673</v>
      </c>
      <c r="J754" s="232">
        <v>52</v>
      </c>
      <c r="K754" s="1" t="s">
        <v>3131</v>
      </c>
      <c r="L754" t="s">
        <v>47</v>
      </c>
    </row>
    <row r="755" spans="1:12" ht="14.25" customHeight="1" x14ac:dyDescent="0.25">
      <c r="A755" t="s">
        <v>2554</v>
      </c>
      <c r="B755" s="232">
        <v>7</v>
      </c>
      <c r="C755" t="s">
        <v>3055</v>
      </c>
      <c r="D755" t="s">
        <v>2565</v>
      </c>
      <c r="E755" t="s">
        <v>2979</v>
      </c>
      <c r="F755" t="s">
        <v>272</v>
      </c>
      <c r="G755" s="27">
        <v>44809</v>
      </c>
      <c r="I755" s="228" t="s">
        <v>2681</v>
      </c>
      <c r="J755" s="232">
        <v>53</v>
      </c>
      <c r="K755" s="248" t="s">
        <v>3132</v>
      </c>
      <c r="L755" t="s">
        <v>47</v>
      </c>
    </row>
    <row r="756" spans="1:12" ht="14.25" customHeight="1" x14ac:dyDescent="0.25">
      <c r="A756" t="s">
        <v>2554</v>
      </c>
      <c r="B756" s="232">
        <v>8</v>
      </c>
      <c r="C756" t="s">
        <v>3055</v>
      </c>
      <c r="D756" t="s">
        <v>2565</v>
      </c>
      <c r="E756" t="s">
        <v>3135</v>
      </c>
      <c r="F756" t="s">
        <v>272</v>
      </c>
      <c r="G756" s="27">
        <v>44809</v>
      </c>
      <c r="I756" s="228" t="s">
        <v>2784</v>
      </c>
      <c r="J756" s="232">
        <v>54</v>
      </c>
      <c r="K756" s="248" t="s">
        <v>3133</v>
      </c>
      <c r="L756" t="s">
        <v>47</v>
      </c>
    </row>
    <row r="757" spans="1:12" ht="14.25" customHeight="1" x14ac:dyDescent="0.25">
      <c r="A757" t="s">
        <v>2554</v>
      </c>
      <c r="B757" s="232">
        <v>8</v>
      </c>
      <c r="C757" t="s">
        <v>3055</v>
      </c>
      <c r="D757" t="s">
        <v>2565</v>
      </c>
      <c r="E757" t="s">
        <v>3135</v>
      </c>
      <c r="F757" t="s">
        <v>272</v>
      </c>
      <c r="G757" s="27">
        <v>44809</v>
      </c>
      <c r="I757" s="228" t="s">
        <v>2996</v>
      </c>
      <c r="J757" s="232">
        <v>55</v>
      </c>
      <c r="K757" s="1" t="s">
        <v>3134</v>
      </c>
      <c r="L757" t="s">
        <v>47</v>
      </c>
    </row>
    <row r="758" spans="1:12" ht="14.25" customHeight="1" x14ac:dyDescent="0.25">
      <c r="A758" t="s">
        <v>2554</v>
      </c>
      <c r="B758" s="232">
        <v>9</v>
      </c>
      <c r="C758" t="s">
        <v>3055</v>
      </c>
      <c r="D758" t="s">
        <v>2565</v>
      </c>
      <c r="E758" t="s">
        <v>3136</v>
      </c>
      <c r="F758" t="s">
        <v>272</v>
      </c>
      <c r="G758" s="27">
        <v>44809</v>
      </c>
      <c r="I758" s="228" t="s">
        <v>2790</v>
      </c>
      <c r="J758" s="232">
        <v>56</v>
      </c>
      <c r="K758" s="1" t="s">
        <v>3137</v>
      </c>
      <c r="L758" t="s">
        <v>47</v>
      </c>
    </row>
    <row r="759" spans="1:12" ht="14.25" customHeight="1" x14ac:dyDescent="0.25">
      <c r="A759" t="s">
        <v>2554</v>
      </c>
      <c r="B759" s="232">
        <v>10</v>
      </c>
      <c r="C759" t="s">
        <v>3055</v>
      </c>
      <c r="D759" t="s">
        <v>2565</v>
      </c>
      <c r="E759" t="s">
        <v>3138</v>
      </c>
      <c r="F759" t="s">
        <v>272</v>
      </c>
      <c r="G759" s="27">
        <v>44809</v>
      </c>
      <c r="I759" s="228" t="s">
        <v>2864</v>
      </c>
      <c r="J759" s="232">
        <v>57</v>
      </c>
      <c r="K759" s="1" t="s">
        <v>3139</v>
      </c>
      <c r="L759" t="s">
        <v>47</v>
      </c>
    </row>
    <row r="760" spans="1:12" ht="14.25" customHeight="1" x14ac:dyDescent="0.25">
      <c r="A760" t="s">
        <v>2554</v>
      </c>
      <c r="B760" s="232">
        <v>11</v>
      </c>
      <c r="C760" t="s">
        <v>3055</v>
      </c>
      <c r="D760" t="s">
        <v>2565</v>
      </c>
      <c r="E760" t="s">
        <v>3140</v>
      </c>
      <c r="F760" t="s">
        <v>272</v>
      </c>
      <c r="G760" s="27">
        <v>44809</v>
      </c>
      <c r="I760" s="228" t="s">
        <v>2876</v>
      </c>
      <c r="J760" s="232">
        <v>58</v>
      </c>
      <c r="K760" s="1" t="s">
        <v>3141</v>
      </c>
      <c r="L760" t="s">
        <v>47</v>
      </c>
    </row>
    <row r="761" spans="1:12" ht="14.25" customHeight="1" x14ac:dyDescent="0.25">
      <c r="A761" t="s">
        <v>2554</v>
      </c>
      <c r="B761" s="232">
        <v>11</v>
      </c>
      <c r="C761" t="s">
        <v>3055</v>
      </c>
      <c r="D761" t="s">
        <v>2565</v>
      </c>
      <c r="E761" t="s">
        <v>3140</v>
      </c>
      <c r="F761" t="s">
        <v>272</v>
      </c>
      <c r="G761" s="27">
        <v>44809</v>
      </c>
      <c r="I761" s="228" t="s">
        <v>2877</v>
      </c>
      <c r="J761" s="232">
        <v>59</v>
      </c>
      <c r="K761" s="1" t="s">
        <v>3142</v>
      </c>
      <c r="L761" t="s">
        <v>47</v>
      </c>
    </row>
    <row r="762" spans="1:12" ht="14.25" customHeight="1" x14ac:dyDescent="0.25">
      <c r="A762" t="s">
        <v>2554</v>
      </c>
      <c r="B762" s="232">
        <v>11</v>
      </c>
      <c r="C762" t="s">
        <v>3055</v>
      </c>
      <c r="D762" t="s">
        <v>2565</v>
      </c>
      <c r="E762" t="s">
        <v>3140</v>
      </c>
      <c r="F762" t="s">
        <v>272</v>
      </c>
      <c r="G762" s="27">
        <v>44809</v>
      </c>
      <c r="I762" s="228" t="s">
        <v>2878</v>
      </c>
      <c r="J762" s="232">
        <v>60</v>
      </c>
      <c r="K762" s="1" t="s">
        <v>3143</v>
      </c>
      <c r="L762" t="s">
        <v>47</v>
      </c>
    </row>
    <row r="763" spans="1:12" ht="14.25" customHeight="1" x14ac:dyDescent="0.25">
      <c r="A763" t="s">
        <v>2554</v>
      </c>
      <c r="B763" s="232">
        <v>12</v>
      </c>
      <c r="C763" t="s">
        <v>3055</v>
      </c>
      <c r="D763" t="s">
        <v>2565</v>
      </c>
      <c r="E763" t="s">
        <v>3144</v>
      </c>
      <c r="F763" t="s">
        <v>272</v>
      </c>
      <c r="G763" s="27">
        <v>44809</v>
      </c>
      <c r="I763" s="228" t="s">
        <v>3145</v>
      </c>
      <c r="J763" s="232">
        <v>61</v>
      </c>
      <c r="K763" s="1" t="s">
        <v>3146</v>
      </c>
      <c r="L763" t="s">
        <v>47</v>
      </c>
    </row>
    <row r="764" spans="1:12" ht="14.25" customHeight="1" x14ac:dyDescent="0.25">
      <c r="A764" t="s">
        <v>2554</v>
      </c>
      <c r="B764" s="232">
        <v>12</v>
      </c>
      <c r="C764" t="s">
        <v>3055</v>
      </c>
      <c r="D764" t="s">
        <v>2565</v>
      </c>
      <c r="E764" t="s">
        <v>3144</v>
      </c>
      <c r="F764" t="s">
        <v>272</v>
      </c>
      <c r="G764" s="27">
        <v>44809</v>
      </c>
      <c r="I764" s="228" t="s">
        <v>3147</v>
      </c>
      <c r="J764" s="232">
        <v>62</v>
      </c>
      <c r="K764" s="1" t="s">
        <v>3148</v>
      </c>
      <c r="L764" t="s">
        <v>47</v>
      </c>
    </row>
    <row r="765" spans="1:12" ht="14.25" customHeight="1" x14ac:dyDescent="0.25">
      <c r="A765" t="s">
        <v>2554</v>
      </c>
      <c r="B765" s="232">
        <v>12</v>
      </c>
      <c r="C765" t="s">
        <v>3055</v>
      </c>
      <c r="D765" t="s">
        <v>2565</v>
      </c>
      <c r="E765" t="s">
        <v>3151</v>
      </c>
      <c r="F765" t="s">
        <v>272</v>
      </c>
      <c r="G765" s="27">
        <v>44809</v>
      </c>
      <c r="I765" s="228" t="s">
        <v>3149</v>
      </c>
      <c r="J765" s="232">
        <v>63</v>
      </c>
      <c r="K765" s="1" t="s">
        <v>3150</v>
      </c>
      <c r="L765" t="s">
        <v>47</v>
      </c>
    </row>
    <row r="766" spans="1:12" ht="14.25" customHeight="1" x14ac:dyDescent="0.25">
      <c r="A766" t="s">
        <v>2554</v>
      </c>
      <c r="B766" s="232">
        <v>13</v>
      </c>
      <c r="C766" t="s">
        <v>3055</v>
      </c>
      <c r="D766" t="s">
        <v>2565</v>
      </c>
      <c r="E766" t="s">
        <v>3152</v>
      </c>
      <c r="F766" t="s">
        <v>272</v>
      </c>
      <c r="G766" s="27">
        <v>44809</v>
      </c>
      <c r="I766" s="228" t="s">
        <v>3153</v>
      </c>
      <c r="J766" s="232">
        <v>64</v>
      </c>
      <c r="K766" s="1" t="s">
        <v>3154</v>
      </c>
      <c r="L766" t="s">
        <v>47</v>
      </c>
    </row>
    <row r="767" spans="1:12" ht="14.25" customHeight="1" x14ac:dyDescent="0.25">
      <c r="A767" t="s">
        <v>2554</v>
      </c>
      <c r="B767" s="232">
        <v>14</v>
      </c>
      <c r="C767" t="s">
        <v>3055</v>
      </c>
      <c r="D767" t="s">
        <v>2565</v>
      </c>
      <c r="E767" t="s">
        <v>3158</v>
      </c>
      <c r="F767" t="s">
        <v>272</v>
      </c>
      <c r="G767" s="27">
        <v>44809</v>
      </c>
      <c r="I767" s="228" t="s">
        <v>3155</v>
      </c>
      <c r="J767" s="232">
        <v>65</v>
      </c>
      <c r="K767" s="1" t="s">
        <v>3156</v>
      </c>
      <c r="L767" t="s">
        <v>47</v>
      </c>
    </row>
    <row r="768" spans="1:12" ht="14.25" customHeight="1" x14ac:dyDescent="0.25">
      <c r="A768" t="s">
        <v>2554</v>
      </c>
      <c r="B768" s="232">
        <v>15</v>
      </c>
      <c r="C768" t="s">
        <v>3055</v>
      </c>
      <c r="D768" t="s">
        <v>2565</v>
      </c>
      <c r="E768" t="s">
        <v>3159</v>
      </c>
      <c r="F768" t="s">
        <v>272</v>
      </c>
      <c r="G768" s="27">
        <v>44809</v>
      </c>
      <c r="I768" s="228" t="s">
        <v>3157</v>
      </c>
      <c r="J768" s="232">
        <v>66</v>
      </c>
      <c r="K768" s="1" t="s">
        <v>3160</v>
      </c>
      <c r="L768" t="s">
        <v>47</v>
      </c>
    </row>
    <row r="769" spans="1:12" ht="14.25" customHeight="1" x14ac:dyDescent="0.25">
      <c r="A769" t="s">
        <v>2554</v>
      </c>
      <c r="B769" s="232">
        <v>16</v>
      </c>
      <c r="C769" t="s">
        <v>3055</v>
      </c>
      <c r="D769" t="s">
        <v>2565</v>
      </c>
      <c r="E769" t="s">
        <v>3161</v>
      </c>
      <c r="F769" t="s">
        <v>272</v>
      </c>
      <c r="G769" s="27">
        <v>44809</v>
      </c>
      <c r="I769" s="228" t="s">
        <v>3163</v>
      </c>
      <c r="J769" s="232">
        <v>67</v>
      </c>
      <c r="K769" s="1" t="s">
        <v>3162</v>
      </c>
      <c r="L769" t="s">
        <v>47</v>
      </c>
    </row>
    <row r="770" spans="1:12" ht="14.25" customHeight="1" x14ac:dyDescent="0.25">
      <c r="A770" t="s">
        <v>2554</v>
      </c>
      <c r="B770" s="232">
        <v>16</v>
      </c>
      <c r="C770" t="s">
        <v>3055</v>
      </c>
      <c r="D770" t="s">
        <v>2565</v>
      </c>
      <c r="E770" t="s">
        <v>3161</v>
      </c>
      <c r="F770" t="s">
        <v>272</v>
      </c>
      <c r="G770" s="27">
        <v>44809</v>
      </c>
      <c r="I770" s="228" t="s">
        <v>3164</v>
      </c>
      <c r="J770" s="232">
        <v>68</v>
      </c>
      <c r="K770" s="1" t="s">
        <v>3165</v>
      </c>
      <c r="L770" t="s">
        <v>47</v>
      </c>
    </row>
    <row r="771" spans="1:12" ht="14.25" customHeight="1" x14ac:dyDescent="0.25">
      <c r="A771" t="s">
        <v>2554</v>
      </c>
      <c r="B771" s="232">
        <v>16</v>
      </c>
      <c r="C771" t="s">
        <v>3055</v>
      </c>
      <c r="D771" t="s">
        <v>2565</v>
      </c>
      <c r="E771" t="s">
        <v>3161</v>
      </c>
      <c r="F771" t="s">
        <v>272</v>
      </c>
      <c r="G771" s="27">
        <v>44809</v>
      </c>
      <c r="I771" s="228" t="s">
        <v>3166</v>
      </c>
      <c r="J771" s="232">
        <v>69</v>
      </c>
      <c r="K771" s="1" t="s">
        <v>3167</v>
      </c>
      <c r="L771" t="s">
        <v>47</v>
      </c>
    </row>
    <row r="772" spans="1:12" ht="14.25" customHeight="1" x14ac:dyDescent="0.25">
      <c r="A772" t="s">
        <v>2554</v>
      </c>
      <c r="B772" s="232">
        <v>16</v>
      </c>
      <c r="C772" t="s">
        <v>3055</v>
      </c>
      <c r="D772" t="s">
        <v>2565</v>
      </c>
      <c r="E772" t="s">
        <v>3161</v>
      </c>
      <c r="F772" t="s">
        <v>272</v>
      </c>
      <c r="G772" s="27">
        <v>44809</v>
      </c>
      <c r="I772" s="228" t="s">
        <v>3168</v>
      </c>
      <c r="J772" s="232">
        <v>70</v>
      </c>
      <c r="K772" s="1" t="s">
        <v>3169</v>
      </c>
      <c r="L772" t="s">
        <v>47</v>
      </c>
    </row>
    <row r="773" spans="1:12" ht="14.25" customHeight="1" x14ac:dyDescent="0.25">
      <c r="A773" t="s">
        <v>2554</v>
      </c>
      <c r="B773" s="232">
        <v>16</v>
      </c>
      <c r="C773" t="s">
        <v>3055</v>
      </c>
      <c r="D773" t="s">
        <v>2565</v>
      </c>
      <c r="E773" t="s">
        <v>3161</v>
      </c>
      <c r="F773" t="s">
        <v>272</v>
      </c>
      <c r="G773" s="27">
        <v>44809</v>
      </c>
      <c r="I773" s="228" t="s">
        <v>3170</v>
      </c>
      <c r="J773" s="232">
        <v>71</v>
      </c>
      <c r="K773" s="1" t="s">
        <v>3171</v>
      </c>
      <c r="L773" t="s">
        <v>47</v>
      </c>
    </row>
    <row r="774" spans="1:12" ht="14.25" customHeight="1" x14ac:dyDescent="0.25">
      <c r="A774" t="s">
        <v>2554</v>
      </c>
      <c r="B774" s="232">
        <v>16</v>
      </c>
      <c r="C774" t="s">
        <v>3055</v>
      </c>
      <c r="D774" t="s">
        <v>2565</v>
      </c>
      <c r="E774" t="s">
        <v>3161</v>
      </c>
      <c r="F774" t="s">
        <v>272</v>
      </c>
      <c r="G774" s="27">
        <v>44809</v>
      </c>
      <c r="I774" s="228" t="s">
        <v>3172</v>
      </c>
      <c r="J774" s="232">
        <v>72</v>
      </c>
      <c r="K774" s="1" t="s">
        <v>3173</v>
      </c>
      <c r="L774" t="s">
        <v>1968</v>
      </c>
    </row>
    <row r="775" spans="1:12" ht="14.25" customHeight="1" x14ac:dyDescent="0.25">
      <c r="A775" t="s">
        <v>2554</v>
      </c>
      <c r="B775" s="232">
        <v>16</v>
      </c>
      <c r="C775" t="s">
        <v>3055</v>
      </c>
      <c r="D775" t="s">
        <v>2565</v>
      </c>
      <c r="E775" t="s">
        <v>3161</v>
      </c>
      <c r="F775" t="s">
        <v>272</v>
      </c>
      <c r="G775" s="27">
        <v>44809</v>
      </c>
      <c r="I775" s="228" t="s">
        <v>3176</v>
      </c>
      <c r="J775" s="232">
        <v>73</v>
      </c>
      <c r="K775" s="1" t="s">
        <v>3177</v>
      </c>
      <c r="L775" t="s">
        <v>47</v>
      </c>
    </row>
    <row r="776" spans="1:12" ht="14.25" customHeight="1" x14ac:dyDescent="0.25">
      <c r="A776" t="s">
        <v>2554</v>
      </c>
      <c r="B776" s="232">
        <v>16</v>
      </c>
      <c r="C776" t="s">
        <v>3055</v>
      </c>
      <c r="D776" t="s">
        <v>2565</v>
      </c>
      <c r="E776" t="s">
        <v>3161</v>
      </c>
      <c r="F776" t="s">
        <v>272</v>
      </c>
      <c r="G776" s="27">
        <v>44809</v>
      </c>
      <c r="I776" s="228" t="s">
        <v>3179</v>
      </c>
      <c r="J776" s="232">
        <v>74</v>
      </c>
      <c r="K776" s="1" t="s">
        <v>3178</v>
      </c>
      <c r="L776" t="s">
        <v>47</v>
      </c>
    </row>
    <row r="777" spans="1:12" ht="14.25" customHeight="1" x14ac:dyDescent="0.25">
      <c r="A777" t="s">
        <v>2554</v>
      </c>
      <c r="B777" s="232">
        <v>16</v>
      </c>
      <c r="C777" t="s">
        <v>3055</v>
      </c>
      <c r="D777" t="s">
        <v>2565</v>
      </c>
      <c r="E777" t="s">
        <v>3161</v>
      </c>
      <c r="F777" t="s">
        <v>272</v>
      </c>
      <c r="G777" s="27">
        <v>44809</v>
      </c>
      <c r="I777" s="228" t="s">
        <v>3180</v>
      </c>
      <c r="J777" s="232">
        <v>75</v>
      </c>
      <c r="K777" s="1" t="s">
        <v>3181</v>
      </c>
      <c r="L777" t="s">
        <v>47</v>
      </c>
    </row>
    <row r="778" spans="1:12" ht="14.25" customHeight="1" x14ac:dyDescent="0.25">
      <c r="A778" t="s">
        <v>2554</v>
      </c>
      <c r="B778" s="232">
        <v>17</v>
      </c>
      <c r="C778" t="s">
        <v>3055</v>
      </c>
      <c r="D778" t="s">
        <v>2565</v>
      </c>
      <c r="E778" t="s">
        <v>3174</v>
      </c>
      <c r="F778" t="s">
        <v>272</v>
      </c>
      <c r="G778" s="27">
        <v>44809</v>
      </c>
      <c r="I778" s="228" t="s">
        <v>3175</v>
      </c>
      <c r="J778" s="232">
        <v>76</v>
      </c>
      <c r="K778" s="1" t="s">
        <v>3182</v>
      </c>
      <c r="L778" t="s">
        <v>47</v>
      </c>
    </row>
    <row r="779" spans="1:12" ht="14.25" customHeight="1" x14ac:dyDescent="0.25">
      <c r="A779" t="s">
        <v>2554</v>
      </c>
      <c r="B779" s="232">
        <v>18</v>
      </c>
      <c r="C779" t="s">
        <v>3055</v>
      </c>
      <c r="D779" t="s">
        <v>2565</v>
      </c>
      <c r="E779" t="s">
        <v>3183</v>
      </c>
      <c r="F779" t="s">
        <v>272</v>
      </c>
      <c r="G779" s="27">
        <v>44809</v>
      </c>
      <c r="I779" s="228" t="s">
        <v>3175</v>
      </c>
      <c r="J779" s="232">
        <v>77</v>
      </c>
      <c r="K779" s="248" t="s">
        <v>3184</v>
      </c>
      <c r="L779" t="s">
        <v>47</v>
      </c>
    </row>
    <row r="780" spans="1:12" ht="14.25" customHeight="1" x14ac:dyDescent="0.25">
      <c r="A780" t="s">
        <v>2554</v>
      </c>
      <c r="B780" s="232">
        <v>19</v>
      </c>
      <c r="C780" t="s">
        <v>3055</v>
      </c>
      <c r="D780" t="s">
        <v>2565</v>
      </c>
      <c r="E780" t="s">
        <v>3185</v>
      </c>
      <c r="F780" t="s">
        <v>272</v>
      </c>
      <c r="G780" s="27">
        <v>44809</v>
      </c>
      <c r="I780" s="228">
        <v>1</v>
      </c>
      <c r="J780" s="232">
        <v>78</v>
      </c>
      <c r="K780" s="1" t="s">
        <v>3186</v>
      </c>
      <c r="L780" t="s">
        <v>47</v>
      </c>
    </row>
    <row r="781" spans="1:12" x14ac:dyDescent="0.25">
      <c r="A781" t="s">
        <v>2554</v>
      </c>
      <c r="B781" s="232">
        <v>20</v>
      </c>
      <c r="C781" t="s">
        <v>3055</v>
      </c>
      <c r="D781" t="s">
        <v>2565</v>
      </c>
      <c r="E781" t="s">
        <v>3686</v>
      </c>
      <c r="F781" t="s">
        <v>272</v>
      </c>
      <c r="G781" s="27">
        <v>44809</v>
      </c>
      <c r="I781" s="228">
        <v>1</v>
      </c>
      <c r="J781" s="232">
        <v>79</v>
      </c>
      <c r="K781" s="1" t="s">
        <v>3687</v>
      </c>
      <c r="L781" t="s">
        <v>47</v>
      </c>
    </row>
    <row r="782" spans="1:12" ht="15.75" customHeight="1" x14ac:dyDescent="0.25">
      <c r="A782" t="s">
        <v>2554</v>
      </c>
      <c r="B782" s="232">
        <v>21</v>
      </c>
      <c r="C782" t="s">
        <v>3055</v>
      </c>
      <c r="D782" t="s">
        <v>2565</v>
      </c>
      <c r="E782" t="s">
        <v>3688</v>
      </c>
      <c r="F782" t="s">
        <v>272</v>
      </c>
      <c r="G782" s="27">
        <v>44809</v>
      </c>
      <c r="I782" s="228">
        <v>1</v>
      </c>
      <c r="J782" s="232">
        <v>80</v>
      </c>
      <c r="K782" s="247" t="s">
        <v>3689</v>
      </c>
      <c r="L782" t="s">
        <v>47</v>
      </c>
    </row>
    <row r="783" spans="1:12" x14ac:dyDescent="0.25">
      <c r="A783" t="s">
        <v>2554</v>
      </c>
      <c r="B783" s="232">
        <v>21</v>
      </c>
      <c r="C783" t="s">
        <v>3055</v>
      </c>
      <c r="D783" t="s">
        <v>2565</v>
      </c>
      <c r="E783" t="s">
        <v>3688</v>
      </c>
      <c r="F783" t="s">
        <v>272</v>
      </c>
      <c r="G783" s="27">
        <v>44809</v>
      </c>
      <c r="I783" s="228">
        <v>2</v>
      </c>
      <c r="J783" s="232">
        <v>81</v>
      </c>
      <c r="K783" s="1" t="s">
        <v>3690</v>
      </c>
      <c r="L783" t="s">
        <v>47</v>
      </c>
    </row>
    <row r="784" spans="1:12" x14ac:dyDescent="0.25">
      <c r="A784" t="s">
        <v>2554</v>
      </c>
      <c r="B784" s="232">
        <v>21</v>
      </c>
      <c r="C784" t="s">
        <v>3055</v>
      </c>
      <c r="D784" t="s">
        <v>2565</v>
      </c>
      <c r="E784" t="s">
        <v>3688</v>
      </c>
      <c r="F784" t="s">
        <v>272</v>
      </c>
      <c r="G784" s="27">
        <v>44809</v>
      </c>
      <c r="I784" s="228">
        <v>3</v>
      </c>
      <c r="J784" s="232">
        <v>82</v>
      </c>
      <c r="K784" s="1" t="s">
        <v>3691</v>
      </c>
      <c r="L784" t="s">
        <v>47</v>
      </c>
    </row>
    <row r="785" spans="1:12" x14ac:dyDescent="0.25">
      <c r="A785" t="s">
        <v>2554</v>
      </c>
      <c r="B785" s="232">
        <v>21</v>
      </c>
      <c r="C785" t="s">
        <v>3055</v>
      </c>
      <c r="D785" t="s">
        <v>2565</v>
      </c>
      <c r="E785" t="s">
        <v>3688</v>
      </c>
      <c r="F785" t="s">
        <v>272</v>
      </c>
      <c r="G785" s="27">
        <v>44809</v>
      </c>
      <c r="I785" s="228">
        <v>4</v>
      </c>
      <c r="J785" s="232">
        <v>83</v>
      </c>
      <c r="K785" s="1" t="s">
        <v>3692</v>
      </c>
      <c r="L785" t="s">
        <v>47</v>
      </c>
    </row>
    <row r="786" spans="1:12" x14ac:dyDescent="0.25">
      <c r="A786" t="s">
        <v>2554</v>
      </c>
      <c r="B786" s="232">
        <v>22</v>
      </c>
      <c r="C786" t="s">
        <v>3055</v>
      </c>
      <c r="D786" t="s">
        <v>2565</v>
      </c>
      <c r="E786" t="s">
        <v>3187</v>
      </c>
      <c r="F786" t="s">
        <v>272</v>
      </c>
      <c r="G786" s="27">
        <v>44809</v>
      </c>
      <c r="I786">
        <v>1</v>
      </c>
      <c r="J786" s="232">
        <v>84</v>
      </c>
      <c r="K786" s="1" t="s">
        <v>3693</v>
      </c>
      <c r="L786" t="s">
        <v>1968</v>
      </c>
    </row>
    <row r="787" spans="1:12" x14ac:dyDescent="0.25">
      <c r="A787" t="s">
        <v>2554</v>
      </c>
      <c r="B787" s="232">
        <v>22</v>
      </c>
      <c r="C787" t="s">
        <v>3055</v>
      </c>
      <c r="D787" t="s">
        <v>2565</v>
      </c>
      <c r="E787" t="s">
        <v>3187</v>
      </c>
      <c r="F787" t="s">
        <v>272</v>
      </c>
      <c r="G787" s="27">
        <v>44809</v>
      </c>
      <c r="I787">
        <v>2</v>
      </c>
      <c r="J787" s="232">
        <v>85</v>
      </c>
      <c r="K787" s="1" t="s">
        <v>3694</v>
      </c>
      <c r="L787" t="s">
        <v>47</v>
      </c>
    </row>
    <row r="788" spans="1:12" x14ac:dyDescent="0.25">
      <c r="A788" t="s">
        <v>2554</v>
      </c>
      <c r="B788" s="232">
        <v>22</v>
      </c>
      <c r="C788" t="s">
        <v>3055</v>
      </c>
      <c r="D788" t="s">
        <v>2565</v>
      </c>
      <c r="E788" t="s">
        <v>3187</v>
      </c>
      <c r="F788" t="s">
        <v>272</v>
      </c>
      <c r="G788" s="27">
        <v>44809</v>
      </c>
      <c r="I788">
        <v>3</v>
      </c>
      <c r="J788" s="232">
        <v>86</v>
      </c>
      <c r="K788" s="1" t="s">
        <v>3695</v>
      </c>
      <c r="L788" t="s">
        <v>1968</v>
      </c>
    </row>
    <row r="789" spans="1:12" x14ac:dyDescent="0.25">
      <c r="A789" t="s">
        <v>2554</v>
      </c>
      <c r="B789" s="232">
        <v>22</v>
      </c>
      <c r="C789" t="s">
        <v>3055</v>
      </c>
      <c r="D789" t="s">
        <v>2565</v>
      </c>
      <c r="E789" t="s">
        <v>3187</v>
      </c>
      <c r="F789" t="s">
        <v>272</v>
      </c>
      <c r="G789" s="27">
        <v>44809</v>
      </c>
      <c r="I789">
        <v>4</v>
      </c>
      <c r="J789" s="232">
        <v>87</v>
      </c>
      <c r="K789" s="1" t="s">
        <v>3696</v>
      </c>
      <c r="L789" t="s">
        <v>1968</v>
      </c>
    </row>
    <row r="790" spans="1:12" ht="14.25" customHeight="1" x14ac:dyDescent="0.25">
      <c r="A790" t="s">
        <v>2554</v>
      </c>
      <c r="B790" s="232">
        <v>22</v>
      </c>
      <c r="C790" t="s">
        <v>3055</v>
      </c>
      <c r="D790" t="s">
        <v>2565</v>
      </c>
      <c r="E790" t="s">
        <v>3187</v>
      </c>
      <c r="F790" t="s">
        <v>272</v>
      </c>
      <c r="G790" s="27">
        <v>44809</v>
      </c>
      <c r="I790">
        <v>5</v>
      </c>
      <c r="J790" s="232">
        <v>88</v>
      </c>
      <c r="K790" s="247" t="s">
        <v>3697</v>
      </c>
      <c r="L790" t="s">
        <v>1968</v>
      </c>
    </row>
    <row r="791" spans="1:12" ht="17.25" customHeight="1" x14ac:dyDescent="0.25">
      <c r="A791" t="s">
        <v>2554</v>
      </c>
      <c r="B791" s="232">
        <v>22</v>
      </c>
      <c r="C791" t="s">
        <v>3055</v>
      </c>
      <c r="D791" t="s">
        <v>2565</v>
      </c>
      <c r="E791" t="s">
        <v>3187</v>
      </c>
      <c r="F791" t="s">
        <v>272</v>
      </c>
      <c r="G791" s="27">
        <v>44809</v>
      </c>
      <c r="I791">
        <v>6</v>
      </c>
      <c r="J791" s="232">
        <v>89</v>
      </c>
      <c r="K791" s="247" t="s">
        <v>3698</v>
      </c>
      <c r="L791" t="s">
        <v>1968</v>
      </c>
    </row>
    <row r="792" spans="1:12" ht="15" customHeight="1" x14ac:dyDescent="0.25">
      <c r="A792" t="s">
        <v>2554</v>
      </c>
      <c r="B792" s="232">
        <v>22</v>
      </c>
      <c r="C792" t="s">
        <v>3055</v>
      </c>
      <c r="D792" t="s">
        <v>2565</v>
      </c>
      <c r="E792" t="s">
        <v>3187</v>
      </c>
      <c r="F792" t="s">
        <v>272</v>
      </c>
      <c r="G792" s="27">
        <v>44809</v>
      </c>
      <c r="I792">
        <v>7</v>
      </c>
      <c r="J792" s="232">
        <v>90</v>
      </c>
      <c r="K792" s="247" t="s">
        <v>3699</v>
      </c>
      <c r="L792" t="s">
        <v>1968</v>
      </c>
    </row>
    <row r="793" spans="1:12" ht="18" customHeight="1" x14ac:dyDescent="0.25">
      <c r="A793" t="s">
        <v>2554</v>
      </c>
      <c r="B793" s="232">
        <v>22</v>
      </c>
      <c r="C793" t="s">
        <v>3055</v>
      </c>
      <c r="D793" t="s">
        <v>2565</v>
      </c>
      <c r="E793" t="s">
        <v>3187</v>
      </c>
      <c r="F793" t="s">
        <v>272</v>
      </c>
      <c r="G793" s="27">
        <v>44809</v>
      </c>
      <c r="I793">
        <v>8</v>
      </c>
      <c r="J793" s="232">
        <v>91</v>
      </c>
      <c r="K793" s="247" t="s">
        <v>3700</v>
      </c>
      <c r="L793" t="s">
        <v>1968</v>
      </c>
    </row>
    <row r="794" spans="1:12" ht="20.25" customHeight="1" x14ac:dyDescent="0.25">
      <c r="A794" t="s">
        <v>2554</v>
      </c>
      <c r="B794" s="232">
        <v>22</v>
      </c>
      <c r="C794" t="s">
        <v>3055</v>
      </c>
      <c r="D794" t="s">
        <v>2565</v>
      </c>
      <c r="E794" t="s">
        <v>3187</v>
      </c>
      <c r="F794" t="s">
        <v>272</v>
      </c>
      <c r="G794" s="27">
        <v>44809</v>
      </c>
      <c r="I794">
        <v>9</v>
      </c>
      <c r="J794" s="232">
        <v>92</v>
      </c>
      <c r="K794" s="247" t="s">
        <v>3701</v>
      </c>
      <c r="L794" t="s">
        <v>1968</v>
      </c>
    </row>
    <row r="795" spans="1:12" ht="15" customHeight="1" x14ac:dyDescent="0.25">
      <c r="A795" t="s">
        <v>2554</v>
      </c>
      <c r="B795" s="232">
        <v>22</v>
      </c>
      <c r="C795" t="s">
        <v>3055</v>
      </c>
      <c r="D795" t="s">
        <v>2565</v>
      </c>
      <c r="E795" t="s">
        <v>3187</v>
      </c>
      <c r="F795" t="s">
        <v>272</v>
      </c>
      <c r="G795" s="27">
        <v>44809</v>
      </c>
      <c r="I795">
        <v>10</v>
      </c>
      <c r="J795" s="232">
        <v>93</v>
      </c>
      <c r="K795" s="1" t="s">
        <v>3702</v>
      </c>
      <c r="L795" t="s">
        <v>47</v>
      </c>
    </row>
    <row r="796" spans="1:12" ht="14.25" customHeight="1" x14ac:dyDescent="0.25">
      <c r="A796" t="s">
        <v>2554</v>
      </c>
      <c r="B796" s="232">
        <v>22</v>
      </c>
      <c r="C796" t="s">
        <v>3055</v>
      </c>
      <c r="D796" t="s">
        <v>2565</v>
      </c>
      <c r="E796" t="s">
        <v>3187</v>
      </c>
      <c r="F796" t="s">
        <v>272</v>
      </c>
      <c r="G796" s="27">
        <v>44809</v>
      </c>
      <c r="I796">
        <v>11</v>
      </c>
      <c r="J796" s="232">
        <v>94</v>
      </c>
      <c r="K796" s="1" t="s">
        <v>3703</v>
      </c>
      <c r="L796" t="s">
        <v>47</v>
      </c>
    </row>
    <row r="797" spans="1:12" ht="14.25" customHeight="1" x14ac:dyDescent="0.25">
      <c r="A797" t="s">
        <v>3704</v>
      </c>
      <c r="B797" s="232">
        <v>1</v>
      </c>
      <c r="C797" t="s">
        <v>3055</v>
      </c>
      <c r="D797" t="s">
        <v>2565</v>
      </c>
      <c r="E797" t="s">
        <v>3655</v>
      </c>
      <c r="F797" t="s">
        <v>272</v>
      </c>
      <c r="G797" s="27">
        <v>45097</v>
      </c>
      <c r="I797">
        <v>1</v>
      </c>
      <c r="J797" s="232">
        <v>1</v>
      </c>
      <c r="K797" s="1" t="s">
        <v>3707</v>
      </c>
      <c r="L797" t="s">
        <v>47</v>
      </c>
    </row>
    <row r="798" spans="1:12" ht="14.25" customHeight="1" x14ac:dyDescent="0.25">
      <c r="A798" t="s">
        <v>3705</v>
      </c>
      <c r="B798" s="232">
        <v>2</v>
      </c>
      <c r="C798" t="s">
        <v>3055</v>
      </c>
      <c r="D798" t="s">
        <v>2565</v>
      </c>
      <c r="E798" t="s">
        <v>3655</v>
      </c>
      <c r="F798" t="s">
        <v>272</v>
      </c>
      <c r="G798" s="27">
        <v>44944</v>
      </c>
      <c r="I798">
        <v>1</v>
      </c>
      <c r="J798" s="232">
        <v>1</v>
      </c>
      <c r="K798" s="1" t="s">
        <v>3706</v>
      </c>
      <c r="L798" t="s">
        <v>47</v>
      </c>
    </row>
    <row r="799" spans="1:12" ht="14.25" customHeight="1" x14ac:dyDescent="0.25">
      <c r="A799" t="s">
        <v>3708</v>
      </c>
      <c r="B799" s="232">
        <v>3</v>
      </c>
      <c r="C799" t="s">
        <v>3055</v>
      </c>
      <c r="D799" t="s">
        <v>2565</v>
      </c>
      <c r="E799" t="s">
        <v>3655</v>
      </c>
      <c r="F799" t="s">
        <v>272</v>
      </c>
      <c r="G799" s="27">
        <v>44018</v>
      </c>
      <c r="I799">
        <v>1</v>
      </c>
      <c r="J799" s="232">
        <v>1</v>
      </c>
      <c r="K799" s="1" t="s">
        <v>3709</v>
      </c>
      <c r="L799" t="s">
        <v>47</v>
      </c>
    </row>
    <row r="800" spans="1:12" ht="14.25" customHeight="1" x14ac:dyDescent="0.25">
      <c r="A800" t="s">
        <v>3710</v>
      </c>
      <c r="B800" s="232">
        <v>4</v>
      </c>
      <c r="C800" t="s">
        <v>3055</v>
      </c>
      <c r="D800" t="s">
        <v>2565</v>
      </c>
      <c r="E800" t="s">
        <v>3655</v>
      </c>
      <c r="F800" t="s">
        <v>272</v>
      </c>
      <c r="G800" s="27">
        <v>43709</v>
      </c>
      <c r="I800">
        <v>1</v>
      </c>
      <c r="J800" s="232">
        <v>1</v>
      </c>
      <c r="K800" s="1" t="s">
        <v>3711</v>
      </c>
      <c r="L800" t="s">
        <v>47</v>
      </c>
    </row>
    <row r="801" spans="1:12" ht="14.25" customHeight="1" x14ac:dyDescent="0.25">
      <c r="A801" t="s">
        <v>3712</v>
      </c>
      <c r="B801" s="232">
        <v>5</v>
      </c>
      <c r="C801" t="s">
        <v>3055</v>
      </c>
      <c r="D801" t="s">
        <v>2565</v>
      </c>
      <c r="E801" t="s">
        <v>3655</v>
      </c>
      <c r="F801" t="s">
        <v>272</v>
      </c>
      <c r="G801" s="27">
        <v>43679</v>
      </c>
      <c r="I801">
        <v>1</v>
      </c>
      <c r="J801" s="232">
        <v>1</v>
      </c>
      <c r="K801" s="1" t="s">
        <v>3713</v>
      </c>
      <c r="L801" t="s">
        <v>47</v>
      </c>
    </row>
    <row r="802" spans="1:12" ht="14.25" customHeight="1" x14ac:dyDescent="0.25">
      <c r="A802" t="s">
        <v>3714</v>
      </c>
      <c r="B802" s="232">
        <v>6</v>
      </c>
      <c r="C802" t="s">
        <v>3055</v>
      </c>
      <c r="D802" t="s">
        <v>2565</v>
      </c>
      <c r="E802" t="s">
        <v>3655</v>
      </c>
      <c r="F802" t="s">
        <v>272</v>
      </c>
      <c r="G802" s="27">
        <v>43265</v>
      </c>
      <c r="I802">
        <v>1</v>
      </c>
      <c r="J802" s="232">
        <v>1</v>
      </c>
      <c r="K802" s="1" t="s">
        <v>3715</v>
      </c>
      <c r="L802" t="s">
        <v>47</v>
      </c>
    </row>
    <row r="803" spans="1:12" ht="14.25" customHeight="1" x14ac:dyDescent="0.25">
      <c r="A803" t="s">
        <v>3716</v>
      </c>
      <c r="B803" s="232">
        <v>7</v>
      </c>
      <c r="C803" t="s">
        <v>3055</v>
      </c>
      <c r="D803" t="s">
        <v>2565</v>
      </c>
      <c r="E803" t="s">
        <v>3655</v>
      </c>
      <c r="F803" t="s">
        <v>272</v>
      </c>
      <c r="G803" s="27">
        <v>43151</v>
      </c>
      <c r="I803">
        <v>1</v>
      </c>
      <c r="J803" s="232">
        <v>1</v>
      </c>
      <c r="K803" s="1" t="s">
        <v>3717</v>
      </c>
      <c r="L803" t="s">
        <v>47</v>
      </c>
    </row>
    <row r="804" spans="1:12" ht="14.25" customHeight="1" x14ac:dyDescent="0.25">
      <c r="A804" t="s">
        <v>3718</v>
      </c>
      <c r="B804" s="232">
        <v>8</v>
      </c>
      <c r="C804" t="s">
        <v>3055</v>
      </c>
      <c r="D804" t="s">
        <v>2565</v>
      </c>
      <c r="E804" t="s">
        <v>3655</v>
      </c>
      <c r="F804" t="s">
        <v>272</v>
      </c>
      <c r="G804" s="27">
        <v>43060</v>
      </c>
      <c r="I804">
        <v>1</v>
      </c>
      <c r="J804" s="232">
        <v>1</v>
      </c>
      <c r="K804" s="1" t="s">
        <v>3719</v>
      </c>
      <c r="L804" t="s">
        <v>47</v>
      </c>
    </row>
    <row r="805" spans="1:12" ht="14.25" customHeight="1" x14ac:dyDescent="0.25">
      <c r="A805" t="s">
        <v>3720</v>
      </c>
      <c r="B805" s="232">
        <v>9</v>
      </c>
      <c r="C805" t="s">
        <v>3055</v>
      </c>
      <c r="D805" t="s">
        <v>2565</v>
      </c>
      <c r="E805" t="s">
        <v>3655</v>
      </c>
      <c r="F805" t="s">
        <v>272</v>
      </c>
      <c r="G805" s="27">
        <v>42881</v>
      </c>
      <c r="I805">
        <v>1</v>
      </c>
      <c r="J805" s="232">
        <v>1</v>
      </c>
      <c r="K805" s="1" t="s">
        <v>3723</v>
      </c>
      <c r="L805" t="s">
        <v>47</v>
      </c>
    </row>
    <row r="806" spans="1:12" ht="14.25" customHeight="1" x14ac:dyDescent="0.25">
      <c r="A806" t="s">
        <v>3721</v>
      </c>
      <c r="B806" s="232">
        <v>10</v>
      </c>
      <c r="C806" t="s">
        <v>3055</v>
      </c>
      <c r="D806" t="s">
        <v>2565</v>
      </c>
      <c r="E806" t="s">
        <v>3655</v>
      </c>
      <c r="F806" t="s">
        <v>272</v>
      </c>
      <c r="G806" s="27">
        <v>42765</v>
      </c>
      <c r="I806">
        <v>1</v>
      </c>
      <c r="J806" s="232">
        <v>1</v>
      </c>
      <c r="K806" s="1" t="s">
        <v>3724</v>
      </c>
    </row>
    <row r="807" spans="1:12" ht="14.25" customHeight="1" x14ac:dyDescent="0.25">
      <c r="A807" t="s">
        <v>3722</v>
      </c>
      <c r="B807" s="232">
        <v>11</v>
      </c>
      <c r="C807" t="s">
        <v>3055</v>
      </c>
      <c r="D807" t="s">
        <v>2565</v>
      </c>
      <c r="E807" t="s">
        <v>3655</v>
      </c>
      <c r="F807" t="s">
        <v>272</v>
      </c>
      <c r="G807" s="27">
        <v>43679</v>
      </c>
      <c r="I807">
        <v>1</v>
      </c>
      <c r="J807" s="232">
        <v>1</v>
      </c>
      <c r="K807" s="1" t="s">
        <v>3725</v>
      </c>
    </row>
    <row r="808" spans="1:12" ht="14.25" customHeight="1" x14ac:dyDescent="0.25">
      <c r="G808" s="27"/>
    </row>
    <row r="809" spans="1:12" ht="14.25" customHeight="1" x14ac:dyDescent="0.25">
      <c r="A809" t="s">
        <v>3188</v>
      </c>
      <c r="B809" s="232">
        <v>1</v>
      </c>
      <c r="C809" t="s">
        <v>272</v>
      </c>
      <c r="D809" t="s">
        <v>2565</v>
      </c>
      <c r="E809" t="s">
        <v>3189</v>
      </c>
      <c r="F809" t="s">
        <v>272</v>
      </c>
      <c r="G809" s="27">
        <v>45009</v>
      </c>
      <c r="I809" s="228" t="s">
        <v>3190</v>
      </c>
      <c r="J809" s="228">
        <v>1</v>
      </c>
      <c r="K809" s="1" t="s">
        <v>3509</v>
      </c>
      <c r="L809" t="s">
        <v>47</v>
      </c>
    </row>
    <row r="810" spans="1:12" ht="14.25" customHeight="1" x14ac:dyDescent="0.25">
      <c r="A810" t="s">
        <v>3188</v>
      </c>
      <c r="B810" s="232">
        <v>1</v>
      </c>
      <c r="C810" t="s">
        <v>272</v>
      </c>
      <c r="D810" t="s">
        <v>2565</v>
      </c>
      <c r="E810" t="s">
        <v>3189</v>
      </c>
      <c r="F810" t="s">
        <v>272</v>
      </c>
      <c r="G810" s="27">
        <v>45009</v>
      </c>
      <c r="I810" s="228" t="s">
        <v>3191</v>
      </c>
      <c r="J810" s="228">
        <v>2</v>
      </c>
      <c r="K810" s="1" t="s">
        <v>3510</v>
      </c>
      <c r="L810" t="s">
        <v>47</v>
      </c>
    </row>
    <row r="811" spans="1:12" ht="14.25" customHeight="1" x14ac:dyDescent="0.25">
      <c r="A811" t="s">
        <v>3188</v>
      </c>
      <c r="B811" s="232">
        <v>1</v>
      </c>
      <c r="C811" t="s">
        <v>272</v>
      </c>
      <c r="D811" t="s">
        <v>2565</v>
      </c>
      <c r="E811" t="s">
        <v>3189</v>
      </c>
      <c r="F811" t="s">
        <v>272</v>
      </c>
      <c r="G811" s="27">
        <v>45009</v>
      </c>
      <c r="I811" s="228" t="s">
        <v>3192</v>
      </c>
      <c r="J811" s="228">
        <v>3</v>
      </c>
      <c r="K811" s="1" t="s">
        <v>3511</v>
      </c>
      <c r="L811" t="s">
        <v>47</v>
      </c>
    </row>
    <row r="812" spans="1:12" ht="14.25" customHeight="1" x14ac:dyDescent="0.25">
      <c r="A812" t="s">
        <v>3188</v>
      </c>
      <c r="B812" s="232">
        <v>1</v>
      </c>
      <c r="C812" t="s">
        <v>272</v>
      </c>
      <c r="D812" t="s">
        <v>2565</v>
      </c>
      <c r="E812" t="s">
        <v>3189</v>
      </c>
      <c r="F812" t="s">
        <v>272</v>
      </c>
      <c r="G812" s="27">
        <v>45009</v>
      </c>
      <c r="I812" s="228" t="s">
        <v>3193</v>
      </c>
      <c r="J812" s="228">
        <v>4</v>
      </c>
      <c r="K812" s="1" t="s">
        <v>3512</v>
      </c>
      <c r="L812" t="s">
        <v>47</v>
      </c>
    </row>
    <row r="813" spans="1:12" ht="14.25" customHeight="1" x14ac:dyDescent="0.25">
      <c r="A813" t="s">
        <v>3188</v>
      </c>
      <c r="B813" s="232">
        <v>2</v>
      </c>
      <c r="C813" t="s">
        <v>272</v>
      </c>
      <c r="D813" t="s">
        <v>2565</v>
      </c>
      <c r="E813" t="s">
        <v>3194</v>
      </c>
      <c r="F813" t="s">
        <v>272</v>
      </c>
      <c r="G813" s="27">
        <v>45009</v>
      </c>
      <c r="I813" s="228" t="s">
        <v>3195</v>
      </c>
      <c r="J813" s="228">
        <v>5</v>
      </c>
      <c r="K813" s="1" t="s">
        <v>3513</v>
      </c>
      <c r="L813" t="s">
        <v>47</v>
      </c>
    </row>
    <row r="814" spans="1:12" ht="14.25" customHeight="1" x14ac:dyDescent="0.25">
      <c r="A814" t="s">
        <v>3188</v>
      </c>
      <c r="B814" s="232">
        <v>2</v>
      </c>
      <c r="C814" t="s">
        <v>272</v>
      </c>
      <c r="D814" t="s">
        <v>2565</v>
      </c>
      <c r="E814" t="s">
        <v>3194</v>
      </c>
      <c r="F814" t="s">
        <v>272</v>
      </c>
      <c r="G814" s="27">
        <v>45009</v>
      </c>
      <c r="I814" s="228" t="s">
        <v>3196</v>
      </c>
      <c r="J814" s="228">
        <v>6</v>
      </c>
      <c r="K814" s="1" t="s">
        <v>3514</v>
      </c>
      <c r="L814" t="s">
        <v>47</v>
      </c>
    </row>
    <row r="815" spans="1:12" ht="14.25" customHeight="1" x14ac:dyDescent="0.25">
      <c r="A815" t="s">
        <v>3188</v>
      </c>
      <c r="B815" s="232">
        <v>2</v>
      </c>
      <c r="C815" t="s">
        <v>272</v>
      </c>
      <c r="D815" t="s">
        <v>2565</v>
      </c>
      <c r="E815" t="s">
        <v>3194</v>
      </c>
      <c r="F815" t="s">
        <v>272</v>
      </c>
      <c r="G815" s="27">
        <v>45009</v>
      </c>
      <c r="I815" s="228" t="s">
        <v>3197</v>
      </c>
      <c r="J815" s="228">
        <v>7</v>
      </c>
      <c r="K815" s="247" t="s">
        <v>3515</v>
      </c>
      <c r="L815" t="s">
        <v>47</v>
      </c>
    </row>
    <row r="816" spans="1:12" ht="14.25" customHeight="1" x14ac:dyDescent="0.25">
      <c r="A816" t="s">
        <v>3188</v>
      </c>
      <c r="B816" s="232">
        <v>2</v>
      </c>
      <c r="C816" t="s">
        <v>272</v>
      </c>
      <c r="D816" t="s">
        <v>2565</v>
      </c>
      <c r="E816" t="s">
        <v>3194</v>
      </c>
      <c r="F816" t="s">
        <v>272</v>
      </c>
      <c r="G816" s="27">
        <v>45009</v>
      </c>
      <c r="I816" s="228" t="s">
        <v>3198</v>
      </c>
      <c r="J816" s="228">
        <v>8</v>
      </c>
      <c r="K816" s="1" t="s">
        <v>3516</v>
      </c>
      <c r="L816" t="s">
        <v>47</v>
      </c>
    </row>
    <row r="817" spans="1:12" ht="14.25" customHeight="1" x14ac:dyDescent="0.25">
      <c r="A817" t="s">
        <v>3188</v>
      </c>
      <c r="B817" s="232">
        <v>2</v>
      </c>
      <c r="C817" t="s">
        <v>272</v>
      </c>
      <c r="D817" t="s">
        <v>2565</v>
      </c>
      <c r="E817" t="s">
        <v>3194</v>
      </c>
      <c r="F817" t="s">
        <v>272</v>
      </c>
      <c r="G817" s="27">
        <v>45009</v>
      </c>
      <c r="I817" s="228" t="s">
        <v>3199</v>
      </c>
      <c r="J817" s="228">
        <v>9</v>
      </c>
      <c r="K817" s="247" t="s">
        <v>3517</v>
      </c>
      <c r="L817" t="s">
        <v>47</v>
      </c>
    </row>
    <row r="818" spans="1:12" ht="14.25" customHeight="1" x14ac:dyDescent="0.25">
      <c r="A818" t="s">
        <v>3188</v>
      </c>
      <c r="B818" s="232">
        <v>2</v>
      </c>
      <c r="C818" t="s">
        <v>272</v>
      </c>
      <c r="D818" t="s">
        <v>2565</v>
      </c>
      <c r="E818" t="s">
        <v>3194</v>
      </c>
      <c r="F818" t="s">
        <v>272</v>
      </c>
      <c r="G818" s="27">
        <v>45009</v>
      </c>
      <c r="I818" s="228" t="s">
        <v>3200</v>
      </c>
      <c r="J818" s="228">
        <v>10</v>
      </c>
      <c r="K818" s="1" t="s">
        <v>3518</v>
      </c>
      <c r="L818" t="s">
        <v>47</v>
      </c>
    </row>
    <row r="819" spans="1:12" ht="14.25" customHeight="1" x14ac:dyDescent="0.25">
      <c r="A819" t="s">
        <v>3188</v>
      </c>
      <c r="B819" s="232">
        <v>2</v>
      </c>
      <c r="C819" t="s">
        <v>272</v>
      </c>
      <c r="D819" t="s">
        <v>2565</v>
      </c>
      <c r="E819" t="s">
        <v>3194</v>
      </c>
      <c r="F819" t="s">
        <v>272</v>
      </c>
      <c r="G819" s="27">
        <v>45009</v>
      </c>
      <c r="I819" s="228" t="s">
        <v>3201</v>
      </c>
      <c r="J819" s="228">
        <v>11</v>
      </c>
      <c r="K819" s="1" t="s">
        <v>3519</v>
      </c>
      <c r="L819" t="s">
        <v>47</v>
      </c>
    </row>
    <row r="820" spans="1:12" ht="14.25" customHeight="1" x14ac:dyDescent="0.25">
      <c r="A820" t="s">
        <v>3188</v>
      </c>
      <c r="B820" s="232">
        <v>2</v>
      </c>
      <c r="C820" t="s">
        <v>272</v>
      </c>
      <c r="D820" t="s">
        <v>2565</v>
      </c>
      <c r="E820" t="s">
        <v>3194</v>
      </c>
      <c r="F820" t="s">
        <v>272</v>
      </c>
      <c r="G820" s="27">
        <v>45009</v>
      </c>
      <c r="I820" s="228" t="s">
        <v>3202</v>
      </c>
      <c r="J820" s="228">
        <v>12</v>
      </c>
      <c r="K820" s="1" t="s">
        <v>3520</v>
      </c>
      <c r="L820" t="s">
        <v>1968</v>
      </c>
    </row>
    <row r="821" spans="1:12" ht="14.25" customHeight="1" x14ac:dyDescent="0.25">
      <c r="A821" t="s">
        <v>3188</v>
      </c>
      <c r="B821" s="232">
        <v>2</v>
      </c>
      <c r="C821" t="s">
        <v>272</v>
      </c>
      <c r="D821" t="s">
        <v>2565</v>
      </c>
      <c r="E821" t="s">
        <v>3194</v>
      </c>
      <c r="F821" t="s">
        <v>272</v>
      </c>
      <c r="G821" s="27">
        <v>45009</v>
      </c>
      <c r="I821" s="228" t="s">
        <v>3203</v>
      </c>
      <c r="J821" s="228">
        <v>13</v>
      </c>
      <c r="K821" s="1" t="s">
        <v>3521</v>
      </c>
      <c r="L821" t="s">
        <v>47</v>
      </c>
    </row>
    <row r="822" spans="1:12" ht="14.25" customHeight="1" x14ac:dyDescent="0.25">
      <c r="A822" t="s">
        <v>3188</v>
      </c>
      <c r="B822" s="232">
        <v>2</v>
      </c>
      <c r="C822" t="s">
        <v>272</v>
      </c>
      <c r="D822" t="s">
        <v>2565</v>
      </c>
      <c r="E822" t="s">
        <v>3194</v>
      </c>
      <c r="F822" t="s">
        <v>272</v>
      </c>
      <c r="G822" s="27">
        <v>45009</v>
      </c>
      <c r="I822" s="228" t="s">
        <v>374</v>
      </c>
      <c r="J822" s="228">
        <v>14</v>
      </c>
      <c r="K822" s="1" t="s">
        <v>3522</v>
      </c>
      <c r="L822" t="s">
        <v>47</v>
      </c>
    </row>
    <row r="823" spans="1:12" ht="14.25" customHeight="1" x14ac:dyDescent="0.25">
      <c r="A823" t="s">
        <v>3188</v>
      </c>
      <c r="B823" s="232">
        <v>2</v>
      </c>
      <c r="C823" t="s">
        <v>272</v>
      </c>
      <c r="D823" t="s">
        <v>2565</v>
      </c>
      <c r="E823" t="s">
        <v>3194</v>
      </c>
      <c r="F823" t="s">
        <v>272</v>
      </c>
      <c r="G823" s="27">
        <v>45009</v>
      </c>
      <c r="I823" s="228" t="s">
        <v>3204</v>
      </c>
      <c r="J823" s="228">
        <v>15</v>
      </c>
      <c r="K823" s="1" t="s">
        <v>3523</v>
      </c>
      <c r="L823" t="s">
        <v>47</v>
      </c>
    </row>
    <row r="824" spans="1:12" ht="14.25" customHeight="1" x14ac:dyDescent="0.25">
      <c r="A824" t="s">
        <v>3188</v>
      </c>
      <c r="B824" s="232">
        <v>2</v>
      </c>
      <c r="C824" t="s">
        <v>272</v>
      </c>
      <c r="D824" t="s">
        <v>2565</v>
      </c>
      <c r="E824" t="s">
        <v>3194</v>
      </c>
      <c r="F824" t="s">
        <v>272</v>
      </c>
      <c r="G824" s="27">
        <v>45009</v>
      </c>
      <c r="I824" s="228" t="s">
        <v>3205</v>
      </c>
      <c r="J824" s="228">
        <v>16</v>
      </c>
      <c r="K824" s="1" t="s">
        <v>2709</v>
      </c>
      <c r="L824" t="s">
        <v>47</v>
      </c>
    </row>
    <row r="825" spans="1:12" ht="14.25" customHeight="1" x14ac:dyDescent="0.25">
      <c r="A825" t="s">
        <v>2554</v>
      </c>
      <c r="B825" s="232">
        <v>1</v>
      </c>
      <c r="C825" t="s">
        <v>3206</v>
      </c>
      <c r="D825" t="s">
        <v>2565</v>
      </c>
      <c r="E825" t="s">
        <v>2890</v>
      </c>
      <c r="F825" t="s">
        <v>2553</v>
      </c>
      <c r="G825" s="27">
        <v>42730</v>
      </c>
      <c r="I825" t="s">
        <v>2593</v>
      </c>
      <c r="J825" s="232">
        <v>1</v>
      </c>
      <c r="K825" s="1" t="s">
        <v>2710</v>
      </c>
      <c r="L825" t="s">
        <v>47</v>
      </c>
    </row>
    <row r="826" spans="1:12" ht="14.25" customHeight="1" x14ac:dyDescent="0.25">
      <c r="A826" t="s">
        <v>2554</v>
      </c>
      <c r="B826" s="232">
        <v>1</v>
      </c>
      <c r="C826" t="s">
        <v>3206</v>
      </c>
      <c r="D826" t="s">
        <v>2565</v>
      </c>
      <c r="E826" t="s">
        <v>2890</v>
      </c>
      <c r="F826" t="s">
        <v>2553</v>
      </c>
      <c r="G826" s="27">
        <v>42730</v>
      </c>
      <c r="I826" t="s">
        <v>2597</v>
      </c>
      <c r="J826" s="232">
        <v>2</v>
      </c>
      <c r="K826" s="1" t="s">
        <v>2711</v>
      </c>
      <c r="L826" t="s">
        <v>1968</v>
      </c>
    </row>
    <row r="827" spans="1:12" ht="14.25" customHeight="1" x14ac:dyDescent="0.25">
      <c r="A827" t="s">
        <v>2554</v>
      </c>
      <c r="B827" s="232">
        <v>1</v>
      </c>
      <c r="C827" t="s">
        <v>3206</v>
      </c>
      <c r="D827" t="s">
        <v>2565</v>
      </c>
      <c r="E827" t="s">
        <v>2890</v>
      </c>
      <c r="F827" t="s">
        <v>2553</v>
      </c>
      <c r="G827" s="27">
        <v>42730</v>
      </c>
      <c r="I827" t="s">
        <v>2599</v>
      </c>
      <c r="J827" s="232">
        <v>3</v>
      </c>
      <c r="K827" s="1" t="s">
        <v>2552</v>
      </c>
      <c r="L827" t="s">
        <v>47</v>
      </c>
    </row>
    <row r="828" spans="1:12" ht="14.25" customHeight="1" x14ac:dyDescent="0.25">
      <c r="A828" t="s">
        <v>2554</v>
      </c>
      <c r="B828" s="232">
        <v>1</v>
      </c>
      <c r="C828" t="s">
        <v>3206</v>
      </c>
      <c r="D828" t="s">
        <v>2565</v>
      </c>
      <c r="E828" t="s">
        <v>2890</v>
      </c>
      <c r="F828" t="s">
        <v>2553</v>
      </c>
      <c r="G828" s="27">
        <v>42730</v>
      </c>
      <c r="I828" t="s">
        <v>2555</v>
      </c>
      <c r="J828" s="232">
        <v>4</v>
      </c>
      <c r="K828" s="1" t="s">
        <v>2559</v>
      </c>
      <c r="L828" t="s">
        <v>1968</v>
      </c>
    </row>
    <row r="829" spans="1:12" ht="14.25" customHeight="1" x14ac:dyDescent="0.25">
      <c r="A829" t="s">
        <v>2554</v>
      </c>
      <c r="B829" s="232">
        <v>1</v>
      </c>
      <c r="C829" t="s">
        <v>3206</v>
      </c>
      <c r="D829" t="s">
        <v>2565</v>
      </c>
      <c r="E829" t="s">
        <v>2890</v>
      </c>
      <c r="F829" t="s">
        <v>2553</v>
      </c>
      <c r="G829" s="27">
        <v>42730</v>
      </c>
      <c r="I829" t="s">
        <v>2557</v>
      </c>
      <c r="J829" s="232">
        <v>5</v>
      </c>
      <c r="K829" s="1" t="s">
        <v>2713</v>
      </c>
      <c r="L829" t="s">
        <v>47</v>
      </c>
    </row>
    <row r="830" spans="1:12" ht="14.25" customHeight="1" x14ac:dyDescent="0.25">
      <c r="A830" t="s">
        <v>2554</v>
      </c>
      <c r="B830" s="232">
        <v>1</v>
      </c>
      <c r="C830" t="s">
        <v>3206</v>
      </c>
      <c r="D830" t="s">
        <v>2565</v>
      </c>
      <c r="E830" t="s">
        <v>2890</v>
      </c>
      <c r="F830" t="s">
        <v>2553</v>
      </c>
      <c r="G830" s="27">
        <v>42730</v>
      </c>
      <c r="I830" t="s">
        <v>2556</v>
      </c>
      <c r="J830" s="232">
        <v>6</v>
      </c>
      <c r="K830" s="1" t="s">
        <v>2561</v>
      </c>
      <c r="L830" t="s">
        <v>1968</v>
      </c>
    </row>
    <row r="831" spans="1:12" ht="14.25" customHeight="1" x14ac:dyDescent="0.25">
      <c r="A831" t="s">
        <v>2554</v>
      </c>
      <c r="B831" s="232">
        <v>2</v>
      </c>
      <c r="C831" t="s">
        <v>3206</v>
      </c>
      <c r="D831" t="s">
        <v>2565</v>
      </c>
      <c r="E831" t="s">
        <v>2603</v>
      </c>
      <c r="F831" t="s">
        <v>2553</v>
      </c>
      <c r="G831" s="27">
        <v>42730</v>
      </c>
      <c r="I831" t="s">
        <v>2601</v>
      </c>
      <c r="J831" s="232">
        <v>7</v>
      </c>
      <c r="K831" s="1" t="s">
        <v>2715</v>
      </c>
      <c r="L831" t="s">
        <v>1968</v>
      </c>
    </row>
    <row r="832" spans="1:12" ht="14.25" customHeight="1" x14ac:dyDescent="0.25">
      <c r="A832" t="s">
        <v>2554</v>
      </c>
      <c r="B832" s="232">
        <v>2</v>
      </c>
      <c r="C832" t="s">
        <v>3206</v>
      </c>
      <c r="D832" t="s">
        <v>2565</v>
      </c>
      <c r="E832" t="s">
        <v>2603</v>
      </c>
      <c r="F832" t="s">
        <v>2553</v>
      </c>
      <c r="G832" s="27">
        <v>42730</v>
      </c>
      <c r="I832" t="s">
        <v>2714</v>
      </c>
      <c r="J832" s="232">
        <v>8</v>
      </c>
      <c r="K832" s="1" t="s">
        <v>2562</v>
      </c>
      <c r="L832" t="s">
        <v>47</v>
      </c>
    </row>
    <row r="833" spans="1:12" ht="14.25" customHeight="1" x14ac:dyDescent="0.25">
      <c r="A833" t="s">
        <v>2554</v>
      </c>
      <c r="B833" s="232">
        <v>2</v>
      </c>
      <c r="C833" t="s">
        <v>3206</v>
      </c>
      <c r="D833" t="s">
        <v>2565</v>
      </c>
      <c r="E833" t="s">
        <v>2603</v>
      </c>
      <c r="F833" t="s">
        <v>2553</v>
      </c>
      <c r="G833" s="27">
        <v>42730</v>
      </c>
      <c r="I833" s="228" t="s">
        <v>2716</v>
      </c>
      <c r="J833" s="232">
        <v>9</v>
      </c>
      <c r="K833" s="1" t="s">
        <v>2718</v>
      </c>
      <c r="L833" t="s">
        <v>47</v>
      </c>
    </row>
    <row r="834" spans="1:12" ht="14.25" customHeight="1" x14ac:dyDescent="0.25">
      <c r="A834" t="s">
        <v>2554</v>
      </c>
      <c r="B834" s="232">
        <v>2</v>
      </c>
      <c r="C834" t="s">
        <v>3206</v>
      </c>
      <c r="D834" t="s">
        <v>2565</v>
      </c>
      <c r="E834" t="s">
        <v>2603</v>
      </c>
      <c r="F834" t="s">
        <v>2553</v>
      </c>
      <c r="G834" s="27">
        <v>42730</v>
      </c>
      <c r="I834" s="228" t="s">
        <v>2717</v>
      </c>
      <c r="J834" s="232">
        <v>10</v>
      </c>
      <c r="K834" s="1" t="s">
        <v>2720</v>
      </c>
      <c r="L834" t="s">
        <v>47</v>
      </c>
    </row>
    <row r="835" spans="1:12" ht="14.25" customHeight="1" x14ac:dyDescent="0.25">
      <c r="A835" t="s">
        <v>2554</v>
      </c>
      <c r="B835" s="232">
        <v>2</v>
      </c>
      <c r="C835" t="s">
        <v>3206</v>
      </c>
      <c r="D835" t="s">
        <v>2565</v>
      </c>
      <c r="E835" t="s">
        <v>2603</v>
      </c>
      <c r="F835" t="s">
        <v>2553</v>
      </c>
      <c r="G835" s="27">
        <v>42730</v>
      </c>
      <c r="I835" t="s">
        <v>2719</v>
      </c>
      <c r="J835" s="232">
        <v>11</v>
      </c>
      <c r="K835" s="1" t="s">
        <v>2722</v>
      </c>
      <c r="L835" t="s">
        <v>47</v>
      </c>
    </row>
    <row r="836" spans="1:12" ht="14.25" customHeight="1" x14ac:dyDescent="0.25">
      <c r="A836" t="s">
        <v>2554</v>
      </c>
      <c r="B836" s="232">
        <v>2</v>
      </c>
      <c r="C836" t="s">
        <v>3206</v>
      </c>
      <c r="D836" t="s">
        <v>2565</v>
      </c>
      <c r="E836" t="s">
        <v>2603</v>
      </c>
      <c r="F836" t="s">
        <v>2553</v>
      </c>
      <c r="G836" s="27">
        <v>42730</v>
      </c>
      <c r="I836" t="s">
        <v>2721</v>
      </c>
      <c r="J836" s="232">
        <v>12</v>
      </c>
      <c r="K836" s="1" t="s">
        <v>2725</v>
      </c>
      <c r="L836" t="s">
        <v>47</v>
      </c>
    </row>
    <row r="837" spans="1:12" ht="14.25" customHeight="1" x14ac:dyDescent="0.25">
      <c r="A837" t="s">
        <v>2554</v>
      </c>
      <c r="B837" s="232">
        <v>2</v>
      </c>
      <c r="C837" t="s">
        <v>3206</v>
      </c>
      <c r="D837" t="s">
        <v>2565</v>
      </c>
      <c r="E837" t="s">
        <v>2603</v>
      </c>
      <c r="F837" t="s">
        <v>2553</v>
      </c>
      <c r="G837" s="27">
        <v>42730</v>
      </c>
      <c r="I837" s="228" t="s">
        <v>2724</v>
      </c>
      <c r="J837" s="232">
        <v>13</v>
      </c>
      <c r="K837" s="1" t="s">
        <v>2727</v>
      </c>
      <c r="L837" t="s">
        <v>47</v>
      </c>
    </row>
    <row r="838" spans="1:12" ht="14.25" customHeight="1" x14ac:dyDescent="0.25">
      <c r="A838" t="s">
        <v>2554</v>
      </c>
      <c r="B838" s="232">
        <v>3</v>
      </c>
      <c r="C838" t="s">
        <v>3206</v>
      </c>
      <c r="D838" t="s">
        <v>2565</v>
      </c>
      <c r="E838" t="s">
        <v>2726</v>
      </c>
      <c r="F838" t="s">
        <v>2553</v>
      </c>
      <c r="G838" s="27">
        <v>42730</v>
      </c>
      <c r="I838" s="228" t="s">
        <v>2605</v>
      </c>
      <c r="J838" s="232">
        <v>14</v>
      </c>
      <c r="K838" s="248" t="s">
        <v>2813</v>
      </c>
      <c r="L838" t="s">
        <v>47</v>
      </c>
    </row>
    <row r="839" spans="1:12" ht="14.25" customHeight="1" x14ac:dyDescent="0.25">
      <c r="A839" t="s">
        <v>2554</v>
      </c>
      <c r="B839" s="232">
        <v>3</v>
      </c>
      <c r="C839" t="s">
        <v>3206</v>
      </c>
      <c r="D839" t="s">
        <v>2565</v>
      </c>
      <c r="E839" t="s">
        <v>2726</v>
      </c>
      <c r="F839" t="s">
        <v>2553</v>
      </c>
      <c r="G839" s="27">
        <v>42730</v>
      </c>
      <c r="I839" s="228" t="s">
        <v>2607</v>
      </c>
      <c r="J839" s="232">
        <v>15</v>
      </c>
      <c r="K839" s="248" t="s">
        <v>2814</v>
      </c>
      <c r="L839" t="s">
        <v>47</v>
      </c>
    </row>
    <row r="840" spans="1:12" ht="14.25" customHeight="1" x14ac:dyDescent="0.25">
      <c r="A840" t="s">
        <v>2554</v>
      </c>
      <c r="B840" s="232">
        <v>3</v>
      </c>
      <c r="C840" t="s">
        <v>3206</v>
      </c>
      <c r="D840" t="s">
        <v>2565</v>
      </c>
      <c r="E840" t="s">
        <v>2726</v>
      </c>
      <c r="F840" t="s">
        <v>2553</v>
      </c>
      <c r="G840" s="27">
        <v>42730</v>
      </c>
      <c r="I840" s="228" t="s">
        <v>2729</v>
      </c>
      <c r="J840" s="232">
        <v>16</v>
      </c>
      <c r="K840" s="1" t="s">
        <v>2563</v>
      </c>
      <c r="L840" t="s">
        <v>47</v>
      </c>
    </row>
    <row r="841" spans="1:12" ht="14.25" customHeight="1" x14ac:dyDescent="0.25">
      <c r="A841" t="s">
        <v>2554</v>
      </c>
      <c r="B841" s="232">
        <v>3</v>
      </c>
      <c r="C841" t="s">
        <v>3206</v>
      </c>
      <c r="D841" t="s">
        <v>2565</v>
      </c>
      <c r="E841" t="s">
        <v>2726</v>
      </c>
      <c r="F841" t="s">
        <v>2553</v>
      </c>
      <c r="G841" s="27">
        <v>42730</v>
      </c>
      <c r="I841" s="228" t="s">
        <v>2730</v>
      </c>
      <c r="J841" s="232">
        <v>17</v>
      </c>
      <c r="K841" s="1" t="s">
        <v>2731</v>
      </c>
      <c r="L841" t="s">
        <v>47</v>
      </c>
    </row>
    <row r="842" spans="1:12" ht="14.25" customHeight="1" x14ac:dyDescent="0.25">
      <c r="A842" t="s">
        <v>2554</v>
      </c>
      <c r="B842" s="232">
        <v>3</v>
      </c>
      <c r="C842" t="s">
        <v>3206</v>
      </c>
      <c r="D842" t="s">
        <v>2565</v>
      </c>
      <c r="E842" t="s">
        <v>2726</v>
      </c>
      <c r="F842" t="s">
        <v>2553</v>
      </c>
      <c r="G842" s="27">
        <v>42730</v>
      </c>
      <c r="I842" s="228" t="s">
        <v>2732</v>
      </c>
      <c r="J842" s="232">
        <v>18</v>
      </c>
      <c r="K842" s="1" t="s">
        <v>3207</v>
      </c>
      <c r="L842" t="s">
        <v>47</v>
      </c>
    </row>
    <row r="843" spans="1:12" ht="14.25" customHeight="1" x14ac:dyDescent="0.25">
      <c r="A843" t="s">
        <v>2554</v>
      </c>
      <c r="B843" s="232">
        <v>3</v>
      </c>
      <c r="C843" t="s">
        <v>3206</v>
      </c>
      <c r="D843" t="s">
        <v>2565</v>
      </c>
      <c r="E843" t="s">
        <v>2726</v>
      </c>
      <c r="F843" t="s">
        <v>2553</v>
      </c>
      <c r="G843" s="27">
        <v>42730</v>
      </c>
      <c r="I843" s="228" t="s">
        <v>2734</v>
      </c>
      <c r="J843" s="232">
        <v>19</v>
      </c>
      <c r="K843" s="1" t="s">
        <v>2816</v>
      </c>
      <c r="L843" t="s">
        <v>47</v>
      </c>
    </row>
    <row r="844" spans="1:12" ht="14.25" customHeight="1" x14ac:dyDescent="0.25">
      <c r="A844" t="s">
        <v>2554</v>
      </c>
      <c r="B844" s="232">
        <v>3</v>
      </c>
      <c r="C844" t="s">
        <v>3206</v>
      </c>
      <c r="D844" t="s">
        <v>2565</v>
      </c>
      <c r="E844" t="s">
        <v>2726</v>
      </c>
      <c r="F844" t="s">
        <v>2553</v>
      </c>
      <c r="G844" s="27">
        <v>42730</v>
      </c>
      <c r="I844" s="228" t="s">
        <v>2736</v>
      </c>
      <c r="J844" s="232">
        <v>20</v>
      </c>
      <c r="K844" s="1" t="s">
        <v>2733</v>
      </c>
      <c r="L844" t="s">
        <v>47</v>
      </c>
    </row>
    <row r="845" spans="1:12" ht="14.25" customHeight="1" x14ac:dyDescent="0.25">
      <c r="A845" t="s">
        <v>2554</v>
      </c>
      <c r="B845" s="232">
        <v>3</v>
      </c>
      <c r="C845" t="s">
        <v>3206</v>
      </c>
      <c r="D845" t="s">
        <v>2565</v>
      </c>
      <c r="E845" t="s">
        <v>2726</v>
      </c>
      <c r="F845" t="s">
        <v>2553</v>
      </c>
      <c r="G845" s="27">
        <v>42730</v>
      </c>
      <c r="I845" s="228" t="s">
        <v>2737</v>
      </c>
      <c r="J845" s="232">
        <v>21</v>
      </c>
      <c r="K845" s="1" t="s">
        <v>2817</v>
      </c>
      <c r="L845" t="s">
        <v>47</v>
      </c>
    </row>
    <row r="846" spans="1:12" ht="14.25" customHeight="1" x14ac:dyDescent="0.25">
      <c r="A846" t="s">
        <v>2554</v>
      </c>
      <c r="B846" s="232">
        <v>3</v>
      </c>
      <c r="C846" t="s">
        <v>3206</v>
      </c>
      <c r="D846" t="s">
        <v>2565</v>
      </c>
      <c r="E846" t="s">
        <v>2726</v>
      </c>
      <c r="F846" t="s">
        <v>2553</v>
      </c>
      <c r="G846" s="27">
        <v>42730</v>
      </c>
      <c r="I846" s="228" t="s">
        <v>2738</v>
      </c>
      <c r="J846" s="232">
        <v>22</v>
      </c>
      <c r="K846" s="1" t="s">
        <v>2818</v>
      </c>
      <c r="L846" t="s">
        <v>47</v>
      </c>
    </row>
    <row r="847" spans="1:12" ht="14.25" customHeight="1" x14ac:dyDescent="0.25">
      <c r="A847" t="s">
        <v>2554</v>
      </c>
      <c r="B847" s="232">
        <v>3</v>
      </c>
      <c r="C847" t="s">
        <v>3206</v>
      </c>
      <c r="D847" t="s">
        <v>2565</v>
      </c>
      <c r="E847" t="s">
        <v>2726</v>
      </c>
      <c r="F847" t="s">
        <v>2553</v>
      </c>
      <c r="G847" s="27">
        <v>42730</v>
      </c>
      <c r="I847" s="228" t="s">
        <v>2742</v>
      </c>
      <c r="J847" s="232">
        <v>23</v>
      </c>
      <c r="K847" s="1" t="s">
        <v>2820</v>
      </c>
      <c r="L847" t="s">
        <v>47</v>
      </c>
    </row>
    <row r="848" spans="1:12" ht="14.25" customHeight="1" x14ac:dyDescent="0.25">
      <c r="A848" t="s">
        <v>2554</v>
      </c>
      <c r="B848" s="232">
        <v>3</v>
      </c>
      <c r="C848" t="s">
        <v>3206</v>
      </c>
      <c r="D848" t="s">
        <v>2565</v>
      </c>
      <c r="E848" t="s">
        <v>2726</v>
      </c>
      <c r="F848" t="s">
        <v>2553</v>
      </c>
      <c r="G848" s="27">
        <v>42730</v>
      </c>
      <c r="I848" s="228" t="s">
        <v>2819</v>
      </c>
      <c r="J848" s="232">
        <v>24</v>
      </c>
      <c r="K848" s="1" t="s">
        <v>3034</v>
      </c>
      <c r="L848" t="s">
        <v>47</v>
      </c>
    </row>
    <row r="849" spans="1:12" ht="14.25" customHeight="1" x14ac:dyDescent="0.25">
      <c r="A849" t="s">
        <v>2554</v>
      </c>
      <c r="B849" s="232">
        <v>3</v>
      </c>
      <c r="C849" t="s">
        <v>3206</v>
      </c>
      <c r="D849" t="s">
        <v>2565</v>
      </c>
      <c r="E849" t="s">
        <v>2726</v>
      </c>
      <c r="F849" t="s">
        <v>2553</v>
      </c>
      <c r="G849" s="27">
        <v>42730</v>
      </c>
      <c r="I849" s="228" t="s">
        <v>2821</v>
      </c>
      <c r="J849" s="232">
        <v>25</v>
      </c>
      <c r="K849" s="1" t="s">
        <v>3208</v>
      </c>
      <c r="L849" t="s">
        <v>47</v>
      </c>
    </row>
    <row r="850" spans="1:12" ht="14.25" customHeight="1" x14ac:dyDescent="0.25">
      <c r="A850" t="s">
        <v>2554</v>
      </c>
      <c r="B850" s="232">
        <v>3</v>
      </c>
      <c r="C850" t="s">
        <v>3206</v>
      </c>
      <c r="D850" t="s">
        <v>2565</v>
      </c>
      <c r="E850" t="s">
        <v>2726</v>
      </c>
      <c r="F850" t="s">
        <v>2553</v>
      </c>
      <c r="G850" s="27">
        <v>42730</v>
      </c>
      <c r="I850" s="228" t="s">
        <v>2823</v>
      </c>
      <c r="J850" s="232">
        <v>26</v>
      </c>
      <c r="K850" s="1" t="s">
        <v>3209</v>
      </c>
      <c r="L850" t="s">
        <v>47</v>
      </c>
    </row>
    <row r="851" spans="1:12" ht="14.25" customHeight="1" x14ac:dyDescent="0.25">
      <c r="A851" t="s">
        <v>2554</v>
      </c>
      <c r="B851" s="232">
        <v>3</v>
      </c>
      <c r="C851" t="s">
        <v>3206</v>
      </c>
      <c r="D851" t="s">
        <v>2565</v>
      </c>
      <c r="E851" t="s">
        <v>2726</v>
      </c>
      <c r="F851" t="s">
        <v>2553</v>
      </c>
      <c r="G851" s="27">
        <v>42730</v>
      </c>
      <c r="I851" s="228" t="s">
        <v>2825</v>
      </c>
      <c r="J851" s="232">
        <v>27</v>
      </c>
      <c r="K851" s="1" t="s">
        <v>2569</v>
      </c>
      <c r="L851" t="s">
        <v>1968</v>
      </c>
    </row>
    <row r="852" spans="1:12" ht="14.25" customHeight="1" x14ac:dyDescent="0.25">
      <c r="A852" t="s">
        <v>2554</v>
      </c>
      <c r="B852" s="232">
        <v>3</v>
      </c>
      <c r="C852" t="s">
        <v>3206</v>
      </c>
      <c r="D852" t="s">
        <v>2565</v>
      </c>
      <c r="E852" t="s">
        <v>2726</v>
      </c>
      <c r="F852" t="s">
        <v>2553</v>
      </c>
      <c r="G852" s="27">
        <v>42730</v>
      </c>
      <c r="I852" s="228" t="s">
        <v>2826</v>
      </c>
      <c r="J852" s="232">
        <v>28</v>
      </c>
      <c r="K852" s="1" t="s">
        <v>2828</v>
      </c>
      <c r="L852" t="s">
        <v>47</v>
      </c>
    </row>
    <row r="853" spans="1:12" ht="14.25" customHeight="1" x14ac:dyDescent="0.25">
      <c r="A853" t="s">
        <v>2554</v>
      </c>
      <c r="B853" s="232">
        <v>3</v>
      </c>
      <c r="C853" t="s">
        <v>3206</v>
      </c>
      <c r="D853" t="s">
        <v>2565</v>
      </c>
      <c r="E853" t="s">
        <v>2726</v>
      </c>
      <c r="F853" t="s">
        <v>2553</v>
      </c>
      <c r="G853" s="27">
        <v>42730</v>
      </c>
      <c r="I853" s="228" t="s">
        <v>2827</v>
      </c>
      <c r="J853" s="232">
        <v>29</v>
      </c>
      <c r="K853" s="1" t="s">
        <v>2741</v>
      </c>
      <c r="L853" t="s">
        <v>47</v>
      </c>
    </row>
    <row r="854" spans="1:12" ht="14.25" customHeight="1" x14ac:dyDescent="0.25">
      <c r="A854" t="s">
        <v>2554</v>
      </c>
      <c r="B854" s="232">
        <v>3</v>
      </c>
      <c r="C854" t="s">
        <v>3206</v>
      </c>
      <c r="D854" t="s">
        <v>2565</v>
      </c>
      <c r="E854" t="s">
        <v>2726</v>
      </c>
      <c r="F854" t="s">
        <v>2553</v>
      </c>
      <c r="G854" s="27">
        <v>42730</v>
      </c>
      <c r="I854" s="228" t="s">
        <v>2830</v>
      </c>
      <c r="J854" s="232">
        <v>30</v>
      </c>
      <c r="K854" s="1" t="s">
        <v>2831</v>
      </c>
      <c r="L854" t="s">
        <v>47</v>
      </c>
    </row>
    <row r="855" spans="1:12" ht="14.25" customHeight="1" x14ac:dyDescent="0.25">
      <c r="A855" t="s">
        <v>2554</v>
      </c>
      <c r="B855" s="232">
        <v>3</v>
      </c>
      <c r="C855" t="s">
        <v>3206</v>
      </c>
      <c r="D855" t="s">
        <v>2565</v>
      </c>
      <c r="E855" t="s">
        <v>2726</v>
      </c>
      <c r="F855" t="s">
        <v>2553</v>
      </c>
      <c r="G855" s="27">
        <v>42730</v>
      </c>
      <c r="I855" s="228" t="s">
        <v>2829</v>
      </c>
      <c r="J855" s="232">
        <v>31</v>
      </c>
      <c r="K855" s="1" t="s">
        <v>2743</v>
      </c>
      <c r="L855" t="s">
        <v>1968</v>
      </c>
    </row>
    <row r="856" spans="1:12" ht="14.25" customHeight="1" x14ac:dyDescent="0.25">
      <c r="A856" t="s">
        <v>2554</v>
      </c>
      <c r="B856" s="232">
        <v>4</v>
      </c>
      <c r="C856" t="s">
        <v>3206</v>
      </c>
      <c r="D856" t="s">
        <v>2565</v>
      </c>
      <c r="E856" t="s">
        <v>2746</v>
      </c>
      <c r="F856" t="s">
        <v>2553</v>
      </c>
      <c r="G856" s="27">
        <v>42730</v>
      </c>
      <c r="I856" t="s">
        <v>2610</v>
      </c>
      <c r="J856" s="232">
        <v>32</v>
      </c>
      <c r="K856" s="1" t="s">
        <v>2744</v>
      </c>
      <c r="L856" t="s">
        <v>1968</v>
      </c>
    </row>
    <row r="857" spans="1:12" ht="14.25" customHeight="1" x14ac:dyDescent="0.25">
      <c r="A857" t="s">
        <v>2554</v>
      </c>
      <c r="B857" s="232">
        <v>4</v>
      </c>
      <c r="C857" t="s">
        <v>3206</v>
      </c>
      <c r="D857" t="s">
        <v>2565</v>
      </c>
      <c r="E857" t="s">
        <v>2746</v>
      </c>
      <c r="F857" t="s">
        <v>2553</v>
      </c>
      <c r="G857" s="27">
        <v>42730</v>
      </c>
      <c r="I857" t="s">
        <v>2612</v>
      </c>
      <c r="J857" s="232">
        <v>33</v>
      </c>
      <c r="K857" s="1" t="s">
        <v>2745</v>
      </c>
      <c r="L857" t="s">
        <v>47</v>
      </c>
    </row>
    <row r="858" spans="1:12" ht="14.25" customHeight="1" x14ac:dyDescent="0.25">
      <c r="A858" t="s">
        <v>2554</v>
      </c>
      <c r="B858" s="232">
        <v>4</v>
      </c>
      <c r="C858" t="s">
        <v>3206</v>
      </c>
      <c r="D858" t="s">
        <v>2565</v>
      </c>
      <c r="E858" t="s">
        <v>2746</v>
      </c>
      <c r="F858" t="s">
        <v>2553</v>
      </c>
      <c r="G858" s="27">
        <v>42730</v>
      </c>
      <c r="I858" t="s">
        <v>2614</v>
      </c>
      <c r="J858" s="232">
        <v>34</v>
      </c>
      <c r="K858" s="248" t="s">
        <v>2747</v>
      </c>
      <c r="L858" t="s">
        <v>47</v>
      </c>
    </row>
    <row r="859" spans="1:12" ht="14.25" customHeight="1" x14ac:dyDescent="0.25">
      <c r="A859" t="s">
        <v>2554</v>
      </c>
      <c r="B859" s="232">
        <v>4</v>
      </c>
      <c r="C859" t="s">
        <v>3206</v>
      </c>
      <c r="D859" t="s">
        <v>2565</v>
      </c>
      <c r="E859" t="s">
        <v>2746</v>
      </c>
      <c r="F859" t="s">
        <v>2553</v>
      </c>
      <c r="G859" s="27">
        <v>42730</v>
      </c>
      <c r="I859" t="s">
        <v>2617</v>
      </c>
      <c r="J859" s="232">
        <v>35</v>
      </c>
      <c r="K859" s="1" t="s">
        <v>2832</v>
      </c>
      <c r="L859" t="s">
        <v>47</v>
      </c>
    </row>
    <row r="860" spans="1:12" ht="14.25" customHeight="1" x14ac:dyDescent="0.25">
      <c r="A860" t="s">
        <v>2554</v>
      </c>
      <c r="B860" s="232">
        <v>4</v>
      </c>
      <c r="C860" t="s">
        <v>3206</v>
      </c>
      <c r="D860" t="s">
        <v>2565</v>
      </c>
      <c r="E860" t="s">
        <v>2746</v>
      </c>
      <c r="F860" t="s">
        <v>2553</v>
      </c>
      <c r="G860" s="27">
        <v>42730</v>
      </c>
      <c r="I860" t="s">
        <v>2621</v>
      </c>
      <c r="J860" s="232">
        <v>36</v>
      </c>
      <c r="K860" s="1" t="s">
        <v>2750</v>
      </c>
      <c r="L860" t="s">
        <v>47</v>
      </c>
    </row>
    <row r="861" spans="1:12" ht="14.25" customHeight="1" x14ac:dyDescent="0.25">
      <c r="A861" t="s">
        <v>2554</v>
      </c>
      <c r="B861" s="232">
        <v>4</v>
      </c>
      <c r="C861" t="s">
        <v>3206</v>
      </c>
      <c r="D861" t="s">
        <v>2565</v>
      </c>
      <c r="E861" t="s">
        <v>2746</v>
      </c>
      <c r="F861" t="s">
        <v>2553</v>
      </c>
      <c r="G861" s="27">
        <v>42730</v>
      </c>
      <c r="I861" t="s">
        <v>2749</v>
      </c>
      <c r="J861" s="232">
        <v>37</v>
      </c>
      <c r="K861" s="1" t="s">
        <v>2564</v>
      </c>
      <c r="L861" t="s">
        <v>47</v>
      </c>
    </row>
    <row r="862" spans="1:12" ht="14.25" customHeight="1" x14ac:dyDescent="0.25">
      <c r="A862" t="s">
        <v>2554</v>
      </c>
      <c r="B862" s="232">
        <v>5</v>
      </c>
      <c r="C862" t="s">
        <v>3206</v>
      </c>
      <c r="D862" t="s">
        <v>2565</v>
      </c>
      <c r="E862" t="s">
        <v>2846</v>
      </c>
      <c r="F862" t="s">
        <v>2553</v>
      </c>
      <c r="G862" s="27">
        <v>42730</v>
      </c>
      <c r="I862" t="s">
        <v>2623</v>
      </c>
      <c r="J862" s="232">
        <v>38</v>
      </c>
      <c r="K862" s="1" t="s">
        <v>2751</v>
      </c>
      <c r="L862" t="s">
        <v>47</v>
      </c>
    </row>
    <row r="863" spans="1:12" ht="14.25" customHeight="1" x14ac:dyDescent="0.25">
      <c r="A863" t="s">
        <v>2554</v>
      </c>
      <c r="B863" s="232">
        <v>5</v>
      </c>
      <c r="C863" t="s">
        <v>3206</v>
      </c>
      <c r="D863" t="s">
        <v>2565</v>
      </c>
      <c r="E863" t="s">
        <v>2846</v>
      </c>
      <c r="F863" t="s">
        <v>2553</v>
      </c>
      <c r="G863" s="27">
        <v>42730</v>
      </c>
      <c r="I863" s="228" t="s">
        <v>2627</v>
      </c>
      <c r="J863" s="232">
        <v>39</v>
      </c>
      <c r="K863" s="1" t="s">
        <v>3210</v>
      </c>
      <c r="L863" t="s">
        <v>47</v>
      </c>
    </row>
    <row r="864" spans="1:12" ht="14.25" customHeight="1" x14ac:dyDescent="0.25">
      <c r="A864" t="s">
        <v>2554</v>
      </c>
      <c r="B864" s="232">
        <v>5</v>
      </c>
      <c r="C864" t="s">
        <v>3206</v>
      </c>
      <c r="D864" t="s">
        <v>2565</v>
      </c>
      <c r="E864" t="s">
        <v>2846</v>
      </c>
      <c r="F864" t="s">
        <v>2553</v>
      </c>
      <c r="G864" s="27">
        <v>42730</v>
      </c>
      <c r="I864" s="228" t="s">
        <v>2752</v>
      </c>
      <c r="J864" s="232">
        <v>40</v>
      </c>
      <c r="K864" s="1" t="s">
        <v>2753</v>
      </c>
      <c r="L864" t="s">
        <v>47</v>
      </c>
    </row>
    <row r="865" spans="1:12" ht="14.25" customHeight="1" x14ac:dyDescent="0.25">
      <c r="A865" t="s">
        <v>2554</v>
      </c>
      <c r="B865" s="232">
        <v>5</v>
      </c>
      <c r="C865" t="s">
        <v>3206</v>
      </c>
      <c r="D865" t="s">
        <v>2565</v>
      </c>
      <c r="E865" t="s">
        <v>2846</v>
      </c>
      <c r="F865" t="s">
        <v>2553</v>
      </c>
      <c r="G865" s="27">
        <v>42730</v>
      </c>
      <c r="I865" t="s">
        <v>2973</v>
      </c>
      <c r="J865" s="232">
        <v>41</v>
      </c>
      <c r="K865" s="1" t="s">
        <v>3211</v>
      </c>
      <c r="L865" t="s">
        <v>47</v>
      </c>
    </row>
    <row r="866" spans="1:12" ht="14.25" customHeight="1" x14ac:dyDescent="0.25">
      <c r="A866" t="s">
        <v>2554</v>
      </c>
      <c r="B866" s="232">
        <v>5</v>
      </c>
      <c r="C866" t="s">
        <v>3206</v>
      </c>
      <c r="D866" t="s">
        <v>2565</v>
      </c>
      <c r="E866" t="s">
        <v>2846</v>
      </c>
      <c r="F866" t="s">
        <v>2553</v>
      </c>
      <c r="G866" s="27">
        <v>42730</v>
      </c>
      <c r="I866" t="s">
        <v>2844</v>
      </c>
      <c r="J866" s="232">
        <v>42</v>
      </c>
      <c r="K866" s="1" t="s">
        <v>2754</v>
      </c>
      <c r="L866" t="s">
        <v>47</v>
      </c>
    </row>
    <row r="867" spans="1:12" ht="14.25" customHeight="1" x14ac:dyDescent="0.25">
      <c r="A867" t="s">
        <v>2554</v>
      </c>
      <c r="B867" s="232">
        <v>6</v>
      </c>
      <c r="C867" t="s">
        <v>3206</v>
      </c>
      <c r="D867" t="s">
        <v>2565</v>
      </c>
      <c r="E867" t="s">
        <v>2629</v>
      </c>
      <c r="F867" t="s">
        <v>2553</v>
      </c>
      <c r="G867" s="27">
        <v>42730</v>
      </c>
      <c r="I867" t="s">
        <v>2630</v>
      </c>
      <c r="J867" s="232">
        <v>43</v>
      </c>
      <c r="K867" s="1" t="s">
        <v>2755</v>
      </c>
      <c r="L867" t="s">
        <v>1968</v>
      </c>
    </row>
    <row r="868" spans="1:12" ht="14.25" customHeight="1" x14ac:dyDescent="0.25">
      <c r="A868" t="s">
        <v>2554</v>
      </c>
      <c r="B868" s="232">
        <v>6</v>
      </c>
      <c r="C868" t="s">
        <v>3206</v>
      </c>
      <c r="D868" t="s">
        <v>2565</v>
      </c>
      <c r="E868" t="s">
        <v>2629</v>
      </c>
      <c r="F868" t="s">
        <v>2553</v>
      </c>
      <c r="G868" s="27">
        <v>42730</v>
      </c>
      <c r="I868" t="s">
        <v>2632</v>
      </c>
      <c r="J868" s="232">
        <v>44</v>
      </c>
      <c r="K868" s="1" t="s">
        <v>2922</v>
      </c>
      <c r="L868" t="s">
        <v>47</v>
      </c>
    </row>
    <row r="869" spans="1:12" ht="14.25" customHeight="1" x14ac:dyDescent="0.25">
      <c r="A869" t="s">
        <v>2554</v>
      </c>
      <c r="B869" s="232">
        <v>6</v>
      </c>
      <c r="C869" t="s">
        <v>3206</v>
      </c>
      <c r="D869" t="s">
        <v>2565</v>
      </c>
      <c r="E869" t="s">
        <v>2629</v>
      </c>
      <c r="F869" t="s">
        <v>2553</v>
      </c>
      <c r="G869" s="27">
        <v>42730</v>
      </c>
      <c r="I869" t="s">
        <v>2636</v>
      </c>
      <c r="J869" s="232">
        <v>45</v>
      </c>
      <c r="K869" s="1" t="s">
        <v>2756</v>
      </c>
      <c r="L869" t="s">
        <v>47</v>
      </c>
    </row>
    <row r="870" spans="1:12" ht="14.25" customHeight="1" x14ac:dyDescent="0.25">
      <c r="A870" t="s">
        <v>2554</v>
      </c>
      <c r="B870" s="232">
        <v>6</v>
      </c>
      <c r="C870" t="s">
        <v>3206</v>
      </c>
      <c r="D870" t="s">
        <v>2565</v>
      </c>
      <c r="E870" t="s">
        <v>2629</v>
      </c>
      <c r="F870" t="s">
        <v>2553</v>
      </c>
      <c r="G870" s="27">
        <v>42730</v>
      </c>
      <c r="I870" t="s">
        <v>2638</v>
      </c>
      <c r="J870" s="232">
        <v>46</v>
      </c>
      <c r="K870" s="1" t="s">
        <v>2758</v>
      </c>
      <c r="L870" t="s">
        <v>47</v>
      </c>
    </row>
    <row r="871" spans="1:12" ht="14.25" customHeight="1" x14ac:dyDescent="0.25">
      <c r="A871" t="s">
        <v>2554</v>
      </c>
      <c r="B871" s="232">
        <v>6</v>
      </c>
      <c r="C871" t="s">
        <v>3206</v>
      </c>
      <c r="D871" t="s">
        <v>2565</v>
      </c>
      <c r="E871" t="s">
        <v>2629</v>
      </c>
      <c r="F871" t="s">
        <v>2553</v>
      </c>
      <c r="G871" s="27">
        <v>42730</v>
      </c>
      <c r="I871" t="s">
        <v>2757</v>
      </c>
      <c r="J871" s="232">
        <v>47</v>
      </c>
      <c r="K871" s="1" t="s">
        <v>2760</v>
      </c>
      <c r="L871" t="s">
        <v>47</v>
      </c>
    </row>
    <row r="872" spans="1:12" ht="14.25" customHeight="1" x14ac:dyDescent="0.25">
      <c r="A872" t="s">
        <v>2554</v>
      </c>
      <c r="B872" s="232">
        <v>6</v>
      </c>
      <c r="C872" t="s">
        <v>3206</v>
      </c>
      <c r="D872" t="s">
        <v>2565</v>
      </c>
      <c r="E872" t="s">
        <v>2629</v>
      </c>
      <c r="F872" t="s">
        <v>2553</v>
      </c>
      <c r="G872" s="27">
        <v>42730</v>
      </c>
      <c r="I872" t="s">
        <v>2759</v>
      </c>
      <c r="J872" s="232">
        <v>48</v>
      </c>
      <c r="K872" s="1" t="s">
        <v>2904</v>
      </c>
      <c r="L872" t="s">
        <v>47</v>
      </c>
    </row>
    <row r="873" spans="1:12" ht="14.25" customHeight="1" x14ac:dyDescent="0.25">
      <c r="A873" t="s">
        <v>2554</v>
      </c>
      <c r="B873" s="232">
        <v>7</v>
      </c>
      <c r="C873" t="s">
        <v>3206</v>
      </c>
      <c r="D873" t="s">
        <v>2565</v>
      </c>
      <c r="E873" t="s">
        <v>2764</v>
      </c>
      <c r="F873" t="s">
        <v>2553</v>
      </c>
      <c r="G873" s="27">
        <v>42730</v>
      </c>
      <c r="I873" t="s">
        <v>2643</v>
      </c>
      <c r="J873" s="232">
        <v>49</v>
      </c>
      <c r="K873" s="1" t="s">
        <v>2766</v>
      </c>
      <c r="L873" t="s">
        <v>47</v>
      </c>
    </row>
    <row r="874" spans="1:12" ht="14.25" customHeight="1" x14ac:dyDescent="0.25">
      <c r="A874" t="s">
        <v>2554</v>
      </c>
      <c r="B874" s="232">
        <v>7</v>
      </c>
      <c r="C874" t="s">
        <v>3206</v>
      </c>
      <c r="D874" t="s">
        <v>2565</v>
      </c>
      <c r="E874" t="s">
        <v>2764</v>
      </c>
      <c r="F874" t="s">
        <v>2553</v>
      </c>
      <c r="G874" s="27">
        <v>42730</v>
      </c>
      <c r="I874" t="s">
        <v>2649</v>
      </c>
      <c r="J874" s="232">
        <v>50</v>
      </c>
      <c r="K874" s="1" t="s">
        <v>2767</v>
      </c>
      <c r="L874" t="s">
        <v>47</v>
      </c>
    </row>
    <row r="875" spans="1:12" ht="14.25" customHeight="1" x14ac:dyDescent="0.25">
      <c r="A875" t="s">
        <v>2554</v>
      </c>
      <c r="B875" s="232">
        <v>7</v>
      </c>
      <c r="C875" t="s">
        <v>3206</v>
      </c>
      <c r="D875" t="s">
        <v>2565</v>
      </c>
      <c r="E875" t="s">
        <v>2764</v>
      </c>
      <c r="F875" t="s">
        <v>2553</v>
      </c>
      <c r="G875" s="27">
        <v>42730</v>
      </c>
      <c r="I875" t="s">
        <v>2651</v>
      </c>
      <c r="J875" s="232">
        <v>51</v>
      </c>
      <c r="K875" s="1" t="s">
        <v>2907</v>
      </c>
      <c r="L875" t="s">
        <v>47</v>
      </c>
    </row>
    <row r="876" spans="1:12" ht="14.25" customHeight="1" x14ac:dyDescent="0.25">
      <c r="A876" t="s">
        <v>2554</v>
      </c>
      <c r="B876" s="232">
        <v>8</v>
      </c>
      <c r="C876" t="s">
        <v>3206</v>
      </c>
      <c r="D876" t="s">
        <v>2565</v>
      </c>
      <c r="E876" t="s">
        <v>2906</v>
      </c>
      <c r="F876" t="s">
        <v>2553</v>
      </c>
      <c r="G876" s="27">
        <v>42730</v>
      </c>
      <c r="I876" t="s">
        <v>2663</v>
      </c>
      <c r="J876" s="232">
        <v>52</v>
      </c>
      <c r="K876" s="248" t="s">
        <v>3212</v>
      </c>
      <c r="L876" t="s">
        <v>47</v>
      </c>
    </row>
    <row r="877" spans="1:12" ht="14.25" customHeight="1" x14ac:dyDescent="0.25">
      <c r="A877" t="s">
        <v>2554</v>
      </c>
      <c r="B877" s="232">
        <v>8</v>
      </c>
      <c r="C877" t="s">
        <v>3206</v>
      </c>
      <c r="D877" t="s">
        <v>2565</v>
      </c>
      <c r="E877" t="s">
        <v>2906</v>
      </c>
      <c r="F877" t="s">
        <v>2553</v>
      </c>
      <c r="G877" s="27">
        <v>42730</v>
      </c>
      <c r="I877" t="s">
        <v>2664</v>
      </c>
      <c r="J877" s="232">
        <v>53</v>
      </c>
      <c r="K877" s="1" t="s">
        <v>3213</v>
      </c>
      <c r="L877" t="s">
        <v>47</v>
      </c>
    </row>
    <row r="878" spans="1:12" ht="14.25" customHeight="1" x14ac:dyDescent="0.25">
      <c r="A878" t="s">
        <v>2554</v>
      </c>
      <c r="B878" s="232">
        <v>8</v>
      </c>
      <c r="C878" t="s">
        <v>3206</v>
      </c>
      <c r="D878" t="s">
        <v>2565</v>
      </c>
      <c r="E878" t="s">
        <v>2906</v>
      </c>
      <c r="F878" t="s">
        <v>2553</v>
      </c>
      <c r="G878" s="27">
        <v>42730</v>
      </c>
      <c r="I878" t="s">
        <v>2665</v>
      </c>
      <c r="J878" s="232">
        <v>54</v>
      </c>
      <c r="K878" s="1" t="s">
        <v>2849</v>
      </c>
      <c r="L878" t="s">
        <v>47</v>
      </c>
    </row>
    <row r="879" spans="1:12" ht="14.25" customHeight="1" x14ac:dyDescent="0.25">
      <c r="A879" t="s">
        <v>2554</v>
      </c>
      <c r="B879" s="232">
        <v>8</v>
      </c>
      <c r="C879" t="s">
        <v>3206</v>
      </c>
      <c r="D879" t="s">
        <v>2565</v>
      </c>
      <c r="E879" t="s">
        <v>2906</v>
      </c>
      <c r="F879" t="s">
        <v>2553</v>
      </c>
      <c r="G879" s="27">
        <v>42730</v>
      </c>
      <c r="I879" t="s">
        <v>2771</v>
      </c>
      <c r="J879" s="232">
        <v>55</v>
      </c>
      <c r="K879" s="1" t="s">
        <v>3214</v>
      </c>
      <c r="L879" t="s">
        <v>47</v>
      </c>
    </row>
    <row r="880" spans="1:12" ht="14.25" customHeight="1" x14ac:dyDescent="0.25">
      <c r="A880" t="s">
        <v>2554</v>
      </c>
      <c r="B880" s="232">
        <v>8</v>
      </c>
      <c r="C880" t="s">
        <v>3206</v>
      </c>
      <c r="D880" t="s">
        <v>2565</v>
      </c>
      <c r="E880" t="s">
        <v>2906</v>
      </c>
      <c r="F880" t="s">
        <v>2553</v>
      </c>
      <c r="G880" s="27">
        <v>42730</v>
      </c>
      <c r="I880" t="s">
        <v>2773</v>
      </c>
      <c r="J880" s="232">
        <v>56</v>
      </c>
      <c r="K880" s="1" t="s">
        <v>3215</v>
      </c>
      <c r="L880" t="s">
        <v>47</v>
      </c>
    </row>
    <row r="881" spans="1:12" ht="14.25" customHeight="1" x14ac:dyDescent="0.25">
      <c r="A881" t="s">
        <v>2554</v>
      </c>
      <c r="B881" s="232">
        <v>8</v>
      </c>
      <c r="C881" t="s">
        <v>3206</v>
      </c>
      <c r="D881" t="s">
        <v>2565</v>
      </c>
      <c r="E881" t="s">
        <v>2906</v>
      </c>
      <c r="F881" t="s">
        <v>2553</v>
      </c>
      <c r="G881" s="27">
        <v>42730</v>
      </c>
      <c r="I881" t="s">
        <v>2775</v>
      </c>
      <c r="J881" s="232">
        <v>57</v>
      </c>
      <c r="K881" s="1" t="s">
        <v>2780</v>
      </c>
      <c r="L881" t="s">
        <v>47</v>
      </c>
    </row>
    <row r="882" spans="1:12" ht="14.25" customHeight="1" x14ac:dyDescent="0.25">
      <c r="A882" t="s">
        <v>2554</v>
      </c>
      <c r="B882" s="232">
        <v>9</v>
      </c>
      <c r="C882" t="s">
        <v>3206</v>
      </c>
      <c r="D882" t="s">
        <v>2565</v>
      </c>
      <c r="E882" t="s">
        <v>2779</v>
      </c>
      <c r="F882" t="s">
        <v>2553</v>
      </c>
      <c r="G882" s="27">
        <v>42730</v>
      </c>
      <c r="I882" t="s">
        <v>2669</v>
      </c>
      <c r="J882" s="232">
        <v>58</v>
      </c>
      <c r="K882" s="1" t="s">
        <v>2570</v>
      </c>
      <c r="L882" t="s">
        <v>47</v>
      </c>
    </row>
    <row r="883" spans="1:12" ht="14.25" customHeight="1" x14ac:dyDescent="0.25">
      <c r="A883" t="s">
        <v>2554</v>
      </c>
      <c r="B883" s="232">
        <v>9</v>
      </c>
      <c r="C883" t="s">
        <v>3206</v>
      </c>
      <c r="D883" t="s">
        <v>2565</v>
      </c>
      <c r="E883" t="s">
        <v>2779</v>
      </c>
      <c r="F883" t="s">
        <v>2553</v>
      </c>
      <c r="G883" s="27">
        <v>42730</v>
      </c>
      <c r="I883" t="s">
        <v>2782</v>
      </c>
      <c r="J883" s="232">
        <v>59</v>
      </c>
      <c r="K883" s="1" t="s">
        <v>2571</v>
      </c>
      <c r="L883" t="s">
        <v>47</v>
      </c>
    </row>
    <row r="884" spans="1:12" ht="14.25" customHeight="1" x14ac:dyDescent="0.25">
      <c r="A884" t="s">
        <v>2554</v>
      </c>
      <c r="B884" s="232">
        <v>9</v>
      </c>
      <c r="C884" t="s">
        <v>3206</v>
      </c>
      <c r="D884" t="s">
        <v>2565</v>
      </c>
      <c r="E884" t="s">
        <v>2779</v>
      </c>
      <c r="F884" t="s">
        <v>2553</v>
      </c>
      <c r="G884" s="27">
        <v>42730</v>
      </c>
      <c r="I884" t="s">
        <v>2673</v>
      </c>
      <c r="J884" s="232">
        <v>60</v>
      </c>
      <c r="K884" s="1" t="s">
        <v>2572</v>
      </c>
      <c r="L884" t="s">
        <v>47</v>
      </c>
    </row>
    <row r="885" spans="1:12" ht="14.25" customHeight="1" x14ac:dyDescent="0.25">
      <c r="A885" t="s">
        <v>2554</v>
      </c>
      <c r="B885" s="232">
        <v>9</v>
      </c>
      <c r="C885" t="s">
        <v>3206</v>
      </c>
      <c r="D885" t="s">
        <v>2565</v>
      </c>
      <c r="E885" t="s">
        <v>2779</v>
      </c>
      <c r="F885" t="s">
        <v>2553</v>
      </c>
      <c r="G885" s="27">
        <v>42730</v>
      </c>
      <c r="I885" t="s">
        <v>2681</v>
      </c>
      <c r="J885" s="232">
        <v>61</v>
      </c>
      <c r="K885" s="1" t="s">
        <v>2573</v>
      </c>
      <c r="L885" t="s">
        <v>47</v>
      </c>
    </row>
    <row r="886" spans="1:12" ht="14.25" customHeight="1" x14ac:dyDescent="0.25">
      <c r="A886" t="s">
        <v>2554</v>
      </c>
      <c r="B886" s="232">
        <v>9</v>
      </c>
      <c r="C886" t="s">
        <v>3206</v>
      </c>
      <c r="D886" t="s">
        <v>2565</v>
      </c>
      <c r="E886" t="s">
        <v>2779</v>
      </c>
      <c r="F886" t="s">
        <v>2553</v>
      </c>
      <c r="G886" s="27">
        <v>42730</v>
      </c>
      <c r="I886" t="s">
        <v>2683</v>
      </c>
      <c r="J886" s="232">
        <v>62</v>
      </c>
      <c r="K886" s="1" t="s">
        <v>2574</v>
      </c>
      <c r="L886" t="s">
        <v>47</v>
      </c>
    </row>
    <row r="887" spans="1:12" ht="14.25" customHeight="1" x14ac:dyDescent="0.25">
      <c r="A887" t="s">
        <v>2554</v>
      </c>
      <c r="B887" s="232">
        <v>10</v>
      </c>
      <c r="C887" t="s">
        <v>3206</v>
      </c>
      <c r="D887" t="s">
        <v>2565</v>
      </c>
      <c r="E887" t="s">
        <v>2783</v>
      </c>
      <c r="F887" t="s">
        <v>2553</v>
      </c>
      <c r="G887" s="27">
        <v>42730</v>
      </c>
      <c r="I887" t="s">
        <v>2784</v>
      </c>
      <c r="J887" s="232">
        <v>63</v>
      </c>
      <c r="K887" s="1" t="s">
        <v>2575</v>
      </c>
      <c r="L887" t="s">
        <v>1968</v>
      </c>
    </row>
    <row r="888" spans="1:12" ht="14.25" customHeight="1" x14ac:dyDescent="0.25">
      <c r="A888" t="s">
        <v>2554</v>
      </c>
      <c r="B888" s="232">
        <v>10</v>
      </c>
      <c r="C888" t="s">
        <v>3206</v>
      </c>
      <c r="D888" t="s">
        <v>2565</v>
      </c>
      <c r="E888" t="s">
        <v>2783</v>
      </c>
      <c r="F888" t="s">
        <v>2553</v>
      </c>
      <c r="G888" s="27">
        <v>42730</v>
      </c>
      <c r="I888" t="s">
        <v>2785</v>
      </c>
      <c r="J888" s="232">
        <v>64</v>
      </c>
      <c r="K888" s="1" t="s">
        <v>2576</v>
      </c>
      <c r="L888" t="s">
        <v>1968</v>
      </c>
    </row>
    <row r="889" spans="1:12" ht="14.25" customHeight="1" x14ac:dyDescent="0.25">
      <c r="A889" t="s">
        <v>2554</v>
      </c>
      <c r="B889" s="232">
        <v>10</v>
      </c>
      <c r="C889" t="s">
        <v>3206</v>
      </c>
      <c r="D889" t="s">
        <v>2565</v>
      </c>
      <c r="E889" t="s">
        <v>2783</v>
      </c>
      <c r="F889" t="s">
        <v>2553</v>
      </c>
      <c r="G889" s="27">
        <v>42730</v>
      </c>
      <c r="I889" t="s">
        <v>2786</v>
      </c>
      <c r="J889" s="232">
        <v>65</v>
      </c>
      <c r="K889" s="1" t="s">
        <v>3216</v>
      </c>
      <c r="L889" t="s">
        <v>1968</v>
      </c>
    </row>
    <row r="890" spans="1:12" ht="14.25" customHeight="1" x14ac:dyDescent="0.25">
      <c r="A890" t="s">
        <v>2554</v>
      </c>
      <c r="B890" s="232">
        <v>10</v>
      </c>
      <c r="C890" t="s">
        <v>3206</v>
      </c>
      <c r="D890" t="s">
        <v>2565</v>
      </c>
      <c r="E890" t="s">
        <v>2783</v>
      </c>
      <c r="F890" t="s">
        <v>2553</v>
      </c>
      <c r="G890" s="27">
        <v>42730</v>
      </c>
      <c r="I890" t="s">
        <v>2787</v>
      </c>
      <c r="J890" s="232">
        <v>66</v>
      </c>
      <c r="K890" s="1" t="s">
        <v>2788</v>
      </c>
      <c r="L890" t="s">
        <v>47</v>
      </c>
    </row>
    <row r="891" spans="1:12" ht="14.25" customHeight="1" x14ac:dyDescent="0.25">
      <c r="A891" t="s">
        <v>2554</v>
      </c>
      <c r="B891" s="232">
        <v>10</v>
      </c>
      <c r="C891" t="s">
        <v>3206</v>
      </c>
      <c r="D891" t="s">
        <v>2565</v>
      </c>
      <c r="E891" t="s">
        <v>2783</v>
      </c>
      <c r="F891" t="s">
        <v>2553</v>
      </c>
      <c r="G891" s="27">
        <v>42730</v>
      </c>
      <c r="I891" t="s">
        <v>2579</v>
      </c>
      <c r="J891" s="232">
        <v>67</v>
      </c>
      <c r="K891" s="1" t="s">
        <v>2578</v>
      </c>
      <c r="L891" t="s">
        <v>47</v>
      </c>
    </row>
    <row r="892" spans="1:12" ht="14.25" customHeight="1" x14ac:dyDescent="0.25">
      <c r="A892" t="s">
        <v>2554</v>
      </c>
      <c r="B892" s="232">
        <v>10</v>
      </c>
      <c r="C892" t="s">
        <v>3206</v>
      </c>
      <c r="D892" t="s">
        <v>2565</v>
      </c>
      <c r="E892" t="s">
        <v>2783</v>
      </c>
      <c r="F892" t="s">
        <v>2553</v>
      </c>
      <c r="G892" s="27">
        <v>42730</v>
      </c>
      <c r="I892" t="s">
        <v>2789</v>
      </c>
      <c r="J892" s="232">
        <v>68</v>
      </c>
      <c r="K892" s="1" t="s">
        <v>2867</v>
      </c>
    </row>
    <row r="893" spans="1:12" ht="12.75" customHeight="1" x14ac:dyDescent="0.25">
      <c r="A893" t="s">
        <v>2554</v>
      </c>
      <c r="B893" s="232">
        <v>11</v>
      </c>
      <c r="C893" t="s">
        <v>3206</v>
      </c>
      <c r="D893" t="s">
        <v>2565</v>
      </c>
      <c r="E893" t="s">
        <v>2863</v>
      </c>
      <c r="F893" t="s">
        <v>2553</v>
      </c>
      <c r="G893" s="27">
        <v>42730</v>
      </c>
      <c r="I893" t="s">
        <v>2790</v>
      </c>
      <c r="J893" s="232">
        <v>69</v>
      </c>
      <c r="K893" s="1" t="s">
        <v>2868</v>
      </c>
      <c r="L893" t="s">
        <v>47</v>
      </c>
    </row>
    <row r="894" spans="1:12" ht="13.5" customHeight="1" x14ac:dyDescent="0.25">
      <c r="A894" t="s">
        <v>2554</v>
      </c>
      <c r="B894" s="232">
        <v>11</v>
      </c>
      <c r="C894" t="s">
        <v>3206</v>
      </c>
      <c r="D894" t="s">
        <v>2565</v>
      </c>
      <c r="E894" t="s">
        <v>2863</v>
      </c>
      <c r="F894" t="s">
        <v>2553</v>
      </c>
      <c r="G894" s="27">
        <v>42730</v>
      </c>
      <c r="I894" t="s">
        <v>2791</v>
      </c>
      <c r="J894" s="232">
        <v>70</v>
      </c>
      <c r="K894" s="1" t="s">
        <v>2870</v>
      </c>
      <c r="L894" t="s">
        <v>47</v>
      </c>
    </row>
    <row r="895" spans="1:12" ht="14.25" customHeight="1" x14ac:dyDescent="0.25">
      <c r="A895" t="s">
        <v>2554</v>
      </c>
      <c r="B895" s="232">
        <v>11</v>
      </c>
      <c r="C895" t="s">
        <v>3206</v>
      </c>
      <c r="D895" t="s">
        <v>2565</v>
      </c>
      <c r="E895" t="s">
        <v>2863</v>
      </c>
      <c r="F895" t="s">
        <v>2553</v>
      </c>
      <c r="G895" s="27">
        <v>42730</v>
      </c>
      <c r="I895" t="s">
        <v>3217</v>
      </c>
      <c r="J895" s="232">
        <v>71</v>
      </c>
      <c r="K895" s="1" t="s">
        <v>2871</v>
      </c>
      <c r="L895" t="s">
        <v>47</v>
      </c>
    </row>
    <row r="896" spans="1:12" ht="14.25" customHeight="1" x14ac:dyDescent="0.25">
      <c r="A896" t="s">
        <v>2554</v>
      </c>
      <c r="B896" s="232">
        <v>11</v>
      </c>
      <c r="C896" t="s">
        <v>3206</v>
      </c>
      <c r="D896" t="s">
        <v>2565</v>
      </c>
      <c r="E896" t="s">
        <v>2863</v>
      </c>
      <c r="F896" t="s">
        <v>2553</v>
      </c>
      <c r="G896" s="27">
        <v>42730</v>
      </c>
      <c r="I896" t="s">
        <v>2792</v>
      </c>
      <c r="J896" s="232">
        <v>72</v>
      </c>
      <c r="K896" s="1" t="s">
        <v>2873</v>
      </c>
      <c r="L896" t="s">
        <v>47</v>
      </c>
    </row>
    <row r="897" spans="1:12" ht="14.25" customHeight="1" x14ac:dyDescent="0.25">
      <c r="A897" t="s">
        <v>2554</v>
      </c>
      <c r="B897" s="232">
        <v>11</v>
      </c>
      <c r="C897" t="s">
        <v>3206</v>
      </c>
      <c r="D897" t="s">
        <v>2565</v>
      </c>
      <c r="E897" t="s">
        <v>2863</v>
      </c>
      <c r="F897" t="s">
        <v>2553</v>
      </c>
      <c r="G897" s="27">
        <v>42730</v>
      </c>
      <c r="I897" t="s">
        <v>2793</v>
      </c>
      <c r="J897" s="232">
        <v>73</v>
      </c>
      <c r="K897" s="1" t="s">
        <v>2580</v>
      </c>
      <c r="L897" t="s">
        <v>47</v>
      </c>
    </row>
    <row r="898" spans="1:12" ht="14.25" customHeight="1" x14ac:dyDescent="0.25">
      <c r="A898" t="s">
        <v>2554</v>
      </c>
      <c r="B898" s="232">
        <v>11</v>
      </c>
      <c r="C898" t="s">
        <v>3206</v>
      </c>
      <c r="D898" t="s">
        <v>2565</v>
      </c>
      <c r="E898" t="s">
        <v>2668</v>
      </c>
      <c r="F898" t="s">
        <v>2553</v>
      </c>
      <c r="G898" s="27">
        <v>42730</v>
      </c>
      <c r="I898" t="s">
        <v>2864</v>
      </c>
      <c r="J898" s="232">
        <v>74</v>
      </c>
      <c r="K898" s="1" t="s">
        <v>2582</v>
      </c>
      <c r="L898" t="s">
        <v>47</v>
      </c>
    </row>
    <row r="899" spans="1:12" ht="14.25" customHeight="1" x14ac:dyDescent="0.25">
      <c r="A899" t="s">
        <v>2554</v>
      </c>
      <c r="B899" s="232">
        <v>11</v>
      </c>
      <c r="C899" t="s">
        <v>3206</v>
      </c>
      <c r="D899" t="s">
        <v>2565</v>
      </c>
      <c r="E899" t="s">
        <v>2668</v>
      </c>
      <c r="F899" t="s">
        <v>2553</v>
      </c>
      <c r="G899" s="27">
        <v>42730</v>
      </c>
      <c r="I899" t="s">
        <v>2865</v>
      </c>
      <c r="J899" s="232">
        <v>75</v>
      </c>
      <c r="K899" s="1" t="s">
        <v>2583</v>
      </c>
      <c r="L899" t="s">
        <v>47</v>
      </c>
    </row>
    <row r="900" spans="1:12" ht="14.25" customHeight="1" x14ac:dyDescent="0.25">
      <c r="A900" t="s">
        <v>2554</v>
      </c>
      <c r="B900" s="232">
        <v>11</v>
      </c>
      <c r="C900" t="s">
        <v>3206</v>
      </c>
      <c r="D900" t="s">
        <v>2565</v>
      </c>
      <c r="E900" t="s">
        <v>2668</v>
      </c>
      <c r="F900" t="s">
        <v>2553</v>
      </c>
      <c r="G900" s="27">
        <v>42730</v>
      </c>
      <c r="I900" t="s">
        <v>2866</v>
      </c>
      <c r="J900" s="232">
        <v>76</v>
      </c>
      <c r="K900" s="1" t="s">
        <v>2584</v>
      </c>
      <c r="L900" t="s">
        <v>47</v>
      </c>
    </row>
    <row r="901" spans="1:12" ht="14.25" customHeight="1" x14ac:dyDescent="0.25">
      <c r="A901" t="s">
        <v>2554</v>
      </c>
      <c r="B901" s="232">
        <v>11</v>
      </c>
      <c r="C901" t="s">
        <v>3206</v>
      </c>
      <c r="D901" t="s">
        <v>2565</v>
      </c>
      <c r="E901" t="s">
        <v>2668</v>
      </c>
      <c r="F901" t="s">
        <v>2553</v>
      </c>
      <c r="G901" s="27">
        <v>42730</v>
      </c>
      <c r="I901" t="s">
        <v>2872</v>
      </c>
      <c r="J901" s="232">
        <v>77</v>
      </c>
      <c r="K901" s="1" t="s">
        <v>2585</v>
      </c>
      <c r="L901" t="s">
        <v>47</v>
      </c>
    </row>
    <row r="902" spans="1:12" ht="14.25" customHeight="1" x14ac:dyDescent="0.25">
      <c r="A902" t="s">
        <v>2554</v>
      </c>
      <c r="B902" s="232">
        <v>11</v>
      </c>
      <c r="C902" t="s">
        <v>3206</v>
      </c>
      <c r="D902" t="s">
        <v>2565</v>
      </c>
      <c r="E902" t="s">
        <v>2668</v>
      </c>
      <c r="F902" t="s">
        <v>2553</v>
      </c>
      <c r="G902" s="27">
        <v>42730</v>
      </c>
      <c r="I902" t="s">
        <v>2874</v>
      </c>
      <c r="J902" s="232">
        <v>78</v>
      </c>
      <c r="K902" s="1" t="s">
        <v>2586</v>
      </c>
      <c r="L902" t="s">
        <v>47</v>
      </c>
    </row>
    <row r="903" spans="1:12" ht="14.25" customHeight="1" x14ac:dyDescent="0.25">
      <c r="A903" t="s">
        <v>2554</v>
      </c>
      <c r="B903" s="232">
        <v>11</v>
      </c>
      <c r="C903" t="s">
        <v>3206</v>
      </c>
      <c r="D903" t="s">
        <v>2565</v>
      </c>
      <c r="E903" t="s">
        <v>2668</v>
      </c>
      <c r="F903" t="s">
        <v>2553</v>
      </c>
      <c r="G903" s="27">
        <v>42730</v>
      </c>
      <c r="I903" t="s">
        <v>3218</v>
      </c>
      <c r="J903" s="232">
        <v>79</v>
      </c>
      <c r="K903" s="1" t="s">
        <v>2886</v>
      </c>
      <c r="L903" t="s">
        <v>47</v>
      </c>
    </row>
    <row r="904" spans="1:12" ht="14.25" customHeight="1" x14ac:dyDescent="0.25">
      <c r="A904" t="s">
        <v>2554</v>
      </c>
      <c r="B904" s="232">
        <v>11</v>
      </c>
      <c r="C904" t="s">
        <v>3206</v>
      </c>
      <c r="D904" t="s">
        <v>2565</v>
      </c>
      <c r="E904" t="s">
        <v>2668</v>
      </c>
      <c r="F904" t="s">
        <v>2553</v>
      </c>
      <c r="G904" s="27">
        <v>42730</v>
      </c>
      <c r="I904" t="s">
        <v>3219</v>
      </c>
      <c r="J904" s="232">
        <v>80</v>
      </c>
      <c r="K904" s="1" t="s">
        <v>2589</v>
      </c>
      <c r="L904" t="s">
        <v>47</v>
      </c>
    </row>
    <row r="905" spans="1:12" x14ac:dyDescent="0.25">
      <c r="A905" t="s">
        <v>2554</v>
      </c>
      <c r="B905" s="232">
        <v>11</v>
      </c>
      <c r="C905" t="s">
        <v>3206</v>
      </c>
      <c r="D905" t="s">
        <v>2565</v>
      </c>
      <c r="E905" t="s">
        <v>2668</v>
      </c>
      <c r="F905" t="s">
        <v>2553</v>
      </c>
      <c r="G905" s="27">
        <v>42730</v>
      </c>
      <c r="I905" t="s">
        <v>3220</v>
      </c>
      <c r="J905" s="232">
        <v>81</v>
      </c>
      <c r="K905" s="1" t="s">
        <v>2590</v>
      </c>
      <c r="L905" t="s">
        <v>47</v>
      </c>
    </row>
    <row r="906" spans="1:12" x14ac:dyDescent="0.25">
      <c r="A906" t="s">
        <v>2554</v>
      </c>
      <c r="B906" s="232">
        <v>11</v>
      </c>
      <c r="C906" t="s">
        <v>3206</v>
      </c>
      <c r="D906" t="s">
        <v>2565</v>
      </c>
      <c r="E906" t="s">
        <v>2668</v>
      </c>
      <c r="F906" t="s">
        <v>2553</v>
      </c>
      <c r="G906" s="27">
        <v>42730</v>
      </c>
      <c r="I906" t="s">
        <v>3221</v>
      </c>
      <c r="J906" s="232">
        <v>82</v>
      </c>
      <c r="K906" s="1" t="s">
        <v>2800</v>
      </c>
      <c r="L906" t="s">
        <v>47</v>
      </c>
    </row>
    <row r="907" spans="1:12" ht="17.25" customHeight="1" x14ac:dyDescent="0.25">
      <c r="A907" t="s">
        <v>2554</v>
      </c>
      <c r="B907" s="232">
        <v>11</v>
      </c>
      <c r="C907" t="s">
        <v>3206</v>
      </c>
      <c r="D907" t="s">
        <v>2565</v>
      </c>
      <c r="E907" t="s">
        <v>2668</v>
      </c>
      <c r="F907" t="s">
        <v>2553</v>
      </c>
      <c r="G907" s="27">
        <v>42730</v>
      </c>
      <c r="I907" t="s">
        <v>3222</v>
      </c>
      <c r="J907" s="232">
        <v>83</v>
      </c>
      <c r="K907" s="1" t="s">
        <v>2801</v>
      </c>
      <c r="L907" t="s">
        <v>47</v>
      </c>
    </row>
    <row r="908" spans="1:12" x14ac:dyDescent="0.25">
      <c r="A908" t="s">
        <v>2554</v>
      </c>
      <c r="B908" s="232">
        <v>11</v>
      </c>
      <c r="C908" t="s">
        <v>3206</v>
      </c>
      <c r="D908" t="s">
        <v>2565</v>
      </c>
      <c r="E908" t="s">
        <v>2668</v>
      </c>
      <c r="F908" t="s">
        <v>2553</v>
      </c>
      <c r="G908" s="27">
        <v>42730</v>
      </c>
      <c r="I908" t="s">
        <v>3223</v>
      </c>
      <c r="J908" s="232">
        <v>84</v>
      </c>
      <c r="K908" s="1" t="s">
        <v>3224</v>
      </c>
      <c r="L908" t="s">
        <v>1968</v>
      </c>
    </row>
    <row r="909" spans="1:12" ht="60" x14ac:dyDescent="0.25">
      <c r="A909" t="s">
        <v>2554</v>
      </c>
      <c r="B909" s="232">
        <v>12</v>
      </c>
      <c r="C909" t="s">
        <v>3206</v>
      </c>
      <c r="D909" t="s">
        <v>2565</v>
      </c>
      <c r="E909" s="50" t="s">
        <v>2802</v>
      </c>
      <c r="F909" t="s">
        <v>2553</v>
      </c>
      <c r="G909" s="27">
        <v>42730</v>
      </c>
      <c r="I909">
        <v>1</v>
      </c>
      <c r="J909" s="232">
        <v>85</v>
      </c>
      <c r="K909" s="1" t="s">
        <v>3029</v>
      </c>
      <c r="L909" t="s">
        <v>47</v>
      </c>
    </row>
    <row r="910" spans="1:12" ht="60" x14ac:dyDescent="0.25">
      <c r="A910" t="s">
        <v>2554</v>
      </c>
      <c r="B910" s="232">
        <v>12</v>
      </c>
      <c r="C910" t="s">
        <v>3206</v>
      </c>
      <c r="D910" t="s">
        <v>2565</v>
      </c>
      <c r="E910" s="50" t="s">
        <v>2802</v>
      </c>
      <c r="F910" t="s">
        <v>2553</v>
      </c>
      <c r="G910" s="27">
        <v>42730</v>
      </c>
      <c r="I910" s="229" t="s">
        <v>2607</v>
      </c>
      <c r="J910" s="232">
        <v>86</v>
      </c>
      <c r="K910" s="1" t="s">
        <v>3030</v>
      </c>
      <c r="L910" t="s">
        <v>47</v>
      </c>
    </row>
    <row r="911" spans="1:12" ht="60" x14ac:dyDescent="0.25">
      <c r="A911" t="s">
        <v>2554</v>
      </c>
      <c r="B911" s="232">
        <v>12</v>
      </c>
      <c r="C911" t="s">
        <v>3206</v>
      </c>
      <c r="D911" t="s">
        <v>2565</v>
      </c>
      <c r="E911" s="50" t="s">
        <v>2802</v>
      </c>
      <c r="F911" t="s">
        <v>2553</v>
      </c>
      <c r="G911" s="27">
        <v>42730</v>
      </c>
      <c r="I911" t="s">
        <v>2729</v>
      </c>
      <c r="J911" s="232">
        <v>87</v>
      </c>
      <c r="K911" s="1" t="s">
        <v>3031</v>
      </c>
      <c r="L911" t="s">
        <v>47</v>
      </c>
    </row>
    <row r="912" spans="1:12" ht="60" x14ac:dyDescent="0.25">
      <c r="A912" t="s">
        <v>2554</v>
      </c>
      <c r="B912" s="232">
        <v>12</v>
      </c>
      <c r="C912" t="s">
        <v>3206</v>
      </c>
      <c r="D912" t="s">
        <v>2565</v>
      </c>
      <c r="E912" s="50" t="s">
        <v>2802</v>
      </c>
      <c r="F912" t="s">
        <v>2553</v>
      </c>
      <c r="G912" s="27">
        <v>42730</v>
      </c>
      <c r="I912" t="s">
        <v>2730</v>
      </c>
      <c r="J912" s="232">
        <v>88</v>
      </c>
      <c r="K912" s="1" t="s">
        <v>3032</v>
      </c>
      <c r="L912" t="s">
        <v>47</v>
      </c>
    </row>
    <row r="913" spans="1:12" ht="15" customHeight="1" x14ac:dyDescent="0.25">
      <c r="A913" t="s">
        <v>2554</v>
      </c>
      <c r="B913" s="232">
        <v>12</v>
      </c>
      <c r="C913" t="s">
        <v>3206</v>
      </c>
      <c r="D913" t="s">
        <v>2565</v>
      </c>
      <c r="E913" s="50" t="s">
        <v>2802</v>
      </c>
      <c r="F913" t="s">
        <v>2553</v>
      </c>
      <c r="G913" s="27">
        <v>42730</v>
      </c>
      <c r="I913" t="s">
        <v>2732</v>
      </c>
      <c r="J913" s="232">
        <v>89</v>
      </c>
      <c r="K913" s="1" t="s">
        <v>2920</v>
      </c>
      <c r="L913" t="s">
        <v>47</v>
      </c>
    </row>
    <row r="914" spans="1:12" ht="60" x14ac:dyDescent="0.25">
      <c r="A914" t="s">
        <v>2554</v>
      </c>
      <c r="B914" s="232">
        <v>12</v>
      </c>
      <c r="C914" t="s">
        <v>3206</v>
      </c>
      <c r="D914" t="s">
        <v>2565</v>
      </c>
      <c r="E914" s="50" t="s">
        <v>2802</v>
      </c>
      <c r="F914" t="s">
        <v>2553</v>
      </c>
      <c r="G914" s="27">
        <v>42730</v>
      </c>
      <c r="I914">
        <v>3</v>
      </c>
      <c r="J914" s="232">
        <v>90</v>
      </c>
      <c r="L914" t="s">
        <v>47</v>
      </c>
    </row>
    <row r="915" spans="1:12" ht="60" x14ac:dyDescent="0.25">
      <c r="A915" t="s">
        <v>2554</v>
      </c>
      <c r="B915" s="232">
        <v>13</v>
      </c>
      <c r="C915" t="s">
        <v>3206</v>
      </c>
      <c r="D915" t="s">
        <v>2565</v>
      </c>
      <c r="E915" s="50" t="s">
        <v>2802</v>
      </c>
      <c r="F915" t="s">
        <v>2553</v>
      </c>
      <c r="G915" s="27">
        <v>42730</v>
      </c>
      <c r="I915">
        <v>4</v>
      </c>
      <c r="J915" s="232">
        <v>91</v>
      </c>
      <c r="K915" s="1" t="s">
        <v>2602</v>
      </c>
      <c r="L915" t="s">
        <v>47</v>
      </c>
    </row>
    <row r="916" spans="1:12" x14ac:dyDescent="0.25">
      <c r="A916" t="s">
        <v>3570</v>
      </c>
      <c r="B916" s="232">
        <v>1</v>
      </c>
      <c r="C916" t="s">
        <v>2812</v>
      </c>
      <c r="D916" t="s">
        <v>2565</v>
      </c>
      <c r="E916" s="50" t="s">
        <v>3571</v>
      </c>
      <c r="F916" t="s">
        <v>2553</v>
      </c>
      <c r="G916" s="27">
        <v>42877</v>
      </c>
      <c r="H916" s="27">
        <v>42877</v>
      </c>
      <c r="I916">
        <v>1.1000000000000001</v>
      </c>
      <c r="J916">
        <v>1</v>
      </c>
      <c r="K916" s="1" t="s">
        <v>3572</v>
      </c>
      <c r="L916" t="s">
        <v>47</v>
      </c>
    </row>
    <row r="917" spans="1:12" x14ac:dyDescent="0.25">
      <c r="A917" t="s">
        <v>3570</v>
      </c>
      <c r="B917" s="232">
        <v>2</v>
      </c>
      <c r="C917" t="s">
        <v>2812</v>
      </c>
      <c r="D917" t="s">
        <v>2565</v>
      </c>
      <c r="E917" s="50" t="s">
        <v>2604</v>
      </c>
      <c r="F917" t="s">
        <v>2553</v>
      </c>
      <c r="G917" s="27">
        <v>42877</v>
      </c>
      <c r="H917" s="27">
        <v>42877</v>
      </c>
      <c r="I917">
        <v>2.1</v>
      </c>
      <c r="J917">
        <v>2</v>
      </c>
      <c r="K917" s="1" t="s">
        <v>3573</v>
      </c>
      <c r="L917" t="s">
        <v>47</v>
      </c>
    </row>
    <row r="918" spans="1:12" x14ac:dyDescent="0.25">
      <c r="A918" t="s">
        <v>3570</v>
      </c>
      <c r="B918" s="232">
        <v>2</v>
      </c>
      <c r="C918" t="s">
        <v>2812</v>
      </c>
      <c r="D918" t="s">
        <v>2565</v>
      </c>
      <c r="E918" s="50" t="s">
        <v>2604</v>
      </c>
      <c r="F918" t="s">
        <v>2553</v>
      </c>
      <c r="G918" s="27">
        <v>42877</v>
      </c>
      <c r="H918" s="27">
        <v>42877</v>
      </c>
      <c r="I918">
        <v>2.2000000000000002</v>
      </c>
      <c r="J918">
        <v>3</v>
      </c>
      <c r="K918" s="250" t="s">
        <v>2611</v>
      </c>
      <c r="L918" t="s">
        <v>47</v>
      </c>
    </row>
    <row r="919" spans="1:12" x14ac:dyDescent="0.25">
      <c r="A919" t="s">
        <v>3570</v>
      </c>
      <c r="B919" s="232">
        <v>3</v>
      </c>
      <c r="C919" t="s">
        <v>2812</v>
      </c>
      <c r="D919" t="s">
        <v>2565</v>
      </c>
      <c r="E919" s="50" t="s">
        <v>2609</v>
      </c>
      <c r="F919" t="s">
        <v>2553</v>
      </c>
      <c r="G919" s="27">
        <v>42877</v>
      </c>
      <c r="H919" s="27">
        <v>42877</v>
      </c>
      <c r="I919">
        <v>3.1</v>
      </c>
      <c r="J919">
        <v>4</v>
      </c>
      <c r="K919" s="1" t="s">
        <v>3574</v>
      </c>
      <c r="L919" t="s">
        <v>47</v>
      </c>
    </row>
    <row r="920" spans="1:12" ht="20.25" customHeight="1" x14ac:dyDescent="0.25">
      <c r="A920" t="s">
        <v>3570</v>
      </c>
      <c r="B920" s="232">
        <v>3</v>
      </c>
      <c r="C920" t="s">
        <v>2812</v>
      </c>
      <c r="D920" t="s">
        <v>2565</v>
      </c>
      <c r="E920" s="50" t="s">
        <v>2609</v>
      </c>
      <c r="F920" t="s">
        <v>2553</v>
      </c>
      <c r="G920" s="27">
        <v>42877</v>
      </c>
      <c r="H920" s="27">
        <v>42877</v>
      </c>
      <c r="I920">
        <v>3.2</v>
      </c>
      <c r="J920">
        <v>5</v>
      </c>
      <c r="K920" s="1" t="s">
        <v>3575</v>
      </c>
      <c r="L920" t="s">
        <v>47</v>
      </c>
    </row>
    <row r="921" spans="1:12" ht="17.25" customHeight="1" x14ac:dyDescent="0.25">
      <c r="A921" t="s">
        <v>3570</v>
      </c>
      <c r="B921" s="232">
        <v>3</v>
      </c>
      <c r="C921" t="s">
        <v>2812</v>
      </c>
      <c r="D921" t="s">
        <v>2565</v>
      </c>
      <c r="E921" s="50" t="s">
        <v>2609</v>
      </c>
      <c r="F921" t="s">
        <v>2553</v>
      </c>
      <c r="G921" s="27">
        <v>42877</v>
      </c>
      <c r="H921" s="27">
        <v>42877</v>
      </c>
      <c r="I921">
        <v>3.3</v>
      </c>
      <c r="J921">
        <v>6</v>
      </c>
      <c r="K921" s="1" t="s">
        <v>3576</v>
      </c>
      <c r="L921" t="s">
        <v>47</v>
      </c>
    </row>
    <row r="922" spans="1:12" x14ac:dyDescent="0.25">
      <c r="A922" t="s">
        <v>3570</v>
      </c>
      <c r="B922" s="232">
        <v>3</v>
      </c>
      <c r="C922" t="s">
        <v>2812</v>
      </c>
      <c r="D922" t="s">
        <v>2565</v>
      </c>
      <c r="E922" s="50" t="s">
        <v>2609</v>
      </c>
      <c r="F922" t="s">
        <v>2553</v>
      </c>
      <c r="G922" s="27">
        <v>42877</v>
      </c>
      <c r="H922" s="27">
        <v>42877</v>
      </c>
      <c r="I922">
        <v>3.4</v>
      </c>
      <c r="J922">
        <v>7</v>
      </c>
      <c r="K922" s="1" t="s">
        <v>3578</v>
      </c>
      <c r="L922" t="s">
        <v>47</v>
      </c>
    </row>
    <row r="923" spans="1:12" x14ac:dyDescent="0.25">
      <c r="A923" t="s">
        <v>3570</v>
      </c>
      <c r="B923" s="232">
        <v>3</v>
      </c>
      <c r="C923" t="s">
        <v>2812</v>
      </c>
      <c r="D923" t="s">
        <v>2565</v>
      </c>
      <c r="E923" s="50" t="s">
        <v>2609</v>
      </c>
      <c r="F923" t="s">
        <v>2553</v>
      </c>
      <c r="G923" s="27">
        <v>42877</v>
      </c>
      <c r="H923" s="27">
        <v>42877</v>
      </c>
      <c r="I923" t="s">
        <v>3577</v>
      </c>
      <c r="J923">
        <v>8</v>
      </c>
      <c r="K923" s="1" t="s">
        <v>3579</v>
      </c>
      <c r="L923" t="s">
        <v>47</v>
      </c>
    </row>
    <row r="924" spans="1:12" x14ac:dyDescent="0.25">
      <c r="A924" t="s">
        <v>3570</v>
      </c>
      <c r="B924" s="232">
        <v>3</v>
      </c>
      <c r="C924" t="s">
        <v>2812</v>
      </c>
      <c r="D924" t="s">
        <v>2565</v>
      </c>
      <c r="E924" s="50" t="s">
        <v>2609</v>
      </c>
      <c r="F924" t="s">
        <v>2553</v>
      </c>
      <c r="G924" s="27">
        <v>42877</v>
      </c>
      <c r="H924" s="27">
        <v>42877</v>
      </c>
      <c r="I924">
        <v>3.5</v>
      </c>
      <c r="J924">
        <v>9</v>
      </c>
      <c r="K924" s="1" t="s">
        <v>2624</v>
      </c>
      <c r="L924" t="s">
        <v>47</v>
      </c>
    </row>
    <row r="925" spans="1:12" x14ac:dyDescent="0.25">
      <c r="A925" t="s">
        <v>3570</v>
      </c>
      <c r="B925" s="232">
        <v>4</v>
      </c>
      <c r="C925" t="s">
        <v>2812</v>
      </c>
      <c r="D925" t="s">
        <v>2565</v>
      </c>
      <c r="E925" s="50" t="s">
        <v>2622</v>
      </c>
      <c r="F925" t="s">
        <v>2553</v>
      </c>
      <c r="G925" s="27">
        <v>42877</v>
      </c>
      <c r="H925" s="27">
        <v>42877</v>
      </c>
      <c r="I925">
        <v>4.0999999999999996</v>
      </c>
      <c r="J925">
        <v>10</v>
      </c>
      <c r="K925" s="1" t="s">
        <v>2626</v>
      </c>
      <c r="L925" t="s">
        <v>47</v>
      </c>
    </row>
    <row r="926" spans="1:12" x14ac:dyDescent="0.25">
      <c r="A926" t="s">
        <v>3570</v>
      </c>
      <c r="B926" s="232">
        <v>4</v>
      </c>
      <c r="C926" t="s">
        <v>2812</v>
      </c>
      <c r="D926" t="s">
        <v>2565</v>
      </c>
      <c r="E926" s="50" t="s">
        <v>2622</v>
      </c>
      <c r="F926" t="s">
        <v>2553</v>
      </c>
      <c r="G926" s="27">
        <v>42877</v>
      </c>
      <c r="H926" s="27">
        <v>42877</v>
      </c>
      <c r="I926" t="s">
        <v>3580</v>
      </c>
      <c r="J926">
        <v>11</v>
      </c>
      <c r="K926" s="1" t="s">
        <v>3581</v>
      </c>
      <c r="L926" t="s">
        <v>47</v>
      </c>
    </row>
    <row r="927" spans="1:12" x14ac:dyDescent="0.25">
      <c r="A927" t="s">
        <v>3570</v>
      </c>
      <c r="B927" s="232">
        <v>4</v>
      </c>
      <c r="C927" t="s">
        <v>2812</v>
      </c>
      <c r="D927" t="s">
        <v>2565</v>
      </c>
      <c r="E927" s="50" t="s">
        <v>2622</v>
      </c>
      <c r="F927" t="s">
        <v>2553</v>
      </c>
      <c r="G927" s="27">
        <v>42877</v>
      </c>
      <c r="H927" s="27">
        <v>42877</v>
      </c>
      <c r="I927">
        <v>4.2</v>
      </c>
      <c r="J927">
        <v>12</v>
      </c>
      <c r="K927" s="1" t="s">
        <v>3582</v>
      </c>
      <c r="L927" t="s">
        <v>47</v>
      </c>
    </row>
    <row r="928" spans="1:12" ht="21.75" customHeight="1" x14ac:dyDescent="0.25">
      <c r="A928" t="s">
        <v>3570</v>
      </c>
      <c r="B928" s="232">
        <v>5</v>
      </c>
      <c r="C928" t="s">
        <v>2812</v>
      </c>
      <c r="D928" t="s">
        <v>2565</v>
      </c>
      <c r="E928" s="50" t="s">
        <v>2629</v>
      </c>
      <c r="F928" t="s">
        <v>2553</v>
      </c>
      <c r="G928" s="27">
        <v>42877</v>
      </c>
      <c r="H928" s="27">
        <v>42877</v>
      </c>
      <c r="I928">
        <v>5.0999999999999996</v>
      </c>
      <c r="J928">
        <v>13</v>
      </c>
      <c r="K928" s="1" t="s">
        <v>3583</v>
      </c>
      <c r="L928" t="s">
        <v>47</v>
      </c>
    </row>
    <row r="929" spans="1:12" ht="195" x14ac:dyDescent="0.25">
      <c r="A929" t="s">
        <v>3570</v>
      </c>
      <c r="B929" s="232">
        <v>5</v>
      </c>
      <c r="C929" t="s">
        <v>2812</v>
      </c>
      <c r="D929" t="s">
        <v>2565</v>
      </c>
      <c r="E929" s="50" t="s">
        <v>2629</v>
      </c>
      <c r="F929" t="s">
        <v>2553</v>
      </c>
      <c r="G929" s="27">
        <v>42877</v>
      </c>
      <c r="H929" s="27">
        <v>42877</v>
      </c>
      <c r="I929">
        <v>5.2</v>
      </c>
      <c r="J929">
        <v>14</v>
      </c>
      <c r="K929" s="247" t="s">
        <v>3584</v>
      </c>
      <c r="L929" t="s">
        <v>47</v>
      </c>
    </row>
    <row r="930" spans="1:12" x14ac:dyDescent="0.25">
      <c r="A930" t="s">
        <v>3570</v>
      </c>
      <c r="B930" s="232">
        <v>5</v>
      </c>
      <c r="C930" t="s">
        <v>2812</v>
      </c>
      <c r="D930" t="s">
        <v>2565</v>
      </c>
      <c r="E930" s="50" t="s">
        <v>2629</v>
      </c>
      <c r="F930" t="s">
        <v>2553</v>
      </c>
      <c r="G930" s="27">
        <v>42877</v>
      </c>
      <c r="H930" s="27">
        <v>42877</v>
      </c>
      <c r="I930">
        <v>5.3</v>
      </c>
      <c r="J930">
        <v>15</v>
      </c>
      <c r="K930" s="1" t="s">
        <v>2639</v>
      </c>
      <c r="L930" t="s">
        <v>47</v>
      </c>
    </row>
    <row r="931" spans="1:12" x14ac:dyDescent="0.25">
      <c r="A931" t="s">
        <v>3570</v>
      </c>
      <c r="B931" s="232">
        <v>5</v>
      </c>
      <c r="C931" t="s">
        <v>2812</v>
      </c>
      <c r="D931" t="s">
        <v>2565</v>
      </c>
      <c r="E931" s="50" t="s">
        <v>2629</v>
      </c>
      <c r="F931" t="s">
        <v>2553</v>
      </c>
      <c r="G931" s="27">
        <v>42877</v>
      </c>
      <c r="H931" s="27">
        <v>42877</v>
      </c>
      <c r="I931">
        <v>5.4</v>
      </c>
      <c r="J931">
        <v>16</v>
      </c>
      <c r="K931" s="1" t="s">
        <v>2641</v>
      </c>
      <c r="L931" t="s">
        <v>47</v>
      </c>
    </row>
    <row r="932" spans="1:12" x14ac:dyDescent="0.25">
      <c r="A932" t="s">
        <v>3570</v>
      </c>
      <c r="B932" s="232">
        <v>5</v>
      </c>
      <c r="C932" t="s">
        <v>2812</v>
      </c>
      <c r="D932" t="s">
        <v>2565</v>
      </c>
      <c r="E932" s="50" t="s">
        <v>2629</v>
      </c>
      <c r="F932" t="s">
        <v>2553</v>
      </c>
      <c r="G932" s="27">
        <v>42877</v>
      </c>
      <c r="H932" s="27">
        <v>42877</v>
      </c>
      <c r="I932" t="s">
        <v>3585</v>
      </c>
      <c r="J932">
        <v>17</v>
      </c>
      <c r="K932" s="1" t="s">
        <v>3586</v>
      </c>
      <c r="L932" t="s">
        <v>47</v>
      </c>
    </row>
    <row r="933" spans="1:12" x14ac:dyDescent="0.25">
      <c r="A933" t="s">
        <v>3570</v>
      </c>
      <c r="B933" s="232">
        <v>6</v>
      </c>
      <c r="C933" t="s">
        <v>2812</v>
      </c>
      <c r="D933" t="s">
        <v>2565</v>
      </c>
      <c r="E933" s="50" t="s">
        <v>2642</v>
      </c>
      <c r="F933" t="s">
        <v>2553</v>
      </c>
      <c r="G933" s="27">
        <v>42877</v>
      </c>
      <c r="H933" s="27">
        <v>42877</v>
      </c>
      <c r="I933" t="s">
        <v>2643</v>
      </c>
      <c r="J933">
        <v>18</v>
      </c>
      <c r="K933" s="1" t="s">
        <v>3587</v>
      </c>
      <c r="L933" t="s">
        <v>47</v>
      </c>
    </row>
    <row r="934" spans="1:12" x14ac:dyDescent="0.25">
      <c r="A934" t="s">
        <v>3570</v>
      </c>
      <c r="B934" s="232">
        <v>6</v>
      </c>
      <c r="C934" t="s">
        <v>2812</v>
      </c>
      <c r="D934" t="s">
        <v>2565</v>
      </c>
      <c r="E934" s="50" t="s">
        <v>2642</v>
      </c>
      <c r="F934" t="s">
        <v>2553</v>
      </c>
      <c r="G934" s="27">
        <v>42877</v>
      </c>
      <c r="H934" s="27">
        <v>42877</v>
      </c>
      <c r="I934" t="s">
        <v>2644</v>
      </c>
      <c r="J934">
        <v>19</v>
      </c>
      <c r="K934" s="1" t="s">
        <v>3588</v>
      </c>
      <c r="L934" t="s">
        <v>47</v>
      </c>
    </row>
    <row r="935" spans="1:12" ht="270" x14ac:dyDescent="0.25">
      <c r="A935" t="s">
        <v>3570</v>
      </c>
      <c r="B935" s="232">
        <v>6</v>
      </c>
      <c r="C935" t="s">
        <v>2812</v>
      </c>
      <c r="D935" t="s">
        <v>2565</v>
      </c>
      <c r="E935" s="50" t="s">
        <v>2642</v>
      </c>
      <c r="F935" t="s">
        <v>2553</v>
      </c>
      <c r="G935" s="27">
        <v>42877</v>
      </c>
      <c r="H935" s="27">
        <v>42877</v>
      </c>
      <c r="I935">
        <v>6.2</v>
      </c>
      <c r="J935">
        <v>20</v>
      </c>
      <c r="K935" s="247" t="s">
        <v>3589</v>
      </c>
      <c r="L935" t="s">
        <v>1968</v>
      </c>
    </row>
    <row r="936" spans="1:12" x14ac:dyDescent="0.25">
      <c r="A936" t="s">
        <v>3570</v>
      </c>
      <c r="B936" s="232">
        <v>6</v>
      </c>
      <c r="C936" t="s">
        <v>2812</v>
      </c>
      <c r="D936" t="s">
        <v>2565</v>
      </c>
      <c r="E936" s="50" t="s">
        <v>2642</v>
      </c>
      <c r="F936" t="s">
        <v>2553</v>
      </c>
      <c r="G936" s="27">
        <v>42877</v>
      </c>
      <c r="H936" s="27">
        <v>42877</v>
      </c>
      <c r="I936">
        <v>6.3</v>
      </c>
      <c r="J936">
        <v>21</v>
      </c>
      <c r="K936" s="1" t="s">
        <v>3590</v>
      </c>
      <c r="L936" t="s">
        <v>1968</v>
      </c>
    </row>
    <row r="937" spans="1:12" x14ac:dyDescent="0.25">
      <c r="A937" t="s">
        <v>3570</v>
      </c>
      <c r="B937" s="232">
        <v>6</v>
      </c>
      <c r="C937" t="s">
        <v>2812</v>
      </c>
      <c r="D937" t="s">
        <v>2565</v>
      </c>
      <c r="E937" s="50" t="s">
        <v>2642</v>
      </c>
      <c r="F937" t="s">
        <v>2553</v>
      </c>
      <c r="G937" s="27">
        <v>42877</v>
      </c>
      <c r="H937" s="27">
        <v>42877</v>
      </c>
      <c r="I937">
        <v>6.4</v>
      </c>
      <c r="J937">
        <v>22</v>
      </c>
      <c r="K937" s="1" t="s">
        <v>3591</v>
      </c>
      <c r="L937" t="s">
        <v>1968</v>
      </c>
    </row>
    <row r="938" spans="1:12" x14ac:dyDescent="0.25">
      <c r="A938" t="s">
        <v>3570</v>
      </c>
      <c r="B938" s="232">
        <v>6</v>
      </c>
      <c r="C938" t="s">
        <v>2812</v>
      </c>
      <c r="D938" t="s">
        <v>2565</v>
      </c>
      <c r="E938" s="50" t="s">
        <v>2642</v>
      </c>
      <c r="F938" t="s">
        <v>2553</v>
      </c>
      <c r="G938" s="27">
        <v>42877</v>
      </c>
      <c r="H938" s="27">
        <v>42877</v>
      </c>
      <c r="I938">
        <v>6.5</v>
      </c>
      <c r="J938">
        <v>23</v>
      </c>
      <c r="K938" s="1" t="s">
        <v>2660</v>
      </c>
      <c r="L938" t="s">
        <v>1968</v>
      </c>
    </row>
    <row r="939" spans="1:12" ht="20.25" customHeight="1" x14ac:dyDescent="0.25">
      <c r="A939" t="s">
        <v>3570</v>
      </c>
      <c r="B939" s="232">
        <v>6</v>
      </c>
      <c r="C939" t="s">
        <v>2812</v>
      </c>
      <c r="D939" t="s">
        <v>2565</v>
      </c>
      <c r="E939" s="50" t="s">
        <v>2642</v>
      </c>
      <c r="F939" t="s">
        <v>2553</v>
      </c>
      <c r="G939" s="27">
        <v>42877</v>
      </c>
      <c r="H939" s="27">
        <v>42877</v>
      </c>
      <c r="I939">
        <v>6.6</v>
      </c>
      <c r="J939">
        <v>24</v>
      </c>
      <c r="K939" s="1" t="s">
        <v>2662</v>
      </c>
      <c r="L939" t="s">
        <v>1968</v>
      </c>
    </row>
    <row r="940" spans="1:12" ht="19.5" customHeight="1" x14ac:dyDescent="0.25">
      <c r="A940" t="s">
        <v>3570</v>
      </c>
      <c r="B940" s="232">
        <v>7</v>
      </c>
      <c r="C940" t="s">
        <v>2812</v>
      </c>
      <c r="D940" t="s">
        <v>2565</v>
      </c>
      <c r="E940" s="50" t="s">
        <v>2642</v>
      </c>
      <c r="F940" t="s">
        <v>2553</v>
      </c>
      <c r="G940" s="27">
        <v>42877</v>
      </c>
      <c r="H940" s="27">
        <v>42877</v>
      </c>
      <c r="I940">
        <v>7.1</v>
      </c>
      <c r="J940">
        <v>25</v>
      </c>
      <c r="K940" s="1" t="s">
        <v>2666</v>
      </c>
      <c r="L940" t="s">
        <v>47</v>
      </c>
    </row>
    <row r="941" spans="1:12" ht="24.75" customHeight="1" x14ac:dyDescent="0.25">
      <c r="A941" t="s">
        <v>3570</v>
      </c>
      <c r="B941" s="232">
        <v>7</v>
      </c>
      <c r="C941" t="s">
        <v>2812</v>
      </c>
      <c r="D941" t="s">
        <v>2565</v>
      </c>
      <c r="E941" s="50" t="s">
        <v>2642</v>
      </c>
      <c r="F941" t="s">
        <v>2553</v>
      </c>
      <c r="G941" s="27">
        <v>42877</v>
      </c>
      <c r="H941" s="27">
        <v>42877</v>
      </c>
      <c r="I941">
        <v>7.2</v>
      </c>
      <c r="J941">
        <v>26</v>
      </c>
      <c r="K941" s="1" t="s">
        <v>2667</v>
      </c>
      <c r="L941" t="s">
        <v>1968</v>
      </c>
    </row>
    <row r="942" spans="1:12" ht="45" x14ac:dyDescent="0.25">
      <c r="A942" t="s">
        <v>3570</v>
      </c>
      <c r="B942" s="232">
        <v>7</v>
      </c>
      <c r="C942" t="s">
        <v>2812</v>
      </c>
      <c r="D942" t="s">
        <v>2565</v>
      </c>
      <c r="E942" s="50" t="s">
        <v>2642</v>
      </c>
      <c r="F942" t="s">
        <v>2553</v>
      </c>
      <c r="G942" s="27">
        <v>42877</v>
      </c>
      <c r="H942" s="27">
        <v>42877</v>
      </c>
      <c r="I942">
        <v>7.3</v>
      </c>
      <c r="J942">
        <v>27</v>
      </c>
      <c r="K942" s="247" t="s">
        <v>3631</v>
      </c>
      <c r="L942" t="s">
        <v>47</v>
      </c>
    </row>
    <row r="943" spans="1:12" ht="75" x14ac:dyDescent="0.25">
      <c r="A943" t="s">
        <v>3570</v>
      </c>
      <c r="B943" s="232">
        <v>8</v>
      </c>
      <c r="C943" t="s">
        <v>2812</v>
      </c>
      <c r="D943" t="s">
        <v>2565</v>
      </c>
      <c r="E943" s="50" t="s">
        <v>2668</v>
      </c>
      <c r="F943" t="s">
        <v>2553</v>
      </c>
      <c r="G943" s="27">
        <v>42877</v>
      </c>
      <c r="H943" s="27">
        <v>42877</v>
      </c>
      <c r="I943">
        <v>8.1</v>
      </c>
      <c r="J943">
        <v>28</v>
      </c>
      <c r="K943" s="247" t="s">
        <v>3632</v>
      </c>
      <c r="L943" t="s">
        <v>47</v>
      </c>
    </row>
    <row r="944" spans="1:12" x14ac:dyDescent="0.25">
      <c r="A944" t="s">
        <v>3570</v>
      </c>
      <c r="B944" s="232">
        <v>8</v>
      </c>
      <c r="C944" t="s">
        <v>2812</v>
      </c>
      <c r="D944" t="s">
        <v>2565</v>
      </c>
      <c r="E944" s="50" t="s">
        <v>2668</v>
      </c>
      <c r="F944" t="s">
        <v>2553</v>
      </c>
      <c r="G944" s="27">
        <v>42877</v>
      </c>
      <c r="H944" s="27">
        <v>42877</v>
      </c>
      <c r="I944" t="s">
        <v>3633</v>
      </c>
      <c r="J944">
        <v>29</v>
      </c>
      <c r="K944" s="247" t="s">
        <v>2682</v>
      </c>
      <c r="L944" t="s">
        <v>47</v>
      </c>
    </row>
    <row r="945" spans="1:12" ht="30" x14ac:dyDescent="0.25">
      <c r="A945" t="s">
        <v>3570</v>
      </c>
      <c r="B945" s="232">
        <v>8</v>
      </c>
      <c r="C945" t="s">
        <v>2812</v>
      </c>
      <c r="D945" t="s">
        <v>2565</v>
      </c>
      <c r="E945" s="50" t="s">
        <v>2668</v>
      </c>
      <c r="F945" t="s">
        <v>2553</v>
      </c>
      <c r="G945" s="27">
        <v>42877</v>
      </c>
      <c r="H945" s="27">
        <v>42877</v>
      </c>
      <c r="I945">
        <v>8.1999999999999993</v>
      </c>
      <c r="J945">
        <v>30</v>
      </c>
      <c r="K945" s="247" t="s">
        <v>2684</v>
      </c>
      <c r="L945" t="s">
        <v>47</v>
      </c>
    </row>
    <row r="946" spans="1:12" x14ac:dyDescent="0.25">
      <c r="A946" t="s">
        <v>3570</v>
      </c>
      <c r="B946" s="232">
        <v>8</v>
      </c>
      <c r="C946" t="s">
        <v>2812</v>
      </c>
      <c r="D946" t="s">
        <v>2565</v>
      </c>
      <c r="E946" s="50" t="s">
        <v>2668</v>
      </c>
      <c r="F946" t="s">
        <v>2553</v>
      </c>
      <c r="G946" s="27">
        <v>42877</v>
      </c>
      <c r="H946" s="27">
        <v>42877</v>
      </c>
      <c r="I946">
        <v>8.3000000000000007</v>
      </c>
      <c r="J946">
        <v>31</v>
      </c>
      <c r="K946" s="1" t="s">
        <v>3634</v>
      </c>
      <c r="L946" t="s">
        <v>47</v>
      </c>
    </row>
    <row r="947" spans="1:12" x14ac:dyDescent="0.25">
      <c r="A947" t="s">
        <v>3570</v>
      </c>
      <c r="B947" s="232">
        <v>8</v>
      </c>
      <c r="C947" t="s">
        <v>2812</v>
      </c>
      <c r="D947" t="s">
        <v>2565</v>
      </c>
      <c r="E947" s="50" t="s">
        <v>2668</v>
      </c>
      <c r="F947" t="s">
        <v>2553</v>
      </c>
      <c r="G947" s="27">
        <v>42877</v>
      </c>
      <c r="H947" s="27">
        <v>42877</v>
      </c>
      <c r="I947">
        <v>8.4</v>
      </c>
      <c r="J947">
        <v>32</v>
      </c>
      <c r="K947" s="1" t="s">
        <v>2688</v>
      </c>
      <c r="L947" t="s">
        <v>47</v>
      </c>
    </row>
    <row r="948" spans="1:12" x14ac:dyDescent="0.25">
      <c r="A948" t="s">
        <v>3570</v>
      </c>
      <c r="B948" s="232">
        <v>8</v>
      </c>
      <c r="C948" t="s">
        <v>2812</v>
      </c>
      <c r="D948" t="s">
        <v>2565</v>
      </c>
      <c r="E948" s="50" t="s">
        <v>2668</v>
      </c>
      <c r="F948" t="s">
        <v>2553</v>
      </c>
      <c r="G948" s="27">
        <v>42877</v>
      </c>
      <c r="H948" s="27">
        <v>42877</v>
      </c>
      <c r="I948">
        <v>8.5</v>
      </c>
      <c r="J948">
        <v>33</v>
      </c>
      <c r="K948" s="1" t="s">
        <v>3635</v>
      </c>
      <c r="L948" t="s">
        <v>47</v>
      </c>
    </row>
    <row r="949" spans="1:12" ht="30" x14ac:dyDescent="0.25">
      <c r="A949" t="s">
        <v>3570</v>
      </c>
      <c r="B949" s="232">
        <v>8</v>
      </c>
      <c r="C949" t="s">
        <v>2812</v>
      </c>
      <c r="D949" t="s">
        <v>2565</v>
      </c>
      <c r="E949" s="50" t="s">
        <v>2668</v>
      </c>
      <c r="F949" t="s">
        <v>2553</v>
      </c>
      <c r="G949" s="27">
        <v>42877</v>
      </c>
      <c r="H949" s="27">
        <v>42877</v>
      </c>
      <c r="I949">
        <v>8.6</v>
      </c>
      <c r="J949">
        <v>34</v>
      </c>
      <c r="K949" s="247" t="s">
        <v>3638</v>
      </c>
      <c r="L949" t="s">
        <v>1968</v>
      </c>
    </row>
    <row r="950" spans="1:12" ht="45" x14ac:dyDescent="0.25">
      <c r="A950" t="s">
        <v>3570</v>
      </c>
      <c r="B950" s="232">
        <v>8</v>
      </c>
      <c r="C950" t="s">
        <v>2812</v>
      </c>
      <c r="D950" t="s">
        <v>2565</v>
      </c>
      <c r="E950" s="50" t="s">
        <v>2668</v>
      </c>
      <c r="F950" t="s">
        <v>2553</v>
      </c>
      <c r="G950" s="27">
        <v>42877</v>
      </c>
      <c r="H950" s="27">
        <v>42877</v>
      </c>
      <c r="I950">
        <v>8.6999999999999993</v>
      </c>
      <c r="J950">
        <v>35</v>
      </c>
      <c r="K950" s="247" t="s">
        <v>2693</v>
      </c>
      <c r="L950" t="s">
        <v>47</v>
      </c>
    </row>
    <row r="951" spans="1:12" x14ac:dyDescent="0.25">
      <c r="A951" t="s">
        <v>3570</v>
      </c>
      <c r="B951" s="232">
        <v>8</v>
      </c>
      <c r="C951" t="s">
        <v>2812</v>
      </c>
      <c r="D951" t="s">
        <v>2565</v>
      </c>
      <c r="E951" s="50" t="s">
        <v>2668</v>
      </c>
      <c r="F951" t="s">
        <v>2553</v>
      </c>
      <c r="G951" s="27">
        <v>42877</v>
      </c>
      <c r="H951" s="27">
        <v>42877</v>
      </c>
      <c r="I951">
        <v>8.8000000000000007</v>
      </c>
      <c r="J951">
        <v>36</v>
      </c>
      <c r="K951" s="1" t="s">
        <v>3636</v>
      </c>
      <c r="L951" t="s">
        <v>47</v>
      </c>
    </row>
    <row r="952" spans="1:12" x14ac:dyDescent="0.25">
      <c r="A952" t="s">
        <v>3570</v>
      </c>
      <c r="B952" s="232">
        <v>8</v>
      </c>
      <c r="C952" t="s">
        <v>2812</v>
      </c>
      <c r="D952" t="s">
        <v>2565</v>
      </c>
      <c r="E952" s="50" t="s">
        <v>2668</v>
      </c>
      <c r="F952" t="s">
        <v>2553</v>
      </c>
      <c r="G952" s="27">
        <v>42877</v>
      </c>
      <c r="H952" s="27">
        <v>42877</v>
      </c>
      <c r="I952">
        <v>8.9</v>
      </c>
      <c r="J952">
        <v>37</v>
      </c>
      <c r="K952" s="1" t="s">
        <v>2697</v>
      </c>
      <c r="L952" t="s">
        <v>47</v>
      </c>
    </row>
    <row r="953" spans="1:12" ht="15" customHeight="1" x14ac:dyDescent="0.25">
      <c r="A953" t="s">
        <v>3570</v>
      </c>
      <c r="B953" s="232">
        <v>8</v>
      </c>
      <c r="C953" t="s">
        <v>2812</v>
      </c>
      <c r="D953" t="s">
        <v>2565</v>
      </c>
      <c r="E953" s="50" t="s">
        <v>2668</v>
      </c>
      <c r="F953" t="s">
        <v>2553</v>
      </c>
      <c r="G953" s="27">
        <v>42877</v>
      </c>
      <c r="H953" s="27">
        <v>42877</v>
      </c>
      <c r="I953" t="s">
        <v>2692</v>
      </c>
      <c r="J953">
        <v>38</v>
      </c>
      <c r="K953" s="1" t="s">
        <v>3637</v>
      </c>
      <c r="L953" t="s">
        <v>47</v>
      </c>
    </row>
    <row r="954" spans="1:12" ht="15" customHeight="1" x14ac:dyDescent="0.25">
      <c r="A954" t="s">
        <v>3570</v>
      </c>
      <c r="B954" s="232">
        <v>8</v>
      </c>
      <c r="C954" t="s">
        <v>2812</v>
      </c>
      <c r="D954" t="s">
        <v>2565</v>
      </c>
      <c r="E954" s="50" t="s">
        <v>2668</v>
      </c>
      <c r="F954" t="s">
        <v>2553</v>
      </c>
      <c r="G954" s="27">
        <v>42877</v>
      </c>
      <c r="H954" s="27">
        <v>42877</v>
      </c>
      <c r="I954" t="s">
        <v>2694</v>
      </c>
      <c r="J954">
        <v>39</v>
      </c>
      <c r="K954" s="1" t="s">
        <v>3641</v>
      </c>
      <c r="L954" t="s">
        <v>47</v>
      </c>
    </row>
    <row r="955" spans="1:12" ht="15" customHeight="1" x14ac:dyDescent="0.25">
      <c r="A955" t="s">
        <v>3570</v>
      </c>
      <c r="B955" s="232">
        <v>8</v>
      </c>
      <c r="C955" t="s">
        <v>2812</v>
      </c>
      <c r="D955" t="s">
        <v>2565</v>
      </c>
      <c r="E955" s="50" t="s">
        <v>3639</v>
      </c>
      <c r="F955" t="s">
        <v>2553</v>
      </c>
      <c r="G955" s="27">
        <v>42877</v>
      </c>
      <c r="H955" s="27">
        <v>42877</v>
      </c>
      <c r="I955">
        <v>1</v>
      </c>
      <c r="J955" s="232">
        <v>40</v>
      </c>
      <c r="K955" s="1" t="s">
        <v>3642</v>
      </c>
      <c r="L955" t="s">
        <v>1968</v>
      </c>
    </row>
    <row r="956" spans="1:12" ht="15" customHeight="1" x14ac:dyDescent="0.25">
      <c r="A956" t="s">
        <v>3570</v>
      </c>
      <c r="B956" s="232">
        <v>8</v>
      </c>
      <c r="C956" t="s">
        <v>2812</v>
      </c>
      <c r="D956" t="s">
        <v>2565</v>
      </c>
      <c r="E956" s="50" t="s">
        <v>3640</v>
      </c>
      <c r="F956" t="s">
        <v>2553</v>
      </c>
      <c r="G956" s="27">
        <v>42877</v>
      </c>
      <c r="H956" s="27">
        <v>42877</v>
      </c>
      <c r="I956">
        <v>1</v>
      </c>
      <c r="J956" s="232">
        <v>41</v>
      </c>
      <c r="K956" s="1" t="s">
        <v>3643</v>
      </c>
      <c r="L956" t="s">
        <v>1968</v>
      </c>
    </row>
    <row r="957" spans="1:12" ht="15" customHeight="1" x14ac:dyDescent="0.25">
      <c r="A957" t="s">
        <v>3570</v>
      </c>
      <c r="B957" s="232">
        <v>8</v>
      </c>
      <c r="C957" t="s">
        <v>2812</v>
      </c>
      <c r="D957" t="s">
        <v>2565</v>
      </c>
      <c r="E957" s="50" t="s">
        <v>3640</v>
      </c>
      <c r="F957" t="s">
        <v>2553</v>
      </c>
      <c r="G957" s="27">
        <v>42877</v>
      </c>
      <c r="H957" s="27">
        <v>42877</v>
      </c>
      <c r="I957" t="s">
        <v>2605</v>
      </c>
      <c r="J957" s="232">
        <v>42</v>
      </c>
      <c r="K957" s="1" t="s">
        <v>3644</v>
      </c>
      <c r="L957" t="s">
        <v>1968</v>
      </c>
    </row>
    <row r="958" spans="1:12" ht="15" customHeight="1" x14ac:dyDescent="0.25">
      <c r="A958" t="s">
        <v>3570</v>
      </c>
      <c r="B958" s="232">
        <v>8</v>
      </c>
      <c r="C958" t="s">
        <v>2812</v>
      </c>
      <c r="D958" t="s">
        <v>2565</v>
      </c>
      <c r="E958" s="50" t="s">
        <v>3640</v>
      </c>
      <c r="F958" t="s">
        <v>2553</v>
      </c>
      <c r="G958" s="27">
        <v>42877</v>
      </c>
      <c r="H958" s="27">
        <v>42877</v>
      </c>
      <c r="I958" t="s">
        <v>2607</v>
      </c>
      <c r="J958" s="232">
        <v>43</v>
      </c>
      <c r="K958" s="1" t="s">
        <v>3645</v>
      </c>
      <c r="L958" t="s">
        <v>47</v>
      </c>
    </row>
    <row r="959" spans="1:12" ht="15" customHeight="1" x14ac:dyDescent="0.25">
      <c r="A959" t="s">
        <v>3570</v>
      </c>
      <c r="B959" s="232">
        <v>8</v>
      </c>
      <c r="C959" t="s">
        <v>2812</v>
      </c>
      <c r="D959" t="s">
        <v>2565</v>
      </c>
      <c r="E959" s="50" t="s">
        <v>3640</v>
      </c>
      <c r="F959" t="s">
        <v>2553</v>
      </c>
      <c r="G959" s="27">
        <v>42877</v>
      </c>
      <c r="H959" s="27">
        <v>42877</v>
      </c>
      <c r="I959" t="s">
        <v>2729</v>
      </c>
      <c r="J959" s="232">
        <v>44</v>
      </c>
      <c r="K959" s="247" t="s">
        <v>3647</v>
      </c>
      <c r="L959" t="s">
        <v>47</v>
      </c>
    </row>
    <row r="960" spans="1:12" ht="15" customHeight="1" x14ac:dyDescent="0.25">
      <c r="A960" t="s">
        <v>3570</v>
      </c>
      <c r="B960" s="232">
        <v>8</v>
      </c>
      <c r="C960" t="s">
        <v>2812</v>
      </c>
      <c r="D960" t="s">
        <v>2565</v>
      </c>
      <c r="E960" s="50" t="s">
        <v>3640</v>
      </c>
      <c r="F960" t="s">
        <v>2553</v>
      </c>
      <c r="G960" s="27">
        <v>42877</v>
      </c>
      <c r="H960" s="27">
        <v>42877</v>
      </c>
      <c r="I960" t="s">
        <v>3646</v>
      </c>
      <c r="J960" s="232">
        <v>45</v>
      </c>
      <c r="K960" s="1" t="s">
        <v>3649</v>
      </c>
      <c r="L960" t="s">
        <v>47</v>
      </c>
    </row>
    <row r="961" spans="1:12" ht="15" customHeight="1" x14ac:dyDescent="0.25">
      <c r="A961" t="s">
        <v>3570</v>
      </c>
      <c r="B961" s="232">
        <v>8</v>
      </c>
      <c r="C961" t="s">
        <v>2812</v>
      </c>
      <c r="D961" t="s">
        <v>2565</v>
      </c>
      <c r="E961" s="50" t="s">
        <v>3640</v>
      </c>
      <c r="F961" t="s">
        <v>2553</v>
      </c>
      <c r="G961" s="27">
        <v>42877</v>
      </c>
      <c r="H961" s="27">
        <v>42877</v>
      </c>
      <c r="I961" t="s">
        <v>3648</v>
      </c>
      <c r="J961" s="232">
        <v>46</v>
      </c>
      <c r="K961" s="247" t="s">
        <v>3651</v>
      </c>
      <c r="L961" t="s">
        <v>1968</v>
      </c>
    </row>
    <row r="962" spans="1:12" ht="15" customHeight="1" x14ac:dyDescent="0.25">
      <c r="A962" t="s">
        <v>3570</v>
      </c>
      <c r="B962" s="232">
        <v>8</v>
      </c>
      <c r="C962" t="s">
        <v>2812</v>
      </c>
      <c r="D962" t="s">
        <v>2565</v>
      </c>
      <c r="E962" s="50" t="s">
        <v>3640</v>
      </c>
      <c r="F962" t="s">
        <v>2553</v>
      </c>
      <c r="G962" s="27">
        <v>42877</v>
      </c>
      <c r="H962" s="27">
        <v>42877</v>
      </c>
      <c r="I962">
        <v>3.2</v>
      </c>
      <c r="J962" s="232">
        <v>47</v>
      </c>
      <c r="K962" s="247" t="s">
        <v>3652</v>
      </c>
      <c r="L962" t="s">
        <v>47</v>
      </c>
    </row>
    <row r="963" spans="1:12" ht="15" customHeight="1" x14ac:dyDescent="0.25">
      <c r="A963" t="s">
        <v>3570</v>
      </c>
      <c r="B963" s="232">
        <v>8</v>
      </c>
      <c r="C963" t="s">
        <v>2812</v>
      </c>
      <c r="D963" t="s">
        <v>2565</v>
      </c>
      <c r="E963" s="50" t="s">
        <v>3640</v>
      </c>
      <c r="F963" t="s">
        <v>2553</v>
      </c>
      <c r="G963" s="27">
        <v>42877</v>
      </c>
      <c r="H963" s="27">
        <v>42877</v>
      </c>
      <c r="I963" t="s">
        <v>3650</v>
      </c>
      <c r="J963" s="232">
        <v>48</v>
      </c>
      <c r="K963" s="247" t="s">
        <v>3653</v>
      </c>
      <c r="L963" t="s">
        <v>47</v>
      </c>
    </row>
    <row r="964" spans="1:12" ht="15" customHeight="1" x14ac:dyDescent="0.25">
      <c r="A964" t="s">
        <v>3570</v>
      </c>
      <c r="B964" s="232">
        <v>8</v>
      </c>
      <c r="C964" t="s">
        <v>2812</v>
      </c>
      <c r="D964" t="s">
        <v>2565</v>
      </c>
      <c r="E964" s="50" t="s">
        <v>3640</v>
      </c>
      <c r="F964" t="s">
        <v>2553</v>
      </c>
      <c r="G964" s="27">
        <v>42878</v>
      </c>
      <c r="H964" s="27">
        <v>42877</v>
      </c>
      <c r="I964" t="s">
        <v>2614</v>
      </c>
      <c r="J964" s="232">
        <v>49</v>
      </c>
      <c r="K964" s="1" t="s">
        <v>3656</v>
      </c>
      <c r="L964" t="s">
        <v>47</v>
      </c>
    </row>
    <row r="965" spans="1:12" ht="15" customHeight="1" x14ac:dyDescent="0.25">
      <c r="A965" t="s">
        <v>3683</v>
      </c>
      <c r="B965" s="232">
        <v>1</v>
      </c>
      <c r="C965" t="s">
        <v>2812</v>
      </c>
      <c r="D965" t="s">
        <v>2565</v>
      </c>
      <c r="E965" s="50" t="s">
        <v>3684</v>
      </c>
      <c r="F965" t="s">
        <v>2553</v>
      </c>
      <c r="G965" s="27">
        <v>43348</v>
      </c>
      <c r="H965" s="27">
        <v>43348</v>
      </c>
      <c r="I965">
        <v>1</v>
      </c>
      <c r="J965" s="232">
        <v>1</v>
      </c>
      <c r="K965" s="1" t="s">
        <v>2602</v>
      </c>
      <c r="L965" t="s">
        <v>47</v>
      </c>
    </row>
    <row r="966" spans="1:12" ht="15" customHeight="1" x14ac:dyDescent="0.25">
      <c r="A966" t="s">
        <v>3570</v>
      </c>
      <c r="B966" s="232">
        <v>1</v>
      </c>
      <c r="C966" t="s">
        <v>3659</v>
      </c>
      <c r="E966" t="s">
        <v>3571</v>
      </c>
      <c r="F966" t="s">
        <v>2553</v>
      </c>
      <c r="G966" s="27">
        <v>43313</v>
      </c>
      <c r="I966">
        <v>1.1000000000000001</v>
      </c>
      <c r="J966" s="232">
        <v>2</v>
      </c>
      <c r="K966" s="1" t="s">
        <v>3572</v>
      </c>
      <c r="L966" t="s">
        <v>47</v>
      </c>
    </row>
    <row r="967" spans="1:12" ht="15" customHeight="1" x14ac:dyDescent="0.25">
      <c r="A967" t="s">
        <v>3570</v>
      </c>
      <c r="B967" s="232">
        <v>2</v>
      </c>
      <c r="C967" t="s">
        <v>3659</v>
      </c>
      <c r="E967" t="s">
        <v>2604</v>
      </c>
      <c r="F967" t="s">
        <v>2553</v>
      </c>
      <c r="G967" s="27">
        <v>43313</v>
      </c>
      <c r="I967">
        <v>2.1</v>
      </c>
      <c r="J967" s="232">
        <v>3</v>
      </c>
      <c r="K967" s="1" t="s">
        <v>3573</v>
      </c>
      <c r="L967" t="s">
        <v>47</v>
      </c>
    </row>
    <row r="968" spans="1:12" ht="15" customHeight="1" x14ac:dyDescent="0.25">
      <c r="A968" t="s">
        <v>3570</v>
      </c>
      <c r="B968" s="232">
        <v>2</v>
      </c>
      <c r="C968" t="s">
        <v>3659</v>
      </c>
      <c r="E968" t="s">
        <v>2604</v>
      </c>
      <c r="F968" t="s">
        <v>2553</v>
      </c>
      <c r="G968" s="27">
        <v>43313</v>
      </c>
      <c r="I968">
        <v>2.2000000000000002</v>
      </c>
      <c r="J968" s="232">
        <v>4</v>
      </c>
      <c r="K968" s="1" t="s">
        <v>3660</v>
      </c>
      <c r="L968" t="s">
        <v>47</v>
      </c>
    </row>
    <row r="969" spans="1:12" ht="15" customHeight="1" x14ac:dyDescent="0.25">
      <c r="A969" t="s">
        <v>3570</v>
      </c>
      <c r="B969" s="232">
        <v>2</v>
      </c>
      <c r="C969" t="s">
        <v>3659</v>
      </c>
      <c r="E969" t="s">
        <v>2604</v>
      </c>
      <c r="F969" t="s">
        <v>2553</v>
      </c>
      <c r="G969" s="27">
        <v>43313</v>
      </c>
      <c r="I969">
        <v>2.2999999999999998</v>
      </c>
      <c r="J969" s="232">
        <v>5</v>
      </c>
      <c r="K969" s="250" t="s">
        <v>2611</v>
      </c>
      <c r="L969" t="s">
        <v>47</v>
      </c>
    </row>
    <row r="970" spans="1:12" ht="15" customHeight="1" x14ac:dyDescent="0.25">
      <c r="A970" t="s">
        <v>3570</v>
      </c>
      <c r="B970" s="232">
        <v>3</v>
      </c>
      <c r="C970" t="s">
        <v>3659</v>
      </c>
      <c r="E970" t="s">
        <v>2609</v>
      </c>
      <c r="F970" t="s">
        <v>2553</v>
      </c>
      <c r="G970" s="27">
        <v>43313</v>
      </c>
      <c r="I970">
        <v>3.1</v>
      </c>
      <c r="J970" s="232">
        <v>6</v>
      </c>
      <c r="K970" s="1" t="s">
        <v>3574</v>
      </c>
      <c r="L970" t="s">
        <v>47</v>
      </c>
    </row>
    <row r="971" spans="1:12" ht="15" customHeight="1" x14ac:dyDescent="0.25">
      <c r="A971" t="s">
        <v>3570</v>
      </c>
      <c r="B971" s="232">
        <v>3</v>
      </c>
      <c r="C971" t="s">
        <v>3659</v>
      </c>
      <c r="E971" t="s">
        <v>2609</v>
      </c>
      <c r="F971" t="s">
        <v>2553</v>
      </c>
      <c r="G971" s="27">
        <v>43313</v>
      </c>
      <c r="I971">
        <v>3.2</v>
      </c>
      <c r="J971" s="232">
        <v>7</v>
      </c>
      <c r="K971" s="1" t="s">
        <v>3661</v>
      </c>
      <c r="L971" t="s">
        <v>47</v>
      </c>
    </row>
    <row r="972" spans="1:12" ht="15" customHeight="1" x14ac:dyDescent="0.25">
      <c r="A972" t="s">
        <v>3570</v>
      </c>
      <c r="B972" s="232">
        <v>3</v>
      </c>
      <c r="C972" t="s">
        <v>3659</v>
      </c>
      <c r="E972" t="s">
        <v>2609</v>
      </c>
      <c r="F972" t="s">
        <v>2553</v>
      </c>
      <c r="G972" s="27">
        <v>43313</v>
      </c>
      <c r="I972">
        <v>3.3</v>
      </c>
      <c r="J972" s="232">
        <v>8</v>
      </c>
      <c r="K972" s="1" t="s">
        <v>3663</v>
      </c>
      <c r="L972" t="s">
        <v>47</v>
      </c>
    </row>
    <row r="973" spans="1:12" ht="15" customHeight="1" x14ac:dyDescent="0.25">
      <c r="A973" t="s">
        <v>3570</v>
      </c>
      <c r="B973" s="232">
        <v>3</v>
      </c>
      <c r="C973" t="s">
        <v>3659</v>
      </c>
      <c r="E973" t="s">
        <v>2609</v>
      </c>
      <c r="F973" t="s">
        <v>2553</v>
      </c>
      <c r="G973" s="27">
        <v>43313</v>
      </c>
      <c r="I973" t="s">
        <v>3662</v>
      </c>
      <c r="J973" s="232">
        <v>9</v>
      </c>
      <c r="K973" s="1" t="s">
        <v>3579</v>
      </c>
      <c r="L973" t="s">
        <v>47</v>
      </c>
    </row>
    <row r="974" spans="1:12" ht="15" customHeight="1" x14ac:dyDescent="0.25">
      <c r="A974" t="s">
        <v>3570</v>
      </c>
      <c r="B974" s="232">
        <v>3</v>
      </c>
      <c r="C974" t="s">
        <v>3659</v>
      </c>
      <c r="E974" t="s">
        <v>2609</v>
      </c>
      <c r="F974" t="s">
        <v>2553</v>
      </c>
      <c r="G974" s="27">
        <v>43313</v>
      </c>
      <c r="I974" t="s">
        <v>2617</v>
      </c>
      <c r="J974" s="232">
        <v>10</v>
      </c>
      <c r="K974" s="1" t="s">
        <v>3664</v>
      </c>
      <c r="L974" t="s">
        <v>47</v>
      </c>
    </row>
    <row r="975" spans="1:12" ht="15" customHeight="1" x14ac:dyDescent="0.25">
      <c r="A975" t="s">
        <v>3570</v>
      </c>
      <c r="B975" s="232">
        <v>4</v>
      </c>
      <c r="C975" t="s">
        <v>3659</v>
      </c>
      <c r="E975" t="s">
        <v>2622</v>
      </c>
      <c r="F975" t="s">
        <v>2553</v>
      </c>
      <c r="G975" s="27">
        <v>43313</v>
      </c>
      <c r="I975">
        <v>4.0999999999999996</v>
      </c>
      <c r="J975" s="232">
        <v>11</v>
      </c>
      <c r="K975" s="1" t="s">
        <v>2626</v>
      </c>
      <c r="L975" t="s">
        <v>47</v>
      </c>
    </row>
    <row r="976" spans="1:12" ht="15" customHeight="1" x14ac:dyDescent="0.25">
      <c r="A976" t="s">
        <v>3570</v>
      </c>
      <c r="B976" s="232">
        <v>4</v>
      </c>
      <c r="C976" t="s">
        <v>3659</v>
      </c>
      <c r="E976" t="s">
        <v>2622</v>
      </c>
      <c r="F976" t="s">
        <v>2553</v>
      </c>
      <c r="G976" s="27">
        <v>43313</v>
      </c>
      <c r="I976" t="s">
        <v>3580</v>
      </c>
      <c r="J976" s="232">
        <v>12</v>
      </c>
      <c r="K976" s="1" t="s">
        <v>3581</v>
      </c>
      <c r="L976" t="s">
        <v>47</v>
      </c>
    </row>
    <row r="977" spans="1:12" ht="15" customHeight="1" x14ac:dyDescent="0.25">
      <c r="A977" t="s">
        <v>3570</v>
      </c>
      <c r="B977" s="232">
        <v>4</v>
      </c>
      <c r="C977" t="s">
        <v>3659</v>
      </c>
      <c r="E977" t="s">
        <v>2622</v>
      </c>
      <c r="F977" t="s">
        <v>2553</v>
      </c>
      <c r="G977" s="27">
        <v>43313</v>
      </c>
      <c r="I977">
        <v>4.2</v>
      </c>
      <c r="J977" s="232">
        <v>13</v>
      </c>
      <c r="K977" s="1" t="s">
        <v>3665</v>
      </c>
      <c r="L977" t="s">
        <v>47</v>
      </c>
    </row>
    <row r="978" spans="1:12" ht="15" customHeight="1" x14ac:dyDescent="0.25">
      <c r="A978" t="s">
        <v>3570</v>
      </c>
      <c r="B978" s="232">
        <v>4</v>
      </c>
      <c r="C978" t="s">
        <v>3659</v>
      </c>
      <c r="E978" t="s">
        <v>2622</v>
      </c>
      <c r="F978" t="s">
        <v>2553</v>
      </c>
      <c r="G978" s="27">
        <v>43313</v>
      </c>
      <c r="I978">
        <v>4.3</v>
      </c>
      <c r="J978" s="232">
        <v>14</v>
      </c>
      <c r="K978" s="1" t="s">
        <v>3666</v>
      </c>
      <c r="L978" t="s">
        <v>47</v>
      </c>
    </row>
    <row r="979" spans="1:12" ht="15" customHeight="1" x14ac:dyDescent="0.25">
      <c r="A979" t="s">
        <v>3570</v>
      </c>
      <c r="B979" s="232">
        <v>4</v>
      </c>
      <c r="C979" t="s">
        <v>3659</v>
      </c>
      <c r="E979" t="s">
        <v>2622</v>
      </c>
      <c r="F979" t="s">
        <v>2553</v>
      </c>
      <c r="G979" s="27">
        <v>43313</v>
      </c>
      <c r="I979">
        <v>4.4000000000000004</v>
      </c>
      <c r="J979" s="232">
        <v>15</v>
      </c>
      <c r="K979" s="1" t="s">
        <v>3667</v>
      </c>
      <c r="L979" t="s">
        <v>47</v>
      </c>
    </row>
    <row r="980" spans="1:12" ht="15" customHeight="1" x14ac:dyDescent="0.25">
      <c r="A980" t="s">
        <v>3570</v>
      </c>
      <c r="B980" s="232">
        <v>4</v>
      </c>
      <c r="C980" t="s">
        <v>3659</v>
      </c>
      <c r="E980" t="s">
        <v>2622</v>
      </c>
      <c r="F980" t="s">
        <v>2553</v>
      </c>
      <c r="G980" s="27">
        <v>43313</v>
      </c>
      <c r="I980" t="s">
        <v>2844</v>
      </c>
      <c r="J980" s="232">
        <v>16</v>
      </c>
      <c r="K980" s="1" t="s">
        <v>3582</v>
      </c>
      <c r="L980" t="s">
        <v>47</v>
      </c>
    </row>
    <row r="981" spans="1:12" ht="15" customHeight="1" x14ac:dyDescent="0.25">
      <c r="A981" t="s">
        <v>3570</v>
      </c>
      <c r="B981" s="232">
        <v>5</v>
      </c>
      <c r="C981" t="s">
        <v>3659</v>
      </c>
      <c r="E981" t="s">
        <v>2629</v>
      </c>
      <c r="F981" t="s">
        <v>2553</v>
      </c>
      <c r="G981" s="27">
        <v>43313</v>
      </c>
      <c r="I981">
        <v>5.0999999999999996</v>
      </c>
      <c r="J981" s="232">
        <v>17</v>
      </c>
      <c r="K981" s="1" t="s">
        <v>3668</v>
      </c>
      <c r="L981" t="s">
        <v>47</v>
      </c>
    </row>
    <row r="982" spans="1:12" ht="15" customHeight="1" x14ac:dyDescent="0.25">
      <c r="A982" t="s">
        <v>3570</v>
      </c>
      <c r="B982" s="232">
        <v>5</v>
      </c>
      <c r="C982" t="s">
        <v>3659</v>
      </c>
      <c r="E982" t="s">
        <v>2629</v>
      </c>
      <c r="F982" t="s">
        <v>2553</v>
      </c>
      <c r="G982" s="27">
        <v>43313</v>
      </c>
      <c r="I982">
        <v>5.2</v>
      </c>
      <c r="J982" s="232">
        <v>18</v>
      </c>
      <c r="K982" s="247" t="s">
        <v>3669</v>
      </c>
      <c r="L982" t="s">
        <v>47</v>
      </c>
    </row>
    <row r="983" spans="1:12" ht="15" customHeight="1" x14ac:dyDescent="0.25">
      <c r="A983" t="s">
        <v>3570</v>
      </c>
      <c r="B983" s="232">
        <v>5</v>
      </c>
      <c r="C983" t="s">
        <v>3659</v>
      </c>
      <c r="E983" t="s">
        <v>2629</v>
      </c>
      <c r="F983" t="s">
        <v>2553</v>
      </c>
      <c r="G983" s="27">
        <v>43313</v>
      </c>
      <c r="I983">
        <v>5.3</v>
      </c>
      <c r="J983" s="232">
        <v>19</v>
      </c>
      <c r="K983" s="1" t="s">
        <v>2639</v>
      </c>
      <c r="L983" t="s">
        <v>47</v>
      </c>
    </row>
    <row r="984" spans="1:12" ht="15" customHeight="1" x14ac:dyDescent="0.25">
      <c r="A984" t="s">
        <v>3570</v>
      </c>
      <c r="B984" s="232">
        <v>5</v>
      </c>
      <c r="C984" t="s">
        <v>3659</v>
      </c>
      <c r="E984" t="s">
        <v>2629</v>
      </c>
      <c r="F984" t="s">
        <v>2553</v>
      </c>
      <c r="G984" s="27">
        <v>43313</v>
      </c>
      <c r="I984">
        <v>5.4</v>
      </c>
      <c r="J984" s="232">
        <v>20</v>
      </c>
      <c r="K984" s="1" t="s">
        <v>2641</v>
      </c>
      <c r="L984" t="s">
        <v>47</v>
      </c>
    </row>
    <row r="985" spans="1:12" ht="15" customHeight="1" x14ac:dyDescent="0.25">
      <c r="A985" t="s">
        <v>3570</v>
      </c>
      <c r="B985" s="232">
        <v>5</v>
      </c>
      <c r="C985" t="s">
        <v>3659</v>
      </c>
      <c r="E985" t="s">
        <v>2629</v>
      </c>
      <c r="F985" t="s">
        <v>2553</v>
      </c>
      <c r="G985" s="27">
        <v>43313</v>
      </c>
      <c r="I985" t="s">
        <v>3585</v>
      </c>
      <c r="J985" s="232">
        <v>21</v>
      </c>
      <c r="K985" s="1" t="s">
        <v>3586</v>
      </c>
      <c r="L985" t="s">
        <v>47</v>
      </c>
    </row>
    <row r="986" spans="1:12" ht="15" customHeight="1" x14ac:dyDescent="0.25">
      <c r="A986" t="s">
        <v>3570</v>
      </c>
      <c r="B986" s="232">
        <v>6</v>
      </c>
      <c r="C986" t="s">
        <v>3659</v>
      </c>
      <c r="E986" t="s">
        <v>2642</v>
      </c>
      <c r="F986" t="s">
        <v>2553</v>
      </c>
      <c r="G986" s="27">
        <v>43313</v>
      </c>
      <c r="I986" t="s">
        <v>2643</v>
      </c>
      <c r="J986" s="232">
        <v>22</v>
      </c>
      <c r="K986" s="1" t="s">
        <v>3587</v>
      </c>
      <c r="L986" t="s">
        <v>47</v>
      </c>
    </row>
    <row r="987" spans="1:12" ht="15" customHeight="1" x14ac:dyDescent="0.25">
      <c r="A987" t="s">
        <v>3570</v>
      </c>
      <c r="B987" s="232">
        <v>6</v>
      </c>
      <c r="C987" t="s">
        <v>3659</v>
      </c>
      <c r="E987" t="s">
        <v>2642</v>
      </c>
      <c r="F987" t="s">
        <v>2553</v>
      </c>
      <c r="G987" s="27">
        <v>43313</v>
      </c>
      <c r="I987" t="s">
        <v>2644</v>
      </c>
      <c r="J987" s="232">
        <v>23</v>
      </c>
      <c r="K987" s="1" t="s">
        <v>3588</v>
      </c>
      <c r="L987" t="s">
        <v>47</v>
      </c>
    </row>
    <row r="988" spans="1:12" ht="15" customHeight="1" x14ac:dyDescent="0.25">
      <c r="A988" t="s">
        <v>3570</v>
      </c>
      <c r="B988" s="232">
        <v>6</v>
      </c>
      <c r="C988" t="s">
        <v>3659</v>
      </c>
      <c r="E988" t="s">
        <v>2642</v>
      </c>
      <c r="F988" t="s">
        <v>2553</v>
      </c>
      <c r="G988" s="27">
        <v>43313</v>
      </c>
      <c r="I988">
        <v>6.2</v>
      </c>
      <c r="J988" s="232">
        <v>24</v>
      </c>
      <c r="K988" s="247" t="s">
        <v>3589</v>
      </c>
      <c r="L988" t="s">
        <v>47</v>
      </c>
    </row>
    <row r="989" spans="1:12" ht="15" customHeight="1" x14ac:dyDescent="0.25">
      <c r="A989" t="s">
        <v>3570</v>
      </c>
      <c r="B989" s="232">
        <v>6</v>
      </c>
      <c r="C989" t="s">
        <v>3659</v>
      </c>
      <c r="E989" t="s">
        <v>2642</v>
      </c>
      <c r="F989" t="s">
        <v>2553</v>
      </c>
      <c r="G989" s="27">
        <v>43313</v>
      </c>
      <c r="I989">
        <v>6.3</v>
      </c>
      <c r="J989" s="232">
        <v>25</v>
      </c>
      <c r="K989" s="1" t="s">
        <v>3590</v>
      </c>
      <c r="L989" t="s">
        <v>47</v>
      </c>
    </row>
    <row r="990" spans="1:12" ht="15" customHeight="1" x14ac:dyDescent="0.25">
      <c r="A990" t="s">
        <v>3570</v>
      </c>
      <c r="B990" s="232">
        <v>6</v>
      </c>
      <c r="C990" t="s">
        <v>3659</v>
      </c>
      <c r="E990" t="s">
        <v>2642</v>
      </c>
      <c r="F990" t="s">
        <v>2553</v>
      </c>
      <c r="G990" s="27">
        <v>43313</v>
      </c>
      <c r="I990">
        <v>6.4</v>
      </c>
      <c r="J990" s="232">
        <v>26</v>
      </c>
      <c r="K990" s="1" t="s">
        <v>3591</v>
      </c>
      <c r="L990" t="s">
        <v>47</v>
      </c>
    </row>
    <row r="991" spans="1:12" ht="15" customHeight="1" x14ac:dyDescent="0.25">
      <c r="A991" t="s">
        <v>3570</v>
      </c>
      <c r="B991" s="232">
        <v>6</v>
      </c>
      <c r="C991" t="s">
        <v>3659</v>
      </c>
      <c r="E991" t="s">
        <v>2642</v>
      </c>
      <c r="F991" t="s">
        <v>2553</v>
      </c>
      <c r="G991" s="27">
        <v>43313</v>
      </c>
      <c r="I991">
        <v>6.5</v>
      </c>
      <c r="J991" s="232">
        <v>27</v>
      </c>
      <c r="K991" s="1" t="s">
        <v>2660</v>
      </c>
      <c r="L991" t="s">
        <v>1968</v>
      </c>
    </row>
    <row r="992" spans="1:12" ht="15" customHeight="1" x14ac:dyDescent="0.25">
      <c r="A992" t="s">
        <v>3570</v>
      </c>
      <c r="B992" s="232">
        <v>6</v>
      </c>
      <c r="C992" t="s">
        <v>3659</v>
      </c>
      <c r="E992" t="s">
        <v>2642</v>
      </c>
      <c r="F992" t="s">
        <v>2553</v>
      </c>
      <c r="G992" s="27">
        <v>43313</v>
      </c>
      <c r="I992">
        <v>6.6</v>
      </c>
      <c r="J992" s="232">
        <v>28</v>
      </c>
      <c r="K992" s="1" t="s">
        <v>3670</v>
      </c>
      <c r="L992" t="s">
        <v>1968</v>
      </c>
    </row>
    <row r="993" spans="1:12" ht="15" customHeight="1" x14ac:dyDescent="0.25">
      <c r="A993" t="s">
        <v>3570</v>
      </c>
      <c r="B993" s="232">
        <v>7</v>
      </c>
      <c r="C993" t="s">
        <v>3659</v>
      </c>
      <c r="E993" t="s">
        <v>2661</v>
      </c>
      <c r="F993" t="s">
        <v>2553</v>
      </c>
      <c r="G993" s="27">
        <v>43313</v>
      </c>
      <c r="I993">
        <v>7.1</v>
      </c>
      <c r="J993" s="232">
        <v>29</v>
      </c>
      <c r="K993" s="1" t="s">
        <v>3671</v>
      </c>
      <c r="L993" t="s">
        <v>47</v>
      </c>
    </row>
    <row r="994" spans="1:12" ht="15" customHeight="1" x14ac:dyDescent="0.25">
      <c r="A994" t="s">
        <v>3570</v>
      </c>
      <c r="B994" s="232">
        <v>7</v>
      </c>
      <c r="C994" t="s">
        <v>3659</v>
      </c>
      <c r="E994" t="s">
        <v>2661</v>
      </c>
      <c r="F994" t="s">
        <v>2553</v>
      </c>
      <c r="G994" s="27">
        <v>43313</v>
      </c>
      <c r="I994">
        <v>7.2</v>
      </c>
      <c r="J994" s="232">
        <v>30</v>
      </c>
      <c r="K994" s="1" t="s">
        <v>2666</v>
      </c>
    </row>
    <row r="995" spans="1:12" ht="15" customHeight="1" x14ac:dyDescent="0.25">
      <c r="A995" t="s">
        <v>3570</v>
      </c>
      <c r="B995" s="232">
        <v>7</v>
      </c>
      <c r="C995" t="s">
        <v>3659</v>
      </c>
      <c r="E995" t="s">
        <v>2661</v>
      </c>
      <c r="F995" t="s">
        <v>2553</v>
      </c>
      <c r="G995" s="27">
        <v>43313</v>
      </c>
      <c r="I995">
        <v>7.3</v>
      </c>
      <c r="J995" s="232">
        <v>31</v>
      </c>
      <c r="K995" s="1" t="s">
        <v>2667</v>
      </c>
    </row>
    <row r="996" spans="1:12" ht="15" customHeight="1" x14ac:dyDescent="0.25">
      <c r="A996" t="s">
        <v>3570</v>
      </c>
      <c r="B996" s="232">
        <v>7</v>
      </c>
      <c r="C996" t="s">
        <v>3659</v>
      </c>
      <c r="E996" t="s">
        <v>2661</v>
      </c>
      <c r="F996" t="s">
        <v>2553</v>
      </c>
      <c r="G996" s="27">
        <v>43313</v>
      </c>
      <c r="I996">
        <v>7.4</v>
      </c>
      <c r="J996" s="232">
        <v>32</v>
      </c>
      <c r="K996" s="1" t="s">
        <v>3672</v>
      </c>
    </row>
    <row r="997" spans="1:12" ht="15" customHeight="1" x14ac:dyDescent="0.25">
      <c r="A997" t="s">
        <v>3570</v>
      </c>
      <c r="B997" s="232">
        <v>7</v>
      </c>
      <c r="C997" t="s">
        <v>3659</v>
      </c>
      <c r="E997" t="s">
        <v>2661</v>
      </c>
      <c r="F997" t="s">
        <v>2553</v>
      </c>
      <c r="G997" s="27">
        <v>43313</v>
      </c>
      <c r="I997">
        <v>7.5</v>
      </c>
      <c r="J997" s="232">
        <v>33</v>
      </c>
      <c r="K997" s="1" t="s">
        <v>3673</v>
      </c>
    </row>
    <row r="998" spans="1:12" ht="15" customHeight="1" x14ac:dyDescent="0.25">
      <c r="A998" t="s">
        <v>3570</v>
      </c>
      <c r="B998" s="232">
        <v>7</v>
      </c>
      <c r="C998" t="s">
        <v>3659</v>
      </c>
      <c r="E998" t="s">
        <v>2661</v>
      </c>
      <c r="F998" t="s">
        <v>2553</v>
      </c>
      <c r="G998" s="27">
        <v>43313</v>
      </c>
      <c r="I998">
        <v>7.6</v>
      </c>
      <c r="J998" s="232">
        <v>34</v>
      </c>
      <c r="K998" s="247" t="s">
        <v>3631</v>
      </c>
    </row>
    <row r="999" spans="1:12" ht="15" customHeight="1" x14ac:dyDescent="0.25">
      <c r="A999" t="s">
        <v>3570</v>
      </c>
      <c r="B999" s="232">
        <v>8</v>
      </c>
      <c r="C999" t="s">
        <v>3659</v>
      </c>
      <c r="E999" t="s">
        <v>2668</v>
      </c>
      <c r="F999" t="s">
        <v>2553</v>
      </c>
      <c r="G999" s="27">
        <v>43313</v>
      </c>
      <c r="I999">
        <v>8.1</v>
      </c>
      <c r="J999" s="232">
        <v>35</v>
      </c>
      <c r="K999" s="247" t="s">
        <v>3674</v>
      </c>
    </row>
    <row r="1000" spans="1:12" ht="15" customHeight="1" x14ac:dyDescent="0.25">
      <c r="A1000" t="s">
        <v>3570</v>
      </c>
      <c r="B1000" s="232">
        <v>8</v>
      </c>
      <c r="C1000" t="s">
        <v>3659</v>
      </c>
      <c r="E1000" t="s">
        <v>2668</v>
      </c>
      <c r="F1000" t="s">
        <v>2553</v>
      </c>
      <c r="G1000" s="27">
        <v>43313</v>
      </c>
      <c r="I1000" t="s">
        <v>3633</v>
      </c>
      <c r="J1000" s="232">
        <v>36</v>
      </c>
      <c r="K1000" s="247" t="s">
        <v>3676</v>
      </c>
    </row>
    <row r="1001" spans="1:12" ht="15" customHeight="1" x14ac:dyDescent="0.25">
      <c r="A1001" t="s">
        <v>3570</v>
      </c>
      <c r="B1001" s="232">
        <v>8</v>
      </c>
      <c r="C1001" t="s">
        <v>3659</v>
      </c>
      <c r="E1001" t="s">
        <v>2668</v>
      </c>
      <c r="F1001" t="s">
        <v>2553</v>
      </c>
      <c r="G1001" s="27">
        <v>43313</v>
      </c>
      <c r="I1001" t="s">
        <v>3675</v>
      </c>
      <c r="J1001" s="232">
        <v>37</v>
      </c>
      <c r="K1001" s="247" t="s">
        <v>2682</v>
      </c>
    </row>
    <row r="1002" spans="1:12" ht="15" customHeight="1" x14ac:dyDescent="0.25">
      <c r="A1002" t="s">
        <v>3570</v>
      </c>
      <c r="B1002" s="232">
        <v>8</v>
      </c>
      <c r="C1002" t="s">
        <v>3659</v>
      </c>
      <c r="E1002" t="s">
        <v>2668</v>
      </c>
      <c r="F1002" t="s">
        <v>2553</v>
      </c>
      <c r="G1002" s="27">
        <v>43313</v>
      </c>
      <c r="I1002">
        <v>8.1999999999999993</v>
      </c>
      <c r="J1002" s="232">
        <v>38</v>
      </c>
      <c r="K1002" s="247" t="s">
        <v>3677</v>
      </c>
    </row>
    <row r="1003" spans="1:12" ht="15" customHeight="1" x14ac:dyDescent="0.25">
      <c r="A1003" t="s">
        <v>3570</v>
      </c>
      <c r="B1003" s="232">
        <v>8</v>
      </c>
      <c r="C1003" t="s">
        <v>3659</v>
      </c>
      <c r="E1003" t="s">
        <v>2668</v>
      </c>
      <c r="F1003" t="s">
        <v>2553</v>
      </c>
      <c r="G1003" s="27">
        <v>43313</v>
      </c>
      <c r="I1003">
        <v>8.3000000000000007</v>
      </c>
      <c r="J1003" s="232">
        <v>39</v>
      </c>
      <c r="K1003" s="1" t="s">
        <v>3634</v>
      </c>
    </row>
    <row r="1004" spans="1:12" ht="15" customHeight="1" x14ac:dyDescent="0.25">
      <c r="A1004" t="s">
        <v>3570</v>
      </c>
      <c r="B1004" s="232">
        <v>8</v>
      </c>
      <c r="C1004" t="s">
        <v>3659</v>
      </c>
      <c r="E1004" t="s">
        <v>2668</v>
      </c>
      <c r="F1004" t="s">
        <v>2553</v>
      </c>
      <c r="G1004" s="27">
        <v>43313</v>
      </c>
      <c r="I1004">
        <v>8.4</v>
      </c>
      <c r="J1004" s="232">
        <v>40</v>
      </c>
      <c r="K1004" s="1" t="s">
        <v>2688</v>
      </c>
    </row>
    <row r="1005" spans="1:12" ht="15" customHeight="1" x14ac:dyDescent="0.25">
      <c r="A1005" t="s">
        <v>3570</v>
      </c>
      <c r="B1005" s="232">
        <v>8</v>
      </c>
      <c r="C1005" t="s">
        <v>3659</v>
      </c>
      <c r="E1005" t="s">
        <v>2668</v>
      </c>
      <c r="F1005" t="s">
        <v>2553</v>
      </c>
      <c r="G1005" s="27">
        <v>43313</v>
      </c>
      <c r="I1005">
        <v>8.5</v>
      </c>
      <c r="J1005" s="232">
        <v>41</v>
      </c>
      <c r="K1005" s="1" t="s">
        <v>3635</v>
      </c>
    </row>
    <row r="1006" spans="1:12" ht="15" customHeight="1" x14ac:dyDescent="0.25">
      <c r="A1006" t="s">
        <v>3570</v>
      </c>
      <c r="B1006" s="232">
        <v>8</v>
      </c>
      <c r="C1006" t="s">
        <v>3659</v>
      </c>
      <c r="E1006" t="s">
        <v>2668</v>
      </c>
      <c r="F1006" t="s">
        <v>2553</v>
      </c>
      <c r="G1006" s="27">
        <v>43313</v>
      </c>
      <c r="I1006">
        <v>8.6</v>
      </c>
      <c r="J1006" s="232">
        <v>42</v>
      </c>
      <c r="K1006" s="247" t="s">
        <v>2693</v>
      </c>
    </row>
    <row r="1007" spans="1:12" ht="15" customHeight="1" x14ac:dyDescent="0.25">
      <c r="A1007" t="s">
        <v>3570</v>
      </c>
      <c r="B1007" s="232">
        <v>8</v>
      </c>
      <c r="C1007" t="s">
        <v>3659</v>
      </c>
      <c r="E1007" t="s">
        <v>2668</v>
      </c>
      <c r="F1007" t="s">
        <v>2553</v>
      </c>
      <c r="G1007" s="27">
        <v>43313</v>
      </c>
      <c r="I1007">
        <v>8.6999999999999993</v>
      </c>
      <c r="J1007" s="232">
        <v>43</v>
      </c>
      <c r="K1007" s="1" t="s">
        <v>3636</v>
      </c>
    </row>
    <row r="1008" spans="1:12" ht="15" customHeight="1" x14ac:dyDescent="0.25">
      <c r="A1008" t="s">
        <v>3570</v>
      </c>
      <c r="B1008" s="232">
        <v>8</v>
      </c>
      <c r="C1008" t="s">
        <v>3659</v>
      </c>
      <c r="E1008" t="s">
        <v>2668</v>
      </c>
      <c r="F1008" t="s">
        <v>2553</v>
      </c>
      <c r="G1008" s="27">
        <v>43313</v>
      </c>
      <c r="I1008">
        <v>8.8000000000000007</v>
      </c>
      <c r="J1008" s="232">
        <v>44</v>
      </c>
      <c r="K1008" s="1" t="s">
        <v>2697</v>
      </c>
    </row>
    <row r="1009" spans="1:11" ht="15" customHeight="1" x14ac:dyDescent="0.25">
      <c r="A1009" t="s">
        <v>3570</v>
      </c>
      <c r="B1009" s="232">
        <v>8</v>
      </c>
      <c r="C1009" t="s">
        <v>3659</v>
      </c>
      <c r="E1009" t="s">
        <v>2668</v>
      </c>
      <c r="F1009" t="s">
        <v>2553</v>
      </c>
      <c r="G1009" s="27">
        <v>43313</v>
      </c>
      <c r="I1009">
        <v>8.9</v>
      </c>
      <c r="J1009" s="232">
        <v>45</v>
      </c>
      <c r="K1009" s="1" t="s">
        <v>3637</v>
      </c>
    </row>
    <row r="1010" spans="1:11" ht="15" customHeight="1" x14ac:dyDescent="0.25">
      <c r="A1010" t="s">
        <v>3570</v>
      </c>
      <c r="B1010" s="232">
        <v>8</v>
      </c>
      <c r="C1010" t="s">
        <v>3659</v>
      </c>
      <c r="E1010" t="s">
        <v>2668</v>
      </c>
      <c r="F1010" t="s">
        <v>2553</v>
      </c>
      <c r="G1010" s="27">
        <v>43313</v>
      </c>
      <c r="I1010" t="s">
        <v>2692</v>
      </c>
      <c r="J1010" s="232">
        <v>46</v>
      </c>
      <c r="K1010" s="1" t="s">
        <v>3641</v>
      </c>
    </row>
    <row r="1011" spans="1:11" ht="15" customHeight="1" x14ac:dyDescent="0.25">
      <c r="A1011" t="s">
        <v>3570</v>
      </c>
      <c r="B1011" s="232">
        <v>8</v>
      </c>
      <c r="C1011" t="s">
        <v>3659</v>
      </c>
      <c r="E1011" t="s">
        <v>2668</v>
      </c>
      <c r="F1011" t="s">
        <v>2553</v>
      </c>
      <c r="G1011" s="27">
        <v>43313</v>
      </c>
      <c r="I1011" t="s">
        <v>2694</v>
      </c>
      <c r="J1011" s="232">
        <v>47</v>
      </c>
      <c r="K1011" s="1" t="s">
        <v>3678</v>
      </c>
    </row>
    <row r="1012" spans="1:11" ht="15" customHeight="1" x14ac:dyDescent="0.25">
      <c r="A1012" t="s">
        <v>3570</v>
      </c>
      <c r="B1012" s="232">
        <v>9</v>
      </c>
      <c r="C1012" t="s">
        <v>3659</v>
      </c>
      <c r="E1012" t="s">
        <v>3639</v>
      </c>
      <c r="F1012" t="s">
        <v>2553</v>
      </c>
      <c r="G1012" s="27">
        <v>43313</v>
      </c>
      <c r="I1012">
        <v>1</v>
      </c>
      <c r="J1012" s="232">
        <v>48</v>
      </c>
      <c r="K1012" s="1" t="s">
        <v>3679</v>
      </c>
    </row>
    <row r="1013" spans="1:11" ht="15" customHeight="1" x14ac:dyDescent="0.25">
      <c r="A1013" t="s">
        <v>3570</v>
      </c>
      <c r="B1013" s="232">
        <v>9</v>
      </c>
      <c r="C1013" t="s">
        <v>3659</v>
      </c>
      <c r="E1013" t="s">
        <v>3640</v>
      </c>
      <c r="F1013" t="s">
        <v>2553</v>
      </c>
      <c r="G1013" s="27">
        <v>43313</v>
      </c>
      <c r="I1013">
        <v>1</v>
      </c>
      <c r="J1013" s="232">
        <v>49</v>
      </c>
      <c r="K1013" s="1" t="s">
        <v>2704</v>
      </c>
    </row>
    <row r="1014" spans="1:11" ht="15" customHeight="1" x14ac:dyDescent="0.25">
      <c r="A1014" t="s">
        <v>3570</v>
      </c>
      <c r="B1014" s="232">
        <v>9</v>
      </c>
      <c r="C1014" t="s">
        <v>3659</v>
      </c>
      <c r="E1014" t="s">
        <v>3640</v>
      </c>
      <c r="F1014" t="s">
        <v>2553</v>
      </c>
      <c r="G1014" s="27">
        <v>43313</v>
      </c>
      <c r="I1014">
        <v>2</v>
      </c>
      <c r="J1014" s="232">
        <v>50</v>
      </c>
      <c r="K1014" s="1" t="s">
        <v>3680</v>
      </c>
    </row>
    <row r="1015" spans="1:11" ht="15" customHeight="1" x14ac:dyDescent="0.25">
      <c r="A1015" t="s">
        <v>3570</v>
      </c>
      <c r="B1015" s="232">
        <v>9</v>
      </c>
      <c r="C1015" t="s">
        <v>3659</v>
      </c>
      <c r="E1015" t="s">
        <v>3640</v>
      </c>
      <c r="F1015" t="s">
        <v>2553</v>
      </c>
      <c r="G1015" s="27">
        <v>43313</v>
      </c>
      <c r="I1015">
        <v>3</v>
      </c>
      <c r="J1015" s="232">
        <v>51</v>
      </c>
      <c r="K1015" s="247" t="s">
        <v>3682</v>
      </c>
    </row>
    <row r="1016" spans="1:11" x14ac:dyDescent="0.25">
      <c r="A1016" t="s">
        <v>3570</v>
      </c>
      <c r="B1016" s="232">
        <v>9</v>
      </c>
      <c r="C1016" t="s">
        <v>3659</v>
      </c>
      <c r="E1016" t="s">
        <v>3681</v>
      </c>
      <c r="F1016" t="s">
        <v>2553</v>
      </c>
      <c r="G1016" s="27">
        <v>43313</v>
      </c>
      <c r="I1016">
        <v>1</v>
      </c>
      <c r="J1016" s="232">
        <v>52</v>
      </c>
    </row>
    <row r="1017" spans="1:11" x14ac:dyDescent="0.25">
      <c r="G1017" s="27"/>
      <c r="K1017" s="247"/>
    </row>
    <row r="1018" spans="1:11" x14ac:dyDescent="0.25">
      <c r="G1018" s="27"/>
      <c r="K1018" s="247"/>
    </row>
    <row r="1019" spans="1:11" x14ac:dyDescent="0.25">
      <c r="G1019" s="27"/>
      <c r="K1019" s="247"/>
    </row>
    <row r="1020" spans="1:11" x14ac:dyDescent="0.25">
      <c r="G1020" s="27"/>
    </row>
    <row r="1021" spans="1:11" x14ac:dyDescent="0.25">
      <c r="G1021" s="27"/>
    </row>
  </sheetData>
  <autoFilter ref="S2:Y52" xr:uid="{041B6461-E9A1-4E59-AD1E-DC44BD3FA27C}"/>
  <mergeCells count="1">
    <mergeCell ref="S1:Z1"/>
  </mergeCells>
  <phoneticPr fontId="2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B2A73-D591-4C7E-A980-98CF17877C3C}">
  <sheetPr codeName="Sheet25">
    <tabColor theme="8"/>
  </sheetPr>
  <dimension ref="A1:G18"/>
  <sheetViews>
    <sheetView showGridLines="0" workbookViewId="0">
      <selection activeCell="A26" sqref="A26"/>
    </sheetView>
  </sheetViews>
  <sheetFormatPr defaultRowHeight="15" x14ac:dyDescent="0.25"/>
  <cols>
    <col min="1" max="1" width="51.28515625" bestFit="1" customWidth="1"/>
    <col min="2" max="2" width="10.85546875" bestFit="1" customWidth="1"/>
    <col min="3" max="3" width="68" bestFit="1" customWidth="1"/>
    <col min="4" max="4" width="9.42578125" bestFit="1" customWidth="1"/>
    <col min="5" max="5" width="35.85546875" customWidth="1"/>
    <col min="6" max="6" width="28.42578125" customWidth="1"/>
    <col min="7" max="7" width="20.42578125" customWidth="1"/>
  </cols>
  <sheetData>
    <row r="1" spans="1:7" x14ac:dyDescent="0.25">
      <c r="A1" s="191" t="s">
        <v>1985</v>
      </c>
      <c r="B1" s="191" t="s">
        <v>1984</v>
      </c>
      <c r="C1" s="191" t="s">
        <v>1989</v>
      </c>
      <c r="D1" s="191" t="s">
        <v>1062</v>
      </c>
      <c r="E1" s="191" t="s">
        <v>1987</v>
      </c>
      <c r="F1" s="191" t="s">
        <v>1986</v>
      </c>
      <c r="G1" s="191" t="s">
        <v>1988</v>
      </c>
    </row>
    <row r="2" spans="1:7" x14ac:dyDescent="0.25">
      <c r="A2" t="s">
        <v>2155</v>
      </c>
      <c r="B2" t="s">
        <v>446</v>
      </c>
      <c r="C2" t="s">
        <v>39</v>
      </c>
      <c r="F2" t="s">
        <v>2158</v>
      </c>
    </row>
    <row r="3" spans="1:7" x14ac:dyDescent="0.25">
      <c r="A3" t="s">
        <v>2003</v>
      </c>
      <c r="B3" t="s">
        <v>1981</v>
      </c>
      <c r="C3" t="s">
        <v>1997</v>
      </c>
      <c r="G3" t="s">
        <v>1974</v>
      </c>
    </row>
    <row r="4" spans="1:7" x14ac:dyDescent="0.25">
      <c r="A4" t="s">
        <v>1977</v>
      </c>
      <c r="B4" t="s">
        <v>446</v>
      </c>
      <c r="C4" t="s">
        <v>39</v>
      </c>
      <c r="E4" t="s">
        <v>1990</v>
      </c>
      <c r="G4" t="s">
        <v>2005</v>
      </c>
    </row>
    <row r="5" spans="1:7" x14ac:dyDescent="0.25">
      <c r="A5" t="s">
        <v>1978</v>
      </c>
      <c r="B5" t="s">
        <v>446</v>
      </c>
      <c r="C5" t="s">
        <v>39</v>
      </c>
      <c r="E5" t="s">
        <v>1990</v>
      </c>
      <c r="G5" t="s">
        <v>2005</v>
      </c>
    </row>
    <row r="6" spans="1:7" x14ac:dyDescent="0.25">
      <c r="A6" t="s">
        <v>1991</v>
      </c>
      <c r="B6" t="s">
        <v>446</v>
      </c>
      <c r="C6" t="s">
        <v>39</v>
      </c>
      <c r="E6" t="s">
        <v>1994</v>
      </c>
      <c r="G6" t="s">
        <v>2005</v>
      </c>
    </row>
    <row r="7" spans="1:7" x14ac:dyDescent="0.25">
      <c r="A7" s="50" t="s">
        <v>1992</v>
      </c>
      <c r="B7" t="s">
        <v>446</v>
      </c>
      <c r="C7" t="s">
        <v>39</v>
      </c>
      <c r="E7" t="s">
        <v>1993</v>
      </c>
      <c r="G7" t="s">
        <v>2005</v>
      </c>
    </row>
    <row r="8" spans="1:7" x14ac:dyDescent="0.25">
      <c r="A8" s="50" t="s">
        <v>1996</v>
      </c>
      <c r="B8" t="s">
        <v>447</v>
      </c>
      <c r="C8" t="s">
        <v>39</v>
      </c>
      <c r="E8" t="s">
        <v>1995</v>
      </c>
      <c r="G8" t="s">
        <v>2005</v>
      </c>
    </row>
    <row r="9" spans="1:7" x14ac:dyDescent="0.25">
      <c r="A9" t="s">
        <v>1979</v>
      </c>
      <c r="B9" t="s">
        <v>446</v>
      </c>
      <c r="C9" t="s">
        <v>39</v>
      </c>
      <c r="E9" t="s">
        <v>39</v>
      </c>
      <c r="G9" t="s">
        <v>2005</v>
      </c>
    </row>
    <row r="10" spans="1:7" x14ac:dyDescent="0.25">
      <c r="A10" t="s">
        <v>1980</v>
      </c>
      <c r="B10" t="s">
        <v>446</v>
      </c>
      <c r="C10" t="s">
        <v>39</v>
      </c>
      <c r="E10" t="s">
        <v>39</v>
      </c>
      <c r="G10" t="s">
        <v>2005</v>
      </c>
    </row>
    <row r="11" spans="1:7" x14ac:dyDescent="0.25">
      <c r="A11" t="s">
        <v>1998</v>
      </c>
      <c r="B11" t="s">
        <v>446</v>
      </c>
      <c r="C11" t="s">
        <v>39</v>
      </c>
      <c r="E11" t="s">
        <v>39</v>
      </c>
      <c r="G11" t="s">
        <v>2005</v>
      </c>
    </row>
    <row r="12" spans="1:7" x14ac:dyDescent="0.25">
      <c r="A12" t="s">
        <v>1999</v>
      </c>
      <c r="B12" t="s">
        <v>446</v>
      </c>
      <c r="C12" t="s">
        <v>39</v>
      </c>
      <c r="E12" t="s">
        <v>39</v>
      </c>
      <c r="G12" t="s">
        <v>2005</v>
      </c>
    </row>
    <row r="13" spans="1:7" x14ac:dyDescent="0.25">
      <c r="A13" t="s">
        <v>2000</v>
      </c>
      <c r="B13" t="s">
        <v>446</v>
      </c>
      <c r="C13" t="s">
        <v>39</v>
      </c>
      <c r="E13" t="s">
        <v>39</v>
      </c>
      <c r="G13" t="s">
        <v>2005</v>
      </c>
    </row>
    <row r="14" spans="1:7" x14ac:dyDescent="0.25">
      <c r="A14" t="s">
        <v>2001</v>
      </c>
      <c r="B14" t="s">
        <v>446</v>
      </c>
      <c r="C14" t="s">
        <v>2007</v>
      </c>
      <c r="E14" t="s">
        <v>39</v>
      </c>
      <c r="G14" t="s">
        <v>1974</v>
      </c>
    </row>
    <row r="15" spans="1:7" x14ac:dyDescent="0.25">
      <c r="A15" t="s">
        <v>2002</v>
      </c>
      <c r="B15" t="s">
        <v>447</v>
      </c>
      <c r="C15" t="s">
        <v>2006</v>
      </c>
      <c r="E15" t="s">
        <v>39</v>
      </c>
      <c r="G15" t="s">
        <v>1974</v>
      </c>
    </row>
    <row r="16" spans="1:7" x14ac:dyDescent="0.25">
      <c r="A16" t="s">
        <v>1982</v>
      </c>
      <c r="B16" t="s">
        <v>1981</v>
      </c>
      <c r="C16" t="s">
        <v>2008</v>
      </c>
      <c r="E16" t="s">
        <v>2055</v>
      </c>
      <c r="G16" t="s">
        <v>2004</v>
      </c>
    </row>
    <row r="17" spans="1:7" x14ac:dyDescent="0.25">
      <c r="A17" t="s">
        <v>1983</v>
      </c>
      <c r="B17" t="s">
        <v>1981</v>
      </c>
      <c r="C17" t="s">
        <v>2008</v>
      </c>
      <c r="E17" t="s">
        <v>2056</v>
      </c>
      <c r="G17" t="s">
        <v>2004</v>
      </c>
    </row>
    <row r="18" spans="1:7" x14ac:dyDescent="0.25">
      <c r="A18" t="s">
        <v>2156</v>
      </c>
      <c r="B18" t="s">
        <v>2157</v>
      </c>
      <c r="C18" t="s">
        <v>39</v>
      </c>
      <c r="E18" t="s">
        <v>39</v>
      </c>
      <c r="G18" t="s">
        <v>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F2017-FC5F-4932-9350-58C4F8F3D177}">
  <sheetPr codeName="Sheet29">
    <tabColor theme="8"/>
  </sheetPr>
  <dimension ref="A1:B17"/>
  <sheetViews>
    <sheetView showGridLines="0" workbookViewId="0">
      <selection activeCell="C11" sqref="C11"/>
    </sheetView>
  </sheetViews>
  <sheetFormatPr defaultRowHeight="15" x14ac:dyDescent="0.25"/>
  <cols>
    <col min="1" max="1" width="25.140625" bestFit="1" customWidth="1"/>
    <col min="2" max="2" width="23.85546875" customWidth="1"/>
  </cols>
  <sheetData>
    <row r="1" spans="1:2" x14ac:dyDescent="0.25">
      <c r="A1" t="s">
        <v>3499</v>
      </c>
      <c r="B1" t="s">
        <v>3502</v>
      </c>
    </row>
    <row r="2" spans="1:2" x14ac:dyDescent="0.25">
      <c r="A2" t="s">
        <v>1250</v>
      </c>
      <c r="B2" t="s">
        <v>3500</v>
      </c>
    </row>
    <row r="3" spans="1:2" ht="41.25" customHeight="1" x14ac:dyDescent="0.25">
      <c r="A3" t="s">
        <v>60</v>
      </c>
      <c r="B3" s="50" t="s">
        <v>3501</v>
      </c>
    </row>
    <row r="11" spans="1:2" x14ac:dyDescent="0.25">
      <c r="B11" s="11"/>
    </row>
    <row r="12" spans="1:2" x14ac:dyDescent="0.25">
      <c r="B12" s="11"/>
    </row>
    <row r="14" spans="1:2" x14ac:dyDescent="0.25">
      <c r="B14" s="11"/>
    </row>
    <row r="16" spans="1:2" x14ac:dyDescent="0.25">
      <c r="B16" s="11"/>
    </row>
    <row r="17" spans="2:2" x14ac:dyDescent="0.25">
      <c r="B17" s="1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9CFB-2249-4FA1-BAD3-C00CBDAD4F82}">
  <sheetPr codeName="Sheet26">
    <tabColor theme="8"/>
  </sheetPr>
  <dimension ref="A1:B20"/>
  <sheetViews>
    <sheetView topLeftCell="A7" workbookViewId="0">
      <selection activeCell="J2" sqref="J2"/>
    </sheetView>
  </sheetViews>
  <sheetFormatPr defaultRowHeight="15" x14ac:dyDescent="0.25"/>
  <cols>
    <col min="1" max="1" width="7.42578125" bestFit="1" customWidth="1"/>
    <col min="2" max="2" width="154.5703125" customWidth="1"/>
  </cols>
  <sheetData>
    <row r="1" spans="1:2" x14ac:dyDescent="0.25">
      <c r="A1" t="s">
        <v>724</v>
      </c>
      <c r="B1" t="s">
        <v>2162</v>
      </c>
    </row>
    <row r="2" spans="1:2" ht="210" x14ac:dyDescent="0.25">
      <c r="A2" s="202">
        <v>44896</v>
      </c>
      <c r="B2" s="50" t="s">
        <v>2163</v>
      </c>
    </row>
    <row r="3" spans="1:2" ht="150" x14ac:dyDescent="0.25">
      <c r="A3" s="202">
        <v>44927</v>
      </c>
      <c r="B3" s="50" t="s">
        <v>2164</v>
      </c>
    </row>
    <row r="4" spans="1:2" ht="150" x14ac:dyDescent="0.25">
      <c r="A4" s="202">
        <v>44958</v>
      </c>
      <c r="B4" s="50" t="s">
        <v>2165</v>
      </c>
    </row>
    <row r="5" spans="1:2" ht="300" x14ac:dyDescent="0.25">
      <c r="A5" s="202">
        <v>44986</v>
      </c>
      <c r="B5" s="50" t="s">
        <v>2166</v>
      </c>
    </row>
    <row r="6" spans="1:2" ht="165" x14ac:dyDescent="0.25">
      <c r="A6" s="202">
        <v>45017</v>
      </c>
      <c r="B6" s="50" t="s">
        <v>2167</v>
      </c>
    </row>
    <row r="7" spans="1:2" ht="165" x14ac:dyDescent="0.25">
      <c r="A7" s="202">
        <v>45047</v>
      </c>
      <c r="B7" s="50" t="s">
        <v>2168</v>
      </c>
    </row>
    <row r="8" spans="1:2" ht="270" x14ac:dyDescent="0.25">
      <c r="A8" s="202">
        <v>45078</v>
      </c>
      <c r="B8" s="50" t="s">
        <v>2169</v>
      </c>
    </row>
    <row r="9" spans="1:2" ht="150" x14ac:dyDescent="0.25">
      <c r="A9" s="202">
        <v>45108</v>
      </c>
      <c r="B9" s="50" t="s">
        <v>2170</v>
      </c>
    </row>
    <row r="10" spans="1:2" ht="180" x14ac:dyDescent="0.25">
      <c r="A10" s="202">
        <v>45139</v>
      </c>
      <c r="B10" s="50" t="s">
        <v>2171</v>
      </c>
    </row>
    <row r="11" spans="1:2" ht="195" x14ac:dyDescent="0.25">
      <c r="A11" s="202">
        <v>45170</v>
      </c>
      <c r="B11" s="50" t="s">
        <v>2172</v>
      </c>
    </row>
    <row r="12" spans="1:2" ht="315" x14ac:dyDescent="0.25">
      <c r="A12" s="202">
        <v>45200</v>
      </c>
      <c r="B12" s="50" t="s">
        <v>2445</v>
      </c>
    </row>
    <row r="13" spans="1:2" ht="165" x14ac:dyDescent="0.25">
      <c r="A13" s="202">
        <v>45260</v>
      </c>
      <c r="B13" s="50" t="s">
        <v>2500</v>
      </c>
    </row>
    <row r="14" spans="1:2" ht="150" x14ac:dyDescent="0.25">
      <c r="A14" s="202">
        <v>45290</v>
      </c>
      <c r="B14" s="50" t="s">
        <v>2522</v>
      </c>
    </row>
    <row r="15" spans="1:2" ht="150" x14ac:dyDescent="0.25">
      <c r="A15" s="202">
        <v>45322</v>
      </c>
      <c r="B15" s="50" t="s">
        <v>3595</v>
      </c>
    </row>
    <row r="16" spans="1:2" ht="165" x14ac:dyDescent="0.25">
      <c r="A16" s="202">
        <v>45351</v>
      </c>
      <c r="B16" s="50" t="s">
        <v>3726</v>
      </c>
    </row>
    <row r="17" spans="1:2" ht="285" x14ac:dyDescent="0.25">
      <c r="A17" s="202">
        <v>45379</v>
      </c>
      <c r="B17" s="50" t="s">
        <v>3738</v>
      </c>
    </row>
    <row r="18" spans="1:2" ht="180" x14ac:dyDescent="0.25">
      <c r="A18" s="202">
        <v>45412</v>
      </c>
      <c r="B18" s="50" t="s">
        <v>3864</v>
      </c>
    </row>
    <row r="19" spans="1:2" ht="240" x14ac:dyDescent="0.25">
      <c r="A19" s="202">
        <v>45443</v>
      </c>
      <c r="B19" s="50" t="s">
        <v>3954</v>
      </c>
    </row>
    <row r="20" spans="1:2" ht="240" x14ac:dyDescent="0.25">
      <c r="A20" s="202">
        <v>45473</v>
      </c>
      <c r="B20" s="50" t="s">
        <v>3984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ABF071-BCC8-4E7A-8606-4F736E872FD8}">
  <sheetPr codeName="Sheet1">
    <tabColor theme="8"/>
  </sheetPr>
  <dimension ref="A1:AE443"/>
  <sheetViews>
    <sheetView showGridLines="0" zoomScale="85" zoomScaleNormal="85" workbookViewId="0">
      <pane xSplit="3" ySplit="1" topLeftCell="L360" activePane="bottomRight" state="frozen"/>
      <selection activeCell="F31" sqref="A29:F31"/>
      <selection pane="topRight" activeCell="F31" sqref="A29:F31"/>
      <selection pane="bottomLeft" activeCell="F31" sqref="A29:F31"/>
      <selection pane="bottomRight" activeCell="O381" sqref="O381"/>
    </sheetView>
  </sheetViews>
  <sheetFormatPr defaultRowHeight="15" x14ac:dyDescent="0.25"/>
  <cols>
    <col min="1" max="1" width="6" style="1" customWidth="1"/>
    <col min="2" max="2" width="18.42578125" style="1" customWidth="1"/>
    <col min="3" max="3" width="18.7109375" style="1" customWidth="1"/>
    <col min="4" max="4" width="15.85546875" style="1" bestFit="1" customWidth="1"/>
    <col min="5" max="23" width="13.28515625" style="1" customWidth="1"/>
    <col min="24" max="24" width="15" style="1" customWidth="1"/>
    <col min="25" max="25" width="87.5703125" style="7" bestFit="1" customWidth="1"/>
    <col min="26" max="30" width="9.140625" style="1"/>
    <col min="31" max="31" width="17.85546875" style="1" bestFit="1" customWidth="1"/>
    <col min="32" max="16384" width="9.140625" style="1"/>
  </cols>
  <sheetData>
    <row r="1" spans="1:31" x14ac:dyDescent="0.25">
      <c r="A1" s="1" t="s">
        <v>586</v>
      </c>
      <c r="B1" s="5" t="s">
        <v>0</v>
      </c>
      <c r="C1" s="5" t="s">
        <v>1</v>
      </c>
      <c r="D1" s="5" t="s">
        <v>124</v>
      </c>
      <c r="E1" s="5" t="s">
        <v>125</v>
      </c>
      <c r="F1" s="5" t="s">
        <v>126</v>
      </c>
      <c r="G1" s="5" t="s">
        <v>127</v>
      </c>
      <c r="H1" s="5" t="s">
        <v>128</v>
      </c>
      <c r="I1" s="5" t="s">
        <v>129</v>
      </c>
      <c r="J1" s="5" t="s">
        <v>130</v>
      </c>
      <c r="K1" s="5" t="s">
        <v>131</v>
      </c>
      <c r="L1" s="5" t="s">
        <v>132</v>
      </c>
      <c r="M1" s="5" t="s">
        <v>133</v>
      </c>
      <c r="N1" s="5" t="s">
        <v>134</v>
      </c>
      <c r="O1" s="5" t="s">
        <v>135</v>
      </c>
      <c r="P1" s="5" t="s">
        <v>136</v>
      </c>
      <c r="Q1" s="5" t="s">
        <v>137</v>
      </c>
      <c r="R1" s="5" t="s">
        <v>138</v>
      </c>
      <c r="S1" s="5" t="s">
        <v>139</v>
      </c>
      <c r="T1" s="5" t="s">
        <v>140</v>
      </c>
      <c r="U1" s="5" t="s">
        <v>141</v>
      </c>
      <c r="V1" s="5" t="s">
        <v>142</v>
      </c>
      <c r="W1" s="5" t="s">
        <v>143</v>
      </c>
      <c r="X1" s="5" t="s">
        <v>7</v>
      </c>
      <c r="Y1" s="5" t="s">
        <v>5</v>
      </c>
    </row>
    <row r="2" spans="1:31" x14ac:dyDescent="0.25">
      <c r="A2" s="1">
        <f>WEEKDAY(B2,1)</f>
        <v>2</v>
      </c>
      <c r="B2" s="4">
        <v>44683</v>
      </c>
      <c r="C2" s="3" t="s">
        <v>2</v>
      </c>
      <c r="D2" s="6" t="s">
        <v>6</v>
      </c>
      <c r="E2" s="6" t="s">
        <v>6</v>
      </c>
      <c r="F2" s="6" t="s">
        <v>6</v>
      </c>
      <c r="G2" s="6" t="s">
        <v>6</v>
      </c>
      <c r="H2" s="6" t="s">
        <v>6</v>
      </c>
      <c r="I2" s="6" t="s">
        <v>6</v>
      </c>
      <c r="J2" s="6" t="s">
        <v>6</v>
      </c>
      <c r="K2" s="6" t="s">
        <v>6</v>
      </c>
      <c r="L2" s="6" t="s">
        <v>6</v>
      </c>
      <c r="M2" s="6" t="s">
        <v>6</v>
      </c>
      <c r="N2" s="6" t="s">
        <v>6</v>
      </c>
      <c r="O2" s="6" t="s">
        <v>6</v>
      </c>
      <c r="P2" s="6" t="s">
        <v>6</v>
      </c>
      <c r="Q2" s="6" t="s">
        <v>6</v>
      </c>
      <c r="R2" s="6" t="s">
        <v>6</v>
      </c>
      <c r="S2" s="6" t="s">
        <v>6</v>
      </c>
      <c r="T2" s="6" t="s">
        <v>6</v>
      </c>
      <c r="U2" s="6" t="s">
        <v>6</v>
      </c>
      <c r="V2" s="6" t="s">
        <v>6</v>
      </c>
      <c r="W2" s="6" t="s">
        <v>6</v>
      </c>
      <c r="X2" s="2" t="str">
        <f t="shared" ref="X2:X60" ca="1" si="0">IF(B2&lt;TODAY(),IF(COUNTBLANK(D2:W2)=0,"Conforme","Não conforme"),"")</f>
        <v>Conforme</v>
      </c>
      <c r="Y2" s="2"/>
    </row>
    <row r="3" spans="1:31" x14ac:dyDescent="0.25">
      <c r="A3" s="1">
        <f t="shared" ref="A3:A66" si="1">WEEKDAY(B3,1)</f>
        <v>2</v>
      </c>
      <c r="B3" s="4">
        <v>44683</v>
      </c>
      <c r="C3" s="3" t="s">
        <v>3</v>
      </c>
      <c r="D3" s="6" t="s">
        <v>6</v>
      </c>
      <c r="E3" s="6" t="s">
        <v>6</v>
      </c>
      <c r="F3" s="6" t="s">
        <v>6</v>
      </c>
      <c r="G3" s="6" t="s">
        <v>6</v>
      </c>
      <c r="H3" s="6" t="s">
        <v>6</v>
      </c>
      <c r="I3" s="6" t="s">
        <v>6</v>
      </c>
      <c r="J3" s="6" t="s">
        <v>6</v>
      </c>
      <c r="K3" s="6" t="s">
        <v>6</v>
      </c>
      <c r="L3" s="6" t="s">
        <v>6</v>
      </c>
      <c r="M3" s="6" t="s">
        <v>6</v>
      </c>
      <c r="N3" s="6" t="s">
        <v>6</v>
      </c>
      <c r="O3" s="6" t="s">
        <v>6</v>
      </c>
      <c r="P3" s="6" t="s">
        <v>6</v>
      </c>
      <c r="Q3" s="6" t="s">
        <v>6</v>
      </c>
      <c r="R3" s="6" t="s">
        <v>6</v>
      </c>
      <c r="S3" s="6" t="s">
        <v>6</v>
      </c>
      <c r="T3" s="6" t="s">
        <v>6</v>
      </c>
      <c r="U3" s="6" t="s">
        <v>6</v>
      </c>
      <c r="V3" s="6" t="s">
        <v>6</v>
      </c>
      <c r="W3" s="6" t="s">
        <v>6</v>
      </c>
      <c r="X3" s="2" t="str">
        <f t="shared" ca="1" si="0"/>
        <v>Conforme</v>
      </c>
      <c r="Y3" s="2"/>
    </row>
    <row r="4" spans="1:31" x14ac:dyDescent="0.25">
      <c r="A4" s="1">
        <f t="shared" si="1"/>
        <v>2</v>
      </c>
      <c r="B4" s="4">
        <v>44683</v>
      </c>
      <c r="C4" s="3" t="s">
        <v>4</v>
      </c>
      <c r="D4" s="6" t="s">
        <v>6</v>
      </c>
      <c r="E4" s="6" t="s">
        <v>6</v>
      </c>
      <c r="F4" s="6" t="s">
        <v>6</v>
      </c>
      <c r="G4" s="6" t="s">
        <v>6</v>
      </c>
      <c r="H4" s="6" t="s">
        <v>6</v>
      </c>
      <c r="I4" s="6" t="s">
        <v>6</v>
      </c>
      <c r="J4" s="6" t="s">
        <v>6</v>
      </c>
      <c r="K4" s="6" t="s">
        <v>6</v>
      </c>
      <c r="L4" s="6" t="s">
        <v>6</v>
      </c>
      <c r="M4" s="6" t="s">
        <v>6</v>
      </c>
      <c r="N4" s="6" t="s">
        <v>6</v>
      </c>
      <c r="O4" s="6" t="s">
        <v>6</v>
      </c>
      <c r="P4" s="6" t="s">
        <v>6</v>
      </c>
      <c r="Q4" s="6" t="s">
        <v>6</v>
      </c>
      <c r="R4" s="6" t="s">
        <v>6</v>
      </c>
      <c r="S4" s="6" t="s">
        <v>6</v>
      </c>
      <c r="T4" s="6" t="s">
        <v>6</v>
      </c>
      <c r="U4" s="6" t="s">
        <v>6</v>
      </c>
      <c r="V4" s="6" t="s">
        <v>6</v>
      </c>
      <c r="W4" s="6" t="s">
        <v>6</v>
      </c>
      <c r="X4" s="2" t="str">
        <f t="shared" ca="1" si="0"/>
        <v>Conforme</v>
      </c>
      <c r="Y4" s="2"/>
    </row>
    <row r="5" spans="1:31" x14ac:dyDescent="0.25">
      <c r="A5" s="1">
        <f t="shared" si="1"/>
        <v>3</v>
      </c>
      <c r="B5" s="4">
        <f>B2+1</f>
        <v>44684</v>
      </c>
      <c r="C5" s="3" t="s">
        <v>2</v>
      </c>
      <c r="D5" s="6" t="s">
        <v>6</v>
      </c>
      <c r="E5" s="6" t="s">
        <v>6</v>
      </c>
      <c r="F5" s="6" t="s">
        <v>6</v>
      </c>
      <c r="G5" s="6"/>
      <c r="H5" s="6" t="s">
        <v>6</v>
      </c>
      <c r="I5" s="6" t="s">
        <v>6</v>
      </c>
      <c r="J5" s="6" t="s">
        <v>6</v>
      </c>
      <c r="K5" s="6" t="s">
        <v>6</v>
      </c>
      <c r="L5" s="6" t="s">
        <v>6</v>
      </c>
      <c r="M5" s="6" t="s">
        <v>6</v>
      </c>
      <c r="N5" s="6" t="s">
        <v>6</v>
      </c>
      <c r="O5" s="6" t="s">
        <v>6</v>
      </c>
      <c r="P5" s="6" t="s">
        <v>6</v>
      </c>
      <c r="Q5" s="6" t="s">
        <v>6</v>
      </c>
      <c r="R5" s="6" t="s">
        <v>6</v>
      </c>
      <c r="S5" s="6" t="s">
        <v>6</v>
      </c>
      <c r="T5" s="6" t="s">
        <v>6</v>
      </c>
      <c r="U5" s="6" t="s">
        <v>6</v>
      </c>
      <c r="V5" s="6" t="s">
        <v>6</v>
      </c>
      <c r="W5" s="6" t="s">
        <v>6</v>
      </c>
      <c r="X5" s="2" t="str">
        <f t="shared" ca="1" si="0"/>
        <v>Não conforme</v>
      </c>
      <c r="Y5" s="2" t="s">
        <v>12</v>
      </c>
      <c r="AE5" s="5" t="s">
        <v>0</v>
      </c>
    </row>
    <row r="6" spans="1:31" x14ac:dyDescent="0.25">
      <c r="A6" s="1">
        <f t="shared" si="1"/>
        <v>3</v>
      </c>
      <c r="B6" s="4">
        <f t="shared" ref="B6:B10" si="2">B3+1</f>
        <v>44684</v>
      </c>
      <c r="C6" s="3" t="s">
        <v>3</v>
      </c>
      <c r="D6" s="6" t="s">
        <v>6</v>
      </c>
      <c r="E6" s="6" t="s">
        <v>6</v>
      </c>
      <c r="F6" s="6" t="s">
        <v>6</v>
      </c>
      <c r="G6" s="6"/>
      <c r="H6" s="6" t="s">
        <v>6</v>
      </c>
      <c r="I6" s="6" t="s">
        <v>6</v>
      </c>
      <c r="J6" s="6" t="s">
        <v>6</v>
      </c>
      <c r="K6" s="6" t="s">
        <v>6</v>
      </c>
      <c r="L6" s="6" t="s">
        <v>6</v>
      </c>
      <c r="M6" s="6" t="s">
        <v>6</v>
      </c>
      <c r="N6" s="6" t="s">
        <v>6</v>
      </c>
      <c r="O6" s="6" t="s">
        <v>6</v>
      </c>
      <c r="P6" s="6" t="s">
        <v>6</v>
      </c>
      <c r="Q6" s="6" t="s">
        <v>6</v>
      </c>
      <c r="R6" s="6" t="s">
        <v>6</v>
      </c>
      <c r="S6" s="6" t="s">
        <v>6</v>
      </c>
      <c r="T6" s="6" t="s">
        <v>6</v>
      </c>
      <c r="U6" s="6" t="s">
        <v>6</v>
      </c>
      <c r="V6" s="6" t="s">
        <v>6</v>
      </c>
      <c r="W6" s="6" t="s">
        <v>6</v>
      </c>
      <c r="X6" s="2" t="str">
        <f t="shared" ca="1" si="0"/>
        <v>Não conforme</v>
      </c>
      <c r="Y6" s="2" t="s">
        <v>12</v>
      </c>
      <c r="AE6" s="5" t="s">
        <v>1212</v>
      </c>
    </row>
    <row r="7" spans="1:31" x14ac:dyDescent="0.25">
      <c r="A7" s="1">
        <f t="shared" si="1"/>
        <v>3</v>
      </c>
      <c r="B7" s="4">
        <f t="shared" si="2"/>
        <v>44684</v>
      </c>
      <c r="C7" s="3" t="s">
        <v>4</v>
      </c>
      <c r="D7" s="6" t="s">
        <v>6</v>
      </c>
      <c r="E7" s="6" t="s">
        <v>6</v>
      </c>
      <c r="F7" s="6" t="s">
        <v>6</v>
      </c>
      <c r="G7" s="6"/>
      <c r="H7" s="6" t="s">
        <v>6</v>
      </c>
      <c r="I7" s="6" t="s">
        <v>6</v>
      </c>
      <c r="J7" s="6" t="s">
        <v>6</v>
      </c>
      <c r="K7" s="6" t="s">
        <v>6</v>
      </c>
      <c r="L7" s="6" t="s">
        <v>6</v>
      </c>
      <c r="M7" s="6" t="s">
        <v>6</v>
      </c>
      <c r="N7" s="6" t="s">
        <v>6</v>
      </c>
      <c r="O7" s="6" t="s">
        <v>6</v>
      </c>
      <c r="P7" s="6" t="s">
        <v>6</v>
      </c>
      <c r="Q7" s="6" t="s">
        <v>6</v>
      </c>
      <c r="R7" s="6" t="s">
        <v>6</v>
      </c>
      <c r="S7" s="6" t="s">
        <v>6</v>
      </c>
      <c r="T7" s="6" t="s">
        <v>6</v>
      </c>
      <c r="U7" s="6" t="s">
        <v>6</v>
      </c>
      <c r="V7" s="6" t="s">
        <v>6</v>
      </c>
      <c r="W7" s="6" t="s">
        <v>6</v>
      </c>
      <c r="X7" s="2" t="str">
        <f t="shared" ca="1" si="0"/>
        <v>Não conforme</v>
      </c>
      <c r="Y7" s="2" t="s">
        <v>12</v>
      </c>
      <c r="AE7" s="5" t="s">
        <v>1192</v>
      </c>
    </row>
    <row r="8" spans="1:31" x14ac:dyDescent="0.25">
      <c r="A8" s="1">
        <f t="shared" si="1"/>
        <v>4</v>
      </c>
      <c r="B8" s="4">
        <f t="shared" si="2"/>
        <v>44685</v>
      </c>
      <c r="C8" s="3" t="s">
        <v>2</v>
      </c>
      <c r="D8" s="6" t="s">
        <v>6</v>
      </c>
      <c r="E8" s="6" t="s">
        <v>6</v>
      </c>
      <c r="F8" s="6" t="s">
        <v>6</v>
      </c>
      <c r="G8" s="6"/>
      <c r="H8" s="6" t="s">
        <v>6</v>
      </c>
      <c r="I8" s="6" t="s">
        <v>6</v>
      </c>
      <c r="J8" s="6" t="s">
        <v>6</v>
      </c>
      <c r="K8" s="6" t="s">
        <v>6</v>
      </c>
      <c r="L8" s="6" t="s">
        <v>6</v>
      </c>
      <c r="M8" s="6" t="s">
        <v>6</v>
      </c>
      <c r="N8" s="6" t="s">
        <v>6</v>
      </c>
      <c r="O8" s="6" t="s">
        <v>6</v>
      </c>
      <c r="P8" s="6" t="s">
        <v>6</v>
      </c>
      <c r="Q8" s="6" t="s">
        <v>6</v>
      </c>
      <c r="R8" s="6" t="s">
        <v>6</v>
      </c>
      <c r="S8" s="6" t="s">
        <v>6</v>
      </c>
      <c r="T8" s="6" t="s">
        <v>6</v>
      </c>
      <c r="U8" s="6" t="s">
        <v>6</v>
      </c>
      <c r="V8" s="6" t="s">
        <v>6</v>
      </c>
      <c r="W8" s="6" t="s">
        <v>6</v>
      </c>
      <c r="X8" s="2" t="str">
        <f t="shared" ca="1" si="0"/>
        <v>Não conforme</v>
      </c>
      <c r="Y8" s="2" t="s">
        <v>12</v>
      </c>
      <c r="AE8" s="5" t="s">
        <v>1193</v>
      </c>
    </row>
    <row r="9" spans="1:31" x14ac:dyDescent="0.25">
      <c r="A9" s="1">
        <f t="shared" si="1"/>
        <v>4</v>
      </c>
      <c r="B9" s="4">
        <f t="shared" si="2"/>
        <v>44685</v>
      </c>
      <c r="C9" s="3" t="s">
        <v>3</v>
      </c>
      <c r="D9" s="6" t="s">
        <v>6</v>
      </c>
      <c r="E9" s="6"/>
      <c r="F9" s="6" t="s">
        <v>6</v>
      </c>
      <c r="G9" s="6"/>
      <c r="H9" s="6" t="s">
        <v>6</v>
      </c>
      <c r="I9" s="6" t="s">
        <v>6</v>
      </c>
      <c r="J9" s="6" t="s">
        <v>6</v>
      </c>
      <c r="K9" s="6" t="s">
        <v>6</v>
      </c>
      <c r="L9" s="6" t="s">
        <v>6</v>
      </c>
      <c r="M9" s="6" t="s">
        <v>6</v>
      </c>
      <c r="N9" s="6" t="s">
        <v>6</v>
      </c>
      <c r="O9" s="6" t="s">
        <v>6</v>
      </c>
      <c r="P9" s="6" t="s">
        <v>6</v>
      </c>
      <c r="Q9" s="6" t="s">
        <v>6</v>
      </c>
      <c r="R9" s="6" t="s">
        <v>6</v>
      </c>
      <c r="S9" s="6" t="s">
        <v>6</v>
      </c>
      <c r="T9" s="6" t="s">
        <v>6</v>
      </c>
      <c r="U9" s="6" t="s">
        <v>6</v>
      </c>
      <c r="V9" s="6" t="s">
        <v>6</v>
      </c>
      <c r="W9" s="6" t="s">
        <v>6</v>
      </c>
      <c r="X9" s="2" t="str">
        <f t="shared" ca="1" si="0"/>
        <v>Não conforme</v>
      </c>
      <c r="Y9" s="2" t="s">
        <v>12</v>
      </c>
      <c r="AE9" s="5" t="s">
        <v>1194</v>
      </c>
    </row>
    <row r="10" spans="1:31" x14ac:dyDescent="0.25">
      <c r="A10" s="1">
        <f t="shared" si="1"/>
        <v>4</v>
      </c>
      <c r="B10" s="4">
        <f t="shared" si="2"/>
        <v>44685</v>
      </c>
      <c r="C10" s="3" t="s">
        <v>4</v>
      </c>
      <c r="D10" s="6" t="s">
        <v>6</v>
      </c>
      <c r="E10" s="6" t="s">
        <v>6</v>
      </c>
      <c r="F10" s="6" t="s">
        <v>6</v>
      </c>
      <c r="G10" s="6" t="s">
        <v>6</v>
      </c>
      <c r="H10" s="6" t="s">
        <v>6</v>
      </c>
      <c r="I10" s="6" t="s">
        <v>6</v>
      </c>
      <c r="J10" s="6" t="s">
        <v>6</v>
      </c>
      <c r="K10" s="6" t="s">
        <v>6</v>
      </c>
      <c r="L10" s="6" t="s">
        <v>6</v>
      </c>
      <c r="M10" s="6" t="s">
        <v>6</v>
      </c>
      <c r="N10" s="6" t="s">
        <v>6</v>
      </c>
      <c r="O10" s="6" t="s">
        <v>6</v>
      </c>
      <c r="P10" s="6" t="s">
        <v>6</v>
      </c>
      <c r="Q10" s="6" t="s">
        <v>6</v>
      </c>
      <c r="R10" s="6" t="s">
        <v>6</v>
      </c>
      <c r="S10" s="6" t="s">
        <v>6</v>
      </c>
      <c r="T10" s="6" t="s">
        <v>6</v>
      </c>
      <c r="U10" s="6" t="s">
        <v>6</v>
      </c>
      <c r="V10" s="6" t="s">
        <v>6</v>
      </c>
      <c r="W10" s="6" t="s">
        <v>6</v>
      </c>
      <c r="X10" s="2" t="str">
        <f t="shared" ca="1" si="0"/>
        <v>Conforme</v>
      </c>
      <c r="Y10" s="2"/>
      <c r="AE10" s="5" t="s">
        <v>1195</v>
      </c>
    </row>
    <row r="11" spans="1:31" x14ac:dyDescent="0.25">
      <c r="A11" s="1">
        <f t="shared" si="1"/>
        <v>5</v>
      </c>
      <c r="B11" s="4">
        <f>B8+1</f>
        <v>44686</v>
      </c>
      <c r="C11" s="3" t="s">
        <v>2</v>
      </c>
      <c r="D11" s="6" t="s">
        <v>6</v>
      </c>
      <c r="E11" s="6" t="s">
        <v>6</v>
      </c>
      <c r="F11" s="6" t="s">
        <v>6</v>
      </c>
      <c r="G11" s="6" t="s">
        <v>6</v>
      </c>
      <c r="H11" s="6" t="s">
        <v>6</v>
      </c>
      <c r="I11" s="6" t="s">
        <v>6</v>
      </c>
      <c r="J11" s="6" t="s">
        <v>6</v>
      </c>
      <c r="K11" s="6" t="s">
        <v>6</v>
      </c>
      <c r="L11" s="6" t="s">
        <v>6</v>
      </c>
      <c r="M11" s="6" t="s">
        <v>6</v>
      </c>
      <c r="N11" s="6" t="s">
        <v>6</v>
      </c>
      <c r="O11" s="6" t="s">
        <v>6</v>
      </c>
      <c r="P11" s="6" t="s">
        <v>6</v>
      </c>
      <c r="Q11" s="6" t="s">
        <v>6</v>
      </c>
      <c r="R11" s="6" t="s">
        <v>6</v>
      </c>
      <c r="S11" s="6" t="s">
        <v>6</v>
      </c>
      <c r="T11" s="6" t="s">
        <v>6</v>
      </c>
      <c r="U11" s="6" t="s">
        <v>6</v>
      </c>
      <c r="V11" s="6" t="s">
        <v>6</v>
      </c>
      <c r="W11" s="6" t="s">
        <v>6</v>
      </c>
      <c r="X11" s="2" t="str">
        <f t="shared" ca="1" si="0"/>
        <v>Conforme</v>
      </c>
      <c r="Y11" s="2"/>
      <c r="AE11" s="5" t="s">
        <v>1196</v>
      </c>
    </row>
    <row r="12" spans="1:31" x14ac:dyDescent="0.25">
      <c r="A12" s="1">
        <f t="shared" si="1"/>
        <v>5</v>
      </c>
      <c r="B12" s="4">
        <f t="shared" ref="B12:B46" si="3">B9+1</f>
        <v>44686</v>
      </c>
      <c r="C12" s="3" t="s">
        <v>3</v>
      </c>
      <c r="D12" s="6" t="s">
        <v>6</v>
      </c>
      <c r="E12" s="6" t="s">
        <v>6</v>
      </c>
      <c r="F12" s="6" t="s">
        <v>6</v>
      </c>
      <c r="G12" s="6" t="s">
        <v>6</v>
      </c>
      <c r="H12" s="6" t="s">
        <v>6</v>
      </c>
      <c r="I12" s="6" t="s">
        <v>6</v>
      </c>
      <c r="J12" s="6" t="s">
        <v>6</v>
      </c>
      <c r="K12" s="6" t="s">
        <v>6</v>
      </c>
      <c r="L12" s="6" t="s">
        <v>6</v>
      </c>
      <c r="M12" s="6" t="s">
        <v>6</v>
      </c>
      <c r="N12" s="6" t="s">
        <v>6</v>
      </c>
      <c r="O12" s="6" t="s">
        <v>6</v>
      </c>
      <c r="P12" s="6" t="s">
        <v>6</v>
      </c>
      <c r="Q12" s="6" t="s">
        <v>6</v>
      </c>
      <c r="R12" s="6" t="s">
        <v>6</v>
      </c>
      <c r="S12" s="6" t="s">
        <v>6</v>
      </c>
      <c r="T12" s="6" t="s">
        <v>6</v>
      </c>
      <c r="U12" s="6" t="s">
        <v>6</v>
      </c>
      <c r="V12" s="6" t="s">
        <v>6</v>
      </c>
      <c r="W12" s="6" t="s">
        <v>6</v>
      </c>
      <c r="X12" s="2" t="str">
        <f t="shared" ca="1" si="0"/>
        <v>Conforme</v>
      </c>
      <c r="Y12" s="2"/>
      <c r="AE12" s="5" t="s">
        <v>1197</v>
      </c>
    </row>
    <row r="13" spans="1:31" x14ac:dyDescent="0.25">
      <c r="A13" s="1">
        <f t="shared" si="1"/>
        <v>5</v>
      </c>
      <c r="B13" s="4">
        <f t="shared" si="3"/>
        <v>44686</v>
      </c>
      <c r="C13" s="3" t="s">
        <v>4</v>
      </c>
      <c r="D13" s="6" t="s">
        <v>6</v>
      </c>
      <c r="E13" s="6" t="s">
        <v>6</v>
      </c>
      <c r="F13" s="6" t="s">
        <v>6</v>
      </c>
      <c r="G13" s="6" t="s">
        <v>6</v>
      </c>
      <c r="H13" s="6" t="s">
        <v>6</v>
      </c>
      <c r="I13" s="6" t="s">
        <v>6</v>
      </c>
      <c r="J13" s="6" t="s">
        <v>6</v>
      </c>
      <c r="K13" s="6" t="s">
        <v>6</v>
      </c>
      <c r="L13" s="6" t="s">
        <v>6</v>
      </c>
      <c r="M13" s="6" t="s">
        <v>6</v>
      </c>
      <c r="N13" s="6" t="s">
        <v>6</v>
      </c>
      <c r="O13" s="6" t="s">
        <v>6</v>
      </c>
      <c r="P13" s="6" t="s">
        <v>6</v>
      </c>
      <c r="Q13" s="6" t="s">
        <v>6</v>
      </c>
      <c r="R13" s="6" t="s">
        <v>6</v>
      </c>
      <c r="S13" s="6" t="s">
        <v>6</v>
      </c>
      <c r="T13" s="6" t="s">
        <v>6</v>
      </c>
      <c r="U13" s="6" t="s">
        <v>6</v>
      </c>
      <c r="V13" s="6" t="s">
        <v>6</v>
      </c>
      <c r="W13" s="6" t="s">
        <v>6</v>
      </c>
      <c r="X13" s="2" t="str">
        <f t="shared" ca="1" si="0"/>
        <v>Conforme</v>
      </c>
      <c r="Y13" s="2"/>
      <c r="AE13" s="5" t="s">
        <v>1198</v>
      </c>
    </row>
    <row r="14" spans="1:31" x14ac:dyDescent="0.25">
      <c r="A14" s="1">
        <f t="shared" si="1"/>
        <v>6</v>
      </c>
      <c r="B14" s="4">
        <f t="shared" si="3"/>
        <v>44687</v>
      </c>
      <c r="C14" s="3" t="s">
        <v>2</v>
      </c>
      <c r="D14" s="6" t="s">
        <v>6</v>
      </c>
      <c r="E14" s="6"/>
      <c r="F14" s="6" t="s">
        <v>6</v>
      </c>
      <c r="G14" s="6"/>
      <c r="H14" s="6" t="s">
        <v>6</v>
      </c>
      <c r="I14" s="6" t="s">
        <v>6</v>
      </c>
      <c r="J14" s="6" t="s">
        <v>6</v>
      </c>
      <c r="K14" s="6" t="s">
        <v>6</v>
      </c>
      <c r="L14" s="6" t="s">
        <v>6</v>
      </c>
      <c r="M14" s="6" t="s">
        <v>6</v>
      </c>
      <c r="N14" s="6" t="s">
        <v>6</v>
      </c>
      <c r="O14" s="6" t="s">
        <v>6</v>
      </c>
      <c r="P14" s="6" t="s">
        <v>6</v>
      </c>
      <c r="Q14" s="6" t="s">
        <v>6</v>
      </c>
      <c r="R14" s="6" t="s">
        <v>6</v>
      </c>
      <c r="S14" s="6" t="s">
        <v>6</v>
      </c>
      <c r="T14" s="6" t="s">
        <v>6</v>
      </c>
      <c r="U14" s="6" t="s">
        <v>6</v>
      </c>
      <c r="V14" s="6" t="s">
        <v>6</v>
      </c>
      <c r="W14" s="6" t="s">
        <v>6</v>
      </c>
      <c r="X14" s="2" t="str">
        <f t="shared" ca="1" si="0"/>
        <v>Não conforme</v>
      </c>
      <c r="Y14" s="2" t="s">
        <v>12</v>
      </c>
      <c r="AE14" s="5" t="s">
        <v>1199</v>
      </c>
    </row>
    <row r="15" spans="1:31" x14ac:dyDescent="0.25">
      <c r="A15" s="1">
        <f t="shared" si="1"/>
        <v>6</v>
      </c>
      <c r="B15" s="4">
        <f t="shared" si="3"/>
        <v>44687</v>
      </c>
      <c r="C15" s="3" t="s">
        <v>3</v>
      </c>
      <c r="D15" s="6" t="s">
        <v>6</v>
      </c>
      <c r="E15" s="6" t="s">
        <v>6</v>
      </c>
      <c r="F15" s="6" t="s">
        <v>6</v>
      </c>
      <c r="G15" s="6"/>
      <c r="H15" s="6" t="s">
        <v>6</v>
      </c>
      <c r="I15" s="6" t="s">
        <v>6</v>
      </c>
      <c r="J15" s="6" t="s">
        <v>6</v>
      </c>
      <c r="K15" s="6" t="s">
        <v>6</v>
      </c>
      <c r="L15" s="6" t="s">
        <v>6</v>
      </c>
      <c r="M15" s="6" t="s">
        <v>6</v>
      </c>
      <c r="N15" s="6" t="s">
        <v>6</v>
      </c>
      <c r="O15" s="6" t="s">
        <v>6</v>
      </c>
      <c r="P15" s="6" t="s">
        <v>6</v>
      </c>
      <c r="Q15" s="6" t="s">
        <v>6</v>
      </c>
      <c r="R15" s="6" t="s">
        <v>6</v>
      </c>
      <c r="S15" s="6" t="s">
        <v>6</v>
      </c>
      <c r="T15" s="6" t="s">
        <v>6</v>
      </c>
      <c r="U15" s="6" t="s">
        <v>6</v>
      </c>
      <c r="V15" s="6" t="s">
        <v>6</v>
      </c>
      <c r="W15" s="6" t="s">
        <v>6</v>
      </c>
      <c r="X15" s="2" t="str">
        <f t="shared" ca="1" si="0"/>
        <v>Não conforme</v>
      </c>
      <c r="Y15" s="2" t="s">
        <v>12</v>
      </c>
      <c r="AE15" s="5" t="s">
        <v>1200</v>
      </c>
    </row>
    <row r="16" spans="1:31" x14ac:dyDescent="0.25">
      <c r="A16" s="1">
        <f t="shared" si="1"/>
        <v>6</v>
      </c>
      <c r="B16" s="4">
        <f t="shared" si="3"/>
        <v>44687</v>
      </c>
      <c r="C16" s="3" t="s">
        <v>4</v>
      </c>
      <c r="D16" s="6" t="s">
        <v>6</v>
      </c>
      <c r="E16" s="6" t="s">
        <v>6</v>
      </c>
      <c r="F16" s="6" t="s">
        <v>6</v>
      </c>
      <c r="G16" s="6" t="s">
        <v>6</v>
      </c>
      <c r="H16" s="6" t="s">
        <v>6</v>
      </c>
      <c r="I16" s="6" t="s">
        <v>6</v>
      </c>
      <c r="J16" s="6" t="s">
        <v>6</v>
      </c>
      <c r="K16" s="6" t="s">
        <v>6</v>
      </c>
      <c r="L16" s="6" t="s">
        <v>6</v>
      </c>
      <c r="M16" s="6" t="s">
        <v>6</v>
      </c>
      <c r="N16" s="6" t="s">
        <v>6</v>
      </c>
      <c r="O16" s="6" t="s">
        <v>6</v>
      </c>
      <c r="P16" s="6" t="s">
        <v>6</v>
      </c>
      <c r="Q16" s="6" t="s">
        <v>6</v>
      </c>
      <c r="R16" s="6" t="s">
        <v>6</v>
      </c>
      <c r="S16" s="6" t="s">
        <v>6</v>
      </c>
      <c r="T16" s="6" t="s">
        <v>6</v>
      </c>
      <c r="U16" s="6" t="s">
        <v>6</v>
      </c>
      <c r="V16" s="6" t="s">
        <v>6</v>
      </c>
      <c r="W16" s="6" t="s">
        <v>6</v>
      </c>
      <c r="X16" s="2" t="str">
        <f t="shared" ca="1" si="0"/>
        <v>Conforme</v>
      </c>
      <c r="Y16" s="2"/>
      <c r="AE16" s="5" t="s">
        <v>1201</v>
      </c>
    </row>
    <row r="17" spans="1:31" x14ac:dyDescent="0.25">
      <c r="A17" s="1">
        <f t="shared" si="1"/>
        <v>2</v>
      </c>
      <c r="B17" s="4">
        <v>44690</v>
      </c>
      <c r="C17" s="3" t="s">
        <v>2</v>
      </c>
      <c r="D17" s="6" t="s">
        <v>6</v>
      </c>
      <c r="E17" s="6" t="s">
        <v>6</v>
      </c>
      <c r="F17" s="6" t="s">
        <v>6</v>
      </c>
      <c r="G17" s="6"/>
      <c r="H17" s="6" t="s">
        <v>6</v>
      </c>
      <c r="I17" s="6" t="s">
        <v>6</v>
      </c>
      <c r="J17" s="6" t="s">
        <v>6</v>
      </c>
      <c r="K17" s="6" t="s">
        <v>6</v>
      </c>
      <c r="L17" s="6" t="s">
        <v>6</v>
      </c>
      <c r="M17" s="6" t="s">
        <v>6</v>
      </c>
      <c r="N17" s="6" t="s">
        <v>6</v>
      </c>
      <c r="O17" s="6" t="s">
        <v>6</v>
      </c>
      <c r="P17" s="6" t="s">
        <v>6</v>
      </c>
      <c r="Q17" s="6" t="s">
        <v>6</v>
      </c>
      <c r="R17" s="6" t="s">
        <v>6</v>
      </c>
      <c r="S17" s="6" t="s">
        <v>6</v>
      </c>
      <c r="T17" s="6" t="s">
        <v>6</v>
      </c>
      <c r="U17" s="6" t="s">
        <v>6</v>
      </c>
      <c r="V17" s="6" t="s">
        <v>6</v>
      </c>
      <c r="W17" s="6" t="s">
        <v>6</v>
      </c>
      <c r="X17" s="2" t="str">
        <f t="shared" ca="1" si="0"/>
        <v>Não conforme</v>
      </c>
      <c r="Y17" s="2" t="s">
        <v>12</v>
      </c>
      <c r="AE17" s="5" t="s">
        <v>1202</v>
      </c>
    </row>
    <row r="18" spans="1:31" x14ac:dyDescent="0.25">
      <c r="A18" s="1">
        <f t="shared" si="1"/>
        <v>2</v>
      </c>
      <c r="B18" s="4">
        <v>44690</v>
      </c>
      <c r="C18" s="3" t="s">
        <v>3</v>
      </c>
      <c r="D18" s="6" t="s">
        <v>6</v>
      </c>
      <c r="E18" s="6" t="s">
        <v>6</v>
      </c>
      <c r="F18" s="6" t="s">
        <v>6</v>
      </c>
      <c r="G18" s="6" t="s">
        <v>6</v>
      </c>
      <c r="H18" s="6" t="s">
        <v>6</v>
      </c>
      <c r="I18" s="6" t="s">
        <v>6</v>
      </c>
      <c r="J18" s="6" t="s">
        <v>6</v>
      </c>
      <c r="K18" s="6" t="s">
        <v>6</v>
      </c>
      <c r="L18" s="6" t="s">
        <v>6</v>
      </c>
      <c r="M18" s="6" t="s">
        <v>6</v>
      </c>
      <c r="N18" s="6" t="s">
        <v>6</v>
      </c>
      <c r="O18" s="6" t="s">
        <v>6</v>
      </c>
      <c r="P18" s="6" t="s">
        <v>6</v>
      </c>
      <c r="Q18" s="6" t="s">
        <v>6</v>
      </c>
      <c r="R18" s="6" t="s">
        <v>6</v>
      </c>
      <c r="S18" s="6" t="s">
        <v>6</v>
      </c>
      <c r="T18" s="6" t="s">
        <v>6</v>
      </c>
      <c r="U18" s="6" t="s">
        <v>6</v>
      </c>
      <c r="V18" s="6" t="s">
        <v>6</v>
      </c>
      <c r="W18" s="6" t="s">
        <v>6</v>
      </c>
      <c r="X18" s="2" t="str">
        <f t="shared" ca="1" si="0"/>
        <v>Conforme</v>
      </c>
      <c r="Y18" s="2"/>
      <c r="AE18" s="5" t="s">
        <v>1203</v>
      </c>
    </row>
    <row r="19" spans="1:31" x14ac:dyDescent="0.25">
      <c r="A19" s="1">
        <f t="shared" si="1"/>
        <v>2</v>
      </c>
      <c r="B19" s="4">
        <v>44690</v>
      </c>
      <c r="C19" s="3" t="s">
        <v>4</v>
      </c>
      <c r="D19" s="6" t="s">
        <v>6</v>
      </c>
      <c r="E19" s="6" t="s">
        <v>6</v>
      </c>
      <c r="F19" s="6" t="s">
        <v>6</v>
      </c>
      <c r="G19" s="6" t="s">
        <v>6</v>
      </c>
      <c r="H19" s="6" t="s">
        <v>6</v>
      </c>
      <c r="I19" s="6" t="s">
        <v>6</v>
      </c>
      <c r="J19" s="6" t="s">
        <v>6</v>
      </c>
      <c r="K19" s="6" t="s">
        <v>6</v>
      </c>
      <c r="L19" s="6" t="s">
        <v>6</v>
      </c>
      <c r="M19" s="6" t="s">
        <v>6</v>
      </c>
      <c r="N19" s="6" t="s">
        <v>6</v>
      </c>
      <c r="O19" s="6" t="s">
        <v>6</v>
      </c>
      <c r="P19" s="6" t="s">
        <v>6</v>
      </c>
      <c r="Q19" s="6" t="s">
        <v>6</v>
      </c>
      <c r="R19" s="6" t="s">
        <v>6</v>
      </c>
      <c r="S19" s="6" t="s">
        <v>6</v>
      </c>
      <c r="T19" s="6" t="s">
        <v>6</v>
      </c>
      <c r="U19" s="6" t="s">
        <v>6</v>
      </c>
      <c r="V19" s="6" t="s">
        <v>6</v>
      </c>
      <c r="W19" s="6" t="s">
        <v>6</v>
      </c>
      <c r="X19" s="2" t="str">
        <f t="shared" ca="1" si="0"/>
        <v>Conforme</v>
      </c>
      <c r="Y19" s="2"/>
      <c r="AE19" s="5" t="s">
        <v>1204</v>
      </c>
    </row>
    <row r="20" spans="1:31" x14ac:dyDescent="0.25">
      <c r="A20" s="1">
        <f t="shared" si="1"/>
        <v>3</v>
      </c>
      <c r="B20" s="4">
        <f t="shared" si="3"/>
        <v>44691</v>
      </c>
      <c r="C20" s="3" t="s">
        <v>2</v>
      </c>
      <c r="D20" s="6" t="s">
        <v>6</v>
      </c>
      <c r="E20" s="6"/>
      <c r="F20" s="6" t="s">
        <v>6</v>
      </c>
      <c r="G20" s="6" t="s">
        <v>6</v>
      </c>
      <c r="H20" s="6" t="s">
        <v>6</v>
      </c>
      <c r="I20" s="6" t="s">
        <v>6</v>
      </c>
      <c r="J20" s="6" t="s">
        <v>6</v>
      </c>
      <c r="K20" s="6" t="s">
        <v>6</v>
      </c>
      <c r="L20" s="6" t="s">
        <v>6</v>
      </c>
      <c r="M20" s="6" t="s">
        <v>6</v>
      </c>
      <c r="N20" s="6" t="s">
        <v>6</v>
      </c>
      <c r="O20" s="6" t="s">
        <v>6</v>
      </c>
      <c r="P20" s="6" t="s">
        <v>6</v>
      </c>
      <c r="Q20" s="6" t="s">
        <v>6</v>
      </c>
      <c r="R20" s="6" t="s">
        <v>6</v>
      </c>
      <c r="S20" s="6" t="s">
        <v>6</v>
      </c>
      <c r="T20" s="6" t="s">
        <v>6</v>
      </c>
      <c r="U20" s="6" t="s">
        <v>6</v>
      </c>
      <c r="V20" s="6" t="s">
        <v>6</v>
      </c>
      <c r="W20" s="6" t="s">
        <v>6</v>
      </c>
      <c r="X20" s="2" t="str">
        <f t="shared" ca="1" si="0"/>
        <v>Não conforme</v>
      </c>
      <c r="Y20" s="2" t="s">
        <v>12</v>
      </c>
      <c r="AE20" s="5" t="s">
        <v>1205</v>
      </c>
    </row>
    <row r="21" spans="1:31" x14ac:dyDescent="0.25">
      <c r="A21" s="1">
        <f t="shared" si="1"/>
        <v>3</v>
      </c>
      <c r="B21" s="4">
        <f t="shared" si="3"/>
        <v>44691</v>
      </c>
      <c r="C21" s="3" t="s">
        <v>3</v>
      </c>
      <c r="D21" s="6" t="s">
        <v>6</v>
      </c>
      <c r="E21" s="6" t="s">
        <v>6</v>
      </c>
      <c r="F21" s="6" t="s">
        <v>6</v>
      </c>
      <c r="G21" s="6" t="s">
        <v>6</v>
      </c>
      <c r="H21" s="6" t="s">
        <v>6</v>
      </c>
      <c r="I21" s="6" t="s">
        <v>6</v>
      </c>
      <c r="J21" s="6" t="s">
        <v>6</v>
      </c>
      <c r="K21" s="6" t="s">
        <v>6</v>
      </c>
      <c r="L21" s="6" t="s">
        <v>6</v>
      </c>
      <c r="M21" s="6" t="s">
        <v>6</v>
      </c>
      <c r="N21" s="6" t="s">
        <v>6</v>
      </c>
      <c r="O21" s="6" t="s">
        <v>6</v>
      </c>
      <c r="P21" s="6" t="s">
        <v>6</v>
      </c>
      <c r="Q21" s="6" t="s">
        <v>6</v>
      </c>
      <c r="R21" s="6" t="s">
        <v>6</v>
      </c>
      <c r="S21" s="6" t="s">
        <v>6</v>
      </c>
      <c r="T21" s="6" t="s">
        <v>6</v>
      </c>
      <c r="U21" s="6" t="s">
        <v>6</v>
      </c>
      <c r="V21" s="6" t="s">
        <v>6</v>
      </c>
      <c r="W21" s="6" t="s">
        <v>6</v>
      </c>
      <c r="X21" s="2" t="str">
        <f t="shared" ca="1" si="0"/>
        <v>Conforme</v>
      </c>
      <c r="Y21" s="2"/>
      <c r="AE21" s="5" t="s">
        <v>1206</v>
      </c>
    </row>
    <row r="22" spans="1:31" x14ac:dyDescent="0.25">
      <c r="A22" s="1">
        <f t="shared" si="1"/>
        <v>3</v>
      </c>
      <c r="B22" s="4">
        <f t="shared" si="3"/>
        <v>44691</v>
      </c>
      <c r="C22" s="3" t="s">
        <v>4</v>
      </c>
      <c r="D22" s="6" t="s">
        <v>6</v>
      </c>
      <c r="E22" s="6"/>
      <c r="F22" s="6" t="s">
        <v>6</v>
      </c>
      <c r="G22" s="6"/>
      <c r="H22" s="6" t="s">
        <v>6</v>
      </c>
      <c r="I22" s="6" t="s">
        <v>6</v>
      </c>
      <c r="J22" s="6" t="s">
        <v>6</v>
      </c>
      <c r="K22" s="6" t="s">
        <v>6</v>
      </c>
      <c r="L22" s="6" t="s">
        <v>6</v>
      </c>
      <c r="M22" s="6" t="s">
        <v>6</v>
      </c>
      <c r="N22" s="6" t="s">
        <v>6</v>
      </c>
      <c r="O22" s="6" t="s">
        <v>6</v>
      </c>
      <c r="P22" s="6" t="s">
        <v>6</v>
      </c>
      <c r="Q22" s="6" t="s">
        <v>6</v>
      </c>
      <c r="R22" s="6" t="s">
        <v>6</v>
      </c>
      <c r="S22" s="6" t="s">
        <v>6</v>
      </c>
      <c r="T22" s="6" t="s">
        <v>6</v>
      </c>
      <c r="U22" s="6" t="s">
        <v>6</v>
      </c>
      <c r="V22" s="6" t="s">
        <v>6</v>
      </c>
      <c r="W22" s="6" t="s">
        <v>6</v>
      </c>
      <c r="X22" s="2" t="str">
        <f t="shared" ca="1" si="0"/>
        <v>Não conforme</v>
      </c>
      <c r="Y22" s="2" t="s">
        <v>12</v>
      </c>
      <c r="AE22" s="5" t="s">
        <v>1207</v>
      </c>
    </row>
    <row r="23" spans="1:31" x14ac:dyDescent="0.25">
      <c r="A23" s="1">
        <f t="shared" si="1"/>
        <v>4</v>
      </c>
      <c r="B23" s="4">
        <f t="shared" si="3"/>
        <v>44692</v>
      </c>
      <c r="C23" s="3" t="s">
        <v>2</v>
      </c>
      <c r="D23" s="6" t="s">
        <v>6</v>
      </c>
      <c r="E23" s="6"/>
      <c r="F23" s="6" t="s">
        <v>6</v>
      </c>
      <c r="G23" s="6"/>
      <c r="H23" s="6" t="s">
        <v>6</v>
      </c>
      <c r="I23" s="6" t="s">
        <v>6</v>
      </c>
      <c r="J23" s="6" t="s">
        <v>6</v>
      </c>
      <c r="K23" s="6" t="s">
        <v>6</v>
      </c>
      <c r="L23" s="6" t="s">
        <v>6</v>
      </c>
      <c r="M23" s="6" t="s">
        <v>6</v>
      </c>
      <c r="N23" s="6" t="s">
        <v>6</v>
      </c>
      <c r="O23" s="6" t="s">
        <v>6</v>
      </c>
      <c r="P23" s="6" t="s">
        <v>6</v>
      </c>
      <c r="Q23" s="6" t="s">
        <v>6</v>
      </c>
      <c r="R23" s="6" t="s">
        <v>6</v>
      </c>
      <c r="S23" s="6" t="s">
        <v>6</v>
      </c>
      <c r="T23" s="6" t="s">
        <v>6</v>
      </c>
      <c r="U23" s="6" t="s">
        <v>6</v>
      </c>
      <c r="V23" s="6" t="s">
        <v>6</v>
      </c>
      <c r="W23" s="6" t="s">
        <v>6</v>
      </c>
      <c r="X23" s="2" t="str">
        <f t="shared" ca="1" si="0"/>
        <v>Não conforme</v>
      </c>
      <c r="Y23" s="2" t="s">
        <v>12</v>
      </c>
      <c r="AE23" s="5" t="s">
        <v>1208</v>
      </c>
    </row>
    <row r="24" spans="1:31" x14ac:dyDescent="0.25">
      <c r="A24" s="1">
        <f t="shared" si="1"/>
        <v>4</v>
      </c>
      <c r="B24" s="4">
        <f t="shared" si="3"/>
        <v>44692</v>
      </c>
      <c r="C24" s="3" t="s">
        <v>3</v>
      </c>
      <c r="D24" s="6" t="s">
        <v>6</v>
      </c>
      <c r="E24" s="6"/>
      <c r="F24" s="6" t="s">
        <v>6</v>
      </c>
      <c r="G24" s="6"/>
      <c r="H24" s="6" t="s">
        <v>6</v>
      </c>
      <c r="I24" s="6"/>
      <c r="J24" s="6" t="s">
        <v>6</v>
      </c>
      <c r="K24" s="6"/>
      <c r="L24" s="6" t="s">
        <v>6</v>
      </c>
      <c r="M24" s="6"/>
      <c r="N24" s="6" t="s">
        <v>6</v>
      </c>
      <c r="O24" s="6" t="s">
        <v>6</v>
      </c>
      <c r="P24" s="6" t="s">
        <v>6</v>
      </c>
      <c r="Q24" s="6" t="s">
        <v>6</v>
      </c>
      <c r="R24" s="6" t="s">
        <v>6</v>
      </c>
      <c r="S24" s="6" t="s">
        <v>6</v>
      </c>
      <c r="T24" s="6" t="s">
        <v>6</v>
      </c>
      <c r="U24" s="6" t="s">
        <v>6</v>
      </c>
      <c r="V24" s="6" t="s">
        <v>6</v>
      </c>
      <c r="W24" s="6" t="s">
        <v>6</v>
      </c>
      <c r="X24" s="2" t="str">
        <f t="shared" ca="1" si="0"/>
        <v>Não conforme</v>
      </c>
      <c r="Y24" s="2" t="s">
        <v>12</v>
      </c>
      <c r="AE24" s="5" t="s">
        <v>1209</v>
      </c>
    </row>
    <row r="25" spans="1:31" x14ac:dyDescent="0.25">
      <c r="A25" s="1">
        <f t="shared" si="1"/>
        <v>4</v>
      </c>
      <c r="B25" s="4">
        <f t="shared" si="3"/>
        <v>44692</v>
      </c>
      <c r="C25" s="3" t="s">
        <v>4</v>
      </c>
      <c r="D25" s="6" t="s">
        <v>6</v>
      </c>
      <c r="E25" s="6"/>
      <c r="F25" s="6" t="s">
        <v>6</v>
      </c>
      <c r="G25" s="6"/>
      <c r="H25" s="6" t="s">
        <v>6</v>
      </c>
      <c r="I25" s="6" t="s">
        <v>6</v>
      </c>
      <c r="J25" s="6" t="s">
        <v>6</v>
      </c>
      <c r="K25" s="6" t="s">
        <v>6</v>
      </c>
      <c r="L25" s="6" t="s">
        <v>6</v>
      </c>
      <c r="M25" s="6" t="s">
        <v>6</v>
      </c>
      <c r="N25" s="6" t="s">
        <v>6</v>
      </c>
      <c r="O25" s="6" t="s">
        <v>6</v>
      </c>
      <c r="P25" s="6" t="s">
        <v>6</v>
      </c>
      <c r="Q25" s="6" t="s">
        <v>6</v>
      </c>
      <c r="R25" s="6" t="s">
        <v>6</v>
      </c>
      <c r="S25" s="6" t="s">
        <v>6</v>
      </c>
      <c r="T25" s="6" t="s">
        <v>6</v>
      </c>
      <c r="U25" s="6" t="s">
        <v>6</v>
      </c>
      <c r="V25" s="6" t="s">
        <v>6</v>
      </c>
      <c r="W25" s="6" t="s">
        <v>6</v>
      </c>
      <c r="X25" s="2" t="str">
        <f t="shared" ca="1" si="0"/>
        <v>Não conforme</v>
      </c>
      <c r="Y25" s="2" t="s">
        <v>12</v>
      </c>
      <c r="AE25" s="5" t="s">
        <v>1210</v>
      </c>
    </row>
    <row r="26" spans="1:31" x14ac:dyDescent="0.25">
      <c r="A26" s="1">
        <f t="shared" si="1"/>
        <v>5</v>
      </c>
      <c r="B26" s="4">
        <f t="shared" si="3"/>
        <v>44693</v>
      </c>
      <c r="C26" s="3" t="s">
        <v>2</v>
      </c>
      <c r="D26" s="6" t="s">
        <v>6</v>
      </c>
      <c r="E26" s="6"/>
      <c r="F26" s="6" t="s">
        <v>6</v>
      </c>
      <c r="G26" s="6"/>
      <c r="H26" s="6" t="s">
        <v>6</v>
      </c>
      <c r="I26" s="6" t="s">
        <v>6</v>
      </c>
      <c r="J26" s="6" t="s">
        <v>6</v>
      </c>
      <c r="K26" s="6" t="s">
        <v>6</v>
      </c>
      <c r="L26" s="6" t="s">
        <v>6</v>
      </c>
      <c r="M26" s="6" t="s">
        <v>6</v>
      </c>
      <c r="N26" s="6" t="s">
        <v>6</v>
      </c>
      <c r="O26" s="6" t="s">
        <v>6</v>
      </c>
      <c r="P26" s="6" t="s">
        <v>6</v>
      </c>
      <c r="Q26" s="6" t="s">
        <v>6</v>
      </c>
      <c r="R26" s="6" t="s">
        <v>6</v>
      </c>
      <c r="S26" s="6" t="s">
        <v>6</v>
      </c>
      <c r="T26" s="6" t="s">
        <v>6</v>
      </c>
      <c r="U26" s="6" t="s">
        <v>6</v>
      </c>
      <c r="V26" s="6" t="s">
        <v>6</v>
      </c>
      <c r="W26" s="6" t="s">
        <v>6</v>
      </c>
      <c r="X26" s="2" t="str">
        <f t="shared" ca="1" si="0"/>
        <v>Não conforme</v>
      </c>
      <c r="Y26" s="2" t="s">
        <v>12</v>
      </c>
      <c r="AE26" s="5" t="s">
        <v>1211</v>
      </c>
    </row>
    <row r="27" spans="1:31" x14ac:dyDescent="0.25">
      <c r="A27" s="1">
        <f t="shared" si="1"/>
        <v>5</v>
      </c>
      <c r="B27" s="4">
        <f t="shared" si="3"/>
        <v>44693</v>
      </c>
      <c r="C27" s="3" t="s">
        <v>3</v>
      </c>
      <c r="D27" s="6" t="s">
        <v>6</v>
      </c>
      <c r="E27" s="6"/>
      <c r="F27" s="6" t="s">
        <v>6</v>
      </c>
      <c r="G27" s="6"/>
      <c r="H27" s="6" t="s">
        <v>6</v>
      </c>
      <c r="I27" s="6" t="s">
        <v>6</v>
      </c>
      <c r="J27" s="6" t="s">
        <v>6</v>
      </c>
      <c r="K27" s="6" t="s">
        <v>6</v>
      </c>
      <c r="L27" s="6" t="s">
        <v>6</v>
      </c>
      <c r="M27" s="6" t="s">
        <v>6</v>
      </c>
      <c r="N27" s="6" t="s">
        <v>6</v>
      </c>
      <c r="O27" s="6" t="s">
        <v>6</v>
      </c>
      <c r="P27" s="6" t="s">
        <v>6</v>
      </c>
      <c r="Q27" s="6" t="s">
        <v>6</v>
      </c>
      <c r="R27" s="6" t="s">
        <v>6</v>
      </c>
      <c r="S27" s="6" t="s">
        <v>6</v>
      </c>
      <c r="T27" s="6" t="s">
        <v>6</v>
      </c>
      <c r="U27" s="6" t="s">
        <v>6</v>
      </c>
      <c r="V27" s="6" t="s">
        <v>6</v>
      </c>
      <c r="W27" s="6" t="s">
        <v>6</v>
      </c>
      <c r="X27" s="2" t="str">
        <f t="shared" ca="1" si="0"/>
        <v>Não conforme</v>
      </c>
      <c r="Y27" s="2" t="s">
        <v>12</v>
      </c>
      <c r="AE27" s="5" t="s">
        <v>7</v>
      </c>
    </row>
    <row r="28" spans="1:31" x14ac:dyDescent="0.25">
      <c r="A28" s="1">
        <f t="shared" si="1"/>
        <v>5</v>
      </c>
      <c r="B28" s="4">
        <f t="shared" si="3"/>
        <v>44693</v>
      </c>
      <c r="C28" s="3" t="s">
        <v>4</v>
      </c>
      <c r="D28" s="6" t="s">
        <v>6</v>
      </c>
      <c r="E28" s="6" t="s">
        <v>6</v>
      </c>
      <c r="F28" s="6" t="s">
        <v>6</v>
      </c>
      <c r="G28" s="6"/>
      <c r="H28" s="6" t="s">
        <v>6</v>
      </c>
      <c r="I28" s="6" t="s">
        <v>6</v>
      </c>
      <c r="J28" s="6" t="s">
        <v>6</v>
      </c>
      <c r="K28" s="6" t="s">
        <v>6</v>
      </c>
      <c r="L28" s="6" t="s">
        <v>6</v>
      </c>
      <c r="M28" s="6" t="s">
        <v>6</v>
      </c>
      <c r="N28" s="6" t="s">
        <v>6</v>
      </c>
      <c r="O28" s="6" t="s">
        <v>6</v>
      </c>
      <c r="P28" s="6" t="s">
        <v>6</v>
      </c>
      <c r="Q28" s="6" t="s">
        <v>6</v>
      </c>
      <c r="R28" s="6" t="s">
        <v>6</v>
      </c>
      <c r="S28" s="6" t="s">
        <v>6</v>
      </c>
      <c r="T28" s="6" t="s">
        <v>6</v>
      </c>
      <c r="U28" s="6" t="s">
        <v>6</v>
      </c>
      <c r="V28" s="6" t="s">
        <v>6</v>
      </c>
      <c r="W28" s="6" t="s">
        <v>6</v>
      </c>
      <c r="X28" s="2" t="str">
        <f t="shared" ca="1" si="0"/>
        <v>Não conforme</v>
      </c>
      <c r="Y28" s="2" t="s">
        <v>12</v>
      </c>
      <c r="AE28" s="5" t="s">
        <v>1213</v>
      </c>
    </row>
    <row r="29" spans="1:31" x14ac:dyDescent="0.25">
      <c r="A29" s="1">
        <f t="shared" si="1"/>
        <v>6</v>
      </c>
      <c r="B29" s="4">
        <f t="shared" si="3"/>
        <v>44694</v>
      </c>
      <c r="C29" s="3" t="s">
        <v>2</v>
      </c>
      <c r="D29" s="6" t="s">
        <v>6</v>
      </c>
      <c r="E29" s="6"/>
      <c r="F29" s="6" t="s">
        <v>6</v>
      </c>
      <c r="G29" s="6"/>
      <c r="H29" s="6" t="s">
        <v>6</v>
      </c>
      <c r="I29" s="6" t="s">
        <v>6</v>
      </c>
      <c r="J29" s="6" t="s">
        <v>6</v>
      </c>
      <c r="K29" s="6" t="s">
        <v>6</v>
      </c>
      <c r="L29" s="6" t="s">
        <v>6</v>
      </c>
      <c r="M29" s="6" t="s">
        <v>6</v>
      </c>
      <c r="N29" s="6" t="s">
        <v>6</v>
      </c>
      <c r="O29" s="6" t="s">
        <v>6</v>
      </c>
      <c r="P29" s="6" t="s">
        <v>6</v>
      </c>
      <c r="Q29" s="6" t="s">
        <v>6</v>
      </c>
      <c r="R29" s="6" t="s">
        <v>6</v>
      </c>
      <c r="S29" s="6" t="s">
        <v>6</v>
      </c>
      <c r="T29" s="6" t="s">
        <v>6</v>
      </c>
      <c r="U29" s="6" t="s">
        <v>6</v>
      </c>
      <c r="V29" s="6" t="s">
        <v>6</v>
      </c>
      <c r="W29" s="6" t="s">
        <v>6</v>
      </c>
      <c r="X29" s="2" t="str">
        <f t="shared" ca="1" si="0"/>
        <v>Não conforme</v>
      </c>
      <c r="Y29" s="2" t="s">
        <v>12</v>
      </c>
    </row>
    <row r="30" spans="1:31" x14ac:dyDescent="0.25">
      <c r="A30" s="1">
        <f t="shared" si="1"/>
        <v>6</v>
      </c>
      <c r="B30" s="4">
        <f t="shared" si="3"/>
        <v>44694</v>
      </c>
      <c r="C30" s="3" t="s">
        <v>3</v>
      </c>
      <c r="D30" s="6" t="s">
        <v>6</v>
      </c>
      <c r="E30" s="6"/>
      <c r="F30" s="6" t="s">
        <v>6</v>
      </c>
      <c r="G30" s="6"/>
      <c r="H30" s="6" t="s">
        <v>6</v>
      </c>
      <c r="I30" s="6" t="s">
        <v>6</v>
      </c>
      <c r="J30" s="6" t="s">
        <v>6</v>
      </c>
      <c r="K30" s="6" t="s">
        <v>6</v>
      </c>
      <c r="L30" s="6" t="s">
        <v>6</v>
      </c>
      <c r="M30" s="6" t="s">
        <v>6</v>
      </c>
      <c r="N30" s="6" t="s">
        <v>6</v>
      </c>
      <c r="O30" s="6" t="s">
        <v>6</v>
      </c>
      <c r="P30" s="6" t="s">
        <v>6</v>
      </c>
      <c r="Q30" s="6" t="s">
        <v>6</v>
      </c>
      <c r="R30" s="6" t="s">
        <v>6</v>
      </c>
      <c r="S30" s="6" t="s">
        <v>6</v>
      </c>
      <c r="T30" s="6" t="s">
        <v>6</v>
      </c>
      <c r="U30" s="6" t="s">
        <v>6</v>
      </c>
      <c r="V30" s="6" t="s">
        <v>6</v>
      </c>
      <c r="W30" s="6" t="s">
        <v>6</v>
      </c>
      <c r="X30" s="2" t="str">
        <f t="shared" ca="1" si="0"/>
        <v>Não conforme</v>
      </c>
      <c r="Y30" s="2" t="s">
        <v>12</v>
      </c>
    </row>
    <row r="31" spans="1:31" x14ac:dyDescent="0.25">
      <c r="A31" s="1">
        <f t="shared" si="1"/>
        <v>6</v>
      </c>
      <c r="B31" s="4">
        <f t="shared" si="3"/>
        <v>44694</v>
      </c>
      <c r="C31" s="3" t="s">
        <v>4</v>
      </c>
      <c r="D31" s="6" t="s">
        <v>6</v>
      </c>
      <c r="E31" s="6"/>
      <c r="F31" s="6" t="s">
        <v>6</v>
      </c>
      <c r="G31" s="6"/>
      <c r="H31" s="6" t="s">
        <v>6</v>
      </c>
      <c r="I31" s="6" t="s">
        <v>6</v>
      </c>
      <c r="J31" s="6" t="s">
        <v>6</v>
      </c>
      <c r="K31" s="6" t="s">
        <v>6</v>
      </c>
      <c r="L31" s="6" t="s">
        <v>6</v>
      </c>
      <c r="M31" s="6" t="s">
        <v>6</v>
      </c>
      <c r="N31" s="6" t="s">
        <v>6</v>
      </c>
      <c r="O31" s="6" t="s">
        <v>6</v>
      </c>
      <c r="P31" s="6" t="s">
        <v>6</v>
      </c>
      <c r="Q31" s="6" t="s">
        <v>6</v>
      </c>
      <c r="R31" s="6" t="s">
        <v>6</v>
      </c>
      <c r="S31" s="6" t="s">
        <v>6</v>
      </c>
      <c r="T31" s="6" t="s">
        <v>6</v>
      </c>
      <c r="U31" s="6" t="s">
        <v>6</v>
      </c>
      <c r="V31" s="6" t="s">
        <v>6</v>
      </c>
      <c r="W31" s="6" t="s">
        <v>6</v>
      </c>
      <c r="X31" s="2" t="str">
        <f t="shared" ca="1" si="0"/>
        <v>Não conforme</v>
      </c>
      <c r="Y31" s="2" t="s">
        <v>12</v>
      </c>
    </row>
    <row r="32" spans="1:31" x14ac:dyDescent="0.25">
      <c r="A32" s="1">
        <f t="shared" si="1"/>
        <v>2</v>
      </c>
      <c r="B32" s="4">
        <v>44697</v>
      </c>
      <c r="C32" s="3" t="s">
        <v>2</v>
      </c>
      <c r="D32" s="6" t="s">
        <v>6</v>
      </c>
      <c r="E32" s="6"/>
      <c r="F32" s="6" t="s">
        <v>6</v>
      </c>
      <c r="G32" s="6"/>
      <c r="H32" s="6" t="s">
        <v>6</v>
      </c>
      <c r="I32" s="6" t="s">
        <v>6</v>
      </c>
      <c r="J32" s="6" t="s">
        <v>6</v>
      </c>
      <c r="K32" s="6" t="s">
        <v>6</v>
      </c>
      <c r="L32" s="6" t="s">
        <v>6</v>
      </c>
      <c r="M32" s="6" t="s">
        <v>6</v>
      </c>
      <c r="N32" s="6" t="s">
        <v>6</v>
      </c>
      <c r="O32" s="6" t="s">
        <v>6</v>
      </c>
      <c r="P32" s="6" t="s">
        <v>6</v>
      </c>
      <c r="Q32" s="6" t="s">
        <v>6</v>
      </c>
      <c r="R32" s="6" t="s">
        <v>6</v>
      </c>
      <c r="S32" s="6" t="s">
        <v>6</v>
      </c>
      <c r="T32" s="6" t="s">
        <v>6</v>
      </c>
      <c r="U32" s="6" t="s">
        <v>6</v>
      </c>
      <c r="V32" s="6" t="s">
        <v>6</v>
      </c>
      <c r="W32" s="6" t="s">
        <v>6</v>
      </c>
      <c r="X32" s="2" t="str">
        <f t="shared" ca="1" si="0"/>
        <v>Não conforme</v>
      </c>
      <c r="Y32" s="2" t="s">
        <v>12</v>
      </c>
    </row>
    <row r="33" spans="1:25" x14ac:dyDescent="0.25">
      <c r="A33" s="1">
        <f t="shared" si="1"/>
        <v>2</v>
      </c>
      <c r="B33" s="4">
        <v>44697</v>
      </c>
      <c r="C33" s="3" t="s">
        <v>3</v>
      </c>
      <c r="D33" s="6" t="s">
        <v>6</v>
      </c>
      <c r="E33" s="6"/>
      <c r="F33" s="6" t="s">
        <v>6</v>
      </c>
      <c r="G33" s="6"/>
      <c r="H33" s="6" t="s">
        <v>6</v>
      </c>
      <c r="I33" s="6"/>
      <c r="J33" s="6" t="s">
        <v>6</v>
      </c>
      <c r="K33" s="6" t="s">
        <v>6</v>
      </c>
      <c r="L33" s="6" t="s">
        <v>6</v>
      </c>
      <c r="M33" s="6" t="s">
        <v>6</v>
      </c>
      <c r="N33" s="6" t="s">
        <v>6</v>
      </c>
      <c r="O33" s="6" t="s">
        <v>6</v>
      </c>
      <c r="P33" s="6" t="s">
        <v>6</v>
      </c>
      <c r="Q33" s="6" t="s">
        <v>6</v>
      </c>
      <c r="R33" s="6" t="s">
        <v>6</v>
      </c>
      <c r="S33" s="6" t="s">
        <v>6</v>
      </c>
      <c r="T33" s="6" t="s">
        <v>6</v>
      </c>
      <c r="U33" s="6" t="s">
        <v>6</v>
      </c>
      <c r="V33" s="6" t="s">
        <v>6</v>
      </c>
      <c r="W33" s="6" t="s">
        <v>6</v>
      </c>
      <c r="X33" s="2" t="str">
        <f t="shared" ca="1" si="0"/>
        <v>Não conforme</v>
      </c>
      <c r="Y33" s="2" t="s">
        <v>12</v>
      </c>
    </row>
    <row r="34" spans="1:25" x14ac:dyDescent="0.25">
      <c r="A34" s="1">
        <f t="shared" si="1"/>
        <v>2</v>
      </c>
      <c r="B34" s="4">
        <v>44697</v>
      </c>
      <c r="C34" s="3" t="s">
        <v>4</v>
      </c>
      <c r="D34" s="6" t="s">
        <v>6</v>
      </c>
      <c r="E34" s="6" t="s">
        <v>6</v>
      </c>
      <c r="F34" s="6" t="s">
        <v>6</v>
      </c>
      <c r="G34" s="6" t="s">
        <v>6</v>
      </c>
      <c r="H34" s="6" t="s">
        <v>6</v>
      </c>
      <c r="I34" s="6" t="s">
        <v>6</v>
      </c>
      <c r="J34" s="6" t="s">
        <v>6</v>
      </c>
      <c r="K34" s="6" t="s">
        <v>6</v>
      </c>
      <c r="L34" s="6" t="s">
        <v>6</v>
      </c>
      <c r="M34" s="6" t="s">
        <v>6</v>
      </c>
      <c r="N34" s="6" t="s">
        <v>6</v>
      </c>
      <c r="O34" s="6" t="s">
        <v>6</v>
      </c>
      <c r="P34" s="6" t="s">
        <v>6</v>
      </c>
      <c r="Q34" s="6" t="s">
        <v>6</v>
      </c>
      <c r="R34" s="6" t="s">
        <v>6</v>
      </c>
      <c r="S34" s="6" t="s">
        <v>6</v>
      </c>
      <c r="T34" s="6" t="s">
        <v>6</v>
      </c>
      <c r="U34" s="6" t="s">
        <v>6</v>
      </c>
      <c r="V34" s="6" t="s">
        <v>6</v>
      </c>
      <c r="W34" s="6" t="s">
        <v>6</v>
      </c>
      <c r="X34" s="2" t="str">
        <f t="shared" ca="1" si="0"/>
        <v>Conforme</v>
      </c>
      <c r="Y34" s="2"/>
    </row>
    <row r="35" spans="1:25" x14ac:dyDescent="0.25">
      <c r="A35" s="1">
        <f t="shared" si="1"/>
        <v>3</v>
      </c>
      <c r="B35" s="4">
        <f t="shared" si="3"/>
        <v>44698</v>
      </c>
      <c r="C35" s="3" t="s">
        <v>2</v>
      </c>
      <c r="D35" s="6" t="s">
        <v>6</v>
      </c>
      <c r="E35" s="6" t="s">
        <v>6</v>
      </c>
      <c r="F35" s="6" t="s">
        <v>6</v>
      </c>
      <c r="G35" s="6" t="s">
        <v>6</v>
      </c>
      <c r="H35" s="6" t="s">
        <v>6</v>
      </c>
      <c r="I35" s="6" t="s">
        <v>6</v>
      </c>
      <c r="J35" s="6" t="s">
        <v>6</v>
      </c>
      <c r="K35" s="6" t="s">
        <v>6</v>
      </c>
      <c r="L35" s="6" t="s">
        <v>6</v>
      </c>
      <c r="M35" s="6" t="s">
        <v>6</v>
      </c>
      <c r="N35" s="6" t="s">
        <v>6</v>
      </c>
      <c r="O35" s="6" t="s">
        <v>6</v>
      </c>
      <c r="P35" s="6" t="s">
        <v>6</v>
      </c>
      <c r="Q35" s="6" t="s">
        <v>6</v>
      </c>
      <c r="R35" s="6" t="s">
        <v>6</v>
      </c>
      <c r="S35" s="6" t="s">
        <v>6</v>
      </c>
      <c r="T35" s="6" t="s">
        <v>6</v>
      </c>
      <c r="U35" s="6" t="s">
        <v>6</v>
      </c>
      <c r="V35" s="6" t="s">
        <v>6</v>
      </c>
      <c r="W35" s="6" t="s">
        <v>6</v>
      </c>
      <c r="X35" s="2" t="str">
        <f t="shared" ca="1" si="0"/>
        <v>Conforme</v>
      </c>
      <c r="Y35" s="2"/>
    </row>
    <row r="36" spans="1:25" x14ac:dyDescent="0.25">
      <c r="A36" s="1">
        <f t="shared" si="1"/>
        <v>3</v>
      </c>
      <c r="B36" s="4">
        <f t="shared" si="3"/>
        <v>44698</v>
      </c>
      <c r="C36" s="3" t="s">
        <v>3</v>
      </c>
      <c r="D36" s="6" t="s">
        <v>6</v>
      </c>
      <c r="E36" s="6" t="s">
        <v>6</v>
      </c>
      <c r="F36" s="6" t="s">
        <v>6</v>
      </c>
      <c r="G36" s="6"/>
      <c r="H36" s="6" t="s">
        <v>6</v>
      </c>
      <c r="I36" s="6" t="s">
        <v>6</v>
      </c>
      <c r="J36" s="6" t="s">
        <v>6</v>
      </c>
      <c r="K36" s="6" t="s">
        <v>6</v>
      </c>
      <c r="L36" s="6" t="s">
        <v>6</v>
      </c>
      <c r="M36" s="6" t="s">
        <v>6</v>
      </c>
      <c r="N36" s="6" t="s">
        <v>6</v>
      </c>
      <c r="O36" s="6" t="s">
        <v>6</v>
      </c>
      <c r="P36" s="6" t="s">
        <v>6</v>
      </c>
      <c r="Q36" s="6" t="s">
        <v>6</v>
      </c>
      <c r="R36" s="6" t="s">
        <v>6</v>
      </c>
      <c r="S36" s="6" t="s">
        <v>6</v>
      </c>
      <c r="T36" s="6" t="s">
        <v>6</v>
      </c>
      <c r="U36" s="6" t="s">
        <v>6</v>
      </c>
      <c r="V36" s="6" t="s">
        <v>6</v>
      </c>
      <c r="W36" s="6" t="s">
        <v>6</v>
      </c>
      <c r="X36" s="2" t="str">
        <f t="shared" ca="1" si="0"/>
        <v>Não conforme</v>
      </c>
      <c r="Y36" s="2" t="s">
        <v>12</v>
      </c>
    </row>
    <row r="37" spans="1:25" x14ac:dyDescent="0.25">
      <c r="A37" s="1">
        <f t="shared" si="1"/>
        <v>3</v>
      </c>
      <c r="B37" s="4">
        <f t="shared" si="3"/>
        <v>44698</v>
      </c>
      <c r="C37" s="3" t="s">
        <v>4</v>
      </c>
      <c r="D37" s="6" t="s">
        <v>6</v>
      </c>
      <c r="E37" s="6" t="s">
        <v>6</v>
      </c>
      <c r="F37" s="6" t="s">
        <v>6</v>
      </c>
      <c r="G37" s="6"/>
      <c r="H37" s="6" t="s">
        <v>6</v>
      </c>
      <c r="I37" s="6" t="s">
        <v>6</v>
      </c>
      <c r="J37" s="6" t="s">
        <v>6</v>
      </c>
      <c r="K37" s="6" t="s">
        <v>6</v>
      </c>
      <c r="L37" s="6" t="s">
        <v>6</v>
      </c>
      <c r="M37" s="6" t="s">
        <v>6</v>
      </c>
      <c r="N37" s="6" t="s">
        <v>6</v>
      </c>
      <c r="O37" s="6" t="s">
        <v>6</v>
      </c>
      <c r="P37" s="6" t="s">
        <v>6</v>
      </c>
      <c r="Q37" s="6" t="s">
        <v>6</v>
      </c>
      <c r="R37" s="6" t="s">
        <v>6</v>
      </c>
      <c r="S37" s="6" t="s">
        <v>6</v>
      </c>
      <c r="T37" s="6" t="s">
        <v>6</v>
      </c>
      <c r="U37" s="6" t="s">
        <v>6</v>
      </c>
      <c r="V37" s="6" t="s">
        <v>6</v>
      </c>
      <c r="W37" s="6" t="s">
        <v>6</v>
      </c>
      <c r="X37" s="2" t="str">
        <f t="shared" ca="1" si="0"/>
        <v>Não conforme</v>
      </c>
      <c r="Y37" s="2" t="s">
        <v>12</v>
      </c>
    </row>
    <row r="38" spans="1:25" x14ac:dyDescent="0.25">
      <c r="A38" s="1">
        <f t="shared" si="1"/>
        <v>4</v>
      </c>
      <c r="B38" s="4">
        <f t="shared" si="3"/>
        <v>44699</v>
      </c>
      <c r="C38" s="3" t="s">
        <v>2</v>
      </c>
      <c r="D38" s="6" t="s">
        <v>6</v>
      </c>
      <c r="E38" s="6"/>
      <c r="F38" s="6" t="s">
        <v>6</v>
      </c>
      <c r="G38" s="6"/>
      <c r="H38" s="6" t="s">
        <v>6</v>
      </c>
      <c r="I38" s="6" t="s">
        <v>6</v>
      </c>
      <c r="J38" s="6" t="s">
        <v>6</v>
      </c>
      <c r="K38" s="6" t="s">
        <v>6</v>
      </c>
      <c r="L38" s="6" t="s">
        <v>6</v>
      </c>
      <c r="M38" s="6" t="s">
        <v>6</v>
      </c>
      <c r="N38" s="6" t="s">
        <v>6</v>
      </c>
      <c r="O38" s="6" t="s">
        <v>6</v>
      </c>
      <c r="P38" s="6" t="s">
        <v>6</v>
      </c>
      <c r="Q38" s="6" t="s">
        <v>6</v>
      </c>
      <c r="R38" s="6" t="s">
        <v>6</v>
      </c>
      <c r="S38" s="6" t="s">
        <v>6</v>
      </c>
      <c r="T38" s="6" t="s">
        <v>6</v>
      </c>
      <c r="U38" s="6" t="s">
        <v>6</v>
      </c>
      <c r="V38" s="6" t="s">
        <v>6</v>
      </c>
      <c r="W38" s="6" t="s">
        <v>6</v>
      </c>
      <c r="X38" s="2" t="str">
        <f t="shared" ca="1" si="0"/>
        <v>Não conforme</v>
      </c>
      <c r="Y38" s="2" t="s">
        <v>12</v>
      </c>
    </row>
    <row r="39" spans="1:25" x14ac:dyDescent="0.25">
      <c r="A39" s="1">
        <f t="shared" si="1"/>
        <v>4</v>
      </c>
      <c r="B39" s="4">
        <f t="shared" si="3"/>
        <v>44699</v>
      </c>
      <c r="C39" s="3" t="s">
        <v>3</v>
      </c>
      <c r="D39" s="6" t="s">
        <v>6</v>
      </c>
      <c r="E39" s="6" t="s">
        <v>6</v>
      </c>
      <c r="F39" s="6" t="s">
        <v>6</v>
      </c>
      <c r="G39" s="6"/>
      <c r="H39" s="6" t="s">
        <v>6</v>
      </c>
      <c r="I39" s="6" t="s">
        <v>6</v>
      </c>
      <c r="J39" s="6" t="s">
        <v>6</v>
      </c>
      <c r="K39" s="6" t="s">
        <v>6</v>
      </c>
      <c r="L39" s="6" t="s">
        <v>6</v>
      </c>
      <c r="M39" s="6" t="s">
        <v>6</v>
      </c>
      <c r="N39" s="6" t="s">
        <v>6</v>
      </c>
      <c r="O39" s="6" t="s">
        <v>6</v>
      </c>
      <c r="P39" s="6" t="s">
        <v>6</v>
      </c>
      <c r="Q39" s="6" t="s">
        <v>6</v>
      </c>
      <c r="R39" s="6" t="s">
        <v>6</v>
      </c>
      <c r="S39" s="6" t="s">
        <v>6</v>
      </c>
      <c r="T39" s="6" t="s">
        <v>6</v>
      </c>
      <c r="U39" s="6" t="s">
        <v>6</v>
      </c>
      <c r="V39" s="6" t="s">
        <v>6</v>
      </c>
      <c r="W39" s="6" t="s">
        <v>6</v>
      </c>
      <c r="X39" s="2" t="str">
        <f t="shared" ca="1" si="0"/>
        <v>Não conforme</v>
      </c>
      <c r="Y39" s="2" t="s">
        <v>12</v>
      </c>
    </row>
    <row r="40" spans="1:25" x14ac:dyDescent="0.25">
      <c r="A40" s="1">
        <f t="shared" si="1"/>
        <v>4</v>
      </c>
      <c r="B40" s="4">
        <f t="shared" si="3"/>
        <v>44699</v>
      </c>
      <c r="C40" s="3" t="s">
        <v>4</v>
      </c>
      <c r="D40" s="6" t="s">
        <v>6</v>
      </c>
      <c r="E40" s="6" t="s">
        <v>6</v>
      </c>
      <c r="F40" s="6" t="s">
        <v>6</v>
      </c>
      <c r="G40" s="6"/>
      <c r="H40" s="6" t="s">
        <v>6</v>
      </c>
      <c r="I40" s="6" t="s">
        <v>6</v>
      </c>
      <c r="J40" s="6" t="s">
        <v>6</v>
      </c>
      <c r="K40" s="6" t="s">
        <v>6</v>
      </c>
      <c r="L40" s="6" t="s">
        <v>6</v>
      </c>
      <c r="M40" s="6" t="s">
        <v>6</v>
      </c>
      <c r="N40" s="6" t="s">
        <v>6</v>
      </c>
      <c r="O40" s="6" t="s">
        <v>6</v>
      </c>
      <c r="P40" s="6" t="s">
        <v>6</v>
      </c>
      <c r="Q40" s="6" t="s">
        <v>6</v>
      </c>
      <c r="R40" s="6" t="s">
        <v>6</v>
      </c>
      <c r="S40" s="6" t="s">
        <v>6</v>
      </c>
      <c r="T40" s="6" t="s">
        <v>6</v>
      </c>
      <c r="U40" s="6" t="s">
        <v>6</v>
      </c>
      <c r="V40" s="6" t="s">
        <v>6</v>
      </c>
      <c r="W40" s="6" t="s">
        <v>6</v>
      </c>
      <c r="X40" s="2" t="str">
        <f t="shared" ca="1" si="0"/>
        <v>Não conforme</v>
      </c>
      <c r="Y40" s="2" t="s">
        <v>12</v>
      </c>
    </row>
    <row r="41" spans="1:25" x14ac:dyDescent="0.25">
      <c r="A41" s="1">
        <f t="shared" si="1"/>
        <v>5</v>
      </c>
      <c r="B41" s="4">
        <f t="shared" si="3"/>
        <v>44700</v>
      </c>
      <c r="C41" s="3" t="s">
        <v>2</v>
      </c>
      <c r="D41" s="6" t="s">
        <v>6</v>
      </c>
      <c r="E41" s="6" t="s">
        <v>6</v>
      </c>
      <c r="F41" s="6" t="s">
        <v>6</v>
      </c>
      <c r="G41" s="6"/>
      <c r="H41" s="6" t="s">
        <v>6</v>
      </c>
      <c r="I41" s="6" t="s">
        <v>6</v>
      </c>
      <c r="J41" s="6" t="s">
        <v>6</v>
      </c>
      <c r="K41" s="6" t="s">
        <v>6</v>
      </c>
      <c r="L41" s="6" t="s">
        <v>6</v>
      </c>
      <c r="M41" s="6" t="s">
        <v>6</v>
      </c>
      <c r="N41" s="6" t="s">
        <v>6</v>
      </c>
      <c r="O41" s="6" t="s">
        <v>6</v>
      </c>
      <c r="P41" s="6" t="s">
        <v>6</v>
      </c>
      <c r="Q41" s="6" t="s">
        <v>6</v>
      </c>
      <c r="R41" s="6" t="s">
        <v>6</v>
      </c>
      <c r="S41" s="6" t="s">
        <v>6</v>
      </c>
      <c r="T41" s="6" t="s">
        <v>6</v>
      </c>
      <c r="U41" s="6" t="s">
        <v>6</v>
      </c>
      <c r="V41" s="6" t="s">
        <v>6</v>
      </c>
      <c r="W41" s="6" t="s">
        <v>6</v>
      </c>
      <c r="X41" s="2" t="str">
        <f t="shared" ca="1" si="0"/>
        <v>Não conforme</v>
      </c>
      <c r="Y41" s="2" t="s">
        <v>12</v>
      </c>
    </row>
    <row r="42" spans="1:25" x14ac:dyDescent="0.25">
      <c r="A42" s="1">
        <f t="shared" si="1"/>
        <v>5</v>
      </c>
      <c r="B42" s="4">
        <f t="shared" si="3"/>
        <v>44700</v>
      </c>
      <c r="C42" s="3" t="s">
        <v>3</v>
      </c>
      <c r="D42" s="6" t="s">
        <v>6</v>
      </c>
      <c r="E42" s="6" t="s">
        <v>6</v>
      </c>
      <c r="F42" s="6" t="s">
        <v>6</v>
      </c>
      <c r="G42" s="6"/>
      <c r="H42" s="6" t="s">
        <v>6</v>
      </c>
      <c r="I42" s="6" t="s">
        <v>6</v>
      </c>
      <c r="J42" s="6" t="s">
        <v>6</v>
      </c>
      <c r="K42" s="6" t="s">
        <v>6</v>
      </c>
      <c r="L42" s="6" t="s">
        <v>6</v>
      </c>
      <c r="M42" s="6" t="s">
        <v>6</v>
      </c>
      <c r="N42" s="6" t="s">
        <v>6</v>
      </c>
      <c r="O42" s="6" t="s">
        <v>6</v>
      </c>
      <c r="P42" s="6" t="s">
        <v>6</v>
      </c>
      <c r="Q42" s="6" t="s">
        <v>6</v>
      </c>
      <c r="R42" s="6" t="s">
        <v>6</v>
      </c>
      <c r="S42" s="6" t="s">
        <v>6</v>
      </c>
      <c r="T42" s="6" t="s">
        <v>6</v>
      </c>
      <c r="U42" s="6" t="s">
        <v>6</v>
      </c>
      <c r="V42" s="6" t="s">
        <v>6</v>
      </c>
      <c r="W42" s="6" t="s">
        <v>6</v>
      </c>
      <c r="X42" s="2" t="str">
        <f t="shared" ca="1" si="0"/>
        <v>Não conforme</v>
      </c>
      <c r="Y42" s="2" t="s">
        <v>12</v>
      </c>
    </row>
    <row r="43" spans="1:25" x14ac:dyDescent="0.25">
      <c r="A43" s="1">
        <f t="shared" si="1"/>
        <v>5</v>
      </c>
      <c r="B43" s="4">
        <f t="shared" si="3"/>
        <v>44700</v>
      </c>
      <c r="C43" s="3" t="s">
        <v>4</v>
      </c>
      <c r="D43" s="6" t="s">
        <v>6</v>
      </c>
      <c r="E43" s="6" t="s">
        <v>6</v>
      </c>
      <c r="F43" s="6" t="s">
        <v>6</v>
      </c>
      <c r="G43" s="6"/>
      <c r="H43" s="6" t="s">
        <v>6</v>
      </c>
      <c r="I43" s="6" t="s">
        <v>6</v>
      </c>
      <c r="J43" s="6" t="s">
        <v>6</v>
      </c>
      <c r="K43" s="6" t="s">
        <v>6</v>
      </c>
      <c r="L43" s="6" t="s">
        <v>6</v>
      </c>
      <c r="M43" s="6" t="s">
        <v>6</v>
      </c>
      <c r="N43" s="6" t="s">
        <v>6</v>
      </c>
      <c r="O43" s="6" t="s">
        <v>6</v>
      </c>
      <c r="P43" s="6" t="s">
        <v>6</v>
      </c>
      <c r="Q43" s="6" t="s">
        <v>6</v>
      </c>
      <c r="R43" s="6" t="s">
        <v>6</v>
      </c>
      <c r="S43" s="6" t="s">
        <v>6</v>
      </c>
      <c r="T43" s="6" t="s">
        <v>6</v>
      </c>
      <c r="U43" s="6" t="s">
        <v>6</v>
      </c>
      <c r="V43" s="6" t="s">
        <v>6</v>
      </c>
      <c r="W43" s="6" t="s">
        <v>6</v>
      </c>
      <c r="X43" s="2" t="str">
        <f t="shared" ca="1" si="0"/>
        <v>Não conforme</v>
      </c>
      <c r="Y43" s="2" t="s">
        <v>12</v>
      </c>
    </row>
    <row r="44" spans="1:25" x14ac:dyDescent="0.25">
      <c r="A44" s="1">
        <f t="shared" si="1"/>
        <v>6</v>
      </c>
      <c r="B44" s="4">
        <f t="shared" si="3"/>
        <v>44701</v>
      </c>
      <c r="C44" s="3" t="s">
        <v>2</v>
      </c>
      <c r="D44" s="6" t="s">
        <v>6</v>
      </c>
      <c r="E44" s="6" t="s">
        <v>6</v>
      </c>
      <c r="F44" s="6" t="s">
        <v>6</v>
      </c>
      <c r="G44" s="6"/>
      <c r="H44" s="6" t="s">
        <v>6</v>
      </c>
      <c r="I44" s="6" t="s">
        <v>6</v>
      </c>
      <c r="J44" s="6" t="s">
        <v>6</v>
      </c>
      <c r="K44" s="6" t="s">
        <v>6</v>
      </c>
      <c r="L44" s="6" t="s">
        <v>6</v>
      </c>
      <c r="M44" s="6" t="s">
        <v>6</v>
      </c>
      <c r="N44" s="6" t="s">
        <v>6</v>
      </c>
      <c r="O44" s="6" t="s">
        <v>6</v>
      </c>
      <c r="P44" s="6" t="s">
        <v>6</v>
      </c>
      <c r="Q44" s="6" t="s">
        <v>6</v>
      </c>
      <c r="R44" s="6" t="s">
        <v>6</v>
      </c>
      <c r="S44" s="6" t="s">
        <v>6</v>
      </c>
      <c r="T44" s="6" t="s">
        <v>6</v>
      </c>
      <c r="U44" s="6" t="s">
        <v>6</v>
      </c>
      <c r="V44" s="6" t="s">
        <v>6</v>
      </c>
      <c r="W44" s="6" t="s">
        <v>6</v>
      </c>
      <c r="X44" s="2" t="str">
        <f t="shared" ca="1" si="0"/>
        <v>Não conforme</v>
      </c>
      <c r="Y44" s="2" t="s">
        <v>12</v>
      </c>
    </row>
    <row r="45" spans="1:25" x14ac:dyDescent="0.25">
      <c r="A45" s="1">
        <f t="shared" si="1"/>
        <v>6</v>
      </c>
      <c r="B45" s="4">
        <f t="shared" si="3"/>
        <v>44701</v>
      </c>
      <c r="C45" s="3" t="s">
        <v>3</v>
      </c>
      <c r="D45" s="6" t="s">
        <v>6</v>
      </c>
      <c r="E45" s="6" t="s">
        <v>6</v>
      </c>
      <c r="F45" s="6" t="s">
        <v>6</v>
      </c>
      <c r="G45" s="6"/>
      <c r="H45" s="6" t="s">
        <v>6</v>
      </c>
      <c r="I45" s="6" t="s">
        <v>6</v>
      </c>
      <c r="J45" s="6" t="s">
        <v>6</v>
      </c>
      <c r="K45" s="6" t="s">
        <v>6</v>
      </c>
      <c r="L45" s="6" t="s">
        <v>6</v>
      </c>
      <c r="M45" s="6"/>
      <c r="N45" s="6" t="s">
        <v>6</v>
      </c>
      <c r="O45" s="6" t="s">
        <v>6</v>
      </c>
      <c r="P45" s="6" t="s">
        <v>6</v>
      </c>
      <c r="Q45" s="6" t="s">
        <v>6</v>
      </c>
      <c r="R45" s="6" t="s">
        <v>6</v>
      </c>
      <c r="S45" s="6" t="s">
        <v>6</v>
      </c>
      <c r="T45" s="6" t="s">
        <v>6</v>
      </c>
      <c r="U45" s="6" t="s">
        <v>6</v>
      </c>
      <c r="V45" s="6" t="s">
        <v>6</v>
      </c>
      <c r="W45" s="6" t="s">
        <v>6</v>
      </c>
      <c r="X45" s="2" t="str">
        <f t="shared" ca="1" si="0"/>
        <v>Não conforme</v>
      </c>
      <c r="Y45" s="2" t="s">
        <v>12</v>
      </c>
    </row>
    <row r="46" spans="1:25" x14ac:dyDescent="0.25">
      <c r="A46" s="1">
        <f t="shared" si="1"/>
        <v>6</v>
      </c>
      <c r="B46" s="4">
        <f t="shared" si="3"/>
        <v>44701</v>
      </c>
      <c r="C46" s="3" t="s">
        <v>4</v>
      </c>
      <c r="D46" s="6" t="s">
        <v>6</v>
      </c>
      <c r="E46" s="6" t="s">
        <v>6</v>
      </c>
      <c r="F46" s="6" t="s">
        <v>6</v>
      </c>
      <c r="G46" s="6" t="s">
        <v>6</v>
      </c>
      <c r="H46" s="6" t="s">
        <v>6</v>
      </c>
      <c r="I46" s="6" t="s">
        <v>6</v>
      </c>
      <c r="J46" s="6" t="s">
        <v>6</v>
      </c>
      <c r="K46" s="6" t="s">
        <v>6</v>
      </c>
      <c r="L46" s="6" t="s">
        <v>6</v>
      </c>
      <c r="M46" s="6" t="s">
        <v>6</v>
      </c>
      <c r="N46" s="6" t="s">
        <v>6</v>
      </c>
      <c r="O46" s="6" t="s">
        <v>6</v>
      </c>
      <c r="P46" s="6" t="s">
        <v>6</v>
      </c>
      <c r="Q46" s="6" t="s">
        <v>6</v>
      </c>
      <c r="R46" s="6" t="s">
        <v>6</v>
      </c>
      <c r="S46" s="6" t="s">
        <v>6</v>
      </c>
      <c r="T46" s="6" t="s">
        <v>6</v>
      </c>
      <c r="U46" s="6" t="s">
        <v>6</v>
      </c>
      <c r="V46" s="6" t="s">
        <v>6</v>
      </c>
      <c r="W46" s="6" t="s">
        <v>6</v>
      </c>
      <c r="X46" s="2" t="str">
        <f t="shared" ca="1" si="0"/>
        <v>Conforme</v>
      </c>
      <c r="Y46" s="2"/>
    </row>
    <row r="47" spans="1:25" x14ac:dyDescent="0.25">
      <c r="A47" s="1">
        <f t="shared" si="1"/>
        <v>2</v>
      </c>
      <c r="B47" s="4">
        <v>44704</v>
      </c>
      <c r="C47" s="3" t="s">
        <v>2</v>
      </c>
      <c r="D47" s="6" t="s">
        <v>6</v>
      </c>
      <c r="E47" s="6" t="s">
        <v>6</v>
      </c>
      <c r="F47" s="6" t="s">
        <v>6</v>
      </c>
      <c r="G47" s="6"/>
      <c r="H47" s="6" t="s">
        <v>6</v>
      </c>
      <c r="I47" s="6" t="s">
        <v>6</v>
      </c>
      <c r="J47" s="6" t="s">
        <v>6</v>
      </c>
      <c r="K47" s="6"/>
      <c r="L47" s="6" t="s">
        <v>6</v>
      </c>
      <c r="M47" s="6" t="s">
        <v>6</v>
      </c>
      <c r="N47" s="6" t="s">
        <v>6</v>
      </c>
      <c r="O47" s="6" t="s">
        <v>6</v>
      </c>
      <c r="P47" s="6" t="s">
        <v>6</v>
      </c>
      <c r="Q47" s="6" t="s">
        <v>6</v>
      </c>
      <c r="R47" s="6" t="s">
        <v>6</v>
      </c>
      <c r="S47" s="6" t="s">
        <v>6</v>
      </c>
      <c r="T47" s="6" t="s">
        <v>6</v>
      </c>
      <c r="U47" s="6" t="s">
        <v>6</v>
      </c>
      <c r="V47" s="6" t="s">
        <v>6</v>
      </c>
      <c r="W47" s="6" t="s">
        <v>6</v>
      </c>
      <c r="X47" s="2" t="str">
        <f t="shared" ca="1" si="0"/>
        <v>Não conforme</v>
      </c>
      <c r="Y47" s="2" t="s">
        <v>12</v>
      </c>
    </row>
    <row r="48" spans="1:25" x14ac:dyDescent="0.25">
      <c r="A48" s="1">
        <f t="shared" si="1"/>
        <v>2</v>
      </c>
      <c r="B48" s="4">
        <v>44704</v>
      </c>
      <c r="C48" s="3" t="s">
        <v>3</v>
      </c>
      <c r="D48" s="6"/>
      <c r="E48" s="6"/>
      <c r="F48" s="6"/>
      <c r="G48" s="6"/>
      <c r="H48" s="6"/>
      <c r="I48" s="6"/>
      <c r="J48" s="6"/>
      <c r="K48" s="6"/>
      <c r="L48" s="6"/>
      <c r="M48" s="6"/>
      <c r="N48" s="6"/>
      <c r="O48" s="6"/>
      <c r="P48" s="6"/>
      <c r="Q48" s="6"/>
      <c r="R48" s="6"/>
      <c r="S48" s="6"/>
      <c r="T48" s="6"/>
      <c r="U48" s="6"/>
      <c r="V48" s="6"/>
      <c r="W48" s="6"/>
      <c r="X48" s="2" t="str">
        <f t="shared" ca="1" si="0"/>
        <v>Não conforme</v>
      </c>
      <c r="Y48" s="2" t="s">
        <v>12</v>
      </c>
    </row>
    <row r="49" spans="1:25" x14ac:dyDescent="0.25">
      <c r="A49" s="1">
        <f t="shared" si="1"/>
        <v>2</v>
      </c>
      <c r="B49" s="4">
        <v>44704</v>
      </c>
      <c r="C49" s="3" t="s">
        <v>4</v>
      </c>
      <c r="D49" s="6" t="s">
        <v>6</v>
      </c>
      <c r="E49" s="6" t="s">
        <v>6</v>
      </c>
      <c r="F49" s="6" t="s">
        <v>6</v>
      </c>
      <c r="G49" s="6"/>
      <c r="H49" s="6" t="s">
        <v>6</v>
      </c>
      <c r="I49" s="6" t="s">
        <v>6</v>
      </c>
      <c r="J49" s="6" t="s">
        <v>6</v>
      </c>
      <c r="K49" s="6" t="s">
        <v>6</v>
      </c>
      <c r="L49" s="6" t="s">
        <v>6</v>
      </c>
      <c r="M49" s="6" t="s">
        <v>6</v>
      </c>
      <c r="N49" s="6" t="s">
        <v>6</v>
      </c>
      <c r="O49" s="6" t="s">
        <v>6</v>
      </c>
      <c r="P49" s="6" t="s">
        <v>6</v>
      </c>
      <c r="Q49" s="6" t="s">
        <v>6</v>
      </c>
      <c r="R49" s="6" t="s">
        <v>6</v>
      </c>
      <c r="S49" s="6" t="s">
        <v>6</v>
      </c>
      <c r="T49" s="6" t="s">
        <v>6</v>
      </c>
      <c r="U49" s="6" t="s">
        <v>6</v>
      </c>
      <c r="V49" s="6" t="s">
        <v>6</v>
      </c>
      <c r="W49" s="6" t="s">
        <v>6</v>
      </c>
      <c r="X49" s="2" t="str">
        <f t="shared" ca="1" si="0"/>
        <v>Não conforme</v>
      </c>
      <c r="Y49" s="2" t="s">
        <v>12</v>
      </c>
    </row>
    <row r="50" spans="1:25" x14ac:dyDescent="0.25">
      <c r="A50" s="1">
        <f t="shared" si="1"/>
        <v>3</v>
      </c>
      <c r="B50" s="4">
        <v>44705</v>
      </c>
      <c r="C50" s="3" t="s">
        <v>2</v>
      </c>
      <c r="D50" s="6" t="s">
        <v>6</v>
      </c>
      <c r="E50" s="6" t="s">
        <v>6</v>
      </c>
      <c r="F50" s="6" t="s">
        <v>6</v>
      </c>
      <c r="G50" s="6"/>
      <c r="H50" s="6" t="s">
        <v>6</v>
      </c>
      <c r="I50" s="6" t="s">
        <v>6</v>
      </c>
      <c r="J50" s="6" t="s">
        <v>6</v>
      </c>
      <c r="K50" s="6"/>
      <c r="L50" s="6" t="s">
        <v>6</v>
      </c>
      <c r="M50" s="6" t="s">
        <v>6</v>
      </c>
      <c r="N50" s="6" t="s">
        <v>6</v>
      </c>
      <c r="O50" s="6" t="s">
        <v>6</v>
      </c>
      <c r="P50" s="6" t="s">
        <v>6</v>
      </c>
      <c r="Q50" s="6" t="s">
        <v>6</v>
      </c>
      <c r="R50" s="6" t="s">
        <v>6</v>
      </c>
      <c r="S50" s="6" t="s">
        <v>6</v>
      </c>
      <c r="T50" s="6" t="s">
        <v>6</v>
      </c>
      <c r="U50" s="6" t="s">
        <v>6</v>
      </c>
      <c r="V50" s="6" t="s">
        <v>6</v>
      </c>
      <c r="W50" s="6" t="s">
        <v>6</v>
      </c>
      <c r="X50" s="2" t="str">
        <f t="shared" ca="1" si="0"/>
        <v>Não conforme</v>
      </c>
      <c r="Y50" s="2" t="s">
        <v>12</v>
      </c>
    </row>
    <row r="51" spans="1:25" x14ac:dyDescent="0.25">
      <c r="A51" s="1">
        <f t="shared" si="1"/>
        <v>3</v>
      </c>
      <c r="B51" s="4">
        <v>44705</v>
      </c>
      <c r="C51" s="3" t="s">
        <v>3</v>
      </c>
      <c r="D51" s="6" t="s">
        <v>6</v>
      </c>
      <c r="E51" s="6" t="s">
        <v>6</v>
      </c>
      <c r="F51" s="6" t="s">
        <v>6</v>
      </c>
      <c r="G51" s="6"/>
      <c r="H51" s="6" t="s">
        <v>6</v>
      </c>
      <c r="I51" s="6" t="s">
        <v>6</v>
      </c>
      <c r="J51" s="6" t="s">
        <v>6</v>
      </c>
      <c r="K51" s="6" t="s">
        <v>6</v>
      </c>
      <c r="L51" s="6" t="s">
        <v>6</v>
      </c>
      <c r="M51" s="6" t="s">
        <v>6</v>
      </c>
      <c r="N51" s="6" t="s">
        <v>6</v>
      </c>
      <c r="O51" s="6" t="s">
        <v>6</v>
      </c>
      <c r="P51" s="6" t="s">
        <v>6</v>
      </c>
      <c r="Q51" s="6" t="s">
        <v>6</v>
      </c>
      <c r="R51" s="6" t="s">
        <v>6</v>
      </c>
      <c r="S51" s="6" t="s">
        <v>6</v>
      </c>
      <c r="T51" s="6" t="s">
        <v>6</v>
      </c>
      <c r="U51" s="6" t="s">
        <v>6</v>
      </c>
      <c r="V51" s="6" t="s">
        <v>6</v>
      </c>
      <c r="W51" s="6" t="s">
        <v>6</v>
      </c>
      <c r="X51" s="2" t="str">
        <f t="shared" ca="1" si="0"/>
        <v>Não conforme</v>
      </c>
      <c r="Y51" s="2" t="s">
        <v>12</v>
      </c>
    </row>
    <row r="52" spans="1:25" x14ac:dyDescent="0.25">
      <c r="A52" s="1">
        <f t="shared" si="1"/>
        <v>3</v>
      </c>
      <c r="B52" s="4">
        <v>44705</v>
      </c>
      <c r="C52" s="3" t="s">
        <v>4</v>
      </c>
      <c r="D52" s="6" t="s">
        <v>6</v>
      </c>
      <c r="E52" s="6" t="s">
        <v>6</v>
      </c>
      <c r="F52" s="6" t="s">
        <v>6</v>
      </c>
      <c r="G52" s="6"/>
      <c r="H52" s="6" t="s">
        <v>6</v>
      </c>
      <c r="I52" s="6" t="s">
        <v>6</v>
      </c>
      <c r="J52" s="6" t="s">
        <v>6</v>
      </c>
      <c r="K52" s="6" t="s">
        <v>6</v>
      </c>
      <c r="L52" s="6" t="s">
        <v>6</v>
      </c>
      <c r="M52" s="6" t="s">
        <v>6</v>
      </c>
      <c r="N52" s="6" t="s">
        <v>6</v>
      </c>
      <c r="O52" s="6" t="s">
        <v>6</v>
      </c>
      <c r="P52" s="6" t="s">
        <v>6</v>
      </c>
      <c r="Q52" s="6" t="s">
        <v>6</v>
      </c>
      <c r="R52" s="6" t="s">
        <v>6</v>
      </c>
      <c r="S52" s="6" t="s">
        <v>6</v>
      </c>
      <c r="T52" s="6" t="s">
        <v>6</v>
      </c>
      <c r="U52" s="6" t="s">
        <v>6</v>
      </c>
      <c r="V52" s="6" t="s">
        <v>6</v>
      </c>
      <c r="W52" s="6" t="s">
        <v>6</v>
      </c>
      <c r="X52" s="2" t="str">
        <f t="shared" ca="1" si="0"/>
        <v>Não conforme</v>
      </c>
      <c r="Y52" s="2" t="s">
        <v>12</v>
      </c>
    </row>
    <row r="53" spans="1:25" x14ac:dyDescent="0.25">
      <c r="A53" s="1">
        <f t="shared" si="1"/>
        <v>4</v>
      </c>
      <c r="B53" s="4">
        <v>44706</v>
      </c>
      <c r="C53" s="3" t="s">
        <v>2</v>
      </c>
      <c r="D53" s="6" t="s">
        <v>6</v>
      </c>
      <c r="E53" s="6" t="s">
        <v>6</v>
      </c>
      <c r="F53" s="6" t="s">
        <v>6</v>
      </c>
      <c r="G53" s="6"/>
      <c r="H53" s="6" t="s">
        <v>6</v>
      </c>
      <c r="I53" s="6"/>
      <c r="J53" s="6" t="s">
        <v>6</v>
      </c>
      <c r="K53" s="6"/>
      <c r="L53" s="6" t="s">
        <v>6</v>
      </c>
      <c r="M53" s="6" t="s">
        <v>6</v>
      </c>
      <c r="N53" s="6" t="s">
        <v>6</v>
      </c>
      <c r="O53" s="6" t="s">
        <v>6</v>
      </c>
      <c r="P53" s="6" t="s">
        <v>6</v>
      </c>
      <c r="Q53" s="6" t="s">
        <v>6</v>
      </c>
      <c r="R53" s="6" t="s">
        <v>6</v>
      </c>
      <c r="S53" s="6" t="s">
        <v>6</v>
      </c>
      <c r="T53" s="6" t="s">
        <v>6</v>
      </c>
      <c r="U53" s="6" t="s">
        <v>6</v>
      </c>
      <c r="V53" s="6" t="s">
        <v>6</v>
      </c>
      <c r="W53" s="6" t="s">
        <v>6</v>
      </c>
      <c r="X53" s="2" t="str">
        <f t="shared" ca="1" si="0"/>
        <v>Não conforme</v>
      </c>
      <c r="Y53" s="2" t="s">
        <v>12</v>
      </c>
    </row>
    <row r="54" spans="1:25" x14ac:dyDescent="0.25">
      <c r="A54" s="1">
        <f t="shared" si="1"/>
        <v>4</v>
      </c>
      <c r="B54" s="4">
        <v>44706</v>
      </c>
      <c r="C54" s="3" t="s">
        <v>3</v>
      </c>
      <c r="D54" s="6" t="s">
        <v>6</v>
      </c>
      <c r="E54" s="6" t="s">
        <v>6</v>
      </c>
      <c r="F54" s="6" t="s">
        <v>6</v>
      </c>
      <c r="G54" s="6" t="s">
        <v>6</v>
      </c>
      <c r="H54" s="6" t="s">
        <v>6</v>
      </c>
      <c r="I54" s="6" t="s">
        <v>6</v>
      </c>
      <c r="J54" s="6" t="s">
        <v>6</v>
      </c>
      <c r="K54" s="6" t="s">
        <v>6</v>
      </c>
      <c r="L54" s="6" t="s">
        <v>6</v>
      </c>
      <c r="M54" s="6" t="s">
        <v>6</v>
      </c>
      <c r="N54" s="6" t="s">
        <v>6</v>
      </c>
      <c r="O54" s="6" t="s">
        <v>6</v>
      </c>
      <c r="P54" s="6" t="s">
        <v>6</v>
      </c>
      <c r="Q54" s="6" t="s">
        <v>6</v>
      </c>
      <c r="R54" s="6" t="s">
        <v>6</v>
      </c>
      <c r="S54" s="6" t="s">
        <v>6</v>
      </c>
      <c r="T54" s="6" t="s">
        <v>6</v>
      </c>
      <c r="U54" s="6" t="s">
        <v>6</v>
      </c>
      <c r="V54" s="6" t="s">
        <v>6</v>
      </c>
      <c r="W54" s="6" t="s">
        <v>6</v>
      </c>
      <c r="X54" s="2" t="str">
        <f t="shared" ca="1" si="0"/>
        <v>Conforme</v>
      </c>
      <c r="Y54" s="2"/>
    </row>
    <row r="55" spans="1:25" x14ac:dyDescent="0.25">
      <c r="A55" s="1">
        <f t="shared" si="1"/>
        <v>4</v>
      </c>
      <c r="B55" s="4">
        <v>44706</v>
      </c>
      <c r="C55" s="3" t="s">
        <v>4</v>
      </c>
      <c r="D55" s="6" t="s">
        <v>6</v>
      </c>
      <c r="E55" s="6" t="s">
        <v>6</v>
      </c>
      <c r="F55" s="6" t="s">
        <v>6</v>
      </c>
      <c r="G55" s="6"/>
      <c r="H55" s="6" t="s">
        <v>6</v>
      </c>
      <c r="I55" s="6" t="s">
        <v>6</v>
      </c>
      <c r="J55" s="6" t="s">
        <v>6</v>
      </c>
      <c r="K55" s="6"/>
      <c r="L55" s="6" t="s">
        <v>6</v>
      </c>
      <c r="M55" s="6" t="s">
        <v>6</v>
      </c>
      <c r="N55" s="6" t="s">
        <v>6</v>
      </c>
      <c r="O55" s="6" t="s">
        <v>6</v>
      </c>
      <c r="P55" s="6" t="s">
        <v>6</v>
      </c>
      <c r="Q55" s="6" t="s">
        <v>6</v>
      </c>
      <c r="R55" s="6" t="s">
        <v>6</v>
      </c>
      <c r="S55" s="6" t="s">
        <v>6</v>
      </c>
      <c r="T55" s="6" t="s">
        <v>6</v>
      </c>
      <c r="U55" s="6" t="s">
        <v>6</v>
      </c>
      <c r="V55" s="6" t="s">
        <v>6</v>
      </c>
      <c r="W55" s="6" t="s">
        <v>6</v>
      </c>
      <c r="X55" s="2" t="str">
        <f t="shared" ca="1" si="0"/>
        <v>Não conforme</v>
      </c>
      <c r="Y55" s="2" t="s">
        <v>12</v>
      </c>
    </row>
    <row r="56" spans="1:25" x14ac:dyDescent="0.25">
      <c r="A56" s="1">
        <f t="shared" si="1"/>
        <v>5</v>
      </c>
      <c r="B56" s="4">
        <v>44707</v>
      </c>
      <c r="C56" s="3" t="s">
        <v>2</v>
      </c>
      <c r="D56" s="6" t="s">
        <v>6</v>
      </c>
      <c r="E56" s="6" t="s">
        <v>6</v>
      </c>
      <c r="F56" s="6" t="s">
        <v>6</v>
      </c>
      <c r="G56" s="6"/>
      <c r="H56" s="6" t="s">
        <v>6</v>
      </c>
      <c r="I56" s="6" t="s">
        <v>6</v>
      </c>
      <c r="J56" s="6" t="s">
        <v>6</v>
      </c>
      <c r="K56" s="6"/>
      <c r="L56" s="6" t="s">
        <v>6</v>
      </c>
      <c r="M56" s="6" t="s">
        <v>6</v>
      </c>
      <c r="N56" s="6" t="s">
        <v>6</v>
      </c>
      <c r="O56" s="6" t="s">
        <v>6</v>
      </c>
      <c r="P56" s="6" t="s">
        <v>6</v>
      </c>
      <c r="Q56" s="6" t="s">
        <v>6</v>
      </c>
      <c r="R56" s="6" t="s">
        <v>6</v>
      </c>
      <c r="S56" s="6" t="s">
        <v>6</v>
      </c>
      <c r="T56" s="6" t="s">
        <v>6</v>
      </c>
      <c r="U56" s="6" t="s">
        <v>6</v>
      </c>
      <c r="V56" s="6" t="s">
        <v>6</v>
      </c>
      <c r="W56" s="6" t="s">
        <v>6</v>
      </c>
      <c r="X56" s="2" t="str">
        <f t="shared" ca="1" si="0"/>
        <v>Não conforme</v>
      </c>
      <c r="Y56" s="2" t="s">
        <v>12</v>
      </c>
    </row>
    <row r="57" spans="1:25" x14ac:dyDescent="0.25">
      <c r="A57" s="1">
        <f t="shared" si="1"/>
        <v>5</v>
      </c>
      <c r="B57" s="4">
        <v>44707</v>
      </c>
      <c r="C57" s="3" t="s">
        <v>3</v>
      </c>
      <c r="D57" s="6" t="s">
        <v>6</v>
      </c>
      <c r="E57" s="6" t="s">
        <v>6</v>
      </c>
      <c r="F57" s="6" t="s">
        <v>6</v>
      </c>
      <c r="G57" s="6"/>
      <c r="H57" s="6" t="s">
        <v>6</v>
      </c>
      <c r="I57" s="6" t="s">
        <v>6</v>
      </c>
      <c r="J57" s="6" t="s">
        <v>6</v>
      </c>
      <c r="K57" s="6" t="s">
        <v>6</v>
      </c>
      <c r="L57" s="6" t="s">
        <v>6</v>
      </c>
      <c r="M57" s="6" t="s">
        <v>6</v>
      </c>
      <c r="N57" s="6" t="s">
        <v>6</v>
      </c>
      <c r="O57" s="6" t="s">
        <v>6</v>
      </c>
      <c r="P57" s="6" t="s">
        <v>6</v>
      </c>
      <c r="Q57" s="6" t="s">
        <v>6</v>
      </c>
      <c r="R57" s="6" t="s">
        <v>6</v>
      </c>
      <c r="S57" s="6" t="s">
        <v>6</v>
      </c>
      <c r="T57" s="6" t="s">
        <v>6</v>
      </c>
      <c r="U57" s="6" t="s">
        <v>6</v>
      </c>
      <c r="V57" s="6" t="s">
        <v>6</v>
      </c>
      <c r="W57" s="6" t="s">
        <v>6</v>
      </c>
      <c r="X57" s="2" t="str">
        <f t="shared" ca="1" si="0"/>
        <v>Não conforme</v>
      </c>
      <c r="Y57" s="2" t="s">
        <v>12</v>
      </c>
    </row>
    <row r="58" spans="1:25" x14ac:dyDescent="0.25">
      <c r="A58" s="1">
        <f t="shared" si="1"/>
        <v>5</v>
      </c>
      <c r="B58" s="4">
        <v>44707</v>
      </c>
      <c r="C58" s="3" t="s">
        <v>4</v>
      </c>
      <c r="D58" s="6" t="s">
        <v>6</v>
      </c>
      <c r="E58" s="6" t="s">
        <v>6</v>
      </c>
      <c r="F58" s="6" t="s">
        <v>6</v>
      </c>
      <c r="G58" s="6"/>
      <c r="H58" s="6" t="s">
        <v>6</v>
      </c>
      <c r="I58" s="6" t="s">
        <v>6</v>
      </c>
      <c r="J58" s="6" t="s">
        <v>6</v>
      </c>
      <c r="K58" s="6" t="s">
        <v>6</v>
      </c>
      <c r="L58" s="6" t="s">
        <v>6</v>
      </c>
      <c r="M58" s="6" t="s">
        <v>6</v>
      </c>
      <c r="N58" s="6" t="s">
        <v>6</v>
      </c>
      <c r="O58" s="6" t="s">
        <v>6</v>
      </c>
      <c r="P58" s="6" t="s">
        <v>6</v>
      </c>
      <c r="Q58" s="6" t="s">
        <v>6</v>
      </c>
      <c r="R58" s="6" t="s">
        <v>6</v>
      </c>
      <c r="S58" s="6" t="s">
        <v>6</v>
      </c>
      <c r="T58" s="6" t="s">
        <v>6</v>
      </c>
      <c r="U58" s="6" t="s">
        <v>6</v>
      </c>
      <c r="V58" s="6" t="s">
        <v>6</v>
      </c>
      <c r="W58" s="6" t="s">
        <v>6</v>
      </c>
      <c r="X58" s="2" t="str">
        <f t="shared" ca="1" si="0"/>
        <v>Não conforme</v>
      </c>
      <c r="Y58" s="2" t="s">
        <v>12</v>
      </c>
    </row>
    <row r="59" spans="1:25" x14ac:dyDescent="0.25">
      <c r="A59" s="1">
        <f t="shared" si="1"/>
        <v>6</v>
      </c>
      <c r="B59" s="4">
        <f t="shared" ref="B59:B100" si="4">B56+1</f>
        <v>44708</v>
      </c>
      <c r="C59" s="3" t="s">
        <v>2</v>
      </c>
      <c r="D59" s="6" t="s">
        <v>6</v>
      </c>
      <c r="E59" s="6" t="s">
        <v>6</v>
      </c>
      <c r="F59" s="6" t="s">
        <v>6</v>
      </c>
      <c r="G59" s="6" t="s">
        <v>6</v>
      </c>
      <c r="H59" s="6" t="s">
        <v>6</v>
      </c>
      <c r="I59" s="6" t="s">
        <v>6</v>
      </c>
      <c r="J59" s="6" t="s">
        <v>6</v>
      </c>
      <c r="K59" s="6" t="s">
        <v>6</v>
      </c>
      <c r="L59" s="6" t="s">
        <v>6</v>
      </c>
      <c r="M59" s="6" t="s">
        <v>6</v>
      </c>
      <c r="N59" s="6" t="s">
        <v>6</v>
      </c>
      <c r="O59" s="6" t="s">
        <v>6</v>
      </c>
      <c r="P59" s="6" t="s">
        <v>6</v>
      </c>
      <c r="Q59" s="6" t="s">
        <v>6</v>
      </c>
      <c r="R59" s="6" t="s">
        <v>6</v>
      </c>
      <c r="S59" s="6" t="s">
        <v>6</v>
      </c>
      <c r="T59" s="6" t="s">
        <v>6</v>
      </c>
      <c r="U59" s="6" t="s">
        <v>6</v>
      </c>
      <c r="V59" s="6" t="s">
        <v>6</v>
      </c>
      <c r="W59" s="6" t="s">
        <v>6</v>
      </c>
      <c r="X59" s="2" t="str">
        <f t="shared" ca="1" si="0"/>
        <v>Conforme</v>
      </c>
      <c r="Y59" s="2" t="s">
        <v>48</v>
      </c>
    </row>
    <row r="60" spans="1:25" x14ac:dyDescent="0.25">
      <c r="A60" s="1">
        <f t="shared" si="1"/>
        <v>6</v>
      </c>
      <c r="B60" s="4">
        <f t="shared" si="4"/>
        <v>44708</v>
      </c>
      <c r="C60" s="3" t="s">
        <v>3</v>
      </c>
      <c r="D60" s="6" t="s">
        <v>6</v>
      </c>
      <c r="E60" s="6" t="s">
        <v>6</v>
      </c>
      <c r="F60" s="6" t="s">
        <v>6</v>
      </c>
      <c r="G60" s="6" t="s">
        <v>6</v>
      </c>
      <c r="H60" s="6" t="s">
        <v>6</v>
      </c>
      <c r="I60" s="6" t="s">
        <v>6</v>
      </c>
      <c r="J60" s="6" t="s">
        <v>6</v>
      </c>
      <c r="K60" s="6" t="s">
        <v>6</v>
      </c>
      <c r="L60" s="6" t="s">
        <v>6</v>
      </c>
      <c r="M60" s="6" t="s">
        <v>6</v>
      </c>
      <c r="N60" s="6" t="s">
        <v>6</v>
      </c>
      <c r="O60" s="6" t="s">
        <v>6</v>
      </c>
      <c r="P60" s="6" t="s">
        <v>6</v>
      </c>
      <c r="Q60" s="6" t="s">
        <v>6</v>
      </c>
      <c r="R60" s="6" t="s">
        <v>6</v>
      </c>
      <c r="S60" s="6" t="s">
        <v>6</v>
      </c>
      <c r="T60" s="6" t="s">
        <v>6</v>
      </c>
      <c r="U60" s="6" t="s">
        <v>6</v>
      </c>
      <c r="V60" s="6" t="s">
        <v>6</v>
      </c>
      <c r="W60" s="6" t="s">
        <v>6</v>
      </c>
      <c r="X60" s="2" t="str">
        <f t="shared" ca="1" si="0"/>
        <v>Conforme</v>
      </c>
      <c r="Y60" s="2"/>
    </row>
    <row r="61" spans="1:25" x14ac:dyDescent="0.25">
      <c r="A61" s="1">
        <f t="shared" si="1"/>
        <v>6</v>
      </c>
      <c r="B61" s="4">
        <f t="shared" si="4"/>
        <v>44708</v>
      </c>
      <c r="C61" s="3" t="s">
        <v>4</v>
      </c>
      <c r="D61" s="6" t="s">
        <v>6</v>
      </c>
      <c r="E61" s="6" t="s">
        <v>6</v>
      </c>
      <c r="F61" s="6" t="s">
        <v>6</v>
      </c>
      <c r="G61" s="6" t="s">
        <v>6</v>
      </c>
      <c r="H61" s="6" t="s">
        <v>6</v>
      </c>
      <c r="I61" s="6" t="s">
        <v>6</v>
      </c>
      <c r="J61" s="6" t="s">
        <v>6</v>
      </c>
      <c r="K61" s="6" t="s">
        <v>6</v>
      </c>
      <c r="L61" s="6" t="s">
        <v>6</v>
      </c>
      <c r="M61" s="6" t="s">
        <v>6</v>
      </c>
      <c r="N61" s="6" t="s">
        <v>6</v>
      </c>
      <c r="O61" s="6" t="s">
        <v>6</v>
      </c>
      <c r="P61" s="6" t="s">
        <v>6</v>
      </c>
      <c r="Q61" s="6" t="s">
        <v>6</v>
      </c>
      <c r="R61" s="6" t="s">
        <v>6</v>
      </c>
      <c r="S61" s="6" t="s">
        <v>6</v>
      </c>
      <c r="T61" s="6" t="s">
        <v>6</v>
      </c>
      <c r="U61" s="6" t="s">
        <v>6</v>
      </c>
      <c r="V61" s="6" t="s">
        <v>6</v>
      </c>
      <c r="W61" s="6" t="s">
        <v>6</v>
      </c>
      <c r="X61" s="2" t="str">
        <f t="shared" ref="X61:X85" ca="1" si="5">IF(B61&lt;TODAY(),IF(COUNTBLANK(D61:W61)=0,"Conforme","Não conforme"),"")</f>
        <v>Conforme</v>
      </c>
      <c r="Y61" s="2"/>
    </row>
    <row r="62" spans="1:25" x14ac:dyDescent="0.25">
      <c r="A62" s="1">
        <f t="shared" si="1"/>
        <v>2</v>
      </c>
      <c r="B62" s="4">
        <v>44711</v>
      </c>
      <c r="C62" s="3" t="s">
        <v>2</v>
      </c>
      <c r="D62" s="6" t="s">
        <v>6</v>
      </c>
      <c r="E62" s="6" t="s">
        <v>6</v>
      </c>
      <c r="F62" s="6" t="s">
        <v>6</v>
      </c>
      <c r="G62" s="6" t="s">
        <v>6</v>
      </c>
      <c r="H62" s="6" t="s">
        <v>6</v>
      </c>
      <c r="I62" s="6" t="s">
        <v>6</v>
      </c>
      <c r="J62" s="6" t="s">
        <v>6</v>
      </c>
      <c r="K62" s="6" t="s">
        <v>6</v>
      </c>
      <c r="L62" s="6" t="s">
        <v>6</v>
      </c>
      <c r="M62" s="6" t="s">
        <v>6</v>
      </c>
      <c r="N62" s="6" t="s">
        <v>6</v>
      </c>
      <c r="O62" s="6" t="s">
        <v>6</v>
      </c>
      <c r="P62" s="6" t="s">
        <v>6</v>
      </c>
      <c r="Q62" s="6" t="s">
        <v>6</v>
      </c>
      <c r="R62" s="6" t="s">
        <v>6</v>
      </c>
      <c r="S62" s="6" t="s">
        <v>6</v>
      </c>
      <c r="T62" s="6" t="s">
        <v>6</v>
      </c>
      <c r="U62" s="6" t="s">
        <v>6</v>
      </c>
      <c r="V62" s="6" t="s">
        <v>6</v>
      </c>
      <c r="W62" s="6" t="s">
        <v>6</v>
      </c>
      <c r="X62" s="2" t="str">
        <f t="shared" ca="1" si="5"/>
        <v>Conforme</v>
      </c>
      <c r="Y62" s="2"/>
    </row>
    <row r="63" spans="1:25" x14ac:dyDescent="0.25">
      <c r="A63" s="1">
        <f t="shared" si="1"/>
        <v>2</v>
      </c>
      <c r="B63" s="4">
        <v>44711</v>
      </c>
      <c r="C63" s="3" t="s">
        <v>3</v>
      </c>
      <c r="D63" s="6" t="s">
        <v>6</v>
      </c>
      <c r="E63" s="6" t="s">
        <v>6</v>
      </c>
      <c r="F63" s="6" t="s">
        <v>6</v>
      </c>
      <c r="G63" s="6" t="s">
        <v>6</v>
      </c>
      <c r="H63" s="6" t="s">
        <v>6</v>
      </c>
      <c r="I63" s="6" t="s">
        <v>6</v>
      </c>
      <c r="J63" s="6" t="s">
        <v>6</v>
      </c>
      <c r="K63" s="6" t="s">
        <v>6</v>
      </c>
      <c r="L63" s="6" t="s">
        <v>6</v>
      </c>
      <c r="M63" s="6" t="s">
        <v>6</v>
      </c>
      <c r="N63" s="6" t="s">
        <v>6</v>
      </c>
      <c r="O63" s="6" t="s">
        <v>6</v>
      </c>
      <c r="P63" s="6" t="s">
        <v>6</v>
      </c>
      <c r="Q63" s="6" t="s">
        <v>6</v>
      </c>
      <c r="R63" s="6" t="s">
        <v>6</v>
      </c>
      <c r="S63" s="6" t="s">
        <v>6</v>
      </c>
      <c r="T63" s="6" t="s">
        <v>6</v>
      </c>
      <c r="U63" s="6" t="s">
        <v>6</v>
      </c>
      <c r="V63" s="6" t="s">
        <v>6</v>
      </c>
      <c r="W63" s="6" t="s">
        <v>6</v>
      </c>
      <c r="X63" s="2" t="str">
        <f t="shared" ca="1" si="5"/>
        <v>Conforme</v>
      </c>
      <c r="Y63" s="2"/>
    </row>
    <row r="64" spans="1:25" x14ac:dyDescent="0.25">
      <c r="A64" s="1">
        <f t="shared" si="1"/>
        <v>2</v>
      </c>
      <c r="B64" s="4">
        <v>44711</v>
      </c>
      <c r="C64" s="3" t="s">
        <v>4</v>
      </c>
      <c r="D64" s="6" t="s">
        <v>6</v>
      </c>
      <c r="E64" s="6" t="s">
        <v>6</v>
      </c>
      <c r="F64" s="6" t="s">
        <v>6</v>
      </c>
      <c r="G64" s="6" t="s">
        <v>6</v>
      </c>
      <c r="H64" s="6" t="s">
        <v>6</v>
      </c>
      <c r="I64" s="6" t="s">
        <v>6</v>
      </c>
      <c r="J64" s="6" t="s">
        <v>6</v>
      </c>
      <c r="K64" s="6" t="s">
        <v>6</v>
      </c>
      <c r="L64" s="6" t="s">
        <v>6</v>
      </c>
      <c r="M64" s="6" t="s">
        <v>6</v>
      </c>
      <c r="N64" s="6" t="s">
        <v>6</v>
      </c>
      <c r="O64" s="6" t="s">
        <v>6</v>
      </c>
      <c r="P64" s="6" t="s">
        <v>6</v>
      </c>
      <c r="Q64" s="6" t="s">
        <v>6</v>
      </c>
      <c r="R64" s="6" t="s">
        <v>6</v>
      </c>
      <c r="S64" s="6" t="s">
        <v>6</v>
      </c>
      <c r="T64" s="6" t="s">
        <v>6</v>
      </c>
      <c r="U64" s="6" t="s">
        <v>6</v>
      </c>
      <c r="V64" s="6" t="s">
        <v>6</v>
      </c>
      <c r="W64" s="6" t="s">
        <v>6</v>
      </c>
      <c r="X64" s="2" t="str">
        <f t="shared" ca="1" si="5"/>
        <v>Conforme</v>
      </c>
      <c r="Y64" s="2"/>
    </row>
    <row r="65" spans="1:25" x14ac:dyDescent="0.25">
      <c r="A65" s="1">
        <f t="shared" si="1"/>
        <v>3</v>
      </c>
      <c r="B65" s="4">
        <f t="shared" si="4"/>
        <v>44712</v>
      </c>
      <c r="C65" s="3" t="s">
        <v>2</v>
      </c>
      <c r="D65" s="6" t="s">
        <v>6</v>
      </c>
      <c r="E65" s="6" t="s">
        <v>6</v>
      </c>
      <c r="F65" s="6" t="s">
        <v>6</v>
      </c>
      <c r="G65" s="6" t="s">
        <v>6</v>
      </c>
      <c r="H65" s="6" t="s">
        <v>6</v>
      </c>
      <c r="I65" s="6" t="s">
        <v>6</v>
      </c>
      <c r="J65" s="6" t="s">
        <v>6</v>
      </c>
      <c r="K65" s="6" t="s">
        <v>6</v>
      </c>
      <c r="L65" s="6" t="s">
        <v>6</v>
      </c>
      <c r="M65" s="6" t="s">
        <v>6</v>
      </c>
      <c r="N65" s="6" t="s">
        <v>6</v>
      </c>
      <c r="O65" s="6" t="s">
        <v>6</v>
      </c>
      <c r="P65" s="6" t="s">
        <v>6</v>
      </c>
      <c r="Q65" s="6" t="s">
        <v>6</v>
      </c>
      <c r="R65" s="6" t="s">
        <v>6</v>
      </c>
      <c r="S65" s="6" t="s">
        <v>6</v>
      </c>
      <c r="T65" s="6" t="s">
        <v>6</v>
      </c>
      <c r="U65" s="6" t="s">
        <v>6</v>
      </c>
      <c r="V65" s="6" t="s">
        <v>6</v>
      </c>
      <c r="W65" s="6" t="s">
        <v>6</v>
      </c>
      <c r="X65" s="2" t="str">
        <f t="shared" ca="1" si="5"/>
        <v>Conforme</v>
      </c>
      <c r="Y65" s="2"/>
    </row>
    <row r="66" spans="1:25" x14ac:dyDescent="0.25">
      <c r="A66" s="1">
        <f t="shared" si="1"/>
        <v>3</v>
      </c>
      <c r="B66" s="4">
        <f t="shared" si="4"/>
        <v>44712</v>
      </c>
      <c r="C66" s="3" t="s">
        <v>3</v>
      </c>
      <c r="D66" s="6" t="s">
        <v>6</v>
      </c>
      <c r="E66" s="6" t="s">
        <v>6</v>
      </c>
      <c r="F66" s="6" t="s">
        <v>6</v>
      </c>
      <c r="G66" s="6" t="s">
        <v>6</v>
      </c>
      <c r="H66" s="6" t="s">
        <v>6</v>
      </c>
      <c r="I66" s="6" t="s">
        <v>6</v>
      </c>
      <c r="J66" s="6" t="s">
        <v>6</v>
      </c>
      <c r="K66" s="6" t="s">
        <v>6</v>
      </c>
      <c r="L66" s="6" t="s">
        <v>6</v>
      </c>
      <c r="M66" s="6" t="s">
        <v>6</v>
      </c>
      <c r="N66" s="6" t="s">
        <v>6</v>
      </c>
      <c r="O66" s="6" t="s">
        <v>6</v>
      </c>
      <c r="P66" s="6" t="s">
        <v>6</v>
      </c>
      <c r="Q66" s="6" t="s">
        <v>6</v>
      </c>
      <c r="R66" s="6" t="s">
        <v>6</v>
      </c>
      <c r="S66" s="6" t="s">
        <v>6</v>
      </c>
      <c r="T66" s="6" t="s">
        <v>6</v>
      </c>
      <c r="U66" s="6" t="s">
        <v>6</v>
      </c>
      <c r="V66" s="6" t="s">
        <v>6</v>
      </c>
      <c r="W66" s="6" t="s">
        <v>6</v>
      </c>
      <c r="X66" s="2" t="str">
        <f t="shared" ca="1" si="5"/>
        <v>Conforme</v>
      </c>
      <c r="Y66" s="2"/>
    </row>
    <row r="67" spans="1:25" x14ac:dyDescent="0.25">
      <c r="A67" s="1">
        <f t="shared" ref="A67:A118" si="6">WEEKDAY(B67,1)</f>
        <v>3</v>
      </c>
      <c r="B67" s="4">
        <f t="shared" si="4"/>
        <v>44712</v>
      </c>
      <c r="C67" s="3" t="s">
        <v>4</v>
      </c>
      <c r="D67" s="6" t="s">
        <v>6</v>
      </c>
      <c r="E67" s="6" t="s">
        <v>6</v>
      </c>
      <c r="F67" s="6" t="s">
        <v>6</v>
      </c>
      <c r="G67" s="6" t="s">
        <v>6</v>
      </c>
      <c r="H67" s="6" t="s">
        <v>6</v>
      </c>
      <c r="I67" s="6" t="s">
        <v>6</v>
      </c>
      <c r="J67" s="6" t="s">
        <v>6</v>
      </c>
      <c r="K67" s="6" t="s">
        <v>6</v>
      </c>
      <c r="L67" s="6" t="s">
        <v>6</v>
      </c>
      <c r="M67" s="6" t="s">
        <v>6</v>
      </c>
      <c r="N67" s="6" t="s">
        <v>6</v>
      </c>
      <c r="O67" s="6" t="s">
        <v>6</v>
      </c>
      <c r="P67" s="6" t="s">
        <v>6</v>
      </c>
      <c r="Q67" s="6" t="s">
        <v>6</v>
      </c>
      <c r="R67" s="6" t="s">
        <v>6</v>
      </c>
      <c r="S67" s="6" t="s">
        <v>6</v>
      </c>
      <c r="T67" s="6" t="s">
        <v>6</v>
      </c>
      <c r="U67" s="6" t="s">
        <v>6</v>
      </c>
      <c r="V67" s="6" t="s">
        <v>6</v>
      </c>
      <c r="W67" s="6" t="s">
        <v>6</v>
      </c>
      <c r="X67" s="2" t="str">
        <f t="shared" ca="1" si="5"/>
        <v>Conforme</v>
      </c>
      <c r="Y67" s="2"/>
    </row>
    <row r="68" spans="1:25" x14ac:dyDescent="0.25">
      <c r="A68" s="1">
        <f t="shared" si="6"/>
        <v>4</v>
      </c>
      <c r="B68" s="4">
        <f t="shared" si="4"/>
        <v>44713</v>
      </c>
      <c r="C68" s="3" t="s">
        <v>2</v>
      </c>
      <c r="D68" s="6" t="s">
        <v>6</v>
      </c>
      <c r="E68" s="6" t="s">
        <v>6</v>
      </c>
      <c r="F68" s="6" t="s">
        <v>6</v>
      </c>
      <c r="G68" s="6" t="s">
        <v>6</v>
      </c>
      <c r="H68" s="6" t="s">
        <v>6</v>
      </c>
      <c r="I68" s="6" t="s">
        <v>6</v>
      </c>
      <c r="J68" s="6" t="s">
        <v>6</v>
      </c>
      <c r="K68" s="6" t="s">
        <v>6</v>
      </c>
      <c r="L68" s="6" t="s">
        <v>6</v>
      </c>
      <c r="M68" s="6" t="s">
        <v>6</v>
      </c>
      <c r="N68" s="6" t="s">
        <v>6</v>
      </c>
      <c r="O68" s="6" t="s">
        <v>6</v>
      </c>
      <c r="P68" s="6" t="s">
        <v>6</v>
      </c>
      <c r="Q68" s="6" t="s">
        <v>6</v>
      </c>
      <c r="R68" s="6" t="s">
        <v>6</v>
      </c>
      <c r="S68" s="6" t="s">
        <v>6</v>
      </c>
      <c r="T68" s="6" t="s">
        <v>6</v>
      </c>
      <c r="U68" s="6" t="s">
        <v>6</v>
      </c>
      <c r="V68" s="6" t="s">
        <v>6</v>
      </c>
      <c r="W68" s="6" t="s">
        <v>6</v>
      </c>
      <c r="X68" s="2" t="str">
        <f t="shared" ca="1" si="5"/>
        <v>Conforme</v>
      </c>
      <c r="Y68" s="2"/>
    </row>
    <row r="69" spans="1:25" x14ac:dyDescent="0.25">
      <c r="A69" s="1">
        <f t="shared" si="6"/>
        <v>4</v>
      </c>
      <c r="B69" s="4">
        <f t="shared" si="4"/>
        <v>44713</v>
      </c>
      <c r="C69" s="3" t="s">
        <v>3</v>
      </c>
      <c r="D69" s="6" t="s">
        <v>6</v>
      </c>
      <c r="E69" s="6" t="s">
        <v>6</v>
      </c>
      <c r="F69" s="6" t="s">
        <v>6</v>
      </c>
      <c r="G69" s="6" t="s">
        <v>6</v>
      </c>
      <c r="H69" s="6" t="s">
        <v>6</v>
      </c>
      <c r="I69" s="6" t="s">
        <v>6</v>
      </c>
      <c r="J69" s="6" t="s">
        <v>6</v>
      </c>
      <c r="K69" s="6" t="s">
        <v>6</v>
      </c>
      <c r="L69" s="6" t="s">
        <v>6</v>
      </c>
      <c r="M69" s="6" t="s">
        <v>6</v>
      </c>
      <c r="N69" s="6" t="s">
        <v>6</v>
      </c>
      <c r="O69" s="6" t="s">
        <v>6</v>
      </c>
      <c r="P69" s="6" t="s">
        <v>6</v>
      </c>
      <c r="Q69" s="6" t="s">
        <v>6</v>
      </c>
      <c r="R69" s="6" t="s">
        <v>6</v>
      </c>
      <c r="S69" s="6" t="s">
        <v>6</v>
      </c>
      <c r="T69" s="6" t="s">
        <v>6</v>
      </c>
      <c r="U69" s="6" t="s">
        <v>6</v>
      </c>
      <c r="V69" s="6" t="s">
        <v>6</v>
      </c>
      <c r="W69" s="6" t="s">
        <v>6</v>
      </c>
      <c r="X69" s="2" t="str">
        <f t="shared" ca="1" si="5"/>
        <v>Conforme</v>
      </c>
      <c r="Y69" s="2"/>
    </row>
    <row r="70" spans="1:25" x14ac:dyDescent="0.25">
      <c r="A70" s="1">
        <f t="shared" si="6"/>
        <v>4</v>
      </c>
      <c r="B70" s="4">
        <f t="shared" si="4"/>
        <v>44713</v>
      </c>
      <c r="C70" s="3" t="s">
        <v>4</v>
      </c>
      <c r="D70" s="6" t="s">
        <v>6</v>
      </c>
      <c r="E70" s="6" t="s">
        <v>6</v>
      </c>
      <c r="F70" s="6" t="s">
        <v>6</v>
      </c>
      <c r="G70" s="6" t="s">
        <v>6</v>
      </c>
      <c r="H70" s="6" t="s">
        <v>6</v>
      </c>
      <c r="I70" s="6" t="s">
        <v>6</v>
      </c>
      <c r="J70" s="6" t="s">
        <v>6</v>
      </c>
      <c r="K70" s="6" t="s">
        <v>6</v>
      </c>
      <c r="L70" s="6" t="s">
        <v>6</v>
      </c>
      <c r="M70" s="6" t="s">
        <v>6</v>
      </c>
      <c r="N70" s="6" t="s">
        <v>6</v>
      </c>
      <c r="O70" s="6" t="s">
        <v>6</v>
      </c>
      <c r="P70" s="6" t="s">
        <v>6</v>
      </c>
      <c r="Q70" s="6" t="s">
        <v>6</v>
      </c>
      <c r="R70" s="6" t="s">
        <v>6</v>
      </c>
      <c r="S70" s="6" t="s">
        <v>6</v>
      </c>
      <c r="T70" s="6" t="s">
        <v>6</v>
      </c>
      <c r="U70" s="6" t="s">
        <v>6</v>
      </c>
      <c r="V70" s="6" t="s">
        <v>6</v>
      </c>
      <c r="W70" s="6" t="s">
        <v>6</v>
      </c>
      <c r="X70" s="2" t="str">
        <f t="shared" ca="1" si="5"/>
        <v>Conforme</v>
      </c>
      <c r="Y70" s="2"/>
    </row>
    <row r="71" spans="1:25" x14ac:dyDescent="0.25">
      <c r="A71" s="1">
        <f t="shared" si="6"/>
        <v>5</v>
      </c>
      <c r="B71" s="4">
        <f t="shared" si="4"/>
        <v>44714</v>
      </c>
      <c r="C71" s="3" t="s">
        <v>2</v>
      </c>
      <c r="D71" s="6" t="s">
        <v>6</v>
      </c>
      <c r="E71" s="6" t="s">
        <v>6</v>
      </c>
      <c r="F71" s="6" t="s">
        <v>6</v>
      </c>
      <c r="G71" s="6" t="s">
        <v>6</v>
      </c>
      <c r="H71" s="6" t="s">
        <v>6</v>
      </c>
      <c r="I71" s="6" t="s">
        <v>6</v>
      </c>
      <c r="J71" s="6" t="s">
        <v>6</v>
      </c>
      <c r="K71" s="6" t="s">
        <v>6</v>
      </c>
      <c r="L71" s="6" t="s">
        <v>6</v>
      </c>
      <c r="M71" s="6" t="s">
        <v>6</v>
      </c>
      <c r="N71" s="6" t="s">
        <v>6</v>
      </c>
      <c r="O71" s="6" t="s">
        <v>6</v>
      </c>
      <c r="P71" s="6" t="s">
        <v>6</v>
      </c>
      <c r="Q71" s="6" t="s">
        <v>6</v>
      </c>
      <c r="R71" s="6" t="s">
        <v>6</v>
      </c>
      <c r="S71" s="6" t="s">
        <v>6</v>
      </c>
      <c r="T71" s="6" t="s">
        <v>6</v>
      </c>
      <c r="U71" s="6" t="s">
        <v>6</v>
      </c>
      <c r="V71" s="6" t="s">
        <v>6</v>
      </c>
      <c r="W71" s="6" t="s">
        <v>6</v>
      </c>
      <c r="X71" s="2" t="str">
        <f t="shared" ca="1" si="5"/>
        <v>Conforme</v>
      </c>
      <c r="Y71" s="2"/>
    </row>
    <row r="72" spans="1:25" x14ac:dyDescent="0.25">
      <c r="A72" s="1">
        <f t="shared" si="6"/>
        <v>5</v>
      </c>
      <c r="B72" s="4">
        <f t="shared" si="4"/>
        <v>44714</v>
      </c>
      <c r="C72" s="3" t="s">
        <v>3</v>
      </c>
      <c r="D72" s="6" t="s">
        <v>6</v>
      </c>
      <c r="E72" s="6" t="s">
        <v>6</v>
      </c>
      <c r="F72" s="6" t="s">
        <v>6</v>
      </c>
      <c r="G72" s="6" t="s">
        <v>6</v>
      </c>
      <c r="H72" s="6" t="s">
        <v>6</v>
      </c>
      <c r="I72" s="6" t="s">
        <v>6</v>
      </c>
      <c r="J72" s="6" t="s">
        <v>6</v>
      </c>
      <c r="K72" s="6" t="s">
        <v>6</v>
      </c>
      <c r="L72" s="6" t="s">
        <v>6</v>
      </c>
      <c r="M72" s="6" t="s">
        <v>6</v>
      </c>
      <c r="N72" s="6" t="s">
        <v>6</v>
      </c>
      <c r="O72" s="6" t="s">
        <v>6</v>
      </c>
      <c r="P72" s="6" t="s">
        <v>6</v>
      </c>
      <c r="Q72" s="6" t="s">
        <v>6</v>
      </c>
      <c r="R72" s="6" t="s">
        <v>6</v>
      </c>
      <c r="S72" s="6" t="s">
        <v>6</v>
      </c>
      <c r="T72" s="6" t="s">
        <v>6</v>
      </c>
      <c r="U72" s="6" t="s">
        <v>6</v>
      </c>
      <c r="V72" s="6" t="s">
        <v>6</v>
      </c>
      <c r="W72" s="6" t="s">
        <v>6</v>
      </c>
      <c r="X72" s="2" t="str">
        <f t="shared" ca="1" si="5"/>
        <v>Conforme</v>
      </c>
      <c r="Y72" s="2"/>
    </row>
    <row r="73" spans="1:25" x14ac:dyDescent="0.25">
      <c r="A73" s="1">
        <f t="shared" si="6"/>
        <v>5</v>
      </c>
      <c r="B73" s="4">
        <f t="shared" si="4"/>
        <v>44714</v>
      </c>
      <c r="C73" s="3" t="s">
        <v>4</v>
      </c>
      <c r="D73" s="6" t="s">
        <v>6</v>
      </c>
      <c r="E73" s="6" t="s">
        <v>6</v>
      </c>
      <c r="F73" s="6" t="s">
        <v>6</v>
      </c>
      <c r="G73" s="6" t="s">
        <v>6</v>
      </c>
      <c r="H73" s="6" t="s">
        <v>6</v>
      </c>
      <c r="I73" s="6" t="s">
        <v>6</v>
      </c>
      <c r="J73" s="6" t="s">
        <v>6</v>
      </c>
      <c r="K73" s="6" t="s">
        <v>6</v>
      </c>
      <c r="L73" s="6" t="s">
        <v>6</v>
      </c>
      <c r="M73" s="6" t="s">
        <v>6</v>
      </c>
      <c r="N73" s="6" t="s">
        <v>6</v>
      </c>
      <c r="O73" s="6" t="s">
        <v>6</v>
      </c>
      <c r="P73" s="6" t="s">
        <v>6</v>
      </c>
      <c r="Q73" s="6" t="s">
        <v>6</v>
      </c>
      <c r="R73" s="6" t="s">
        <v>6</v>
      </c>
      <c r="S73" s="6" t="s">
        <v>6</v>
      </c>
      <c r="T73" s="6" t="s">
        <v>6</v>
      </c>
      <c r="U73" s="6" t="s">
        <v>6</v>
      </c>
      <c r="V73" s="6" t="s">
        <v>6</v>
      </c>
      <c r="W73" s="6" t="s">
        <v>6</v>
      </c>
      <c r="X73" s="2" t="str">
        <f t="shared" ca="1" si="5"/>
        <v>Conforme</v>
      </c>
      <c r="Y73" s="2"/>
    </row>
    <row r="74" spans="1:25" x14ac:dyDescent="0.25">
      <c r="A74" s="1">
        <f t="shared" si="6"/>
        <v>6</v>
      </c>
      <c r="B74" s="4">
        <f t="shared" si="4"/>
        <v>44715</v>
      </c>
      <c r="C74" s="3" t="s">
        <v>2</v>
      </c>
      <c r="D74" s="6" t="s">
        <v>6</v>
      </c>
      <c r="E74" s="6" t="s">
        <v>6</v>
      </c>
      <c r="F74" s="6" t="s">
        <v>6</v>
      </c>
      <c r="G74" s="6" t="s">
        <v>6</v>
      </c>
      <c r="H74" s="6" t="s">
        <v>6</v>
      </c>
      <c r="I74" s="6" t="s">
        <v>6</v>
      </c>
      <c r="J74" s="6" t="s">
        <v>6</v>
      </c>
      <c r="K74" s="6" t="s">
        <v>6</v>
      </c>
      <c r="L74" s="6" t="s">
        <v>6</v>
      </c>
      <c r="M74" s="6" t="s">
        <v>6</v>
      </c>
      <c r="N74" s="6" t="s">
        <v>6</v>
      </c>
      <c r="O74" s="6" t="s">
        <v>6</v>
      </c>
      <c r="P74" s="6" t="s">
        <v>6</v>
      </c>
      <c r="Q74" s="6" t="s">
        <v>6</v>
      </c>
      <c r="R74" s="6" t="s">
        <v>6</v>
      </c>
      <c r="S74" s="6" t="s">
        <v>6</v>
      </c>
      <c r="T74" s="6" t="s">
        <v>6</v>
      </c>
      <c r="U74" s="6" t="s">
        <v>6</v>
      </c>
      <c r="V74" s="6" t="s">
        <v>6</v>
      </c>
      <c r="W74" s="6" t="s">
        <v>6</v>
      </c>
      <c r="X74" s="2" t="str">
        <f t="shared" ca="1" si="5"/>
        <v>Conforme</v>
      </c>
      <c r="Y74" s="2"/>
    </row>
    <row r="75" spans="1:25" x14ac:dyDescent="0.25">
      <c r="A75" s="1">
        <f t="shared" si="6"/>
        <v>6</v>
      </c>
      <c r="B75" s="4">
        <f t="shared" si="4"/>
        <v>44715</v>
      </c>
      <c r="C75" s="3" t="s">
        <v>3</v>
      </c>
      <c r="D75" s="6" t="s">
        <v>6</v>
      </c>
      <c r="E75" s="6" t="s">
        <v>6</v>
      </c>
      <c r="F75" s="6" t="s">
        <v>6</v>
      </c>
      <c r="G75" s="6" t="s">
        <v>6</v>
      </c>
      <c r="H75" s="6" t="s">
        <v>6</v>
      </c>
      <c r="I75" s="6" t="s">
        <v>6</v>
      </c>
      <c r="J75" s="6" t="s">
        <v>6</v>
      </c>
      <c r="K75" s="6" t="s">
        <v>6</v>
      </c>
      <c r="L75" s="6" t="s">
        <v>6</v>
      </c>
      <c r="M75" s="6" t="s">
        <v>6</v>
      </c>
      <c r="N75" s="6" t="s">
        <v>6</v>
      </c>
      <c r="O75" s="6" t="s">
        <v>6</v>
      </c>
      <c r="P75" s="6" t="s">
        <v>6</v>
      </c>
      <c r="Q75" s="6" t="s">
        <v>6</v>
      </c>
      <c r="R75" s="6" t="s">
        <v>6</v>
      </c>
      <c r="S75" s="6" t="s">
        <v>6</v>
      </c>
      <c r="T75" s="6" t="s">
        <v>6</v>
      </c>
      <c r="U75" s="6" t="s">
        <v>6</v>
      </c>
      <c r="V75" s="6" t="s">
        <v>6</v>
      </c>
      <c r="W75" s="6" t="s">
        <v>6</v>
      </c>
      <c r="X75" s="2" t="str">
        <f t="shared" ca="1" si="5"/>
        <v>Conforme</v>
      </c>
      <c r="Y75" s="2"/>
    </row>
    <row r="76" spans="1:25" x14ac:dyDescent="0.25">
      <c r="A76" s="1">
        <f t="shared" si="6"/>
        <v>6</v>
      </c>
      <c r="B76" s="4">
        <f t="shared" si="4"/>
        <v>44715</v>
      </c>
      <c r="C76" s="3" t="s">
        <v>4</v>
      </c>
      <c r="D76" s="6" t="s">
        <v>6</v>
      </c>
      <c r="E76" s="6" t="s">
        <v>6</v>
      </c>
      <c r="F76" s="6" t="s">
        <v>6</v>
      </c>
      <c r="G76" s="6" t="s">
        <v>6</v>
      </c>
      <c r="H76" s="6" t="s">
        <v>6</v>
      </c>
      <c r="I76" s="6" t="s">
        <v>6</v>
      </c>
      <c r="J76" s="6" t="s">
        <v>6</v>
      </c>
      <c r="K76" s="6" t="s">
        <v>6</v>
      </c>
      <c r="L76" s="6" t="s">
        <v>6</v>
      </c>
      <c r="M76" s="6" t="s">
        <v>6</v>
      </c>
      <c r="N76" s="6" t="s">
        <v>6</v>
      </c>
      <c r="O76" s="6" t="s">
        <v>6</v>
      </c>
      <c r="P76" s="6" t="s">
        <v>6</v>
      </c>
      <c r="Q76" s="6" t="s">
        <v>6</v>
      </c>
      <c r="R76" s="6" t="s">
        <v>6</v>
      </c>
      <c r="S76" s="6" t="s">
        <v>6</v>
      </c>
      <c r="T76" s="6" t="s">
        <v>6</v>
      </c>
      <c r="U76" s="6" t="s">
        <v>6</v>
      </c>
      <c r="V76" s="6" t="s">
        <v>6</v>
      </c>
      <c r="W76" s="6" t="s">
        <v>6</v>
      </c>
      <c r="X76" s="2" t="str">
        <f t="shared" ca="1" si="5"/>
        <v>Conforme</v>
      </c>
      <c r="Y76" s="2"/>
    </row>
    <row r="77" spans="1:25" x14ac:dyDescent="0.25">
      <c r="A77" s="1">
        <f t="shared" si="6"/>
        <v>2</v>
      </c>
      <c r="B77" s="4">
        <v>44718</v>
      </c>
      <c r="C77" s="3" t="s">
        <v>2</v>
      </c>
      <c r="D77" s="6" t="s">
        <v>6</v>
      </c>
      <c r="E77" s="6" t="s">
        <v>6</v>
      </c>
      <c r="F77" s="6" t="s">
        <v>6</v>
      </c>
      <c r="G77" s="6" t="s">
        <v>6</v>
      </c>
      <c r="H77" s="6" t="s">
        <v>6</v>
      </c>
      <c r="I77" s="6" t="s">
        <v>6</v>
      </c>
      <c r="J77" s="6" t="s">
        <v>6</v>
      </c>
      <c r="K77" s="6" t="s">
        <v>6</v>
      </c>
      <c r="L77" s="6" t="s">
        <v>6</v>
      </c>
      <c r="M77" s="6" t="s">
        <v>6</v>
      </c>
      <c r="N77" s="6" t="s">
        <v>6</v>
      </c>
      <c r="O77" s="6" t="s">
        <v>6</v>
      </c>
      <c r="P77" s="6" t="s">
        <v>6</v>
      </c>
      <c r="Q77" s="6" t="s">
        <v>6</v>
      </c>
      <c r="R77" s="6" t="s">
        <v>6</v>
      </c>
      <c r="S77" s="6" t="s">
        <v>6</v>
      </c>
      <c r="T77" s="6" t="s">
        <v>6</v>
      </c>
      <c r="U77" s="6" t="s">
        <v>6</v>
      </c>
      <c r="V77" s="6" t="s">
        <v>6</v>
      </c>
      <c r="W77" s="6" t="s">
        <v>6</v>
      </c>
      <c r="X77" s="2" t="str">
        <f t="shared" ca="1" si="5"/>
        <v>Conforme</v>
      </c>
      <c r="Y77" s="2"/>
    </row>
    <row r="78" spans="1:25" x14ac:dyDescent="0.25">
      <c r="A78" s="1">
        <f t="shared" si="6"/>
        <v>2</v>
      </c>
      <c r="B78" s="4">
        <v>44718</v>
      </c>
      <c r="C78" s="3" t="s">
        <v>3</v>
      </c>
      <c r="D78" s="6" t="s">
        <v>6</v>
      </c>
      <c r="E78" s="6" t="s">
        <v>6</v>
      </c>
      <c r="F78" s="6" t="s">
        <v>6</v>
      </c>
      <c r="G78" s="6" t="s">
        <v>6</v>
      </c>
      <c r="H78" s="6" t="s">
        <v>6</v>
      </c>
      <c r="I78" s="6" t="s">
        <v>6</v>
      </c>
      <c r="J78" s="6" t="s">
        <v>6</v>
      </c>
      <c r="K78" s="6" t="s">
        <v>6</v>
      </c>
      <c r="L78" s="6" t="s">
        <v>6</v>
      </c>
      <c r="M78" s="6" t="s">
        <v>6</v>
      </c>
      <c r="N78" s="6" t="s">
        <v>6</v>
      </c>
      <c r="O78" s="6" t="s">
        <v>6</v>
      </c>
      <c r="P78" s="6" t="s">
        <v>6</v>
      </c>
      <c r="Q78" s="6" t="s">
        <v>6</v>
      </c>
      <c r="R78" s="6" t="s">
        <v>6</v>
      </c>
      <c r="S78" s="6" t="s">
        <v>6</v>
      </c>
      <c r="T78" s="6" t="s">
        <v>6</v>
      </c>
      <c r="U78" s="6" t="s">
        <v>6</v>
      </c>
      <c r="V78" s="6" t="s">
        <v>6</v>
      </c>
      <c r="W78" s="6" t="s">
        <v>6</v>
      </c>
      <c r="X78" s="2" t="str">
        <f t="shared" ca="1" si="5"/>
        <v>Conforme</v>
      </c>
      <c r="Y78" s="2"/>
    </row>
    <row r="79" spans="1:25" x14ac:dyDescent="0.25">
      <c r="A79" s="1">
        <f t="shared" si="6"/>
        <v>2</v>
      </c>
      <c r="B79" s="4">
        <v>44718</v>
      </c>
      <c r="C79" s="3" t="s">
        <v>4</v>
      </c>
      <c r="D79" s="6" t="s">
        <v>6</v>
      </c>
      <c r="E79" s="6" t="s">
        <v>6</v>
      </c>
      <c r="F79" s="6" t="s">
        <v>6</v>
      </c>
      <c r="G79" s="6" t="s">
        <v>6</v>
      </c>
      <c r="H79" s="6" t="s">
        <v>6</v>
      </c>
      <c r="I79" s="6" t="s">
        <v>6</v>
      </c>
      <c r="J79" s="6" t="s">
        <v>6</v>
      </c>
      <c r="K79" s="6" t="s">
        <v>6</v>
      </c>
      <c r="L79" s="6" t="s">
        <v>6</v>
      </c>
      <c r="M79" s="6" t="s">
        <v>6</v>
      </c>
      <c r="N79" s="6" t="s">
        <v>6</v>
      </c>
      <c r="O79" s="6" t="s">
        <v>6</v>
      </c>
      <c r="P79" s="6" t="s">
        <v>6</v>
      </c>
      <c r="Q79" s="6" t="s">
        <v>6</v>
      </c>
      <c r="R79" s="6" t="s">
        <v>6</v>
      </c>
      <c r="S79" s="6" t="s">
        <v>6</v>
      </c>
      <c r="T79" s="6" t="s">
        <v>6</v>
      </c>
      <c r="U79" s="6" t="s">
        <v>6</v>
      </c>
      <c r="V79" s="6" t="s">
        <v>6</v>
      </c>
      <c r="W79" s="6" t="s">
        <v>6</v>
      </c>
      <c r="X79" s="2" t="str">
        <f t="shared" ca="1" si="5"/>
        <v>Conforme</v>
      </c>
      <c r="Y79" s="2"/>
    </row>
    <row r="80" spans="1:25" x14ac:dyDescent="0.25">
      <c r="A80" s="1">
        <f t="shared" si="6"/>
        <v>3</v>
      </c>
      <c r="B80" s="4">
        <f t="shared" si="4"/>
        <v>44719</v>
      </c>
      <c r="C80" s="3" t="s">
        <v>2</v>
      </c>
      <c r="D80" s="6" t="s">
        <v>6</v>
      </c>
      <c r="E80" s="6" t="s">
        <v>6</v>
      </c>
      <c r="F80" s="6" t="s">
        <v>6</v>
      </c>
      <c r="G80" s="6" t="s">
        <v>6</v>
      </c>
      <c r="H80" s="6" t="s">
        <v>6</v>
      </c>
      <c r="I80" s="6" t="s">
        <v>6</v>
      </c>
      <c r="J80" s="6" t="s">
        <v>6</v>
      </c>
      <c r="K80" s="6" t="s">
        <v>6</v>
      </c>
      <c r="L80" s="6" t="s">
        <v>6</v>
      </c>
      <c r="M80" s="6" t="s">
        <v>6</v>
      </c>
      <c r="N80" s="6" t="s">
        <v>6</v>
      </c>
      <c r="O80" s="6" t="s">
        <v>6</v>
      </c>
      <c r="P80" s="6" t="s">
        <v>6</v>
      </c>
      <c r="Q80" s="6" t="s">
        <v>6</v>
      </c>
      <c r="R80" s="6" t="s">
        <v>6</v>
      </c>
      <c r="S80" s="6" t="s">
        <v>6</v>
      </c>
      <c r="T80" s="6" t="s">
        <v>6</v>
      </c>
      <c r="U80" s="6" t="s">
        <v>6</v>
      </c>
      <c r="V80" s="6" t="s">
        <v>6</v>
      </c>
      <c r="W80" s="6" t="s">
        <v>6</v>
      </c>
      <c r="X80" s="2" t="str">
        <f t="shared" ca="1" si="5"/>
        <v>Conforme</v>
      </c>
      <c r="Y80" s="2"/>
    </row>
    <row r="81" spans="1:25" x14ac:dyDescent="0.25">
      <c r="A81" s="1">
        <f t="shared" si="6"/>
        <v>3</v>
      </c>
      <c r="B81" s="4">
        <f t="shared" si="4"/>
        <v>44719</v>
      </c>
      <c r="C81" s="3" t="s">
        <v>3</v>
      </c>
      <c r="D81" s="6" t="s">
        <v>6</v>
      </c>
      <c r="E81" s="6" t="s">
        <v>6</v>
      </c>
      <c r="F81" s="6" t="s">
        <v>6</v>
      </c>
      <c r="G81" s="6" t="s">
        <v>6</v>
      </c>
      <c r="H81" s="6" t="s">
        <v>6</v>
      </c>
      <c r="I81" s="6" t="s">
        <v>6</v>
      </c>
      <c r="J81" s="6" t="s">
        <v>6</v>
      </c>
      <c r="K81" s="6" t="s">
        <v>6</v>
      </c>
      <c r="L81" s="6" t="s">
        <v>6</v>
      </c>
      <c r="M81" s="6" t="s">
        <v>6</v>
      </c>
      <c r="N81" s="6" t="s">
        <v>6</v>
      </c>
      <c r="O81" s="6" t="s">
        <v>6</v>
      </c>
      <c r="P81" s="6" t="s">
        <v>6</v>
      </c>
      <c r="Q81" s="6" t="s">
        <v>6</v>
      </c>
      <c r="R81" s="6" t="s">
        <v>6</v>
      </c>
      <c r="S81" s="6" t="s">
        <v>6</v>
      </c>
      <c r="T81" s="6" t="s">
        <v>6</v>
      </c>
      <c r="U81" s="6" t="s">
        <v>6</v>
      </c>
      <c r="V81" s="6" t="s">
        <v>6</v>
      </c>
      <c r="W81" s="6" t="s">
        <v>6</v>
      </c>
      <c r="X81" s="2" t="str">
        <f t="shared" ca="1" si="5"/>
        <v>Conforme</v>
      </c>
      <c r="Y81" s="2"/>
    </row>
    <row r="82" spans="1:25" x14ac:dyDescent="0.25">
      <c r="A82" s="1">
        <f t="shared" si="6"/>
        <v>3</v>
      </c>
      <c r="B82" s="4">
        <f t="shared" si="4"/>
        <v>44719</v>
      </c>
      <c r="C82" s="3" t="s">
        <v>4</v>
      </c>
      <c r="D82" s="6" t="s">
        <v>6</v>
      </c>
      <c r="E82" s="6" t="s">
        <v>6</v>
      </c>
      <c r="F82" s="6" t="s">
        <v>6</v>
      </c>
      <c r="G82" s="6" t="s">
        <v>6</v>
      </c>
      <c r="H82" s="6" t="s">
        <v>6</v>
      </c>
      <c r="I82" s="6" t="s">
        <v>6</v>
      </c>
      <c r="J82" s="6" t="s">
        <v>6</v>
      </c>
      <c r="K82" s="6" t="s">
        <v>6</v>
      </c>
      <c r="L82" s="6" t="s">
        <v>6</v>
      </c>
      <c r="M82" s="6" t="s">
        <v>6</v>
      </c>
      <c r="N82" s="6" t="s">
        <v>6</v>
      </c>
      <c r="O82" s="6" t="s">
        <v>6</v>
      </c>
      <c r="P82" s="6" t="s">
        <v>6</v>
      </c>
      <c r="Q82" s="6" t="s">
        <v>6</v>
      </c>
      <c r="R82" s="6" t="s">
        <v>6</v>
      </c>
      <c r="S82" s="6" t="s">
        <v>6</v>
      </c>
      <c r="T82" s="6" t="s">
        <v>6</v>
      </c>
      <c r="U82" s="6" t="s">
        <v>6</v>
      </c>
      <c r="V82" s="6" t="s">
        <v>6</v>
      </c>
      <c r="W82" s="6" t="s">
        <v>6</v>
      </c>
      <c r="X82" s="2" t="str">
        <f t="shared" ca="1" si="5"/>
        <v>Conforme</v>
      </c>
      <c r="Y82" s="2"/>
    </row>
    <row r="83" spans="1:25" x14ac:dyDescent="0.25">
      <c r="A83" s="1">
        <f t="shared" si="6"/>
        <v>4</v>
      </c>
      <c r="B83" s="4">
        <f t="shared" si="4"/>
        <v>44720</v>
      </c>
      <c r="C83" s="3" t="s">
        <v>2</v>
      </c>
      <c r="D83" s="6" t="s">
        <v>6</v>
      </c>
      <c r="E83" s="6" t="s">
        <v>6</v>
      </c>
      <c r="F83" s="6" t="s">
        <v>6</v>
      </c>
      <c r="G83" s="6" t="s">
        <v>6</v>
      </c>
      <c r="H83" s="6" t="s">
        <v>6</v>
      </c>
      <c r="I83" s="6" t="s">
        <v>6</v>
      </c>
      <c r="J83" s="6" t="s">
        <v>6</v>
      </c>
      <c r="K83" s="6" t="s">
        <v>6</v>
      </c>
      <c r="L83" s="6" t="s">
        <v>6</v>
      </c>
      <c r="M83" s="6" t="s">
        <v>6</v>
      </c>
      <c r="N83" s="6" t="s">
        <v>6</v>
      </c>
      <c r="O83" s="6" t="s">
        <v>6</v>
      </c>
      <c r="P83" s="6" t="s">
        <v>6</v>
      </c>
      <c r="Q83" s="6" t="s">
        <v>6</v>
      </c>
      <c r="R83" s="6" t="s">
        <v>6</v>
      </c>
      <c r="S83" s="6" t="s">
        <v>6</v>
      </c>
      <c r="T83" s="6" t="s">
        <v>6</v>
      </c>
      <c r="U83" s="6" t="s">
        <v>6</v>
      </c>
      <c r="V83" s="6" t="s">
        <v>6</v>
      </c>
      <c r="W83" s="6" t="s">
        <v>6</v>
      </c>
      <c r="X83" s="2" t="str">
        <f t="shared" ca="1" si="5"/>
        <v>Conforme</v>
      </c>
      <c r="Y83" s="2"/>
    </row>
    <row r="84" spans="1:25" x14ac:dyDescent="0.25">
      <c r="A84" s="1">
        <f t="shared" si="6"/>
        <v>4</v>
      </c>
      <c r="B84" s="4">
        <f t="shared" si="4"/>
        <v>44720</v>
      </c>
      <c r="C84" s="3" t="s">
        <v>3</v>
      </c>
      <c r="D84" s="6" t="s">
        <v>6</v>
      </c>
      <c r="E84" s="6" t="s">
        <v>6</v>
      </c>
      <c r="F84" s="6" t="s">
        <v>6</v>
      </c>
      <c r="G84" s="6" t="s">
        <v>6</v>
      </c>
      <c r="H84" s="6" t="s">
        <v>6</v>
      </c>
      <c r="I84" s="6" t="s">
        <v>6</v>
      </c>
      <c r="J84" s="6" t="s">
        <v>6</v>
      </c>
      <c r="K84" s="6" t="s">
        <v>6</v>
      </c>
      <c r="L84" s="6" t="s">
        <v>6</v>
      </c>
      <c r="M84" s="6" t="s">
        <v>6</v>
      </c>
      <c r="N84" s="6" t="s">
        <v>6</v>
      </c>
      <c r="O84" s="6" t="s">
        <v>6</v>
      </c>
      <c r="P84" s="6" t="s">
        <v>6</v>
      </c>
      <c r="Q84" s="6" t="s">
        <v>6</v>
      </c>
      <c r="R84" s="6" t="s">
        <v>6</v>
      </c>
      <c r="S84" s="6" t="s">
        <v>6</v>
      </c>
      <c r="T84" s="6" t="s">
        <v>6</v>
      </c>
      <c r="U84" s="6" t="s">
        <v>6</v>
      </c>
      <c r="V84" s="6" t="s">
        <v>6</v>
      </c>
      <c r="W84" s="6" t="s">
        <v>6</v>
      </c>
      <c r="X84" s="2" t="str">
        <f t="shared" ca="1" si="5"/>
        <v>Conforme</v>
      </c>
      <c r="Y84" s="2"/>
    </row>
    <row r="85" spans="1:25" x14ac:dyDescent="0.25">
      <c r="A85" s="1">
        <f t="shared" si="6"/>
        <v>4</v>
      </c>
      <c r="B85" s="4">
        <f t="shared" si="4"/>
        <v>44720</v>
      </c>
      <c r="C85" s="3" t="s">
        <v>4</v>
      </c>
      <c r="D85" s="6" t="s">
        <v>6</v>
      </c>
      <c r="E85" s="6" t="s">
        <v>6</v>
      </c>
      <c r="F85" s="6" t="s">
        <v>6</v>
      </c>
      <c r="G85" s="6" t="s">
        <v>6</v>
      </c>
      <c r="H85" s="6" t="s">
        <v>6</v>
      </c>
      <c r="I85" s="6" t="s">
        <v>6</v>
      </c>
      <c r="J85" s="6" t="s">
        <v>6</v>
      </c>
      <c r="K85" s="6" t="s">
        <v>6</v>
      </c>
      <c r="L85" s="6" t="s">
        <v>6</v>
      </c>
      <c r="M85" s="6" t="s">
        <v>6</v>
      </c>
      <c r="N85" s="6" t="s">
        <v>6</v>
      </c>
      <c r="O85" s="6" t="s">
        <v>6</v>
      </c>
      <c r="P85" s="6" t="s">
        <v>6</v>
      </c>
      <c r="Q85" s="6" t="s">
        <v>6</v>
      </c>
      <c r="R85" s="6" t="s">
        <v>6</v>
      </c>
      <c r="S85" s="6" t="s">
        <v>6</v>
      </c>
      <c r="T85" s="6" t="s">
        <v>6</v>
      </c>
      <c r="U85" s="6" t="s">
        <v>6</v>
      </c>
      <c r="V85" s="6" t="s">
        <v>6</v>
      </c>
      <c r="W85" s="6" t="s">
        <v>6</v>
      </c>
      <c r="X85" s="2" t="str">
        <f t="shared" ca="1" si="5"/>
        <v>Conforme</v>
      </c>
      <c r="Y85" s="2"/>
    </row>
    <row r="86" spans="1:25" x14ac:dyDescent="0.25">
      <c r="A86" s="1">
        <f t="shared" si="6"/>
        <v>5</v>
      </c>
      <c r="B86" s="4">
        <f t="shared" si="4"/>
        <v>44721</v>
      </c>
      <c r="C86" s="3" t="s">
        <v>2</v>
      </c>
      <c r="D86" s="6" t="s">
        <v>6</v>
      </c>
      <c r="E86" s="6" t="s">
        <v>6</v>
      </c>
      <c r="F86" s="6" t="s">
        <v>6</v>
      </c>
      <c r="G86" s="6" t="s">
        <v>6</v>
      </c>
      <c r="H86" s="6" t="s">
        <v>6</v>
      </c>
      <c r="I86" s="6" t="s">
        <v>6</v>
      </c>
      <c r="J86" s="6" t="s">
        <v>6</v>
      </c>
      <c r="K86" s="6" t="s">
        <v>6</v>
      </c>
      <c r="L86" s="6" t="s">
        <v>6</v>
      </c>
      <c r="M86" s="6" t="s">
        <v>6</v>
      </c>
      <c r="N86" s="6" t="s">
        <v>6</v>
      </c>
      <c r="O86" s="6" t="s">
        <v>6</v>
      </c>
      <c r="P86" s="6" t="s">
        <v>6</v>
      </c>
      <c r="Q86" s="6" t="s">
        <v>6</v>
      </c>
      <c r="R86" s="6" t="s">
        <v>6</v>
      </c>
      <c r="S86" s="6" t="s">
        <v>6</v>
      </c>
      <c r="T86" s="6" t="s">
        <v>6</v>
      </c>
      <c r="U86" s="6" t="s">
        <v>6</v>
      </c>
      <c r="V86" s="6" t="s">
        <v>6</v>
      </c>
      <c r="W86" s="6" t="s">
        <v>6</v>
      </c>
      <c r="X86" s="2" t="str">
        <f t="shared" ref="X86:X91" ca="1" si="7">IF(B86&lt;TODAY(),IF(COUNTBLANK(D86:W86)=0,"Conforme","Não conforme"),"")</f>
        <v>Conforme</v>
      </c>
      <c r="Y86" s="2"/>
    </row>
    <row r="87" spans="1:25" x14ac:dyDescent="0.25">
      <c r="A87" s="1">
        <f t="shared" si="6"/>
        <v>5</v>
      </c>
      <c r="B87" s="4">
        <f t="shared" si="4"/>
        <v>44721</v>
      </c>
      <c r="C87" s="3" t="s">
        <v>3</v>
      </c>
      <c r="D87" s="6" t="s">
        <v>6</v>
      </c>
      <c r="E87" s="6" t="s">
        <v>6</v>
      </c>
      <c r="F87" s="6" t="s">
        <v>6</v>
      </c>
      <c r="G87" s="6" t="s">
        <v>6</v>
      </c>
      <c r="H87" s="6" t="s">
        <v>6</v>
      </c>
      <c r="I87" s="6" t="s">
        <v>6</v>
      </c>
      <c r="J87" s="6" t="s">
        <v>6</v>
      </c>
      <c r="K87" s="6" t="s">
        <v>6</v>
      </c>
      <c r="L87" s="6" t="s">
        <v>6</v>
      </c>
      <c r="M87" s="6" t="s">
        <v>6</v>
      </c>
      <c r="N87" s="6" t="s">
        <v>6</v>
      </c>
      <c r="O87" s="6" t="s">
        <v>6</v>
      </c>
      <c r="P87" s="6" t="s">
        <v>6</v>
      </c>
      <c r="Q87" s="6" t="s">
        <v>6</v>
      </c>
      <c r="R87" s="6" t="s">
        <v>6</v>
      </c>
      <c r="S87" s="6" t="s">
        <v>6</v>
      </c>
      <c r="T87" s="6" t="s">
        <v>6</v>
      </c>
      <c r="U87" s="6" t="s">
        <v>6</v>
      </c>
      <c r="V87" s="6" t="s">
        <v>6</v>
      </c>
      <c r="W87" s="6" t="s">
        <v>6</v>
      </c>
      <c r="X87" s="2" t="str">
        <f t="shared" ca="1" si="7"/>
        <v>Conforme</v>
      </c>
      <c r="Y87" s="2"/>
    </row>
    <row r="88" spans="1:25" x14ac:dyDescent="0.25">
      <c r="A88" s="1">
        <f t="shared" si="6"/>
        <v>5</v>
      </c>
      <c r="B88" s="4">
        <f t="shared" si="4"/>
        <v>44721</v>
      </c>
      <c r="C88" s="3" t="s">
        <v>4</v>
      </c>
      <c r="D88" s="6" t="s">
        <v>6</v>
      </c>
      <c r="E88" s="6" t="s">
        <v>6</v>
      </c>
      <c r="F88" s="6" t="s">
        <v>6</v>
      </c>
      <c r="G88" s="6" t="s">
        <v>6</v>
      </c>
      <c r="H88" s="6" t="s">
        <v>6</v>
      </c>
      <c r="I88" s="6" t="s">
        <v>6</v>
      </c>
      <c r="J88" s="6" t="s">
        <v>6</v>
      </c>
      <c r="K88" s="6" t="s">
        <v>6</v>
      </c>
      <c r="L88" s="6" t="s">
        <v>6</v>
      </c>
      <c r="M88" s="6" t="s">
        <v>6</v>
      </c>
      <c r="N88" s="6" t="s">
        <v>6</v>
      </c>
      <c r="O88" s="6" t="s">
        <v>6</v>
      </c>
      <c r="P88" s="6" t="s">
        <v>6</v>
      </c>
      <c r="Q88" s="6" t="s">
        <v>6</v>
      </c>
      <c r="R88" s="6" t="s">
        <v>6</v>
      </c>
      <c r="S88" s="6" t="s">
        <v>6</v>
      </c>
      <c r="T88" s="6" t="s">
        <v>6</v>
      </c>
      <c r="U88" s="6" t="s">
        <v>6</v>
      </c>
      <c r="V88" s="6" t="s">
        <v>6</v>
      </c>
      <c r="W88" s="6" t="s">
        <v>6</v>
      </c>
      <c r="X88" s="2" t="str">
        <f t="shared" ca="1" si="7"/>
        <v>Conforme</v>
      </c>
      <c r="Y88" s="2"/>
    </row>
    <row r="89" spans="1:25" x14ac:dyDescent="0.25">
      <c r="A89" s="1">
        <f t="shared" si="6"/>
        <v>6</v>
      </c>
      <c r="B89" s="4">
        <f t="shared" si="4"/>
        <v>44722</v>
      </c>
      <c r="C89" s="3" t="s">
        <v>2</v>
      </c>
      <c r="D89" s="6" t="s">
        <v>6</v>
      </c>
      <c r="E89" s="6" t="s">
        <v>6</v>
      </c>
      <c r="F89" s="6" t="s">
        <v>6</v>
      </c>
      <c r="G89" s="6" t="s">
        <v>6</v>
      </c>
      <c r="H89" s="6" t="s">
        <v>6</v>
      </c>
      <c r="I89" s="6" t="s">
        <v>6</v>
      </c>
      <c r="J89" s="6" t="s">
        <v>6</v>
      </c>
      <c r="K89" s="6" t="s">
        <v>6</v>
      </c>
      <c r="L89" s="6" t="s">
        <v>6</v>
      </c>
      <c r="M89" s="6" t="s">
        <v>6</v>
      </c>
      <c r="N89" s="6" t="s">
        <v>6</v>
      </c>
      <c r="O89" s="6" t="s">
        <v>6</v>
      </c>
      <c r="P89" s="6" t="s">
        <v>6</v>
      </c>
      <c r="Q89" s="6" t="s">
        <v>6</v>
      </c>
      <c r="R89" s="6" t="s">
        <v>6</v>
      </c>
      <c r="S89" s="6" t="s">
        <v>6</v>
      </c>
      <c r="T89" s="6" t="s">
        <v>6</v>
      </c>
      <c r="U89" s="6" t="s">
        <v>6</v>
      </c>
      <c r="V89" s="6" t="s">
        <v>6</v>
      </c>
      <c r="W89" s="6" t="s">
        <v>6</v>
      </c>
      <c r="X89" s="2" t="str">
        <f t="shared" ca="1" si="7"/>
        <v>Conforme</v>
      </c>
      <c r="Y89" s="2"/>
    </row>
    <row r="90" spans="1:25" x14ac:dyDescent="0.25">
      <c r="A90" s="1">
        <f t="shared" si="6"/>
        <v>6</v>
      </c>
      <c r="B90" s="4">
        <f t="shared" si="4"/>
        <v>44722</v>
      </c>
      <c r="C90" s="3" t="s">
        <v>3</v>
      </c>
      <c r="D90" s="6" t="s">
        <v>6</v>
      </c>
      <c r="E90" s="6" t="s">
        <v>6</v>
      </c>
      <c r="F90" s="6" t="s">
        <v>6</v>
      </c>
      <c r="G90" s="6" t="s">
        <v>6</v>
      </c>
      <c r="H90" s="6" t="s">
        <v>6</v>
      </c>
      <c r="I90" s="6" t="s">
        <v>6</v>
      </c>
      <c r="J90" s="6" t="s">
        <v>6</v>
      </c>
      <c r="K90" s="6" t="s">
        <v>6</v>
      </c>
      <c r="L90" s="6" t="s">
        <v>6</v>
      </c>
      <c r="M90" s="6" t="s">
        <v>6</v>
      </c>
      <c r="N90" s="6" t="s">
        <v>6</v>
      </c>
      <c r="O90" s="6" t="s">
        <v>6</v>
      </c>
      <c r="P90" s="6" t="s">
        <v>6</v>
      </c>
      <c r="Q90" s="6" t="s">
        <v>6</v>
      </c>
      <c r="R90" s="6" t="s">
        <v>6</v>
      </c>
      <c r="S90" s="6" t="s">
        <v>6</v>
      </c>
      <c r="T90" s="6" t="s">
        <v>6</v>
      </c>
      <c r="U90" s="6" t="s">
        <v>6</v>
      </c>
      <c r="V90" s="6" t="s">
        <v>6</v>
      </c>
      <c r="W90" s="6" t="s">
        <v>6</v>
      </c>
      <c r="X90" s="2" t="str">
        <f t="shared" ca="1" si="7"/>
        <v>Conforme</v>
      </c>
      <c r="Y90" s="2"/>
    </row>
    <row r="91" spans="1:25" x14ac:dyDescent="0.25">
      <c r="A91" s="1">
        <f t="shared" si="6"/>
        <v>6</v>
      </c>
      <c r="B91" s="4">
        <f t="shared" si="4"/>
        <v>44722</v>
      </c>
      <c r="C91" s="3" t="s">
        <v>4</v>
      </c>
      <c r="D91" s="6" t="s">
        <v>6</v>
      </c>
      <c r="E91" s="6" t="s">
        <v>6</v>
      </c>
      <c r="F91" s="6" t="s">
        <v>6</v>
      </c>
      <c r="G91" s="6" t="s">
        <v>6</v>
      </c>
      <c r="H91" s="6" t="s">
        <v>6</v>
      </c>
      <c r="I91" s="6" t="s">
        <v>6</v>
      </c>
      <c r="J91" s="6" t="s">
        <v>6</v>
      </c>
      <c r="K91" s="6" t="s">
        <v>6</v>
      </c>
      <c r="L91" s="6" t="s">
        <v>6</v>
      </c>
      <c r="M91" s="6" t="s">
        <v>6</v>
      </c>
      <c r="N91" s="6" t="s">
        <v>6</v>
      </c>
      <c r="O91" s="6" t="s">
        <v>6</v>
      </c>
      <c r="P91" s="6" t="s">
        <v>6</v>
      </c>
      <c r="Q91" s="6" t="s">
        <v>6</v>
      </c>
      <c r="R91" s="6" t="s">
        <v>6</v>
      </c>
      <c r="S91" s="6" t="s">
        <v>6</v>
      </c>
      <c r="T91" s="6" t="s">
        <v>6</v>
      </c>
      <c r="U91" s="6" t="s">
        <v>6</v>
      </c>
      <c r="V91" s="6" t="s">
        <v>6</v>
      </c>
      <c r="W91" s="6" t="s">
        <v>6</v>
      </c>
      <c r="X91" s="2" t="str">
        <f t="shared" ca="1" si="7"/>
        <v>Conforme</v>
      </c>
      <c r="Y91" s="2"/>
    </row>
    <row r="92" spans="1:25" x14ac:dyDescent="0.25">
      <c r="A92" s="1">
        <f t="shared" si="6"/>
        <v>2</v>
      </c>
      <c r="B92" s="4">
        <v>44725</v>
      </c>
      <c r="C92" s="3" t="s">
        <v>2</v>
      </c>
      <c r="D92" s="6" t="s">
        <v>6</v>
      </c>
      <c r="E92" s="6" t="s">
        <v>6</v>
      </c>
      <c r="F92" s="6" t="s">
        <v>6</v>
      </c>
      <c r="G92" s="6" t="s">
        <v>6</v>
      </c>
      <c r="H92" s="6" t="s">
        <v>6</v>
      </c>
      <c r="I92" s="6" t="s">
        <v>6</v>
      </c>
      <c r="J92" s="6" t="s">
        <v>6</v>
      </c>
      <c r="K92" s="6" t="s">
        <v>6</v>
      </c>
      <c r="L92" s="6" t="s">
        <v>6</v>
      </c>
      <c r="M92" s="6" t="s">
        <v>6</v>
      </c>
      <c r="N92" s="6" t="s">
        <v>6</v>
      </c>
      <c r="O92" s="6" t="s">
        <v>6</v>
      </c>
      <c r="P92" s="6" t="s">
        <v>6</v>
      </c>
      <c r="Q92" s="6" t="s">
        <v>6</v>
      </c>
      <c r="R92" s="6" t="s">
        <v>6</v>
      </c>
      <c r="S92" s="6" t="s">
        <v>6</v>
      </c>
      <c r="T92" s="6" t="s">
        <v>6</v>
      </c>
      <c r="U92" s="6" t="s">
        <v>6</v>
      </c>
      <c r="V92" s="6" t="s">
        <v>6</v>
      </c>
      <c r="W92" s="6" t="s">
        <v>6</v>
      </c>
      <c r="X92" s="2" t="str">
        <f t="shared" ref="X92:X100" ca="1" si="8">IF(B92&lt;TODAY(),IF(COUNTBLANK(D92:W92)=0,"Conforme","Não conforme"),"")</f>
        <v>Conforme</v>
      </c>
      <c r="Y92" s="2"/>
    </row>
    <row r="93" spans="1:25" x14ac:dyDescent="0.25">
      <c r="A93" s="1">
        <f t="shared" si="6"/>
        <v>2</v>
      </c>
      <c r="B93" s="4">
        <v>44725</v>
      </c>
      <c r="C93" s="3" t="s">
        <v>3</v>
      </c>
      <c r="D93" s="6" t="s">
        <v>6</v>
      </c>
      <c r="E93" s="6" t="s">
        <v>6</v>
      </c>
      <c r="F93" s="6" t="s">
        <v>6</v>
      </c>
      <c r="G93" s="6" t="s">
        <v>6</v>
      </c>
      <c r="H93" s="6" t="s">
        <v>6</v>
      </c>
      <c r="I93" s="6" t="s">
        <v>6</v>
      </c>
      <c r="J93" s="6" t="s">
        <v>6</v>
      </c>
      <c r="K93" s="6" t="s">
        <v>6</v>
      </c>
      <c r="L93" s="6" t="s">
        <v>6</v>
      </c>
      <c r="M93" s="6" t="s">
        <v>6</v>
      </c>
      <c r="N93" s="6" t="s">
        <v>6</v>
      </c>
      <c r="O93" s="6" t="s">
        <v>6</v>
      </c>
      <c r="P93" s="6" t="s">
        <v>6</v>
      </c>
      <c r="Q93" s="6" t="s">
        <v>6</v>
      </c>
      <c r="R93" s="6" t="s">
        <v>6</v>
      </c>
      <c r="S93" s="6" t="s">
        <v>6</v>
      </c>
      <c r="T93" s="6" t="s">
        <v>6</v>
      </c>
      <c r="U93" s="6" t="s">
        <v>6</v>
      </c>
      <c r="V93" s="6" t="s">
        <v>6</v>
      </c>
      <c r="W93" s="6" t="s">
        <v>6</v>
      </c>
      <c r="X93" s="2" t="str">
        <f t="shared" ca="1" si="8"/>
        <v>Conforme</v>
      </c>
      <c r="Y93" s="2"/>
    </row>
    <row r="94" spans="1:25" x14ac:dyDescent="0.25">
      <c r="A94" s="1">
        <f t="shared" si="6"/>
        <v>2</v>
      </c>
      <c r="B94" s="4">
        <v>44725</v>
      </c>
      <c r="C94" s="3" t="s">
        <v>4</v>
      </c>
      <c r="D94" s="6" t="s">
        <v>6</v>
      </c>
      <c r="E94" s="6" t="s">
        <v>6</v>
      </c>
      <c r="F94" s="6" t="s">
        <v>6</v>
      </c>
      <c r="G94" s="6" t="s">
        <v>6</v>
      </c>
      <c r="H94" s="6" t="s">
        <v>6</v>
      </c>
      <c r="I94" s="6" t="s">
        <v>6</v>
      </c>
      <c r="J94" s="6" t="s">
        <v>6</v>
      </c>
      <c r="K94" s="6" t="s">
        <v>6</v>
      </c>
      <c r="L94" s="6" t="s">
        <v>6</v>
      </c>
      <c r="M94" s="6" t="s">
        <v>6</v>
      </c>
      <c r="N94" s="6" t="s">
        <v>6</v>
      </c>
      <c r="O94" s="6" t="s">
        <v>6</v>
      </c>
      <c r="P94" s="6" t="s">
        <v>6</v>
      </c>
      <c r="Q94" s="6" t="s">
        <v>6</v>
      </c>
      <c r="R94" s="6" t="s">
        <v>6</v>
      </c>
      <c r="S94" s="6" t="s">
        <v>6</v>
      </c>
      <c r="T94" s="6" t="s">
        <v>6</v>
      </c>
      <c r="U94" s="6" t="s">
        <v>6</v>
      </c>
      <c r="V94" s="6" t="s">
        <v>6</v>
      </c>
      <c r="W94" s="6" t="s">
        <v>6</v>
      </c>
      <c r="X94" s="2" t="str">
        <f t="shared" ca="1" si="8"/>
        <v>Conforme</v>
      </c>
      <c r="Y94" s="2"/>
    </row>
    <row r="95" spans="1:25" x14ac:dyDescent="0.25">
      <c r="A95" s="1">
        <f t="shared" si="6"/>
        <v>3</v>
      </c>
      <c r="B95" s="4">
        <f t="shared" si="4"/>
        <v>44726</v>
      </c>
      <c r="C95" s="3" t="s">
        <v>2</v>
      </c>
      <c r="D95" s="6" t="s">
        <v>6</v>
      </c>
      <c r="E95" s="6" t="s">
        <v>6</v>
      </c>
      <c r="F95" s="6" t="s">
        <v>6</v>
      </c>
      <c r="G95" s="6" t="s">
        <v>6</v>
      </c>
      <c r="H95" s="6" t="s">
        <v>6</v>
      </c>
      <c r="I95" s="6" t="s">
        <v>6</v>
      </c>
      <c r="J95" s="6" t="s">
        <v>6</v>
      </c>
      <c r="K95" s="6" t="s">
        <v>6</v>
      </c>
      <c r="L95" s="6" t="s">
        <v>6</v>
      </c>
      <c r="M95" s="6" t="s">
        <v>6</v>
      </c>
      <c r="N95" s="6" t="s">
        <v>6</v>
      </c>
      <c r="O95" s="6" t="s">
        <v>6</v>
      </c>
      <c r="P95" s="6" t="s">
        <v>6</v>
      </c>
      <c r="Q95" s="6" t="s">
        <v>6</v>
      </c>
      <c r="R95" s="6" t="s">
        <v>6</v>
      </c>
      <c r="S95" s="6" t="s">
        <v>6</v>
      </c>
      <c r="T95" s="6" t="s">
        <v>6</v>
      </c>
      <c r="U95" s="6" t="s">
        <v>6</v>
      </c>
      <c r="V95" s="6" t="s">
        <v>6</v>
      </c>
      <c r="W95" s="6" t="s">
        <v>6</v>
      </c>
      <c r="X95" s="2" t="str">
        <f t="shared" ca="1" si="8"/>
        <v>Conforme</v>
      </c>
      <c r="Y95" s="2"/>
    </row>
    <row r="96" spans="1:25" x14ac:dyDescent="0.25">
      <c r="A96" s="1">
        <f t="shared" si="6"/>
        <v>3</v>
      </c>
      <c r="B96" s="4">
        <f t="shared" si="4"/>
        <v>44726</v>
      </c>
      <c r="C96" s="3" t="s">
        <v>3</v>
      </c>
      <c r="D96" s="6" t="s">
        <v>6</v>
      </c>
      <c r="E96" s="6" t="s">
        <v>6</v>
      </c>
      <c r="F96" s="6" t="s">
        <v>6</v>
      </c>
      <c r="G96" s="6" t="s">
        <v>6</v>
      </c>
      <c r="H96" s="6" t="s">
        <v>6</v>
      </c>
      <c r="I96" s="6" t="s">
        <v>6</v>
      </c>
      <c r="J96" s="6" t="s">
        <v>6</v>
      </c>
      <c r="K96" s="6" t="s">
        <v>6</v>
      </c>
      <c r="L96" s="6" t="s">
        <v>6</v>
      </c>
      <c r="M96" s="6" t="s">
        <v>6</v>
      </c>
      <c r="N96" s="6" t="s">
        <v>6</v>
      </c>
      <c r="O96" s="6" t="s">
        <v>6</v>
      </c>
      <c r="P96" s="6" t="s">
        <v>6</v>
      </c>
      <c r="Q96" s="6" t="s">
        <v>6</v>
      </c>
      <c r="R96" s="6" t="s">
        <v>6</v>
      </c>
      <c r="S96" s="6" t="s">
        <v>6</v>
      </c>
      <c r="T96" s="6" t="s">
        <v>6</v>
      </c>
      <c r="U96" s="6" t="s">
        <v>6</v>
      </c>
      <c r="V96" s="6" t="s">
        <v>6</v>
      </c>
      <c r="W96" s="6" t="s">
        <v>6</v>
      </c>
      <c r="X96" s="2" t="str">
        <f t="shared" ca="1" si="8"/>
        <v>Conforme</v>
      </c>
      <c r="Y96" s="2"/>
    </row>
    <row r="97" spans="1:25" x14ac:dyDescent="0.25">
      <c r="A97" s="1">
        <f t="shared" si="6"/>
        <v>3</v>
      </c>
      <c r="B97" s="4">
        <f t="shared" si="4"/>
        <v>44726</v>
      </c>
      <c r="C97" s="3" t="s">
        <v>4</v>
      </c>
      <c r="D97" s="6" t="s">
        <v>6</v>
      </c>
      <c r="E97" s="6" t="s">
        <v>6</v>
      </c>
      <c r="F97" s="6" t="s">
        <v>6</v>
      </c>
      <c r="G97" s="6" t="s">
        <v>6</v>
      </c>
      <c r="H97" s="6" t="s">
        <v>6</v>
      </c>
      <c r="I97" s="6" t="s">
        <v>6</v>
      </c>
      <c r="J97" s="6" t="s">
        <v>6</v>
      </c>
      <c r="K97" s="6" t="s">
        <v>6</v>
      </c>
      <c r="L97" s="6" t="s">
        <v>6</v>
      </c>
      <c r="M97" s="6" t="s">
        <v>6</v>
      </c>
      <c r="N97" s="6" t="s">
        <v>6</v>
      </c>
      <c r="O97" s="6" t="s">
        <v>6</v>
      </c>
      <c r="P97" s="6" t="s">
        <v>6</v>
      </c>
      <c r="Q97" s="6" t="s">
        <v>6</v>
      </c>
      <c r="R97" s="6" t="s">
        <v>6</v>
      </c>
      <c r="S97" s="6" t="s">
        <v>6</v>
      </c>
      <c r="T97" s="6" t="s">
        <v>6</v>
      </c>
      <c r="U97" s="6" t="s">
        <v>6</v>
      </c>
      <c r="V97" s="6" t="s">
        <v>6</v>
      </c>
      <c r="W97" s="6" t="s">
        <v>6</v>
      </c>
      <c r="X97" s="2" t="str">
        <f t="shared" ca="1" si="8"/>
        <v>Conforme</v>
      </c>
      <c r="Y97" s="2"/>
    </row>
    <row r="98" spans="1:25" x14ac:dyDescent="0.25">
      <c r="A98" s="1">
        <f t="shared" si="6"/>
        <v>4</v>
      </c>
      <c r="B98" s="4">
        <f t="shared" si="4"/>
        <v>44727</v>
      </c>
      <c r="C98" s="3" t="s">
        <v>2</v>
      </c>
      <c r="D98" s="6" t="s">
        <v>6</v>
      </c>
      <c r="E98" s="6" t="s">
        <v>6</v>
      </c>
      <c r="F98" s="6" t="s">
        <v>6</v>
      </c>
      <c r="G98" s="6" t="s">
        <v>6</v>
      </c>
      <c r="H98" s="6" t="s">
        <v>6</v>
      </c>
      <c r="I98" s="6" t="s">
        <v>6</v>
      </c>
      <c r="J98" s="6" t="s">
        <v>6</v>
      </c>
      <c r="K98" s="6" t="s">
        <v>6</v>
      </c>
      <c r="L98" s="6" t="s">
        <v>6</v>
      </c>
      <c r="M98" s="6" t="s">
        <v>6</v>
      </c>
      <c r="N98" s="6" t="s">
        <v>6</v>
      </c>
      <c r="O98" s="6" t="s">
        <v>6</v>
      </c>
      <c r="P98" s="6" t="s">
        <v>6</v>
      </c>
      <c r="Q98" s="6" t="s">
        <v>6</v>
      </c>
      <c r="R98" s="6" t="s">
        <v>6</v>
      </c>
      <c r="S98" s="6" t="s">
        <v>6</v>
      </c>
      <c r="T98" s="6" t="s">
        <v>6</v>
      </c>
      <c r="U98" s="6" t="s">
        <v>6</v>
      </c>
      <c r="V98" s="6" t="s">
        <v>6</v>
      </c>
      <c r="W98" s="6" t="s">
        <v>6</v>
      </c>
      <c r="X98" s="2" t="str">
        <f t="shared" ca="1" si="8"/>
        <v>Conforme</v>
      </c>
      <c r="Y98" s="2"/>
    </row>
    <row r="99" spans="1:25" x14ac:dyDescent="0.25">
      <c r="A99" s="1">
        <f t="shared" si="6"/>
        <v>4</v>
      </c>
      <c r="B99" s="4">
        <f t="shared" si="4"/>
        <v>44727</v>
      </c>
      <c r="C99" s="3" t="s">
        <v>3</v>
      </c>
      <c r="D99" s="6" t="s">
        <v>6</v>
      </c>
      <c r="E99" s="6" t="s">
        <v>6</v>
      </c>
      <c r="F99" s="6" t="s">
        <v>6</v>
      </c>
      <c r="G99" s="6" t="s">
        <v>6</v>
      </c>
      <c r="H99" s="6" t="s">
        <v>6</v>
      </c>
      <c r="I99" s="6" t="s">
        <v>6</v>
      </c>
      <c r="J99" s="6" t="s">
        <v>6</v>
      </c>
      <c r="K99" s="6" t="s">
        <v>6</v>
      </c>
      <c r="L99" s="6" t="s">
        <v>6</v>
      </c>
      <c r="M99" s="6" t="s">
        <v>6</v>
      </c>
      <c r="N99" s="6" t="s">
        <v>6</v>
      </c>
      <c r="O99" s="6" t="s">
        <v>6</v>
      </c>
      <c r="P99" s="6" t="s">
        <v>6</v>
      </c>
      <c r="Q99" s="6" t="s">
        <v>6</v>
      </c>
      <c r="R99" s="6" t="s">
        <v>6</v>
      </c>
      <c r="S99" s="6" t="s">
        <v>6</v>
      </c>
      <c r="T99" s="6" t="s">
        <v>6</v>
      </c>
      <c r="U99" s="6" t="s">
        <v>6</v>
      </c>
      <c r="V99" s="6" t="s">
        <v>6</v>
      </c>
      <c r="W99" s="6" t="s">
        <v>6</v>
      </c>
      <c r="X99" s="2" t="str">
        <f t="shared" ca="1" si="8"/>
        <v>Conforme</v>
      </c>
      <c r="Y99" s="2"/>
    </row>
    <row r="100" spans="1:25" x14ac:dyDescent="0.25">
      <c r="A100" s="1">
        <f t="shared" si="6"/>
        <v>4</v>
      </c>
      <c r="B100" s="4">
        <f t="shared" si="4"/>
        <v>44727</v>
      </c>
      <c r="C100" s="3" t="s">
        <v>4</v>
      </c>
      <c r="D100" s="6" t="s">
        <v>6</v>
      </c>
      <c r="E100" s="6" t="s">
        <v>6</v>
      </c>
      <c r="F100" s="6" t="s">
        <v>6</v>
      </c>
      <c r="G100" s="6" t="s">
        <v>6</v>
      </c>
      <c r="H100" s="6" t="s">
        <v>6</v>
      </c>
      <c r="I100" s="6" t="s">
        <v>6</v>
      </c>
      <c r="J100" s="6" t="s">
        <v>6</v>
      </c>
      <c r="K100" s="6" t="s">
        <v>6</v>
      </c>
      <c r="L100" s="6" t="s">
        <v>6</v>
      </c>
      <c r="M100" s="6" t="s">
        <v>6</v>
      </c>
      <c r="N100" s="6" t="s">
        <v>6</v>
      </c>
      <c r="O100" s="6" t="s">
        <v>6</v>
      </c>
      <c r="P100" s="6" t="s">
        <v>6</v>
      </c>
      <c r="Q100" s="6" t="s">
        <v>6</v>
      </c>
      <c r="R100" s="6" t="s">
        <v>6</v>
      </c>
      <c r="S100" s="6" t="s">
        <v>6</v>
      </c>
      <c r="T100" s="6" t="s">
        <v>6</v>
      </c>
      <c r="U100" s="6" t="s">
        <v>6</v>
      </c>
      <c r="V100" s="6" t="s">
        <v>6</v>
      </c>
      <c r="W100" s="6" t="s">
        <v>6</v>
      </c>
      <c r="X100" s="2" t="str">
        <f t="shared" ca="1" si="8"/>
        <v>Conforme</v>
      </c>
      <c r="Y100" s="2"/>
    </row>
    <row r="101" spans="1:25" x14ac:dyDescent="0.25">
      <c r="A101" s="1">
        <f t="shared" si="6"/>
        <v>6</v>
      </c>
      <c r="B101" s="4">
        <v>44729</v>
      </c>
      <c r="C101" s="3" t="s">
        <v>2</v>
      </c>
      <c r="D101" s="6" t="s">
        <v>6</v>
      </c>
      <c r="E101" s="6" t="s">
        <v>6</v>
      </c>
      <c r="F101" s="6" t="s">
        <v>6</v>
      </c>
      <c r="G101" s="6" t="s">
        <v>6</v>
      </c>
      <c r="H101" s="6" t="s">
        <v>6</v>
      </c>
      <c r="I101" s="6" t="s">
        <v>6</v>
      </c>
      <c r="J101" s="6" t="s">
        <v>6</v>
      </c>
      <c r="K101" s="6" t="s">
        <v>6</v>
      </c>
      <c r="L101" s="6" t="s">
        <v>6</v>
      </c>
      <c r="M101" s="6" t="s">
        <v>6</v>
      </c>
      <c r="N101" s="6" t="s">
        <v>6</v>
      </c>
      <c r="O101" s="6" t="s">
        <v>6</v>
      </c>
      <c r="P101" s="6" t="s">
        <v>6</v>
      </c>
      <c r="Q101" s="6" t="s">
        <v>6</v>
      </c>
      <c r="R101" s="6" t="s">
        <v>6</v>
      </c>
      <c r="S101" s="6" t="s">
        <v>6</v>
      </c>
      <c r="T101" s="6" t="s">
        <v>6</v>
      </c>
      <c r="U101" s="6" t="s">
        <v>6</v>
      </c>
      <c r="V101" s="6" t="s">
        <v>6</v>
      </c>
      <c r="W101" s="6" t="s">
        <v>6</v>
      </c>
      <c r="X101" s="2" t="str">
        <f t="shared" ref="X101:X103" ca="1" si="9">IF(B101&lt;TODAY(),IF(COUNTBLANK(D101:W101)=0,"Conforme","Não conforme"),"")</f>
        <v>Conforme</v>
      </c>
      <c r="Y101" s="2"/>
    </row>
    <row r="102" spans="1:25" x14ac:dyDescent="0.25">
      <c r="A102" s="1">
        <f t="shared" si="6"/>
        <v>6</v>
      </c>
      <c r="B102" s="4">
        <v>44729</v>
      </c>
      <c r="C102" s="3" t="s">
        <v>3</v>
      </c>
      <c r="D102" s="6" t="s">
        <v>6</v>
      </c>
      <c r="E102" s="6" t="s">
        <v>6</v>
      </c>
      <c r="F102" s="6" t="s">
        <v>6</v>
      </c>
      <c r="G102" s="6" t="s">
        <v>6</v>
      </c>
      <c r="H102" s="6" t="s">
        <v>6</v>
      </c>
      <c r="I102" s="6" t="s">
        <v>6</v>
      </c>
      <c r="J102" s="6" t="s">
        <v>6</v>
      </c>
      <c r="K102" s="6" t="s">
        <v>6</v>
      </c>
      <c r="L102" s="6" t="s">
        <v>6</v>
      </c>
      <c r="M102" s="6" t="s">
        <v>6</v>
      </c>
      <c r="N102" s="6" t="s">
        <v>6</v>
      </c>
      <c r="O102" s="6" t="s">
        <v>6</v>
      </c>
      <c r="P102" s="6" t="s">
        <v>6</v>
      </c>
      <c r="Q102" s="6" t="s">
        <v>6</v>
      </c>
      <c r="R102" s="6" t="s">
        <v>6</v>
      </c>
      <c r="S102" s="6" t="s">
        <v>6</v>
      </c>
      <c r="T102" s="6" t="s">
        <v>6</v>
      </c>
      <c r="U102" s="6" t="s">
        <v>6</v>
      </c>
      <c r="V102" s="6" t="s">
        <v>6</v>
      </c>
      <c r="W102" s="6" t="s">
        <v>6</v>
      </c>
      <c r="X102" s="2" t="str">
        <f t="shared" ca="1" si="9"/>
        <v>Conforme</v>
      </c>
      <c r="Y102" s="2"/>
    </row>
    <row r="103" spans="1:25" x14ac:dyDescent="0.25">
      <c r="A103" s="1">
        <f t="shared" si="6"/>
        <v>6</v>
      </c>
      <c r="B103" s="4">
        <v>44729</v>
      </c>
      <c r="C103" s="3" t="s">
        <v>4</v>
      </c>
      <c r="D103" s="6" t="s">
        <v>6</v>
      </c>
      <c r="E103" s="6" t="s">
        <v>6</v>
      </c>
      <c r="F103" s="6" t="s">
        <v>6</v>
      </c>
      <c r="G103" s="6" t="s">
        <v>6</v>
      </c>
      <c r="H103" s="6" t="s">
        <v>6</v>
      </c>
      <c r="I103" s="6" t="s">
        <v>6</v>
      </c>
      <c r="J103" s="6" t="s">
        <v>6</v>
      </c>
      <c r="K103" s="6" t="s">
        <v>6</v>
      </c>
      <c r="L103" s="6" t="s">
        <v>6</v>
      </c>
      <c r="M103" s="6" t="s">
        <v>6</v>
      </c>
      <c r="N103" s="6" t="s">
        <v>6</v>
      </c>
      <c r="O103" s="6" t="s">
        <v>6</v>
      </c>
      <c r="P103" s="6" t="s">
        <v>6</v>
      </c>
      <c r="Q103" s="6" t="s">
        <v>6</v>
      </c>
      <c r="R103" s="6" t="s">
        <v>6</v>
      </c>
      <c r="S103" s="6" t="s">
        <v>6</v>
      </c>
      <c r="T103" s="6" t="s">
        <v>6</v>
      </c>
      <c r="U103" s="6" t="s">
        <v>6</v>
      </c>
      <c r="V103" s="6" t="s">
        <v>6</v>
      </c>
      <c r="W103" s="6" t="s">
        <v>6</v>
      </c>
      <c r="X103" s="2" t="str">
        <f t="shared" ca="1" si="9"/>
        <v>Conforme</v>
      </c>
      <c r="Y103" s="2"/>
    </row>
    <row r="104" spans="1:25" x14ac:dyDescent="0.25">
      <c r="A104" s="1">
        <f t="shared" si="6"/>
        <v>2</v>
      </c>
      <c r="B104" s="4">
        <v>44732</v>
      </c>
      <c r="C104" s="3" t="s">
        <v>4</v>
      </c>
      <c r="D104" s="6" t="s">
        <v>6</v>
      </c>
      <c r="E104" s="6" t="s">
        <v>6</v>
      </c>
      <c r="F104" s="6" t="s">
        <v>6</v>
      </c>
      <c r="G104" s="6" t="s">
        <v>6</v>
      </c>
      <c r="H104" s="6" t="s">
        <v>6</v>
      </c>
      <c r="I104" s="6" t="s">
        <v>6</v>
      </c>
      <c r="J104" s="6" t="s">
        <v>6</v>
      </c>
      <c r="K104" s="6" t="s">
        <v>6</v>
      </c>
      <c r="L104" s="6" t="s">
        <v>6</v>
      </c>
      <c r="M104" s="6" t="s">
        <v>6</v>
      </c>
      <c r="N104" s="6" t="s">
        <v>6</v>
      </c>
      <c r="O104" s="6" t="s">
        <v>6</v>
      </c>
      <c r="P104" s="6" t="s">
        <v>6</v>
      </c>
      <c r="Q104" s="6" t="s">
        <v>6</v>
      </c>
      <c r="R104" s="6" t="s">
        <v>6</v>
      </c>
      <c r="S104" s="6" t="s">
        <v>6</v>
      </c>
      <c r="T104" s="6" t="s">
        <v>6</v>
      </c>
      <c r="U104" s="6" t="s">
        <v>6</v>
      </c>
      <c r="V104" s="6" t="s">
        <v>6</v>
      </c>
      <c r="W104" s="6" t="s">
        <v>6</v>
      </c>
      <c r="X104" s="2" t="str">
        <f t="shared" ref="X104:X118" ca="1" si="10">IF(B104&lt;TODAY(),IF(COUNTBLANK(D104:W104)=0,"Conforme","Não conforme"),"")</f>
        <v>Conforme</v>
      </c>
      <c r="Y104" s="2"/>
    </row>
    <row r="105" spans="1:25" x14ac:dyDescent="0.25">
      <c r="A105" s="1">
        <f t="shared" si="6"/>
        <v>3</v>
      </c>
      <c r="B105" s="4">
        <f t="shared" ref="B105:B126" si="11">B104+1</f>
        <v>44733</v>
      </c>
      <c r="C105" s="3" t="s">
        <v>4</v>
      </c>
      <c r="D105" s="6" t="s">
        <v>6</v>
      </c>
      <c r="E105" s="6" t="s">
        <v>6</v>
      </c>
      <c r="F105" s="6" t="s">
        <v>6</v>
      </c>
      <c r="G105" s="6" t="s">
        <v>6</v>
      </c>
      <c r="H105" s="6" t="s">
        <v>6</v>
      </c>
      <c r="I105" s="6" t="s">
        <v>6</v>
      </c>
      <c r="J105" s="6" t="s">
        <v>6</v>
      </c>
      <c r="K105" s="6" t="s">
        <v>6</v>
      </c>
      <c r="L105" s="6" t="s">
        <v>6</v>
      </c>
      <c r="M105" s="6" t="s">
        <v>6</v>
      </c>
      <c r="N105" s="6" t="s">
        <v>6</v>
      </c>
      <c r="O105" s="6" t="s">
        <v>6</v>
      </c>
      <c r="P105" s="6" t="s">
        <v>6</v>
      </c>
      <c r="Q105" s="6" t="s">
        <v>6</v>
      </c>
      <c r="R105" s="6" t="s">
        <v>6</v>
      </c>
      <c r="S105" s="6" t="s">
        <v>6</v>
      </c>
      <c r="T105" s="6" t="s">
        <v>6</v>
      </c>
      <c r="U105" s="6" t="s">
        <v>6</v>
      </c>
      <c r="V105" s="6" t="s">
        <v>6</v>
      </c>
      <c r="W105" s="6" t="s">
        <v>6</v>
      </c>
      <c r="X105" s="2" t="str">
        <f t="shared" ca="1" si="10"/>
        <v>Conforme</v>
      </c>
      <c r="Y105" s="2"/>
    </row>
    <row r="106" spans="1:25" x14ac:dyDescent="0.25">
      <c r="A106" s="1">
        <f t="shared" si="6"/>
        <v>4</v>
      </c>
      <c r="B106" s="4">
        <f t="shared" si="11"/>
        <v>44734</v>
      </c>
      <c r="C106" s="3" t="s">
        <v>4</v>
      </c>
      <c r="D106" s="6" t="s">
        <v>6</v>
      </c>
      <c r="E106" s="6" t="s">
        <v>6</v>
      </c>
      <c r="F106" s="6" t="s">
        <v>6</v>
      </c>
      <c r="G106" s="6" t="s">
        <v>6</v>
      </c>
      <c r="H106" s="6" t="s">
        <v>6</v>
      </c>
      <c r="I106" s="6" t="s">
        <v>6</v>
      </c>
      <c r="J106" s="6" t="s">
        <v>6</v>
      </c>
      <c r="K106" s="6" t="s">
        <v>6</v>
      </c>
      <c r="L106" s="6" t="s">
        <v>6</v>
      </c>
      <c r="M106" s="6" t="s">
        <v>6</v>
      </c>
      <c r="N106" s="6" t="s">
        <v>6</v>
      </c>
      <c r="O106" s="6" t="s">
        <v>6</v>
      </c>
      <c r="P106" s="6" t="s">
        <v>6</v>
      </c>
      <c r="Q106" s="6" t="s">
        <v>6</v>
      </c>
      <c r="R106" s="6" t="s">
        <v>6</v>
      </c>
      <c r="S106" s="6" t="s">
        <v>6</v>
      </c>
      <c r="T106" s="6" t="s">
        <v>6</v>
      </c>
      <c r="U106" s="6" t="s">
        <v>6</v>
      </c>
      <c r="V106" s="6" t="s">
        <v>6</v>
      </c>
      <c r="W106" s="6" t="s">
        <v>6</v>
      </c>
      <c r="X106" s="2" t="str">
        <f t="shared" ref="X106" ca="1" si="12">IF(B106&lt;TODAY(),IF(COUNTBLANK(D106:W106)=0,"Conforme","Não conforme"),"")</f>
        <v>Conforme</v>
      </c>
      <c r="Y106" s="2"/>
    </row>
    <row r="107" spans="1:25" x14ac:dyDescent="0.25">
      <c r="A107" s="1">
        <f t="shared" si="6"/>
        <v>5</v>
      </c>
      <c r="B107" s="4">
        <f t="shared" si="11"/>
        <v>44735</v>
      </c>
      <c r="C107" s="3" t="s">
        <v>4</v>
      </c>
      <c r="D107" s="6" t="s">
        <v>6</v>
      </c>
      <c r="E107" s="6" t="s">
        <v>6</v>
      </c>
      <c r="F107" s="6" t="s">
        <v>6</v>
      </c>
      <c r="G107" s="6" t="s">
        <v>6</v>
      </c>
      <c r="H107" s="6" t="s">
        <v>6</v>
      </c>
      <c r="I107" s="6" t="s">
        <v>6</v>
      </c>
      <c r="J107" s="6" t="s">
        <v>6</v>
      </c>
      <c r="K107" s="6" t="s">
        <v>6</v>
      </c>
      <c r="L107" s="6" t="s">
        <v>6</v>
      </c>
      <c r="M107" s="6" t="s">
        <v>6</v>
      </c>
      <c r="N107" s="6" t="s">
        <v>6</v>
      </c>
      <c r="O107" s="6" t="s">
        <v>6</v>
      </c>
      <c r="P107" s="6" t="s">
        <v>6</v>
      </c>
      <c r="Q107" s="6" t="s">
        <v>6</v>
      </c>
      <c r="R107" s="6" t="s">
        <v>6</v>
      </c>
      <c r="S107" s="6" t="s">
        <v>6</v>
      </c>
      <c r="T107" s="6" t="s">
        <v>6</v>
      </c>
      <c r="U107" s="6" t="s">
        <v>6</v>
      </c>
      <c r="V107" s="6" t="s">
        <v>6</v>
      </c>
      <c r="W107" s="6" t="s">
        <v>6</v>
      </c>
      <c r="X107" s="2" t="str">
        <f t="shared" ref="X107:X108" ca="1" si="13">IF(B107&lt;TODAY(),IF(COUNTBLANK(D107:W107)=0,"Conforme","Não conforme"),"")</f>
        <v>Conforme</v>
      </c>
      <c r="Y107" s="2"/>
    </row>
    <row r="108" spans="1:25" x14ac:dyDescent="0.25">
      <c r="A108" s="1">
        <f t="shared" si="6"/>
        <v>6</v>
      </c>
      <c r="B108" s="4">
        <f t="shared" si="11"/>
        <v>44736</v>
      </c>
      <c r="C108" s="3" t="s">
        <v>4</v>
      </c>
      <c r="D108" s="6" t="s">
        <v>6</v>
      </c>
      <c r="E108" s="6" t="s">
        <v>6</v>
      </c>
      <c r="F108" s="6" t="s">
        <v>6</v>
      </c>
      <c r="G108" s="6" t="s">
        <v>6</v>
      </c>
      <c r="H108" s="6" t="s">
        <v>6</v>
      </c>
      <c r="I108" s="6" t="s">
        <v>6</v>
      </c>
      <c r="J108" s="6" t="s">
        <v>6</v>
      </c>
      <c r="K108" s="6" t="s">
        <v>6</v>
      </c>
      <c r="L108" s="6" t="s">
        <v>6</v>
      </c>
      <c r="M108" s="6" t="s">
        <v>6</v>
      </c>
      <c r="N108" s="6" t="s">
        <v>6</v>
      </c>
      <c r="O108" s="6" t="s">
        <v>6</v>
      </c>
      <c r="P108" s="6" t="s">
        <v>6</v>
      </c>
      <c r="Q108" s="6" t="s">
        <v>6</v>
      </c>
      <c r="R108" s="6" t="s">
        <v>6</v>
      </c>
      <c r="S108" s="6" t="s">
        <v>6</v>
      </c>
      <c r="T108" s="6" t="s">
        <v>6</v>
      </c>
      <c r="U108" s="6" t="s">
        <v>6</v>
      </c>
      <c r="V108" s="6" t="s">
        <v>6</v>
      </c>
      <c r="W108" s="6" t="s">
        <v>6</v>
      </c>
      <c r="X108" s="2" t="str">
        <f t="shared" ca="1" si="13"/>
        <v>Conforme</v>
      </c>
      <c r="Y108" s="2"/>
    </row>
    <row r="109" spans="1:25" x14ac:dyDescent="0.25">
      <c r="A109" s="1">
        <f t="shared" si="6"/>
        <v>2</v>
      </c>
      <c r="B109" s="4">
        <v>44739</v>
      </c>
      <c r="C109" s="3" t="s">
        <v>4</v>
      </c>
      <c r="D109" s="6" t="s">
        <v>6</v>
      </c>
      <c r="E109" s="6" t="s">
        <v>6</v>
      </c>
      <c r="F109" s="6" t="s">
        <v>6</v>
      </c>
      <c r="G109" s="6" t="s">
        <v>6</v>
      </c>
      <c r="H109" s="6" t="s">
        <v>6</v>
      </c>
      <c r="I109" s="6" t="s">
        <v>6</v>
      </c>
      <c r="J109" s="6" t="s">
        <v>6</v>
      </c>
      <c r="K109" s="6" t="s">
        <v>6</v>
      </c>
      <c r="L109" s="6" t="s">
        <v>6</v>
      </c>
      <c r="M109" s="6" t="s">
        <v>6</v>
      </c>
      <c r="N109" s="6" t="s">
        <v>6</v>
      </c>
      <c r="O109" s="6" t="s">
        <v>6</v>
      </c>
      <c r="P109" s="6" t="s">
        <v>6</v>
      </c>
      <c r="Q109" s="6" t="s">
        <v>6</v>
      </c>
      <c r="R109" s="6" t="s">
        <v>6</v>
      </c>
      <c r="S109" s="6" t="s">
        <v>6</v>
      </c>
      <c r="T109" s="6" t="s">
        <v>6</v>
      </c>
      <c r="U109" s="6" t="s">
        <v>6</v>
      </c>
      <c r="V109" s="6" t="s">
        <v>6</v>
      </c>
      <c r="W109" s="6" t="s">
        <v>6</v>
      </c>
      <c r="X109" s="2" t="str">
        <f t="shared" ca="1" si="10"/>
        <v>Conforme</v>
      </c>
      <c r="Y109" s="2"/>
    </row>
    <row r="110" spans="1:25" x14ac:dyDescent="0.25">
      <c r="A110" s="1">
        <f t="shared" si="6"/>
        <v>3</v>
      </c>
      <c r="B110" s="4">
        <f t="shared" si="11"/>
        <v>44740</v>
      </c>
      <c r="C110" s="3" t="s">
        <v>4</v>
      </c>
      <c r="D110" s="6" t="s">
        <v>6</v>
      </c>
      <c r="E110" s="6" t="s">
        <v>6</v>
      </c>
      <c r="F110" s="6" t="s">
        <v>6</v>
      </c>
      <c r="G110" s="6" t="s">
        <v>6</v>
      </c>
      <c r="H110" s="6" t="s">
        <v>6</v>
      </c>
      <c r="I110" s="6" t="s">
        <v>6</v>
      </c>
      <c r="J110" s="6" t="s">
        <v>6</v>
      </c>
      <c r="K110" s="6" t="s">
        <v>6</v>
      </c>
      <c r="L110" s="6" t="s">
        <v>6</v>
      </c>
      <c r="M110" s="6" t="s">
        <v>6</v>
      </c>
      <c r="N110" s="6" t="s">
        <v>6</v>
      </c>
      <c r="O110" s="6" t="s">
        <v>6</v>
      </c>
      <c r="P110" s="6" t="s">
        <v>6</v>
      </c>
      <c r="Q110" s="6" t="s">
        <v>6</v>
      </c>
      <c r="R110" s="6" t="s">
        <v>6</v>
      </c>
      <c r="S110" s="6" t="s">
        <v>6</v>
      </c>
      <c r="T110" s="6" t="s">
        <v>6</v>
      </c>
      <c r="U110" s="6" t="s">
        <v>6</v>
      </c>
      <c r="V110" s="6" t="s">
        <v>6</v>
      </c>
      <c r="W110" s="6" t="s">
        <v>6</v>
      </c>
      <c r="X110" s="2" t="str">
        <f t="shared" ca="1" si="10"/>
        <v>Conforme</v>
      </c>
      <c r="Y110" s="2"/>
    </row>
    <row r="111" spans="1:25" x14ac:dyDescent="0.25">
      <c r="A111" s="1">
        <f t="shared" si="6"/>
        <v>4</v>
      </c>
      <c r="B111" s="4">
        <f t="shared" si="11"/>
        <v>44741</v>
      </c>
      <c r="C111" s="3" t="s">
        <v>4</v>
      </c>
      <c r="D111" s="6" t="s">
        <v>6</v>
      </c>
      <c r="E111" s="6" t="s">
        <v>6</v>
      </c>
      <c r="F111" s="6" t="s">
        <v>6</v>
      </c>
      <c r="G111" s="6" t="s">
        <v>6</v>
      </c>
      <c r="H111" s="6" t="s">
        <v>6</v>
      </c>
      <c r="I111" s="6" t="s">
        <v>6</v>
      </c>
      <c r="J111" s="6" t="s">
        <v>6</v>
      </c>
      <c r="K111" s="6" t="s">
        <v>6</v>
      </c>
      <c r="L111" s="6" t="s">
        <v>6</v>
      </c>
      <c r="M111" s="6" t="s">
        <v>6</v>
      </c>
      <c r="N111" s="6" t="s">
        <v>6</v>
      </c>
      <c r="O111" s="6" t="s">
        <v>6</v>
      </c>
      <c r="P111" s="6" t="s">
        <v>6</v>
      </c>
      <c r="Q111" s="6" t="s">
        <v>6</v>
      </c>
      <c r="R111" s="6" t="s">
        <v>6</v>
      </c>
      <c r="S111" s="6" t="s">
        <v>6</v>
      </c>
      <c r="T111" s="6" t="s">
        <v>6</v>
      </c>
      <c r="U111" s="6" t="s">
        <v>6</v>
      </c>
      <c r="V111" s="6" t="s">
        <v>6</v>
      </c>
      <c r="W111" s="6" t="s">
        <v>6</v>
      </c>
      <c r="X111" s="2" t="str">
        <f t="shared" ca="1" si="10"/>
        <v>Conforme</v>
      </c>
      <c r="Y111" s="2"/>
    </row>
    <row r="112" spans="1:25" x14ac:dyDescent="0.25">
      <c r="A112" s="1">
        <f t="shared" si="6"/>
        <v>5</v>
      </c>
      <c r="B112" s="4">
        <f t="shared" si="11"/>
        <v>44742</v>
      </c>
      <c r="C112" s="3" t="s">
        <v>4</v>
      </c>
      <c r="D112" s="6" t="s">
        <v>6</v>
      </c>
      <c r="E112" s="6" t="s">
        <v>6</v>
      </c>
      <c r="F112" s="6" t="s">
        <v>6</v>
      </c>
      <c r="G112" s="6" t="s">
        <v>6</v>
      </c>
      <c r="H112" s="6" t="s">
        <v>6</v>
      </c>
      <c r="I112" s="6" t="s">
        <v>6</v>
      </c>
      <c r="J112" s="6" t="s">
        <v>6</v>
      </c>
      <c r="K112" s="6" t="s">
        <v>6</v>
      </c>
      <c r="L112" s="6" t="s">
        <v>6</v>
      </c>
      <c r="M112" s="6" t="s">
        <v>6</v>
      </c>
      <c r="N112" s="6" t="s">
        <v>6</v>
      </c>
      <c r="O112" s="6" t="s">
        <v>6</v>
      </c>
      <c r="P112" s="6" t="s">
        <v>6</v>
      </c>
      <c r="Q112" s="6" t="s">
        <v>6</v>
      </c>
      <c r="R112" s="6" t="s">
        <v>6</v>
      </c>
      <c r="S112" s="6" t="s">
        <v>6</v>
      </c>
      <c r="T112" s="6" t="s">
        <v>6</v>
      </c>
      <c r="U112" s="6" t="s">
        <v>6</v>
      </c>
      <c r="V112" s="6" t="s">
        <v>6</v>
      </c>
      <c r="W112" s="6" t="s">
        <v>6</v>
      </c>
      <c r="X112" s="2" t="str">
        <f t="shared" ca="1" si="10"/>
        <v>Conforme</v>
      </c>
      <c r="Y112" s="2"/>
    </row>
    <row r="113" spans="1:25" x14ac:dyDescent="0.25">
      <c r="A113" s="1">
        <f t="shared" si="6"/>
        <v>6</v>
      </c>
      <c r="B113" s="4">
        <f t="shared" si="11"/>
        <v>44743</v>
      </c>
      <c r="C113" s="3" t="s">
        <v>4</v>
      </c>
      <c r="D113" s="6" t="s">
        <v>6</v>
      </c>
      <c r="E113" s="6" t="s">
        <v>6</v>
      </c>
      <c r="F113" s="6" t="s">
        <v>6</v>
      </c>
      <c r="G113" s="6" t="s">
        <v>6</v>
      </c>
      <c r="H113" s="6" t="s">
        <v>6</v>
      </c>
      <c r="I113" s="6" t="s">
        <v>6</v>
      </c>
      <c r="J113" s="6" t="s">
        <v>6</v>
      </c>
      <c r="K113" s="6" t="s">
        <v>6</v>
      </c>
      <c r="L113" s="6" t="s">
        <v>6</v>
      </c>
      <c r="M113" s="6" t="s">
        <v>6</v>
      </c>
      <c r="N113" s="6" t="s">
        <v>6</v>
      </c>
      <c r="O113" s="6" t="s">
        <v>6</v>
      </c>
      <c r="P113" s="6" t="s">
        <v>6</v>
      </c>
      <c r="Q113" s="6" t="s">
        <v>6</v>
      </c>
      <c r="R113" s="6" t="s">
        <v>6</v>
      </c>
      <c r="S113" s="6" t="s">
        <v>6</v>
      </c>
      <c r="T113" s="6" t="s">
        <v>6</v>
      </c>
      <c r="U113" s="6" t="s">
        <v>6</v>
      </c>
      <c r="V113" s="6" t="s">
        <v>6</v>
      </c>
      <c r="W113" s="6" t="s">
        <v>6</v>
      </c>
      <c r="X113" s="2" t="str">
        <f t="shared" ca="1" si="10"/>
        <v>Conforme</v>
      </c>
      <c r="Y113" s="2"/>
    </row>
    <row r="114" spans="1:25" x14ac:dyDescent="0.25">
      <c r="A114" s="1">
        <f t="shared" si="6"/>
        <v>2</v>
      </c>
      <c r="B114" s="4">
        <v>44746</v>
      </c>
      <c r="C114" s="3" t="s">
        <v>4</v>
      </c>
      <c r="D114" s="6" t="s">
        <v>6</v>
      </c>
      <c r="E114" s="6" t="s">
        <v>6</v>
      </c>
      <c r="F114" s="6" t="s">
        <v>6</v>
      </c>
      <c r="G114" s="6" t="s">
        <v>6</v>
      </c>
      <c r="H114" s="6" t="s">
        <v>6</v>
      </c>
      <c r="I114" s="6" t="s">
        <v>6</v>
      </c>
      <c r="J114" s="6" t="s">
        <v>6</v>
      </c>
      <c r="K114" s="6" t="s">
        <v>6</v>
      </c>
      <c r="L114" s="6" t="s">
        <v>6</v>
      </c>
      <c r="M114" s="6" t="s">
        <v>6</v>
      </c>
      <c r="N114" s="6" t="s">
        <v>6</v>
      </c>
      <c r="O114" s="6" t="s">
        <v>6</v>
      </c>
      <c r="P114" s="6" t="s">
        <v>6</v>
      </c>
      <c r="Q114" s="6" t="s">
        <v>6</v>
      </c>
      <c r="R114" s="6" t="s">
        <v>6</v>
      </c>
      <c r="S114" s="6" t="s">
        <v>6</v>
      </c>
      <c r="T114" s="6" t="s">
        <v>6</v>
      </c>
      <c r="U114" s="6" t="s">
        <v>6</v>
      </c>
      <c r="V114" s="6" t="s">
        <v>6</v>
      </c>
      <c r="W114" s="6" t="s">
        <v>6</v>
      </c>
      <c r="X114" s="2" t="str">
        <f t="shared" ca="1" si="10"/>
        <v>Conforme</v>
      </c>
      <c r="Y114" s="2"/>
    </row>
    <row r="115" spans="1:25" x14ac:dyDescent="0.25">
      <c r="A115" s="1">
        <f t="shared" si="6"/>
        <v>3</v>
      </c>
      <c r="B115" s="4">
        <f t="shared" si="11"/>
        <v>44747</v>
      </c>
      <c r="C115" s="3" t="s">
        <v>4</v>
      </c>
      <c r="D115" s="6" t="s">
        <v>6</v>
      </c>
      <c r="E115" s="6" t="s">
        <v>6</v>
      </c>
      <c r="F115" s="6" t="s">
        <v>6</v>
      </c>
      <c r="G115" s="6" t="s">
        <v>6</v>
      </c>
      <c r="H115" s="6" t="s">
        <v>6</v>
      </c>
      <c r="I115" s="6" t="s">
        <v>6</v>
      </c>
      <c r="J115" s="6" t="s">
        <v>6</v>
      </c>
      <c r="K115" s="6" t="s">
        <v>6</v>
      </c>
      <c r="L115" s="6" t="s">
        <v>6</v>
      </c>
      <c r="M115" s="6" t="s">
        <v>6</v>
      </c>
      <c r="N115" s="6" t="s">
        <v>6</v>
      </c>
      <c r="O115" s="6" t="s">
        <v>6</v>
      </c>
      <c r="P115" s="6" t="s">
        <v>6</v>
      </c>
      <c r="Q115" s="6" t="s">
        <v>6</v>
      </c>
      <c r="R115" s="6" t="s">
        <v>6</v>
      </c>
      <c r="S115" s="6" t="s">
        <v>6</v>
      </c>
      <c r="T115" s="6" t="s">
        <v>6</v>
      </c>
      <c r="U115" s="6" t="s">
        <v>6</v>
      </c>
      <c r="V115" s="6" t="s">
        <v>6</v>
      </c>
      <c r="W115" s="6" t="s">
        <v>6</v>
      </c>
      <c r="X115" s="2" t="str">
        <f t="shared" ca="1" si="10"/>
        <v>Conforme</v>
      </c>
      <c r="Y115" s="2"/>
    </row>
    <row r="116" spans="1:25" x14ac:dyDescent="0.25">
      <c r="A116" s="1">
        <f t="shared" si="6"/>
        <v>4</v>
      </c>
      <c r="B116" s="4">
        <f t="shared" si="11"/>
        <v>44748</v>
      </c>
      <c r="C116" s="3" t="s">
        <v>4</v>
      </c>
      <c r="D116" s="6" t="s">
        <v>6</v>
      </c>
      <c r="E116" s="6" t="s">
        <v>6</v>
      </c>
      <c r="F116" s="6" t="s">
        <v>6</v>
      </c>
      <c r="G116" s="6" t="s">
        <v>6</v>
      </c>
      <c r="H116" s="6" t="s">
        <v>6</v>
      </c>
      <c r="I116" s="6" t="s">
        <v>6</v>
      </c>
      <c r="J116" s="6" t="s">
        <v>6</v>
      </c>
      <c r="K116" s="6" t="s">
        <v>6</v>
      </c>
      <c r="L116" s="6" t="s">
        <v>6</v>
      </c>
      <c r="M116" s="6" t="s">
        <v>6</v>
      </c>
      <c r="N116" s="6" t="s">
        <v>6</v>
      </c>
      <c r="O116" s="6" t="s">
        <v>6</v>
      </c>
      <c r="P116" s="6" t="s">
        <v>6</v>
      </c>
      <c r="Q116" s="6" t="s">
        <v>6</v>
      </c>
      <c r="R116" s="6" t="s">
        <v>6</v>
      </c>
      <c r="S116" s="6" t="s">
        <v>6</v>
      </c>
      <c r="T116" s="6" t="s">
        <v>6</v>
      </c>
      <c r="U116" s="6" t="s">
        <v>6</v>
      </c>
      <c r="V116" s="6" t="s">
        <v>6</v>
      </c>
      <c r="W116" s="6" t="s">
        <v>6</v>
      </c>
      <c r="X116" s="2" t="str">
        <f t="shared" ca="1" si="10"/>
        <v>Conforme</v>
      </c>
      <c r="Y116" s="2"/>
    </row>
    <row r="117" spans="1:25" x14ac:dyDescent="0.25">
      <c r="A117" s="1">
        <f t="shared" si="6"/>
        <v>5</v>
      </c>
      <c r="B117" s="4">
        <f t="shared" si="11"/>
        <v>44749</v>
      </c>
      <c r="C117" s="3" t="s">
        <v>4</v>
      </c>
      <c r="D117" s="6" t="s">
        <v>6</v>
      </c>
      <c r="E117" s="6" t="s">
        <v>6</v>
      </c>
      <c r="F117" s="6" t="s">
        <v>6</v>
      </c>
      <c r="G117" s="6" t="s">
        <v>6</v>
      </c>
      <c r="H117" s="6" t="s">
        <v>6</v>
      </c>
      <c r="I117" s="6" t="s">
        <v>6</v>
      </c>
      <c r="J117" s="6" t="s">
        <v>6</v>
      </c>
      <c r="K117" s="6" t="s">
        <v>6</v>
      </c>
      <c r="L117" s="6" t="s">
        <v>6</v>
      </c>
      <c r="M117" s="6" t="s">
        <v>6</v>
      </c>
      <c r="N117" s="6" t="s">
        <v>6</v>
      </c>
      <c r="O117" s="6" t="s">
        <v>6</v>
      </c>
      <c r="P117" s="6" t="s">
        <v>6</v>
      </c>
      <c r="Q117" s="6" t="s">
        <v>6</v>
      </c>
      <c r="R117" s="6" t="s">
        <v>6</v>
      </c>
      <c r="S117" s="6" t="s">
        <v>6</v>
      </c>
      <c r="T117" s="6" t="s">
        <v>6</v>
      </c>
      <c r="U117" s="6" t="s">
        <v>6</v>
      </c>
      <c r="V117" s="6" t="s">
        <v>6</v>
      </c>
      <c r="W117" s="6" t="s">
        <v>6</v>
      </c>
      <c r="X117" s="2" t="str">
        <f t="shared" ref="X117" ca="1" si="14">IF(B117&lt;TODAY(),IF(COUNTBLANK(D117:W117)=0,"Conforme","Não conforme"),"")</f>
        <v>Conforme</v>
      </c>
      <c r="Y117" s="2"/>
    </row>
    <row r="118" spans="1:25" x14ac:dyDescent="0.25">
      <c r="A118" s="1">
        <f t="shared" si="6"/>
        <v>6</v>
      </c>
      <c r="B118" s="4">
        <f t="shared" si="11"/>
        <v>44750</v>
      </c>
      <c r="C118" s="3" t="s">
        <v>4</v>
      </c>
      <c r="D118" s="6" t="s">
        <v>6</v>
      </c>
      <c r="E118" s="6" t="s">
        <v>6</v>
      </c>
      <c r="F118" s="6" t="s">
        <v>6</v>
      </c>
      <c r="G118" s="6" t="s">
        <v>6</v>
      </c>
      <c r="H118" s="6" t="s">
        <v>6</v>
      </c>
      <c r="I118" s="6" t="s">
        <v>6</v>
      </c>
      <c r="J118" s="6" t="s">
        <v>6</v>
      </c>
      <c r="K118" s="6" t="s">
        <v>6</v>
      </c>
      <c r="L118" s="6" t="s">
        <v>6</v>
      </c>
      <c r="M118" s="6" t="s">
        <v>6</v>
      </c>
      <c r="N118" s="6" t="s">
        <v>6</v>
      </c>
      <c r="O118" s="6" t="s">
        <v>6</v>
      </c>
      <c r="P118" s="6" t="s">
        <v>6</v>
      </c>
      <c r="Q118" s="6" t="s">
        <v>6</v>
      </c>
      <c r="R118" s="6" t="s">
        <v>6</v>
      </c>
      <c r="S118" s="6" t="s">
        <v>6</v>
      </c>
      <c r="T118" s="6" t="s">
        <v>6</v>
      </c>
      <c r="U118" s="6" t="s">
        <v>6</v>
      </c>
      <c r="V118" s="6" t="s">
        <v>6</v>
      </c>
      <c r="W118" s="6" t="s">
        <v>6</v>
      </c>
      <c r="X118" s="2" t="str">
        <f t="shared" ca="1" si="10"/>
        <v>Conforme</v>
      </c>
      <c r="Y118" s="2"/>
    </row>
    <row r="119" spans="1:25" x14ac:dyDescent="0.25">
      <c r="A119" s="1">
        <v>2</v>
      </c>
      <c r="B119" s="4">
        <v>44753</v>
      </c>
      <c r="C119" s="3" t="s">
        <v>4</v>
      </c>
      <c r="D119" s="6" t="s">
        <v>6</v>
      </c>
      <c r="E119" s="6" t="s">
        <v>6</v>
      </c>
      <c r="F119" s="6" t="s">
        <v>6</v>
      </c>
      <c r="G119" s="6" t="s">
        <v>6</v>
      </c>
      <c r="H119" s="6" t="s">
        <v>6</v>
      </c>
      <c r="I119" s="6" t="s">
        <v>6</v>
      </c>
      <c r="J119" s="6" t="s">
        <v>6</v>
      </c>
      <c r="K119" s="6" t="s">
        <v>6</v>
      </c>
      <c r="L119" s="6" t="s">
        <v>6</v>
      </c>
      <c r="M119" s="6" t="s">
        <v>6</v>
      </c>
      <c r="N119" s="6" t="s">
        <v>6</v>
      </c>
      <c r="O119" s="6" t="s">
        <v>6</v>
      </c>
      <c r="P119" s="6" t="s">
        <v>6</v>
      </c>
      <c r="Q119" s="6" t="s">
        <v>6</v>
      </c>
      <c r="R119" s="6" t="s">
        <v>6</v>
      </c>
      <c r="S119" s="6" t="s">
        <v>6</v>
      </c>
      <c r="T119" s="6" t="s">
        <v>6</v>
      </c>
      <c r="U119" s="6" t="s">
        <v>6</v>
      </c>
      <c r="V119" s="6" t="s">
        <v>6</v>
      </c>
      <c r="W119" s="6" t="s">
        <v>6</v>
      </c>
      <c r="X119" s="2" t="s">
        <v>587</v>
      </c>
      <c r="Y119" s="2"/>
    </row>
    <row r="120" spans="1:25" x14ac:dyDescent="0.25">
      <c r="A120" s="1">
        <v>3</v>
      </c>
      <c r="B120" s="4">
        <v>44754</v>
      </c>
      <c r="C120" s="3" t="s">
        <v>4</v>
      </c>
      <c r="D120" s="6" t="s">
        <v>6</v>
      </c>
      <c r="E120" s="6" t="s">
        <v>6</v>
      </c>
      <c r="F120" s="6" t="s">
        <v>6</v>
      </c>
      <c r="G120" s="6" t="s">
        <v>6</v>
      </c>
      <c r="H120" s="6" t="s">
        <v>6</v>
      </c>
      <c r="I120" s="6" t="s">
        <v>6</v>
      </c>
      <c r="J120" s="6" t="s">
        <v>6</v>
      </c>
      <c r="K120" s="6" t="s">
        <v>6</v>
      </c>
      <c r="L120" s="6" t="s">
        <v>6</v>
      </c>
      <c r="M120" s="6" t="s">
        <v>6</v>
      </c>
      <c r="N120" s="6" t="s">
        <v>6</v>
      </c>
      <c r="O120" s="6" t="s">
        <v>6</v>
      </c>
      <c r="P120" s="6" t="s">
        <v>6</v>
      </c>
      <c r="Q120" s="6" t="s">
        <v>6</v>
      </c>
      <c r="R120" s="6" t="s">
        <v>6</v>
      </c>
      <c r="S120" s="6" t="s">
        <v>6</v>
      </c>
      <c r="T120" s="6" t="s">
        <v>6</v>
      </c>
      <c r="U120" s="6" t="s">
        <v>6</v>
      </c>
      <c r="V120" s="6" t="s">
        <v>6</v>
      </c>
      <c r="W120" s="6" t="s">
        <v>6</v>
      </c>
      <c r="X120" s="2" t="s">
        <v>587</v>
      </c>
      <c r="Y120" s="2"/>
    </row>
    <row r="121" spans="1:25" x14ac:dyDescent="0.25">
      <c r="A121" s="1">
        <v>4</v>
      </c>
      <c r="B121" s="4">
        <v>44755</v>
      </c>
      <c r="C121" s="3" t="s">
        <v>4</v>
      </c>
      <c r="D121" s="6" t="s">
        <v>6</v>
      </c>
      <c r="E121" s="6" t="s">
        <v>6</v>
      </c>
      <c r="F121" s="6" t="s">
        <v>6</v>
      </c>
      <c r="G121" s="6" t="s">
        <v>6</v>
      </c>
      <c r="H121" s="6" t="s">
        <v>6</v>
      </c>
      <c r="I121" s="6" t="s">
        <v>6</v>
      </c>
      <c r="J121" s="6" t="s">
        <v>6</v>
      </c>
      <c r="K121" s="6" t="s">
        <v>6</v>
      </c>
      <c r="L121" s="6" t="s">
        <v>6</v>
      </c>
      <c r="M121" s="6" t="s">
        <v>6</v>
      </c>
      <c r="N121" s="6" t="s">
        <v>6</v>
      </c>
      <c r="O121" s="6" t="s">
        <v>6</v>
      </c>
      <c r="P121" s="6" t="s">
        <v>6</v>
      </c>
      <c r="Q121" s="6" t="s">
        <v>6</v>
      </c>
      <c r="R121" s="6" t="s">
        <v>6</v>
      </c>
      <c r="S121" s="6" t="s">
        <v>6</v>
      </c>
      <c r="T121" s="6" t="s">
        <v>6</v>
      </c>
      <c r="U121" s="6" t="s">
        <v>6</v>
      </c>
      <c r="V121" s="6" t="s">
        <v>6</v>
      </c>
      <c r="W121" s="6" t="s">
        <v>6</v>
      </c>
      <c r="X121" s="2" t="s">
        <v>587</v>
      </c>
      <c r="Y121" s="2"/>
    </row>
    <row r="122" spans="1:25" x14ac:dyDescent="0.25">
      <c r="A122" s="1">
        <v>2</v>
      </c>
      <c r="B122" s="4">
        <v>44760</v>
      </c>
      <c r="C122" s="3" t="s">
        <v>4</v>
      </c>
      <c r="D122" s="6" t="s">
        <v>6</v>
      </c>
      <c r="E122" s="6" t="s">
        <v>6</v>
      </c>
      <c r="F122" s="6" t="s">
        <v>6</v>
      </c>
      <c r="G122" s="6" t="s">
        <v>6</v>
      </c>
      <c r="H122" s="6" t="s">
        <v>6</v>
      </c>
      <c r="I122" s="6" t="s">
        <v>6</v>
      </c>
      <c r="J122" s="6" t="s">
        <v>6</v>
      </c>
      <c r="K122" s="6" t="s">
        <v>6</v>
      </c>
      <c r="L122" s="6" t="s">
        <v>6</v>
      </c>
      <c r="M122" s="6" t="s">
        <v>6</v>
      </c>
      <c r="N122" s="6" t="s">
        <v>6</v>
      </c>
      <c r="O122" s="6" t="s">
        <v>6</v>
      </c>
      <c r="P122" s="6" t="s">
        <v>6</v>
      </c>
      <c r="Q122" s="6" t="s">
        <v>6</v>
      </c>
      <c r="R122" s="6" t="s">
        <v>6</v>
      </c>
      <c r="S122" s="6" t="s">
        <v>6</v>
      </c>
      <c r="T122" s="6" t="s">
        <v>6</v>
      </c>
      <c r="U122" s="6" t="s">
        <v>6</v>
      </c>
      <c r="V122" s="6" t="s">
        <v>6</v>
      </c>
      <c r="W122" s="6" t="s">
        <v>6</v>
      </c>
      <c r="X122" s="2" t="s">
        <v>587</v>
      </c>
      <c r="Y122" s="2"/>
    </row>
    <row r="123" spans="1:25" x14ac:dyDescent="0.25">
      <c r="A123" s="1">
        <v>3</v>
      </c>
      <c r="B123" s="4">
        <v>44761</v>
      </c>
      <c r="C123" s="3" t="s">
        <v>4</v>
      </c>
      <c r="D123" s="6" t="s">
        <v>6</v>
      </c>
      <c r="E123" s="6" t="s">
        <v>6</v>
      </c>
      <c r="F123" s="6" t="s">
        <v>6</v>
      </c>
      <c r="G123" s="6" t="s">
        <v>6</v>
      </c>
      <c r="H123" s="6" t="s">
        <v>6</v>
      </c>
      <c r="I123" s="6" t="s">
        <v>6</v>
      </c>
      <c r="J123" s="6" t="s">
        <v>6</v>
      </c>
      <c r="K123" s="6" t="s">
        <v>6</v>
      </c>
      <c r="L123" s="6" t="s">
        <v>6</v>
      </c>
      <c r="M123" s="6" t="s">
        <v>6</v>
      </c>
      <c r="N123" s="6" t="s">
        <v>6</v>
      </c>
      <c r="O123" s="6" t="s">
        <v>6</v>
      </c>
      <c r="P123" s="6" t="s">
        <v>6</v>
      </c>
      <c r="Q123" s="6" t="s">
        <v>6</v>
      </c>
      <c r="R123" s="6" t="s">
        <v>6</v>
      </c>
      <c r="S123" s="6" t="s">
        <v>6</v>
      </c>
      <c r="T123" s="6" t="s">
        <v>6</v>
      </c>
      <c r="U123" s="6" t="s">
        <v>6</v>
      </c>
      <c r="V123" s="6" t="s">
        <v>6</v>
      </c>
      <c r="W123" s="6" t="s">
        <v>6</v>
      </c>
      <c r="X123" s="2" t="s">
        <v>587</v>
      </c>
      <c r="Y123" s="2"/>
    </row>
    <row r="124" spans="1:25" x14ac:dyDescent="0.25">
      <c r="A124" s="1">
        <v>4</v>
      </c>
      <c r="B124" s="4">
        <v>44762</v>
      </c>
      <c r="C124" s="3" t="s">
        <v>4</v>
      </c>
      <c r="D124" s="6" t="s">
        <v>6</v>
      </c>
      <c r="E124" s="6" t="s">
        <v>6</v>
      </c>
      <c r="F124" s="6" t="s">
        <v>6</v>
      </c>
      <c r="G124" s="6" t="s">
        <v>6</v>
      </c>
      <c r="H124" s="6" t="s">
        <v>6</v>
      </c>
      <c r="I124" s="6" t="s">
        <v>6</v>
      </c>
      <c r="J124" s="6" t="s">
        <v>6</v>
      </c>
      <c r="K124" s="6" t="s">
        <v>6</v>
      </c>
      <c r="L124" s="6" t="s">
        <v>6</v>
      </c>
      <c r="M124" s="6" t="s">
        <v>6</v>
      </c>
      <c r="N124" s="6" t="s">
        <v>6</v>
      </c>
      <c r="O124" s="6" t="s">
        <v>6</v>
      </c>
      <c r="P124" s="6" t="s">
        <v>6</v>
      </c>
      <c r="Q124" s="6" t="s">
        <v>6</v>
      </c>
      <c r="R124" s="6" t="s">
        <v>6</v>
      </c>
      <c r="S124" s="6" t="s">
        <v>6</v>
      </c>
      <c r="T124" s="6" t="s">
        <v>6</v>
      </c>
      <c r="U124" s="6" t="s">
        <v>6</v>
      </c>
      <c r="V124" s="6" t="s">
        <v>6</v>
      </c>
      <c r="W124" s="6" t="s">
        <v>6</v>
      </c>
      <c r="X124" s="2" t="s">
        <v>587</v>
      </c>
      <c r="Y124" s="2"/>
    </row>
    <row r="125" spans="1:25" x14ac:dyDescent="0.25">
      <c r="A125" s="1">
        <f t="shared" ref="A125:A157" si="15">WEEKDAY(B125,1)</f>
        <v>5</v>
      </c>
      <c r="B125" s="4">
        <f t="shared" si="11"/>
        <v>44763</v>
      </c>
      <c r="C125" s="3" t="s">
        <v>4</v>
      </c>
      <c r="D125" s="6" t="s">
        <v>6</v>
      </c>
      <c r="E125" s="6" t="s">
        <v>6</v>
      </c>
      <c r="F125" s="6" t="s">
        <v>6</v>
      </c>
      <c r="G125" s="6" t="s">
        <v>6</v>
      </c>
      <c r="H125" s="6" t="s">
        <v>6</v>
      </c>
      <c r="I125" s="6" t="s">
        <v>6</v>
      </c>
      <c r="J125" s="6" t="s">
        <v>6</v>
      </c>
      <c r="K125" s="6" t="s">
        <v>6</v>
      </c>
      <c r="L125" s="6" t="s">
        <v>6</v>
      </c>
      <c r="M125" s="6" t="s">
        <v>6</v>
      </c>
      <c r="N125" s="6" t="s">
        <v>6</v>
      </c>
      <c r="O125" s="6" t="s">
        <v>6</v>
      </c>
      <c r="P125" s="6" t="s">
        <v>6</v>
      </c>
      <c r="Q125" s="6" t="s">
        <v>6</v>
      </c>
      <c r="R125" s="6" t="s">
        <v>6</v>
      </c>
      <c r="S125" s="6" t="s">
        <v>6</v>
      </c>
      <c r="T125" s="6" t="s">
        <v>6</v>
      </c>
      <c r="U125" s="6" t="s">
        <v>6</v>
      </c>
      <c r="V125" s="6" t="s">
        <v>6</v>
      </c>
      <c r="W125" s="6" t="s">
        <v>6</v>
      </c>
      <c r="X125" s="2" t="str">
        <f t="shared" ref="X125:X131" ca="1" si="16">IF(B125&lt;TODAY(),IF(COUNTBLANK(D125:W125)=0,"Conforme","Não conforme"),"")</f>
        <v>Conforme</v>
      </c>
      <c r="Y125" s="2"/>
    </row>
    <row r="126" spans="1:25" x14ac:dyDescent="0.25">
      <c r="A126" s="1">
        <f t="shared" si="15"/>
        <v>6</v>
      </c>
      <c r="B126" s="4">
        <f t="shared" si="11"/>
        <v>44764</v>
      </c>
      <c r="C126" s="3" t="s">
        <v>4</v>
      </c>
      <c r="D126" s="6" t="s">
        <v>6</v>
      </c>
      <c r="E126" s="6" t="s">
        <v>6</v>
      </c>
      <c r="F126" s="6"/>
      <c r="G126" s="6" t="s">
        <v>6</v>
      </c>
      <c r="H126" s="6" t="s">
        <v>6</v>
      </c>
      <c r="I126" s="6" t="s">
        <v>6</v>
      </c>
      <c r="J126" s="6" t="s">
        <v>6</v>
      </c>
      <c r="K126" s="6" t="s">
        <v>6</v>
      </c>
      <c r="L126" s="6" t="s">
        <v>6</v>
      </c>
      <c r="M126" s="6" t="s">
        <v>6</v>
      </c>
      <c r="N126" s="6"/>
      <c r="O126" s="6" t="s">
        <v>6</v>
      </c>
      <c r="P126" s="6" t="s">
        <v>6</v>
      </c>
      <c r="Q126" s="6" t="s">
        <v>6</v>
      </c>
      <c r="R126" s="6" t="s">
        <v>6</v>
      </c>
      <c r="S126" s="6" t="s">
        <v>6</v>
      </c>
      <c r="T126" s="6" t="s">
        <v>6</v>
      </c>
      <c r="U126" s="6" t="s">
        <v>6</v>
      </c>
      <c r="V126" s="6" t="s">
        <v>6</v>
      </c>
      <c r="W126" s="6" t="s">
        <v>6</v>
      </c>
      <c r="X126" s="2" t="str">
        <f t="shared" ca="1" si="16"/>
        <v>Não conforme</v>
      </c>
      <c r="Y126" s="2" t="s">
        <v>417</v>
      </c>
    </row>
    <row r="127" spans="1:25" x14ac:dyDescent="0.25">
      <c r="A127" s="1">
        <f t="shared" si="15"/>
        <v>2</v>
      </c>
      <c r="B127" s="4">
        <v>44767</v>
      </c>
      <c r="C127" s="3" t="s">
        <v>4</v>
      </c>
      <c r="D127" s="6" t="s">
        <v>6</v>
      </c>
      <c r="E127" s="6" t="s">
        <v>6</v>
      </c>
      <c r="F127" s="6" t="s">
        <v>6</v>
      </c>
      <c r="G127" s="6" t="s">
        <v>6</v>
      </c>
      <c r="H127" s="6" t="s">
        <v>6</v>
      </c>
      <c r="I127" s="6" t="s">
        <v>6</v>
      </c>
      <c r="J127" s="6" t="s">
        <v>6</v>
      </c>
      <c r="K127" s="6" t="s">
        <v>6</v>
      </c>
      <c r="L127" s="6" t="s">
        <v>6</v>
      </c>
      <c r="M127" s="6" t="s">
        <v>6</v>
      </c>
      <c r="N127" s="6" t="s">
        <v>6</v>
      </c>
      <c r="O127" s="6" t="s">
        <v>6</v>
      </c>
      <c r="P127" s="6" t="s">
        <v>6</v>
      </c>
      <c r="Q127" s="6" t="s">
        <v>6</v>
      </c>
      <c r="R127" s="6" t="s">
        <v>6</v>
      </c>
      <c r="S127" s="6" t="s">
        <v>6</v>
      </c>
      <c r="T127" s="6" t="s">
        <v>6</v>
      </c>
      <c r="U127" s="6" t="s">
        <v>6</v>
      </c>
      <c r="V127" s="6" t="s">
        <v>6</v>
      </c>
      <c r="W127" s="6" t="s">
        <v>6</v>
      </c>
      <c r="X127" s="2" t="str">
        <f t="shared" ca="1" si="16"/>
        <v>Conforme</v>
      </c>
      <c r="Y127" s="2"/>
    </row>
    <row r="128" spans="1:25" x14ac:dyDescent="0.25">
      <c r="A128" s="1">
        <f t="shared" si="15"/>
        <v>3</v>
      </c>
      <c r="B128" s="4">
        <f t="shared" ref="B128:B156" si="17">B127+1</f>
        <v>44768</v>
      </c>
      <c r="C128" s="3" t="s">
        <v>4</v>
      </c>
      <c r="D128" s="6" t="s">
        <v>6</v>
      </c>
      <c r="E128" s="6" t="s">
        <v>6</v>
      </c>
      <c r="F128" s="6" t="s">
        <v>6</v>
      </c>
      <c r="G128" s="6" t="s">
        <v>6</v>
      </c>
      <c r="H128" s="6" t="s">
        <v>6</v>
      </c>
      <c r="I128" s="6" t="s">
        <v>6</v>
      </c>
      <c r="J128" s="6" t="s">
        <v>6</v>
      </c>
      <c r="K128" s="6" t="s">
        <v>6</v>
      </c>
      <c r="L128" s="6" t="s">
        <v>6</v>
      </c>
      <c r="M128" s="6" t="s">
        <v>6</v>
      </c>
      <c r="N128" s="6" t="s">
        <v>6</v>
      </c>
      <c r="O128" s="6" t="s">
        <v>6</v>
      </c>
      <c r="P128" s="6" t="s">
        <v>6</v>
      </c>
      <c r="Q128" s="6" t="s">
        <v>6</v>
      </c>
      <c r="R128" s="6" t="s">
        <v>6</v>
      </c>
      <c r="S128" s="6" t="s">
        <v>6</v>
      </c>
      <c r="T128" s="6" t="s">
        <v>6</v>
      </c>
      <c r="U128" s="6" t="s">
        <v>6</v>
      </c>
      <c r="V128" s="6" t="s">
        <v>6</v>
      </c>
      <c r="W128" s="6" t="s">
        <v>6</v>
      </c>
      <c r="X128" s="2" t="str">
        <f t="shared" ca="1" si="16"/>
        <v>Conforme</v>
      </c>
      <c r="Y128" s="2"/>
    </row>
    <row r="129" spans="1:25" x14ac:dyDescent="0.25">
      <c r="A129" s="1">
        <f t="shared" si="15"/>
        <v>4</v>
      </c>
      <c r="B129" s="4">
        <f t="shared" si="17"/>
        <v>44769</v>
      </c>
      <c r="C129" s="3" t="s">
        <v>4</v>
      </c>
      <c r="D129" s="6" t="s">
        <v>6</v>
      </c>
      <c r="E129" s="6" t="s">
        <v>6</v>
      </c>
      <c r="F129" s="6" t="s">
        <v>6</v>
      </c>
      <c r="G129" s="6" t="s">
        <v>6</v>
      </c>
      <c r="H129" s="6" t="s">
        <v>6</v>
      </c>
      <c r="I129" s="6" t="s">
        <v>6</v>
      </c>
      <c r="J129" s="6" t="s">
        <v>6</v>
      </c>
      <c r="K129" s="6" t="s">
        <v>6</v>
      </c>
      <c r="L129" s="6" t="s">
        <v>6</v>
      </c>
      <c r="M129" s="6" t="s">
        <v>6</v>
      </c>
      <c r="N129" s="6" t="s">
        <v>6</v>
      </c>
      <c r="O129" s="6" t="s">
        <v>6</v>
      </c>
      <c r="P129" s="6" t="s">
        <v>6</v>
      </c>
      <c r="Q129" s="6" t="s">
        <v>6</v>
      </c>
      <c r="R129" s="6" t="s">
        <v>6</v>
      </c>
      <c r="S129" s="6" t="s">
        <v>6</v>
      </c>
      <c r="T129" s="6" t="s">
        <v>6</v>
      </c>
      <c r="U129" s="6" t="s">
        <v>6</v>
      </c>
      <c r="V129" s="6" t="s">
        <v>6</v>
      </c>
      <c r="W129" s="6" t="s">
        <v>6</v>
      </c>
      <c r="X129" s="2" t="str">
        <f t="shared" ca="1" si="16"/>
        <v>Conforme</v>
      </c>
      <c r="Y129" s="2"/>
    </row>
    <row r="130" spans="1:25" x14ac:dyDescent="0.25">
      <c r="A130" s="1">
        <f t="shared" si="15"/>
        <v>5</v>
      </c>
      <c r="B130" s="4">
        <f t="shared" si="17"/>
        <v>44770</v>
      </c>
      <c r="C130" s="3" t="s">
        <v>4</v>
      </c>
      <c r="D130" s="6" t="s">
        <v>6</v>
      </c>
      <c r="E130" s="6" t="s">
        <v>6</v>
      </c>
      <c r="F130" s="6" t="s">
        <v>6</v>
      </c>
      <c r="G130" s="6" t="s">
        <v>6</v>
      </c>
      <c r="H130" s="6" t="s">
        <v>6</v>
      </c>
      <c r="I130" s="6" t="s">
        <v>6</v>
      </c>
      <c r="J130" s="6" t="s">
        <v>6</v>
      </c>
      <c r="K130" s="6" t="s">
        <v>6</v>
      </c>
      <c r="L130" s="6" t="s">
        <v>6</v>
      </c>
      <c r="M130" s="6" t="s">
        <v>6</v>
      </c>
      <c r="N130" s="6" t="s">
        <v>6</v>
      </c>
      <c r="O130" s="6" t="s">
        <v>6</v>
      </c>
      <c r="P130" s="6" t="s">
        <v>6</v>
      </c>
      <c r="Q130" s="6" t="s">
        <v>6</v>
      </c>
      <c r="R130" s="6" t="s">
        <v>6</v>
      </c>
      <c r="S130" s="6" t="s">
        <v>6</v>
      </c>
      <c r="T130" s="6" t="s">
        <v>6</v>
      </c>
      <c r="U130" s="6" t="s">
        <v>6</v>
      </c>
      <c r="V130" s="6" t="s">
        <v>6</v>
      </c>
      <c r="W130" s="6" t="s">
        <v>6</v>
      </c>
      <c r="X130" s="2" t="str">
        <f t="shared" ca="1" si="16"/>
        <v>Conforme</v>
      </c>
      <c r="Y130" s="2"/>
    </row>
    <row r="131" spans="1:25" x14ac:dyDescent="0.25">
      <c r="A131" s="1">
        <f t="shared" si="15"/>
        <v>6</v>
      </c>
      <c r="B131" s="4">
        <f t="shared" si="17"/>
        <v>44771</v>
      </c>
      <c r="C131" s="3" t="s">
        <v>4</v>
      </c>
      <c r="D131" s="6" t="s">
        <v>6</v>
      </c>
      <c r="E131" s="6" t="s">
        <v>6</v>
      </c>
      <c r="F131" s="6" t="s">
        <v>6</v>
      </c>
      <c r="G131" s="6" t="s">
        <v>6</v>
      </c>
      <c r="H131" s="6" t="s">
        <v>6</v>
      </c>
      <c r="I131" s="6" t="s">
        <v>6</v>
      </c>
      <c r="J131" s="6" t="s">
        <v>6</v>
      </c>
      <c r="K131" s="6" t="s">
        <v>6</v>
      </c>
      <c r="L131" s="6" t="s">
        <v>6</v>
      </c>
      <c r="M131" s="6" t="s">
        <v>6</v>
      </c>
      <c r="N131" s="6" t="s">
        <v>6</v>
      </c>
      <c r="O131" s="6" t="s">
        <v>6</v>
      </c>
      <c r="P131" s="6" t="s">
        <v>6</v>
      </c>
      <c r="Q131" s="6" t="s">
        <v>6</v>
      </c>
      <c r="R131" s="6" t="s">
        <v>6</v>
      </c>
      <c r="S131" s="6" t="s">
        <v>6</v>
      </c>
      <c r="T131" s="6" t="s">
        <v>6</v>
      </c>
      <c r="U131" s="6" t="s">
        <v>6</v>
      </c>
      <c r="V131" s="6" t="s">
        <v>6</v>
      </c>
      <c r="W131" s="6" t="s">
        <v>6</v>
      </c>
      <c r="X131" s="2" t="str">
        <f t="shared" ca="1" si="16"/>
        <v>Conforme</v>
      </c>
      <c r="Y131" s="2"/>
    </row>
    <row r="132" spans="1:25" x14ac:dyDescent="0.25">
      <c r="A132" s="1">
        <f t="shared" si="15"/>
        <v>2</v>
      </c>
      <c r="B132" s="4">
        <v>44774</v>
      </c>
      <c r="C132" s="3" t="s">
        <v>4</v>
      </c>
      <c r="D132" s="6" t="s">
        <v>6</v>
      </c>
      <c r="E132" s="6" t="s">
        <v>6</v>
      </c>
      <c r="F132" s="6" t="s">
        <v>6</v>
      </c>
      <c r="G132" s="6" t="s">
        <v>6</v>
      </c>
      <c r="H132" s="6" t="s">
        <v>6</v>
      </c>
      <c r="I132" s="6" t="s">
        <v>6</v>
      </c>
      <c r="J132" s="6" t="s">
        <v>6</v>
      </c>
      <c r="K132" s="6" t="s">
        <v>6</v>
      </c>
      <c r="L132" s="6" t="s">
        <v>6</v>
      </c>
      <c r="M132" s="6" t="s">
        <v>6</v>
      </c>
      <c r="N132" s="6" t="s">
        <v>6</v>
      </c>
      <c r="O132" s="6" t="s">
        <v>6</v>
      </c>
      <c r="P132" s="6" t="s">
        <v>6</v>
      </c>
      <c r="Q132" s="6" t="s">
        <v>6</v>
      </c>
      <c r="R132" s="6" t="s">
        <v>6</v>
      </c>
      <c r="S132" s="6" t="s">
        <v>6</v>
      </c>
      <c r="T132" s="6" t="s">
        <v>6</v>
      </c>
      <c r="U132" s="6" t="s">
        <v>6</v>
      </c>
      <c r="V132" s="6" t="s">
        <v>6</v>
      </c>
      <c r="W132" s="6" t="s">
        <v>6</v>
      </c>
      <c r="X132" s="2" t="str">
        <f t="shared" ref="X132:X146" ca="1" si="18">IF(B132&lt;TODAY(),IF(COUNTBLANK(D132:W132)=0,"Conforme","Não conforme"),"")</f>
        <v>Conforme</v>
      </c>
      <c r="Y132" s="2"/>
    </row>
    <row r="133" spans="1:25" x14ac:dyDescent="0.25">
      <c r="A133" s="1">
        <f t="shared" si="15"/>
        <v>3</v>
      </c>
      <c r="B133" s="4">
        <f t="shared" si="17"/>
        <v>44775</v>
      </c>
      <c r="C133" s="3" t="s">
        <v>4</v>
      </c>
      <c r="D133" s="6" t="s">
        <v>6</v>
      </c>
      <c r="E133" s="6" t="s">
        <v>6</v>
      </c>
      <c r="F133" s="6" t="s">
        <v>6</v>
      </c>
      <c r="G133" s="6" t="s">
        <v>6</v>
      </c>
      <c r="H133" s="6" t="s">
        <v>6</v>
      </c>
      <c r="I133" s="6" t="s">
        <v>6</v>
      </c>
      <c r="J133" s="6" t="s">
        <v>6</v>
      </c>
      <c r="K133" s="6" t="s">
        <v>6</v>
      </c>
      <c r="L133" s="6" t="s">
        <v>6</v>
      </c>
      <c r="M133" s="6" t="s">
        <v>6</v>
      </c>
      <c r="N133" s="6" t="s">
        <v>6</v>
      </c>
      <c r="O133" s="6" t="s">
        <v>6</v>
      </c>
      <c r="P133" s="6" t="s">
        <v>6</v>
      </c>
      <c r="Q133" s="6" t="s">
        <v>6</v>
      </c>
      <c r="R133" s="6" t="s">
        <v>6</v>
      </c>
      <c r="S133" s="6" t="s">
        <v>6</v>
      </c>
      <c r="T133" s="6" t="s">
        <v>6</v>
      </c>
      <c r="U133" s="6" t="s">
        <v>6</v>
      </c>
      <c r="V133" s="6" t="s">
        <v>6</v>
      </c>
      <c r="W133" s="6" t="s">
        <v>6</v>
      </c>
      <c r="X133" s="2" t="str">
        <f t="shared" ca="1" si="18"/>
        <v>Conforme</v>
      </c>
      <c r="Y133" s="2"/>
    </row>
    <row r="134" spans="1:25" x14ac:dyDescent="0.25">
      <c r="A134" s="1">
        <f t="shared" si="15"/>
        <v>4</v>
      </c>
      <c r="B134" s="4">
        <f t="shared" si="17"/>
        <v>44776</v>
      </c>
      <c r="C134" s="3" t="s">
        <v>4</v>
      </c>
      <c r="D134" s="6" t="s">
        <v>6</v>
      </c>
      <c r="E134" s="6" t="s">
        <v>6</v>
      </c>
      <c r="F134" s="6" t="s">
        <v>6</v>
      </c>
      <c r="G134" s="6" t="s">
        <v>6</v>
      </c>
      <c r="H134" s="6" t="s">
        <v>6</v>
      </c>
      <c r="I134" s="6" t="s">
        <v>6</v>
      </c>
      <c r="J134" s="6" t="s">
        <v>6</v>
      </c>
      <c r="K134" s="6" t="s">
        <v>6</v>
      </c>
      <c r="L134" s="6" t="s">
        <v>6</v>
      </c>
      <c r="M134" s="6" t="s">
        <v>6</v>
      </c>
      <c r="N134" s="6" t="s">
        <v>6</v>
      </c>
      <c r="O134" s="6" t="s">
        <v>6</v>
      </c>
      <c r="P134" s="6" t="s">
        <v>6</v>
      </c>
      <c r="Q134" s="6" t="s">
        <v>6</v>
      </c>
      <c r="R134" s="6" t="s">
        <v>6</v>
      </c>
      <c r="S134" s="6" t="s">
        <v>6</v>
      </c>
      <c r="T134" s="6" t="s">
        <v>6</v>
      </c>
      <c r="U134" s="6" t="s">
        <v>6</v>
      </c>
      <c r="V134" s="6" t="s">
        <v>6</v>
      </c>
      <c r="W134" s="6" t="s">
        <v>6</v>
      </c>
      <c r="X134" s="2" t="str">
        <f t="shared" ca="1" si="18"/>
        <v>Conforme</v>
      </c>
      <c r="Y134" s="2"/>
    </row>
    <row r="135" spans="1:25" x14ac:dyDescent="0.25">
      <c r="A135" s="1">
        <f t="shared" si="15"/>
        <v>5</v>
      </c>
      <c r="B135" s="4">
        <f t="shared" si="17"/>
        <v>44777</v>
      </c>
      <c r="C135" s="3" t="s">
        <v>4</v>
      </c>
      <c r="D135" s="6" t="s">
        <v>6</v>
      </c>
      <c r="E135" s="6" t="s">
        <v>6</v>
      </c>
      <c r="F135" s="6" t="s">
        <v>6</v>
      </c>
      <c r="G135" s="6" t="s">
        <v>6</v>
      </c>
      <c r="H135" s="6" t="s">
        <v>6</v>
      </c>
      <c r="I135" s="6" t="s">
        <v>6</v>
      </c>
      <c r="J135" s="6" t="s">
        <v>6</v>
      </c>
      <c r="K135" s="6" t="s">
        <v>6</v>
      </c>
      <c r="L135" s="6" t="s">
        <v>6</v>
      </c>
      <c r="M135" s="6" t="s">
        <v>6</v>
      </c>
      <c r="N135" s="6" t="s">
        <v>6</v>
      </c>
      <c r="O135" s="6" t="s">
        <v>6</v>
      </c>
      <c r="P135" s="6" t="s">
        <v>6</v>
      </c>
      <c r="Q135" s="6" t="s">
        <v>6</v>
      </c>
      <c r="R135" s="6" t="s">
        <v>6</v>
      </c>
      <c r="S135" s="6" t="s">
        <v>6</v>
      </c>
      <c r="T135" s="6" t="s">
        <v>6</v>
      </c>
      <c r="U135" s="6" t="s">
        <v>6</v>
      </c>
      <c r="V135" s="6" t="s">
        <v>6</v>
      </c>
      <c r="W135" s="6" t="s">
        <v>6</v>
      </c>
      <c r="X135" s="2" t="str">
        <f t="shared" ca="1" si="18"/>
        <v>Conforme</v>
      </c>
      <c r="Y135" s="2"/>
    </row>
    <row r="136" spans="1:25" x14ac:dyDescent="0.25">
      <c r="A136" s="1">
        <f t="shared" si="15"/>
        <v>6</v>
      </c>
      <c r="B136" s="4">
        <f t="shared" si="17"/>
        <v>44778</v>
      </c>
      <c r="C136" s="3" t="s">
        <v>4</v>
      </c>
      <c r="D136" s="6" t="s">
        <v>6</v>
      </c>
      <c r="E136" s="6" t="s">
        <v>6</v>
      </c>
      <c r="F136" s="6" t="s">
        <v>6</v>
      </c>
      <c r="G136" s="6" t="s">
        <v>6</v>
      </c>
      <c r="H136" s="6" t="s">
        <v>6</v>
      </c>
      <c r="I136" s="6" t="s">
        <v>6</v>
      </c>
      <c r="J136" s="6" t="s">
        <v>6</v>
      </c>
      <c r="K136" s="6" t="s">
        <v>6</v>
      </c>
      <c r="L136" s="6" t="s">
        <v>6</v>
      </c>
      <c r="M136" s="6" t="s">
        <v>6</v>
      </c>
      <c r="N136" s="6" t="s">
        <v>6</v>
      </c>
      <c r="O136" s="6" t="s">
        <v>6</v>
      </c>
      <c r="P136" s="6" t="s">
        <v>6</v>
      </c>
      <c r="Q136" s="6" t="s">
        <v>6</v>
      </c>
      <c r="R136" s="6" t="s">
        <v>6</v>
      </c>
      <c r="S136" s="6" t="s">
        <v>6</v>
      </c>
      <c r="T136" s="6" t="s">
        <v>6</v>
      </c>
      <c r="U136" s="6" t="s">
        <v>6</v>
      </c>
      <c r="V136" s="6" t="s">
        <v>6</v>
      </c>
      <c r="W136" s="6" t="s">
        <v>6</v>
      </c>
      <c r="X136" s="2" t="str">
        <f t="shared" ca="1" si="18"/>
        <v>Conforme</v>
      </c>
      <c r="Y136" s="2"/>
    </row>
    <row r="137" spans="1:25" x14ac:dyDescent="0.25">
      <c r="A137" s="1">
        <f t="shared" si="15"/>
        <v>2</v>
      </c>
      <c r="B137" s="4">
        <v>44781</v>
      </c>
      <c r="C137" s="3" t="s">
        <v>4</v>
      </c>
      <c r="D137" s="6" t="s">
        <v>6</v>
      </c>
      <c r="E137" s="6" t="s">
        <v>6</v>
      </c>
      <c r="F137" s="6" t="s">
        <v>6</v>
      </c>
      <c r="G137" s="6" t="s">
        <v>6</v>
      </c>
      <c r="H137" s="6" t="s">
        <v>6</v>
      </c>
      <c r="I137" s="6" t="s">
        <v>6</v>
      </c>
      <c r="J137" s="6" t="s">
        <v>6</v>
      </c>
      <c r="K137" s="6" t="s">
        <v>6</v>
      </c>
      <c r="L137" s="6" t="s">
        <v>6</v>
      </c>
      <c r="M137" s="6" t="s">
        <v>6</v>
      </c>
      <c r="N137" s="6" t="s">
        <v>6</v>
      </c>
      <c r="O137" s="6" t="s">
        <v>6</v>
      </c>
      <c r="P137" s="6" t="s">
        <v>6</v>
      </c>
      <c r="Q137" s="6" t="s">
        <v>6</v>
      </c>
      <c r="R137" s="6" t="s">
        <v>6</v>
      </c>
      <c r="S137" s="6" t="s">
        <v>6</v>
      </c>
      <c r="T137" s="6" t="s">
        <v>6</v>
      </c>
      <c r="U137" s="6" t="s">
        <v>6</v>
      </c>
      <c r="V137" s="6" t="s">
        <v>6</v>
      </c>
      <c r="W137" s="6" t="s">
        <v>6</v>
      </c>
      <c r="X137" s="2" t="str">
        <f t="shared" ca="1" si="18"/>
        <v>Conforme</v>
      </c>
      <c r="Y137" s="2"/>
    </row>
    <row r="138" spans="1:25" x14ac:dyDescent="0.25">
      <c r="A138" s="1">
        <f t="shared" si="15"/>
        <v>3</v>
      </c>
      <c r="B138" s="4">
        <f t="shared" si="17"/>
        <v>44782</v>
      </c>
      <c r="C138" s="3" t="s">
        <v>4</v>
      </c>
      <c r="D138" s="6" t="s">
        <v>6</v>
      </c>
      <c r="E138" s="6" t="s">
        <v>6</v>
      </c>
      <c r="F138" s="6" t="s">
        <v>6</v>
      </c>
      <c r="G138" s="6" t="s">
        <v>6</v>
      </c>
      <c r="H138" s="6" t="s">
        <v>6</v>
      </c>
      <c r="I138" s="6" t="s">
        <v>6</v>
      </c>
      <c r="J138" s="6" t="s">
        <v>6</v>
      </c>
      <c r="K138" s="6" t="s">
        <v>6</v>
      </c>
      <c r="L138" s="6" t="s">
        <v>6</v>
      </c>
      <c r="M138" s="6" t="s">
        <v>6</v>
      </c>
      <c r="N138" s="6" t="s">
        <v>6</v>
      </c>
      <c r="O138" s="6" t="s">
        <v>6</v>
      </c>
      <c r="P138" s="6" t="s">
        <v>6</v>
      </c>
      <c r="Q138" s="6" t="s">
        <v>6</v>
      </c>
      <c r="R138" s="6" t="s">
        <v>6</v>
      </c>
      <c r="S138" s="6" t="s">
        <v>6</v>
      </c>
      <c r="T138" s="6" t="s">
        <v>6</v>
      </c>
      <c r="U138" s="6" t="s">
        <v>6</v>
      </c>
      <c r="V138" s="6" t="s">
        <v>6</v>
      </c>
      <c r="W138" s="6" t="s">
        <v>6</v>
      </c>
      <c r="X138" s="2" t="str">
        <f t="shared" ca="1" si="18"/>
        <v>Conforme</v>
      </c>
      <c r="Y138" s="2"/>
    </row>
    <row r="139" spans="1:25" x14ac:dyDescent="0.25">
      <c r="A139" s="1">
        <f t="shared" si="15"/>
        <v>4</v>
      </c>
      <c r="B139" s="4">
        <f t="shared" si="17"/>
        <v>44783</v>
      </c>
      <c r="C139" s="3" t="s">
        <v>4</v>
      </c>
      <c r="D139" s="6" t="s">
        <v>6</v>
      </c>
      <c r="E139" s="6" t="s">
        <v>6</v>
      </c>
      <c r="F139" s="6" t="s">
        <v>6</v>
      </c>
      <c r="G139" s="6" t="s">
        <v>6</v>
      </c>
      <c r="H139" s="6" t="s">
        <v>6</v>
      </c>
      <c r="I139" s="6" t="s">
        <v>6</v>
      </c>
      <c r="J139" s="6" t="s">
        <v>6</v>
      </c>
      <c r="K139" s="6" t="s">
        <v>6</v>
      </c>
      <c r="L139" s="6" t="s">
        <v>6</v>
      </c>
      <c r="M139" s="6" t="s">
        <v>6</v>
      </c>
      <c r="N139" s="6" t="s">
        <v>6</v>
      </c>
      <c r="O139" s="6" t="s">
        <v>6</v>
      </c>
      <c r="P139" s="6" t="s">
        <v>6</v>
      </c>
      <c r="Q139" s="6" t="s">
        <v>6</v>
      </c>
      <c r="R139" s="6" t="s">
        <v>6</v>
      </c>
      <c r="S139" s="6" t="s">
        <v>6</v>
      </c>
      <c r="T139" s="6" t="s">
        <v>6</v>
      </c>
      <c r="U139" s="6" t="s">
        <v>6</v>
      </c>
      <c r="V139" s="6" t="s">
        <v>6</v>
      </c>
      <c r="W139" s="6" t="s">
        <v>6</v>
      </c>
      <c r="X139" s="2" t="str">
        <f t="shared" ca="1" si="18"/>
        <v>Conforme</v>
      </c>
      <c r="Y139" s="2"/>
    </row>
    <row r="140" spans="1:25" x14ac:dyDescent="0.25">
      <c r="A140" s="1">
        <f t="shared" si="15"/>
        <v>5</v>
      </c>
      <c r="B140" s="4">
        <f t="shared" si="17"/>
        <v>44784</v>
      </c>
      <c r="C140" s="3" t="s">
        <v>4</v>
      </c>
      <c r="D140" s="6" t="s">
        <v>6</v>
      </c>
      <c r="E140" s="6" t="s">
        <v>6</v>
      </c>
      <c r="F140" s="6" t="s">
        <v>6</v>
      </c>
      <c r="G140" s="6" t="s">
        <v>6</v>
      </c>
      <c r="H140" s="6" t="s">
        <v>6</v>
      </c>
      <c r="I140" s="6" t="s">
        <v>6</v>
      </c>
      <c r="J140" s="6" t="s">
        <v>6</v>
      </c>
      <c r="K140" s="6" t="s">
        <v>6</v>
      </c>
      <c r="L140" s="6" t="s">
        <v>6</v>
      </c>
      <c r="M140" s="6" t="s">
        <v>6</v>
      </c>
      <c r="N140" s="6" t="s">
        <v>6</v>
      </c>
      <c r="O140" s="6" t="s">
        <v>6</v>
      </c>
      <c r="P140" s="6" t="s">
        <v>6</v>
      </c>
      <c r="Q140" s="6" t="s">
        <v>6</v>
      </c>
      <c r="R140" s="6" t="s">
        <v>6</v>
      </c>
      <c r="S140" s="6" t="s">
        <v>6</v>
      </c>
      <c r="T140" s="6" t="s">
        <v>6</v>
      </c>
      <c r="U140" s="6" t="s">
        <v>6</v>
      </c>
      <c r="V140" s="6" t="s">
        <v>6</v>
      </c>
      <c r="W140" s="6" t="s">
        <v>6</v>
      </c>
      <c r="X140" s="2" t="str">
        <f t="shared" ca="1" si="18"/>
        <v>Conforme</v>
      </c>
      <c r="Y140" s="2"/>
    </row>
    <row r="141" spans="1:25" x14ac:dyDescent="0.25">
      <c r="A141" s="1">
        <f t="shared" si="15"/>
        <v>6</v>
      </c>
      <c r="B141" s="4">
        <f t="shared" si="17"/>
        <v>44785</v>
      </c>
      <c r="C141" s="3" t="s">
        <v>4</v>
      </c>
      <c r="D141" s="6" t="s">
        <v>6</v>
      </c>
      <c r="E141" s="6" t="s">
        <v>6</v>
      </c>
      <c r="F141" s="6" t="s">
        <v>6</v>
      </c>
      <c r="G141" s="6" t="s">
        <v>6</v>
      </c>
      <c r="H141" s="6" t="s">
        <v>6</v>
      </c>
      <c r="I141" s="6" t="s">
        <v>6</v>
      </c>
      <c r="J141" s="6" t="s">
        <v>6</v>
      </c>
      <c r="K141" s="6" t="s">
        <v>6</v>
      </c>
      <c r="L141" s="6" t="s">
        <v>6</v>
      </c>
      <c r="M141" s="6" t="s">
        <v>6</v>
      </c>
      <c r="N141" s="6" t="s">
        <v>6</v>
      </c>
      <c r="O141" s="6" t="s">
        <v>6</v>
      </c>
      <c r="P141" s="6" t="s">
        <v>6</v>
      </c>
      <c r="Q141" s="6" t="s">
        <v>6</v>
      </c>
      <c r="R141" s="6" t="s">
        <v>6</v>
      </c>
      <c r="S141" s="6" t="s">
        <v>6</v>
      </c>
      <c r="T141" s="6" t="s">
        <v>6</v>
      </c>
      <c r="U141" s="6" t="s">
        <v>6</v>
      </c>
      <c r="V141" s="6" t="s">
        <v>6</v>
      </c>
      <c r="W141" s="6" t="s">
        <v>6</v>
      </c>
      <c r="X141" s="2" t="str">
        <f t="shared" ca="1" si="18"/>
        <v>Conforme</v>
      </c>
      <c r="Y141" s="2"/>
    </row>
    <row r="142" spans="1:25" x14ac:dyDescent="0.25">
      <c r="A142" s="1">
        <f t="shared" si="15"/>
        <v>2</v>
      </c>
      <c r="B142" s="4">
        <v>44788</v>
      </c>
      <c r="C142" s="3" t="s">
        <v>4</v>
      </c>
      <c r="D142" s="6" t="s">
        <v>6</v>
      </c>
      <c r="E142" s="6" t="s">
        <v>6</v>
      </c>
      <c r="F142" s="6" t="s">
        <v>6</v>
      </c>
      <c r="G142" s="6" t="s">
        <v>6</v>
      </c>
      <c r="H142" s="6" t="s">
        <v>6</v>
      </c>
      <c r="I142" s="6" t="s">
        <v>6</v>
      </c>
      <c r="J142" s="6" t="s">
        <v>6</v>
      </c>
      <c r="K142" s="6" t="s">
        <v>6</v>
      </c>
      <c r="L142" s="6" t="s">
        <v>6</v>
      </c>
      <c r="M142" s="6" t="s">
        <v>6</v>
      </c>
      <c r="N142" s="6" t="s">
        <v>6</v>
      </c>
      <c r="O142" s="6" t="s">
        <v>6</v>
      </c>
      <c r="P142" s="6" t="s">
        <v>6</v>
      </c>
      <c r="Q142" s="6" t="s">
        <v>6</v>
      </c>
      <c r="R142" s="6" t="s">
        <v>6</v>
      </c>
      <c r="S142" s="6" t="s">
        <v>6</v>
      </c>
      <c r="T142" s="6" t="s">
        <v>6</v>
      </c>
      <c r="U142" s="6" t="s">
        <v>6</v>
      </c>
      <c r="V142" s="6" t="s">
        <v>6</v>
      </c>
      <c r="W142" s="6" t="s">
        <v>6</v>
      </c>
      <c r="X142" s="2" t="str">
        <f t="shared" ca="1" si="18"/>
        <v>Conforme</v>
      </c>
      <c r="Y142" s="2"/>
    </row>
    <row r="143" spans="1:25" x14ac:dyDescent="0.25">
      <c r="A143" s="1">
        <f t="shared" si="15"/>
        <v>3</v>
      </c>
      <c r="B143" s="4">
        <f t="shared" si="17"/>
        <v>44789</v>
      </c>
      <c r="C143" s="3" t="s">
        <v>4</v>
      </c>
      <c r="D143" s="6" t="s">
        <v>6</v>
      </c>
      <c r="E143" s="6" t="s">
        <v>6</v>
      </c>
      <c r="F143" s="6" t="s">
        <v>6</v>
      </c>
      <c r="G143" s="6" t="s">
        <v>6</v>
      </c>
      <c r="H143" s="6" t="s">
        <v>6</v>
      </c>
      <c r="I143" s="6" t="s">
        <v>6</v>
      </c>
      <c r="J143" s="6" t="s">
        <v>6</v>
      </c>
      <c r="K143" s="6" t="s">
        <v>6</v>
      </c>
      <c r="L143" s="6" t="s">
        <v>6</v>
      </c>
      <c r="M143" s="6" t="s">
        <v>6</v>
      </c>
      <c r="N143" s="6" t="s">
        <v>6</v>
      </c>
      <c r="O143" s="6" t="s">
        <v>6</v>
      </c>
      <c r="P143" s="6" t="s">
        <v>6</v>
      </c>
      <c r="Q143" s="6" t="s">
        <v>6</v>
      </c>
      <c r="R143" s="6" t="s">
        <v>6</v>
      </c>
      <c r="S143" s="6" t="s">
        <v>6</v>
      </c>
      <c r="T143" s="6" t="s">
        <v>6</v>
      </c>
      <c r="U143" s="6" t="s">
        <v>6</v>
      </c>
      <c r="V143" s="6" t="s">
        <v>6</v>
      </c>
      <c r="W143" s="6" t="s">
        <v>6</v>
      </c>
      <c r="X143" s="2" t="str">
        <f t="shared" ca="1" si="18"/>
        <v>Conforme</v>
      </c>
      <c r="Y143" s="2"/>
    </row>
    <row r="144" spans="1:25" x14ac:dyDescent="0.25">
      <c r="A144" s="1">
        <f t="shared" si="15"/>
        <v>4</v>
      </c>
      <c r="B144" s="4">
        <f t="shared" si="17"/>
        <v>44790</v>
      </c>
      <c r="C144" s="3" t="s">
        <v>4</v>
      </c>
      <c r="D144" s="6" t="s">
        <v>6</v>
      </c>
      <c r="E144" s="6" t="s">
        <v>6</v>
      </c>
      <c r="F144" s="6" t="s">
        <v>6</v>
      </c>
      <c r="G144" s="6" t="s">
        <v>6</v>
      </c>
      <c r="H144" s="6" t="s">
        <v>6</v>
      </c>
      <c r="I144" s="6" t="s">
        <v>6</v>
      </c>
      <c r="J144" s="6" t="s">
        <v>6</v>
      </c>
      <c r="K144" s="6" t="s">
        <v>6</v>
      </c>
      <c r="L144" s="6" t="s">
        <v>6</v>
      </c>
      <c r="M144" s="6" t="s">
        <v>6</v>
      </c>
      <c r="N144" s="6" t="s">
        <v>6</v>
      </c>
      <c r="O144" s="6" t="s">
        <v>6</v>
      </c>
      <c r="P144" s="6" t="s">
        <v>6</v>
      </c>
      <c r="Q144" s="6" t="s">
        <v>6</v>
      </c>
      <c r="R144" s="6" t="s">
        <v>6</v>
      </c>
      <c r="S144" s="6" t="s">
        <v>6</v>
      </c>
      <c r="T144" s="6" t="s">
        <v>6</v>
      </c>
      <c r="U144" s="6" t="s">
        <v>6</v>
      </c>
      <c r="V144" s="6" t="s">
        <v>6</v>
      </c>
      <c r="W144" s="6" t="s">
        <v>6</v>
      </c>
      <c r="X144" s="2" t="str">
        <f t="shared" ca="1" si="18"/>
        <v>Conforme</v>
      </c>
      <c r="Y144" s="2"/>
    </row>
    <row r="145" spans="1:25" x14ac:dyDescent="0.25">
      <c r="A145" s="1">
        <f t="shared" si="15"/>
        <v>5</v>
      </c>
      <c r="B145" s="4">
        <f t="shared" si="17"/>
        <v>44791</v>
      </c>
      <c r="C145" s="3" t="s">
        <v>4</v>
      </c>
      <c r="D145" s="6" t="s">
        <v>6</v>
      </c>
      <c r="E145" s="6" t="s">
        <v>6</v>
      </c>
      <c r="F145" s="6" t="s">
        <v>6</v>
      </c>
      <c r="G145" s="6" t="s">
        <v>6</v>
      </c>
      <c r="H145" s="6" t="s">
        <v>6</v>
      </c>
      <c r="I145" s="6" t="s">
        <v>6</v>
      </c>
      <c r="J145" s="6" t="s">
        <v>6</v>
      </c>
      <c r="K145" s="6" t="s">
        <v>6</v>
      </c>
      <c r="L145" s="6" t="s">
        <v>6</v>
      </c>
      <c r="M145" s="6" t="s">
        <v>6</v>
      </c>
      <c r="N145" s="6" t="s">
        <v>6</v>
      </c>
      <c r="O145" s="6" t="s">
        <v>6</v>
      </c>
      <c r="P145" s="6" t="s">
        <v>6</v>
      </c>
      <c r="Q145" s="6" t="s">
        <v>6</v>
      </c>
      <c r="R145" s="6" t="s">
        <v>6</v>
      </c>
      <c r="S145" s="6" t="s">
        <v>6</v>
      </c>
      <c r="T145" s="6" t="s">
        <v>6</v>
      </c>
      <c r="U145" s="6" t="s">
        <v>6</v>
      </c>
      <c r="V145" s="6" t="s">
        <v>6</v>
      </c>
      <c r="W145" s="6" t="s">
        <v>6</v>
      </c>
      <c r="X145" s="2" t="str">
        <f t="shared" ca="1" si="18"/>
        <v>Conforme</v>
      </c>
      <c r="Y145" s="2"/>
    </row>
    <row r="146" spans="1:25" x14ac:dyDescent="0.25">
      <c r="A146" s="1">
        <f t="shared" si="15"/>
        <v>6</v>
      </c>
      <c r="B146" s="4">
        <f t="shared" si="17"/>
        <v>44792</v>
      </c>
      <c r="C146" s="3" t="s">
        <v>4</v>
      </c>
      <c r="D146" s="6" t="s">
        <v>6</v>
      </c>
      <c r="E146" s="6" t="s">
        <v>6</v>
      </c>
      <c r="F146" s="6" t="s">
        <v>6</v>
      </c>
      <c r="G146" s="6" t="s">
        <v>6</v>
      </c>
      <c r="H146" s="6" t="s">
        <v>6</v>
      </c>
      <c r="I146" s="6" t="s">
        <v>6</v>
      </c>
      <c r="J146" s="6" t="s">
        <v>6</v>
      </c>
      <c r="K146" s="6" t="s">
        <v>6</v>
      </c>
      <c r="L146" s="6" t="s">
        <v>6</v>
      </c>
      <c r="M146" s="6" t="s">
        <v>6</v>
      </c>
      <c r="N146" s="6" t="s">
        <v>6</v>
      </c>
      <c r="O146" s="6" t="s">
        <v>6</v>
      </c>
      <c r="P146" s="6" t="s">
        <v>6</v>
      </c>
      <c r="Q146" s="6" t="s">
        <v>6</v>
      </c>
      <c r="R146" s="6" t="s">
        <v>6</v>
      </c>
      <c r="S146" s="6" t="s">
        <v>6</v>
      </c>
      <c r="T146" s="6" t="s">
        <v>6</v>
      </c>
      <c r="U146" s="6" t="s">
        <v>6</v>
      </c>
      <c r="V146" s="6" t="s">
        <v>6</v>
      </c>
      <c r="W146" s="6" t="s">
        <v>6</v>
      </c>
      <c r="X146" s="2" t="str">
        <f t="shared" ca="1" si="18"/>
        <v>Conforme</v>
      </c>
      <c r="Y146" s="2"/>
    </row>
    <row r="147" spans="1:25" x14ac:dyDescent="0.25">
      <c r="A147" s="1">
        <v>2</v>
      </c>
      <c r="B147" s="4">
        <v>44795</v>
      </c>
      <c r="C147" s="3" t="s">
        <v>4</v>
      </c>
      <c r="D147" s="6" t="s">
        <v>6</v>
      </c>
      <c r="E147" s="6" t="s">
        <v>6</v>
      </c>
      <c r="F147" s="6" t="s">
        <v>6</v>
      </c>
      <c r="G147" s="6" t="s">
        <v>6</v>
      </c>
      <c r="H147" s="6" t="s">
        <v>6</v>
      </c>
      <c r="I147" s="6" t="s">
        <v>6</v>
      </c>
      <c r="J147" s="6" t="s">
        <v>6</v>
      </c>
      <c r="K147" s="6" t="s">
        <v>6</v>
      </c>
      <c r="L147" s="6" t="s">
        <v>6</v>
      </c>
      <c r="M147" s="6" t="s">
        <v>6</v>
      </c>
      <c r="N147" s="6" t="s">
        <v>6</v>
      </c>
      <c r="O147" s="6" t="s">
        <v>6</v>
      </c>
      <c r="P147" s="6" t="s">
        <v>6</v>
      </c>
      <c r="Q147" s="6" t="s">
        <v>6</v>
      </c>
      <c r="R147" s="6" t="s">
        <v>6</v>
      </c>
      <c r="S147" s="6" t="s">
        <v>6</v>
      </c>
      <c r="T147" s="6" t="s">
        <v>6</v>
      </c>
      <c r="U147" s="6" t="s">
        <v>6</v>
      </c>
      <c r="V147" s="6" t="s">
        <v>6</v>
      </c>
      <c r="W147" s="6" t="s">
        <v>6</v>
      </c>
      <c r="X147" s="2" t="s">
        <v>587</v>
      </c>
      <c r="Y147" s="2"/>
    </row>
    <row r="148" spans="1:25" x14ac:dyDescent="0.25">
      <c r="A148" s="1">
        <f t="shared" si="15"/>
        <v>3</v>
      </c>
      <c r="B148" s="4">
        <f t="shared" si="17"/>
        <v>44796</v>
      </c>
      <c r="C148" s="3" t="s">
        <v>4</v>
      </c>
      <c r="D148" s="6" t="s">
        <v>6</v>
      </c>
      <c r="E148" s="6" t="s">
        <v>6</v>
      </c>
      <c r="F148" s="6" t="s">
        <v>6</v>
      </c>
      <c r="G148" s="6" t="s">
        <v>6</v>
      </c>
      <c r="H148" s="6" t="s">
        <v>6</v>
      </c>
      <c r="I148" s="6" t="s">
        <v>6</v>
      </c>
      <c r="J148" s="6" t="s">
        <v>6</v>
      </c>
      <c r="K148" s="6" t="s">
        <v>6</v>
      </c>
      <c r="L148" s="6" t="s">
        <v>6</v>
      </c>
      <c r="M148" s="6" t="s">
        <v>6</v>
      </c>
      <c r="N148" s="6" t="s">
        <v>6</v>
      </c>
      <c r="O148" s="6" t="s">
        <v>6</v>
      </c>
      <c r="P148" s="6" t="s">
        <v>6</v>
      </c>
      <c r="Q148" s="6" t="s">
        <v>6</v>
      </c>
      <c r="R148" s="6" t="s">
        <v>6</v>
      </c>
      <c r="S148" s="6" t="s">
        <v>6</v>
      </c>
      <c r="T148" s="6" t="s">
        <v>6</v>
      </c>
      <c r="U148" s="6" t="s">
        <v>6</v>
      </c>
      <c r="V148" s="6" t="s">
        <v>6</v>
      </c>
      <c r="W148" s="6" t="s">
        <v>6</v>
      </c>
      <c r="X148" s="2" t="str">
        <f t="shared" ref="X148:X151" ca="1" si="19">IF(B148&lt;TODAY(),IF(COUNTBLANK(D148:W148)=0,"Conforme","Não conforme"),"")</f>
        <v>Conforme</v>
      </c>
    </row>
    <row r="149" spans="1:25" x14ac:dyDescent="0.25">
      <c r="A149" s="1">
        <f t="shared" si="15"/>
        <v>4</v>
      </c>
      <c r="B149" s="4">
        <f t="shared" si="17"/>
        <v>44797</v>
      </c>
      <c r="C149" s="3" t="s">
        <v>4</v>
      </c>
      <c r="D149" s="6" t="s">
        <v>6</v>
      </c>
      <c r="E149" s="6" t="s">
        <v>6</v>
      </c>
      <c r="F149" s="6" t="s">
        <v>6</v>
      </c>
      <c r="G149" s="6" t="s">
        <v>6</v>
      </c>
      <c r="H149" s="6" t="s">
        <v>6</v>
      </c>
      <c r="I149" s="6" t="s">
        <v>6</v>
      </c>
      <c r="J149" s="6" t="s">
        <v>6</v>
      </c>
      <c r="K149" s="6" t="s">
        <v>6</v>
      </c>
      <c r="L149" s="6" t="s">
        <v>6</v>
      </c>
      <c r="M149" s="6" t="s">
        <v>6</v>
      </c>
      <c r="N149" s="6" t="s">
        <v>6</v>
      </c>
      <c r="O149" s="6" t="s">
        <v>6</v>
      </c>
      <c r="P149" s="6" t="s">
        <v>6</v>
      </c>
      <c r="Q149" s="6" t="s">
        <v>6</v>
      </c>
      <c r="R149" s="6" t="s">
        <v>6</v>
      </c>
      <c r="S149" s="6" t="s">
        <v>6</v>
      </c>
      <c r="T149" s="6" t="s">
        <v>6</v>
      </c>
      <c r="U149" s="6" t="s">
        <v>6</v>
      </c>
      <c r="V149" s="6" t="s">
        <v>6</v>
      </c>
      <c r="W149" s="6" t="s">
        <v>6</v>
      </c>
      <c r="X149" s="2" t="str">
        <f t="shared" ca="1" si="19"/>
        <v>Conforme</v>
      </c>
    </row>
    <row r="150" spans="1:25" x14ac:dyDescent="0.25">
      <c r="A150" s="1">
        <f t="shared" si="15"/>
        <v>5</v>
      </c>
      <c r="B150" s="4">
        <f t="shared" si="17"/>
        <v>44798</v>
      </c>
      <c r="C150" s="3" t="s">
        <v>4</v>
      </c>
      <c r="D150" s="6" t="s">
        <v>6</v>
      </c>
      <c r="E150" s="6" t="s">
        <v>6</v>
      </c>
      <c r="F150" s="6" t="s">
        <v>6</v>
      </c>
      <c r="G150" s="6" t="s">
        <v>6</v>
      </c>
      <c r="H150" s="6" t="s">
        <v>6</v>
      </c>
      <c r="I150" s="6" t="s">
        <v>6</v>
      </c>
      <c r="J150" s="6" t="s">
        <v>6</v>
      </c>
      <c r="K150" s="6" t="s">
        <v>6</v>
      </c>
      <c r="L150" s="6" t="s">
        <v>6</v>
      </c>
      <c r="M150" s="6" t="s">
        <v>6</v>
      </c>
      <c r="N150" s="6" t="s">
        <v>6</v>
      </c>
      <c r="O150" s="6" t="s">
        <v>6</v>
      </c>
      <c r="P150" s="6" t="s">
        <v>6</v>
      </c>
      <c r="Q150" s="6" t="s">
        <v>6</v>
      </c>
      <c r="R150" s="6" t="s">
        <v>6</v>
      </c>
      <c r="S150" s="6" t="s">
        <v>6</v>
      </c>
      <c r="T150" s="6" t="s">
        <v>6</v>
      </c>
      <c r="U150" s="6" t="s">
        <v>6</v>
      </c>
      <c r="V150" s="6" t="s">
        <v>6</v>
      </c>
      <c r="W150" s="6" t="s">
        <v>6</v>
      </c>
      <c r="X150" s="2" t="str">
        <f t="shared" ca="1" si="19"/>
        <v>Conforme</v>
      </c>
    </row>
    <row r="151" spans="1:25" x14ac:dyDescent="0.25">
      <c r="A151" s="1">
        <f t="shared" si="15"/>
        <v>6</v>
      </c>
      <c r="B151" s="4">
        <f t="shared" si="17"/>
        <v>44799</v>
      </c>
      <c r="C151" s="3" t="s">
        <v>4</v>
      </c>
      <c r="D151" s="6" t="s">
        <v>6</v>
      </c>
      <c r="E151" s="6" t="s">
        <v>6</v>
      </c>
      <c r="F151" s="6" t="s">
        <v>6</v>
      </c>
      <c r="G151" s="6" t="s">
        <v>6</v>
      </c>
      <c r="H151" s="6" t="s">
        <v>6</v>
      </c>
      <c r="I151" s="6" t="s">
        <v>6</v>
      </c>
      <c r="J151" s="6" t="s">
        <v>6</v>
      </c>
      <c r="K151" s="6" t="s">
        <v>6</v>
      </c>
      <c r="L151" s="6" t="s">
        <v>6</v>
      </c>
      <c r="M151" s="6" t="s">
        <v>6</v>
      </c>
      <c r="N151" s="6" t="s">
        <v>6</v>
      </c>
      <c r="O151" s="6" t="s">
        <v>6</v>
      </c>
      <c r="P151" s="6" t="s">
        <v>6</v>
      </c>
      <c r="Q151" s="6" t="s">
        <v>6</v>
      </c>
      <c r="R151" s="6" t="s">
        <v>6</v>
      </c>
      <c r="S151" s="6" t="s">
        <v>6</v>
      </c>
      <c r="T151" s="6" t="s">
        <v>6</v>
      </c>
      <c r="U151" s="6" t="s">
        <v>6</v>
      </c>
      <c r="V151" s="6" t="s">
        <v>6</v>
      </c>
      <c r="W151" s="6" t="s">
        <v>6</v>
      </c>
      <c r="X151" s="2" t="str">
        <f t="shared" ca="1" si="19"/>
        <v>Conforme</v>
      </c>
    </row>
    <row r="152" spans="1:25" x14ac:dyDescent="0.25">
      <c r="A152" s="1">
        <v>2</v>
      </c>
      <c r="B152" s="4">
        <v>44802</v>
      </c>
      <c r="C152" s="3" t="s">
        <v>4</v>
      </c>
      <c r="D152" s="6" t="s">
        <v>6</v>
      </c>
      <c r="E152" s="6" t="s">
        <v>6</v>
      </c>
      <c r="F152" s="6" t="s">
        <v>6</v>
      </c>
      <c r="G152" s="6" t="s">
        <v>6</v>
      </c>
      <c r="H152" s="6" t="s">
        <v>6</v>
      </c>
      <c r="I152" s="6" t="s">
        <v>6</v>
      </c>
      <c r="J152" s="6" t="s">
        <v>6</v>
      </c>
      <c r="K152" s="6" t="s">
        <v>6</v>
      </c>
      <c r="L152" s="6" t="s">
        <v>6</v>
      </c>
      <c r="M152" s="6" t="s">
        <v>6</v>
      </c>
      <c r="N152" s="6" t="s">
        <v>6</v>
      </c>
      <c r="O152" s="6" t="s">
        <v>6</v>
      </c>
      <c r="P152" s="6" t="s">
        <v>6</v>
      </c>
      <c r="Q152" s="6" t="s">
        <v>6</v>
      </c>
      <c r="R152" s="6" t="s">
        <v>6</v>
      </c>
      <c r="S152" s="6" t="s">
        <v>6</v>
      </c>
      <c r="T152" s="6" t="s">
        <v>6</v>
      </c>
      <c r="U152" s="6" t="s">
        <v>6</v>
      </c>
      <c r="V152" s="6" t="s">
        <v>6</v>
      </c>
      <c r="W152" s="6" t="s">
        <v>6</v>
      </c>
      <c r="X152" s="2" t="s">
        <v>587</v>
      </c>
    </row>
    <row r="153" spans="1:25" x14ac:dyDescent="0.25">
      <c r="A153" s="1">
        <f t="shared" si="15"/>
        <v>3</v>
      </c>
      <c r="B153" s="4">
        <f t="shared" si="17"/>
        <v>44803</v>
      </c>
      <c r="C153" s="3" t="s">
        <v>4</v>
      </c>
      <c r="D153" s="6" t="s">
        <v>6</v>
      </c>
      <c r="E153" s="6" t="s">
        <v>6</v>
      </c>
      <c r="F153" s="6" t="s">
        <v>6</v>
      </c>
      <c r="G153" s="6" t="s">
        <v>6</v>
      </c>
      <c r="H153" s="6" t="s">
        <v>6</v>
      </c>
      <c r="I153" s="6" t="s">
        <v>6</v>
      </c>
      <c r="J153" s="6" t="s">
        <v>6</v>
      </c>
      <c r="K153" s="6" t="s">
        <v>6</v>
      </c>
      <c r="L153" s="6" t="s">
        <v>6</v>
      </c>
      <c r="M153" s="6" t="s">
        <v>6</v>
      </c>
      <c r="N153" s="6" t="s">
        <v>6</v>
      </c>
      <c r="O153" s="6" t="s">
        <v>6</v>
      </c>
      <c r="P153" s="6" t="s">
        <v>6</v>
      </c>
      <c r="Q153" s="6" t="s">
        <v>6</v>
      </c>
      <c r="R153" s="6" t="s">
        <v>6</v>
      </c>
      <c r="S153" s="6" t="s">
        <v>6</v>
      </c>
      <c r="T153" s="6" t="s">
        <v>6</v>
      </c>
      <c r="U153" s="6" t="s">
        <v>6</v>
      </c>
      <c r="V153" s="6" t="s">
        <v>6</v>
      </c>
      <c r="W153" s="6" t="s">
        <v>6</v>
      </c>
      <c r="X153" s="2" t="str">
        <f t="shared" ref="X153:X160" ca="1" si="20">IF(B153&lt;TODAY(),IF(COUNTBLANK(D153:W153)=0,"Conforme","Não conforme"),"")</f>
        <v>Conforme</v>
      </c>
    </row>
    <row r="154" spans="1:25" x14ac:dyDescent="0.25">
      <c r="A154" s="1">
        <f t="shared" si="15"/>
        <v>4</v>
      </c>
      <c r="B154" s="4">
        <f t="shared" si="17"/>
        <v>44804</v>
      </c>
      <c r="C154" s="3" t="s">
        <v>4</v>
      </c>
      <c r="D154" s="6" t="s">
        <v>6</v>
      </c>
      <c r="E154" s="6" t="s">
        <v>6</v>
      </c>
      <c r="F154" s="6" t="s">
        <v>6</v>
      </c>
      <c r="G154" s="6" t="s">
        <v>6</v>
      </c>
      <c r="H154" s="6" t="s">
        <v>6</v>
      </c>
      <c r="I154" s="6" t="s">
        <v>6</v>
      </c>
      <c r="J154" s="6" t="s">
        <v>6</v>
      </c>
      <c r="K154" s="6" t="s">
        <v>6</v>
      </c>
      <c r="L154" s="6" t="s">
        <v>6</v>
      </c>
      <c r="M154" s="6" t="s">
        <v>6</v>
      </c>
      <c r="N154" s="6" t="s">
        <v>6</v>
      </c>
      <c r="O154" s="6" t="s">
        <v>6</v>
      </c>
      <c r="P154" s="6" t="s">
        <v>6</v>
      </c>
      <c r="Q154" s="6" t="s">
        <v>6</v>
      </c>
      <c r="R154" s="6" t="s">
        <v>6</v>
      </c>
      <c r="S154" s="6" t="s">
        <v>6</v>
      </c>
      <c r="T154" s="6" t="s">
        <v>6</v>
      </c>
      <c r="U154" s="6" t="s">
        <v>6</v>
      </c>
      <c r="V154" s="6" t="s">
        <v>6</v>
      </c>
      <c r="W154" s="6" t="s">
        <v>6</v>
      </c>
      <c r="X154" s="2" t="str">
        <f t="shared" ca="1" si="20"/>
        <v>Conforme</v>
      </c>
    </row>
    <row r="155" spans="1:25" x14ac:dyDescent="0.25">
      <c r="A155" s="1">
        <f t="shared" si="15"/>
        <v>5</v>
      </c>
      <c r="B155" s="4">
        <f>B154+1</f>
        <v>44805</v>
      </c>
      <c r="C155" s="3" t="s">
        <v>4</v>
      </c>
      <c r="D155" s="6" t="s">
        <v>6</v>
      </c>
      <c r="E155" s="6" t="s">
        <v>6</v>
      </c>
      <c r="F155" s="6" t="s">
        <v>6</v>
      </c>
      <c r="G155" s="6" t="s">
        <v>6</v>
      </c>
      <c r="H155" s="6" t="s">
        <v>6</v>
      </c>
      <c r="I155" s="6" t="s">
        <v>6</v>
      </c>
      <c r="J155" s="6" t="s">
        <v>6</v>
      </c>
      <c r="K155" s="6" t="s">
        <v>6</v>
      </c>
      <c r="L155" s="6" t="s">
        <v>6</v>
      </c>
      <c r="M155" s="6" t="s">
        <v>6</v>
      </c>
      <c r="N155" s="6" t="s">
        <v>6</v>
      </c>
      <c r="O155" s="6" t="s">
        <v>6</v>
      </c>
      <c r="P155" s="6" t="s">
        <v>6</v>
      </c>
      <c r="Q155" s="6" t="s">
        <v>6</v>
      </c>
      <c r="R155" s="6" t="s">
        <v>6</v>
      </c>
      <c r="S155" s="6" t="s">
        <v>6</v>
      </c>
      <c r="T155" s="6" t="s">
        <v>6</v>
      </c>
      <c r="U155" s="6" t="s">
        <v>6</v>
      </c>
      <c r="V155" s="6" t="s">
        <v>6</v>
      </c>
      <c r="W155" s="6" t="s">
        <v>6</v>
      </c>
      <c r="X155" s="2" t="str">
        <f t="shared" ca="1" si="20"/>
        <v>Conforme</v>
      </c>
    </row>
    <row r="156" spans="1:25" x14ac:dyDescent="0.25">
      <c r="A156" s="1">
        <f t="shared" si="15"/>
        <v>6</v>
      </c>
      <c r="B156" s="4">
        <f t="shared" si="17"/>
        <v>44806</v>
      </c>
      <c r="C156" s="3" t="s">
        <v>4</v>
      </c>
      <c r="D156" s="6" t="s">
        <v>6</v>
      </c>
      <c r="E156" s="6" t="s">
        <v>6</v>
      </c>
      <c r="F156" s="6" t="s">
        <v>6</v>
      </c>
      <c r="G156" s="6" t="s">
        <v>6</v>
      </c>
      <c r="H156" s="6" t="s">
        <v>6</v>
      </c>
      <c r="I156" s="6" t="s">
        <v>6</v>
      </c>
      <c r="J156" s="6" t="s">
        <v>6</v>
      </c>
      <c r="K156" s="6" t="s">
        <v>6</v>
      </c>
      <c r="L156" s="6" t="s">
        <v>6</v>
      </c>
      <c r="M156" s="6" t="s">
        <v>6</v>
      </c>
      <c r="N156" s="6" t="s">
        <v>6</v>
      </c>
      <c r="O156" s="6" t="s">
        <v>6</v>
      </c>
      <c r="P156" s="6" t="s">
        <v>6</v>
      </c>
      <c r="Q156" s="6" t="s">
        <v>6</v>
      </c>
      <c r="R156" s="6" t="s">
        <v>6</v>
      </c>
      <c r="S156" s="6" t="s">
        <v>6</v>
      </c>
      <c r="T156" s="6" t="s">
        <v>6</v>
      </c>
      <c r="U156" s="6" t="s">
        <v>6</v>
      </c>
      <c r="V156" s="6" t="s">
        <v>6</v>
      </c>
      <c r="W156" s="6" t="s">
        <v>6</v>
      </c>
      <c r="X156" s="2" t="str">
        <f t="shared" ca="1" si="20"/>
        <v>Conforme</v>
      </c>
    </row>
    <row r="157" spans="1:25" x14ac:dyDescent="0.25">
      <c r="A157" s="1">
        <f t="shared" si="15"/>
        <v>2</v>
      </c>
      <c r="B157" s="4">
        <v>44809</v>
      </c>
      <c r="C157" s="3" t="s">
        <v>4</v>
      </c>
      <c r="D157" s="6" t="s">
        <v>6</v>
      </c>
      <c r="E157" s="6" t="s">
        <v>6</v>
      </c>
      <c r="F157" s="6" t="s">
        <v>6</v>
      </c>
      <c r="G157" s="6" t="s">
        <v>6</v>
      </c>
      <c r="H157" s="6" t="s">
        <v>6</v>
      </c>
      <c r="I157" s="6" t="s">
        <v>6</v>
      </c>
      <c r="J157" s="6" t="s">
        <v>6</v>
      </c>
      <c r="K157" s="6" t="s">
        <v>6</v>
      </c>
      <c r="L157" s="6" t="s">
        <v>6</v>
      </c>
      <c r="M157" s="6" t="s">
        <v>6</v>
      </c>
      <c r="N157" s="6" t="s">
        <v>6</v>
      </c>
      <c r="O157" s="6" t="s">
        <v>6</v>
      </c>
      <c r="P157" s="6" t="s">
        <v>6</v>
      </c>
      <c r="Q157" s="6" t="s">
        <v>6</v>
      </c>
      <c r="R157" s="6" t="s">
        <v>6</v>
      </c>
      <c r="S157" s="6" t="s">
        <v>6</v>
      </c>
      <c r="T157" s="6" t="s">
        <v>6</v>
      </c>
      <c r="U157" s="6" t="s">
        <v>6</v>
      </c>
      <c r="V157" s="6" t="s">
        <v>6</v>
      </c>
      <c r="W157" s="6" t="s">
        <v>6</v>
      </c>
      <c r="X157" s="2" t="str">
        <f t="shared" ref="X157" ca="1" si="21">IF(B157&lt;TODAY(),IF(COUNTBLANK(D157:W157)=0,"Conforme","Não conforme"),"")</f>
        <v>Conforme</v>
      </c>
    </row>
    <row r="158" spans="1:25" x14ac:dyDescent="0.25">
      <c r="A158" s="1">
        <v>3</v>
      </c>
      <c r="B158" s="4">
        <v>44810</v>
      </c>
      <c r="C158" s="3" t="s">
        <v>4</v>
      </c>
      <c r="D158" s="6" t="s">
        <v>6</v>
      </c>
      <c r="E158" s="6" t="s">
        <v>6</v>
      </c>
      <c r="F158" s="6" t="s">
        <v>6</v>
      </c>
      <c r="G158" s="6" t="s">
        <v>6</v>
      </c>
      <c r="H158" s="6" t="s">
        <v>6</v>
      </c>
      <c r="I158" s="6" t="s">
        <v>6</v>
      </c>
      <c r="J158" s="6" t="s">
        <v>6</v>
      </c>
      <c r="K158" s="6" t="s">
        <v>6</v>
      </c>
      <c r="L158" s="6" t="s">
        <v>6</v>
      </c>
      <c r="M158" s="6" t="s">
        <v>6</v>
      </c>
      <c r="N158" s="6" t="s">
        <v>6</v>
      </c>
      <c r="O158" s="6" t="s">
        <v>6</v>
      </c>
      <c r="P158" s="6" t="s">
        <v>6</v>
      </c>
      <c r="Q158" s="6" t="s">
        <v>6</v>
      </c>
      <c r="R158" s="6" t="s">
        <v>6</v>
      </c>
      <c r="S158" s="6" t="s">
        <v>6</v>
      </c>
      <c r="T158" s="6" t="s">
        <v>6</v>
      </c>
      <c r="U158" s="6" t="s">
        <v>6</v>
      </c>
      <c r="V158" s="6" t="s">
        <v>6</v>
      </c>
      <c r="W158" s="6" t="s">
        <v>6</v>
      </c>
      <c r="X158" s="2" t="str">
        <f t="shared" ref="X158" ca="1" si="22">IF(B158&lt;TODAY(),IF(COUNTBLANK(D158:W158)=0,"Conforme","Não conforme"),"")</f>
        <v>Conforme</v>
      </c>
    </row>
    <row r="159" spans="1:25" x14ac:dyDescent="0.25">
      <c r="A159" s="1">
        <v>5</v>
      </c>
      <c r="B159" s="4">
        <v>44812</v>
      </c>
      <c r="C159" s="3" t="s">
        <v>4</v>
      </c>
      <c r="D159" s="6" t="s">
        <v>6</v>
      </c>
      <c r="E159" s="6" t="s">
        <v>6</v>
      </c>
      <c r="F159" s="6" t="s">
        <v>6</v>
      </c>
      <c r="G159" s="6" t="s">
        <v>6</v>
      </c>
      <c r="H159" s="6" t="s">
        <v>6</v>
      </c>
      <c r="I159" s="6" t="s">
        <v>6</v>
      </c>
      <c r="J159" s="6" t="s">
        <v>6</v>
      </c>
      <c r="K159" s="6" t="s">
        <v>6</v>
      </c>
      <c r="L159" s="6" t="s">
        <v>6</v>
      </c>
      <c r="M159" s="6" t="s">
        <v>6</v>
      </c>
      <c r="N159" s="6" t="s">
        <v>6</v>
      </c>
      <c r="O159" s="6" t="s">
        <v>6</v>
      </c>
      <c r="P159" s="6" t="s">
        <v>6</v>
      </c>
      <c r="Q159" s="6" t="s">
        <v>6</v>
      </c>
      <c r="R159" s="6" t="s">
        <v>6</v>
      </c>
      <c r="S159" s="6" t="s">
        <v>6</v>
      </c>
      <c r="T159" s="6" t="s">
        <v>6</v>
      </c>
      <c r="U159" s="6" t="s">
        <v>6</v>
      </c>
      <c r="V159" s="6" t="s">
        <v>6</v>
      </c>
      <c r="W159" s="6" t="s">
        <v>6</v>
      </c>
      <c r="X159" s="2" t="str">
        <f t="shared" ca="1" si="20"/>
        <v>Conforme</v>
      </c>
    </row>
    <row r="160" spans="1:25" x14ac:dyDescent="0.25">
      <c r="A160" s="1">
        <v>6</v>
      </c>
      <c r="B160" s="4">
        <v>44813</v>
      </c>
      <c r="C160" s="3" t="s">
        <v>4</v>
      </c>
      <c r="D160" s="6" t="s">
        <v>6</v>
      </c>
      <c r="E160" s="6" t="s">
        <v>6</v>
      </c>
      <c r="F160" s="6" t="s">
        <v>6</v>
      </c>
      <c r="G160" s="6" t="s">
        <v>6</v>
      </c>
      <c r="H160" s="6" t="s">
        <v>6</v>
      </c>
      <c r="I160" s="6" t="s">
        <v>6</v>
      </c>
      <c r="J160" s="6" t="s">
        <v>6</v>
      </c>
      <c r="K160" s="6" t="s">
        <v>6</v>
      </c>
      <c r="L160" s="6" t="s">
        <v>6</v>
      </c>
      <c r="M160" s="6" t="s">
        <v>6</v>
      </c>
      <c r="N160" s="6" t="s">
        <v>6</v>
      </c>
      <c r="O160" s="6" t="s">
        <v>6</v>
      </c>
      <c r="P160" s="6" t="s">
        <v>6</v>
      </c>
      <c r="Q160" s="6" t="s">
        <v>6</v>
      </c>
      <c r="R160" s="6" t="s">
        <v>6</v>
      </c>
      <c r="S160" s="6" t="s">
        <v>6</v>
      </c>
      <c r="T160" s="6" t="s">
        <v>6</v>
      </c>
      <c r="U160" s="6" t="s">
        <v>6</v>
      </c>
      <c r="V160" s="6" t="s">
        <v>6</v>
      </c>
      <c r="W160" s="6" t="s">
        <v>6</v>
      </c>
      <c r="X160" s="2" t="str">
        <f t="shared" ca="1" si="20"/>
        <v>Conforme</v>
      </c>
    </row>
    <row r="161" spans="1:24" x14ac:dyDescent="0.25">
      <c r="A161" s="1">
        <v>2</v>
      </c>
      <c r="B161" s="4">
        <v>44816</v>
      </c>
      <c r="C161" s="3" t="s">
        <v>4</v>
      </c>
      <c r="D161" s="6" t="s">
        <v>6</v>
      </c>
      <c r="E161" s="6" t="s">
        <v>6</v>
      </c>
      <c r="F161" s="6" t="s">
        <v>6</v>
      </c>
      <c r="G161" s="6" t="s">
        <v>6</v>
      </c>
      <c r="H161" s="6" t="s">
        <v>6</v>
      </c>
      <c r="I161" s="6" t="s">
        <v>6</v>
      </c>
      <c r="J161" s="6" t="s">
        <v>6</v>
      </c>
      <c r="K161" s="6" t="s">
        <v>6</v>
      </c>
      <c r="L161" s="6" t="s">
        <v>6</v>
      </c>
      <c r="M161" s="6" t="s">
        <v>6</v>
      </c>
      <c r="N161" s="6" t="s">
        <v>6</v>
      </c>
      <c r="O161" s="6" t="s">
        <v>6</v>
      </c>
      <c r="P161" s="6" t="s">
        <v>6</v>
      </c>
      <c r="Q161" s="6" t="s">
        <v>6</v>
      </c>
      <c r="R161" s="6" t="s">
        <v>6</v>
      </c>
      <c r="S161" s="6" t="s">
        <v>6</v>
      </c>
      <c r="T161" s="6" t="s">
        <v>6</v>
      </c>
      <c r="U161" s="6" t="s">
        <v>6</v>
      </c>
      <c r="V161" s="6" t="s">
        <v>6</v>
      </c>
      <c r="W161" s="6" t="s">
        <v>6</v>
      </c>
      <c r="X161" s="2" t="str">
        <f t="shared" ref="X161:X205" ca="1" si="23">IF(B161&lt;TODAY(),IF(COUNTBLANK(D161:W161)=0,"Conforme","Não conforme"),"")</f>
        <v>Conforme</v>
      </c>
    </row>
    <row r="162" spans="1:24" x14ac:dyDescent="0.25">
      <c r="A162" s="1">
        <v>3</v>
      </c>
      <c r="B162" s="4">
        <v>44817</v>
      </c>
      <c r="C162" s="3" t="s">
        <v>4</v>
      </c>
      <c r="D162" s="6" t="s">
        <v>6</v>
      </c>
      <c r="E162" s="6" t="s">
        <v>6</v>
      </c>
      <c r="F162" s="6" t="s">
        <v>6</v>
      </c>
      <c r="G162" s="6" t="s">
        <v>6</v>
      </c>
      <c r="H162" s="6" t="s">
        <v>6</v>
      </c>
      <c r="I162" s="6" t="s">
        <v>6</v>
      </c>
      <c r="J162" s="6" t="s">
        <v>6</v>
      </c>
      <c r="K162" s="6" t="s">
        <v>6</v>
      </c>
      <c r="L162" s="6" t="s">
        <v>6</v>
      </c>
      <c r="M162" s="6" t="s">
        <v>6</v>
      </c>
      <c r="N162" s="6" t="s">
        <v>6</v>
      </c>
      <c r="O162" s="6" t="s">
        <v>6</v>
      </c>
      <c r="P162" s="6" t="s">
        <v>6</v>
      </c>
      <c r="Q162" s="6" t="s">
        <v>6</v>
      </c>
      <c r="R162" s="6" t="s">
        <v>6</v>
      </c>
      <c r="S162" s="6" t="s">
        <v>6</v>
      </c>
      <c r="T162" s="6" t="s">
        <v>6</v>
      </c>
      <c r="U162" s="6" t="s">
        <v>6</v>
      </c>
      <c r="V162" s="6" t="s">
        <v>6</v>
      </c>
      <c r="W162" s="6" t="s">
        <v>6</v>
      </c>
      <c r="X162" s="2" t="str">
        <f t="shared" ca="1" si="23"/>
        <v>Conforme</v>
      </c>
    </row>
    <row r="163" spans="1:24" x14ac:dyDescent="0.25">
      <c r="A163" s="1">
        <v>4</v>
      </c>
      <c r="B163" s="4">
        <v>44818</v>
      </c>
      <c r="C163" s="3" t="s">
        <v>4</v>
      </c>
      <c r="D163" s="6" t="s">
        <v>6</v>
      </c>
      <c r="E163" s="6" t="s">
        <v>6</v>
      </c>
      <c r="F163" s="6" t="s">
        <v>6</v>
      </c>
      <c r="G163" s="6" t="s">
        <v>6</v>
      </c>
      <c r="H163" s="6" t="s">
        <v>6</v>
      </c>
      <c r="I163" s="6" t="s">
        <v>6</v>
      </c>
      <c r="J163" s="6" t="s">
        <v>6</v>
      </c>
      <c r="K163" s="6" t="s">
        <v>6</v>
      </c>
      <c r="L163" s="6" t="s">
        <v>6</v>
      </c>
      <c r="M163" s="6" t="s">
        <v>6</v>
      </c>
      <c r="N163" s="6" t="s">
        <v>6</v>
      </c>
      <c r="O163" s="6" t="s">
        <v>6</v>
      </c>
      <c r="P163" s="6" t="s">
        <v>6</v>
      </c>
      <c r="Q163" s="6" t="s">
        <v>6</v>
      </c>
      <c r="R163" s="6" t="s">
        <v>6</v>
      </c>
      <c r="S163" s="6" t="s">
        <v>6</v>
      </c>
      <c r="T163" s="6" t="s">
        <v>6</v>
      </c>
      <c r="U163" s="6" t="s">
        <v>6</v>
      </c>
      <c r="V163" s="6" t="s">
        <v>6</v>
      </c>
      <c r="W163" s="6" t="s">
        <v>6</v>
      </c>
      <c r="X163" s="2" t="str">
        <f t="shared" ca="1" si="23"/>
        <v>Conforme</v>
      </c>
    </row>
    <row r="164" spans="1:24" x14ac:dyDescent="0.25">
      <c r="A164" s="1">
        <v>5</v>
      </c>
      <c r="B164" s="4">
        <v>44819</v>
      </c>
      <c r="C164" s="3" t="s">
        <v>4</v>
      </c>
      <c r="D164" s="6" t="s">
        <v>6</v>
      </c>
      <c r="E164" s="6" t="s">
        <v>6</v>
      </c>
      <c r="F164" s="6" t="s">
        <v>6</v>
      </c>
      <c r="G164" s="6" t="s">
        <v>6</v>
      </c>
      <c r="H164" s="6" t="s">
        <v>6</v>
      </c>
      <c r="I164" s="6" t="s">
        <v>6</v>
      </c>
      <c r="J164" s="6" t="s">
        <v>6</v>
      </c>
      <c r="K164" s="6" t="s">
        <v>6</v>
      </c>
      <c r="L164" s="6" t="s">
        <v>6</v>
      </c>
      <c r="M164" s="6" t="s">
        <v>6</v>
      </c>
      <c r="N164" s="6" t="s">
        <v>6</v>
      </c>
      <c r="O164" s="6" t="s">
        <v>6</v>
      </c>
      <c r="P164" s="6" t="s">
        <v>6</v>
      </c>
      <c r="Q164" s="6" t="s">
        <v>6</v>
      </c>
      <c r="R164" s="6" t="s">
        <v>6</v>
      </c>
      <c r="S164" s="6" t="s">
        <v>6</v>
      </c>
      <c r="T164" s="6" t="s">
        <v>6</v>
      </c>
      <c r="U164" s="6" t="s">
        <v>6</v>
      </c>
      <c r="V164" s="6" t="s">
        <v>6</v>
      </c>
      <c r="W164" s="6" t="s">
        <v>6</v>
      </c>
      <c r="X164" s="2" t="str">
        <f t="shared" ca="1" si="23"/>
        <v>Conforme</v>
      </c>
    </row>
    <row r="165" spans="1:24" x14ac:dyDescent="0.25">
      <c r="A165" s="1">
        <v>6</v>
      </c>
      <c r="B165" s="4">
        <v>44820</v>
      </c>
      <c r="C165" s="3" t="s">
        <v>4</v>
      </c>
      <c r="D165" s="6" t="s">
        <v>6</v>
      </c>
      <c r="E165" s="6" t="s">
        <v>6</v>
      </c>
      <c r="F165" s="6" t="s">
        <v>6</v>
      </c>
      <c r="G165" s="6" t="s">
        <v>6</v>
      </c>
      <c r="H165" s="6" t="s">
        <v>6</v>
      </c>
      <c r="I165" s="6" t="s">
        <v>6</v>
      </c>
      <c r="J165" s="6" t="s">
        <v>6</v>
      </c>
      <c r="K165" s="6" t="s">
        <v>6</v>
      </c>
      <c r="L165" s="6" t="s">
        <v>6</v>
      </c>
      <c r="M165" s="6" t="s">
        <v>6</v>
      </c>
      <c r="N165" s="6" t="s">
        <v>6</v>
      </c>
      <c r="O165" s="6" t="s">
        <v>6</v>
      </c>
      <c r="P165" s="6" t="s">
        <v>6</v>
      </c>
      <c r="Q165" s="6" t="s">
        <v>6</v>
      </c>
      <c r="R165" s="6" t="s">
        <v>6</v>
      </c>
      <c r="S165" s="6" t="s">
        <v>6</v>
      </c>
      <c r="T165" s="6" t="s">
        <v>6</v>
      </c>
      <c r="U165" s="6" t="s">
        <v>6</v>
      </c>
      <c r="V165" s="6" t="s">
        <v>6</v>
      </c>
      <c r="W165" s="6" t="s">
        <v>6</v>
      </c>
      <c r="X165" s="2" t="str">
        <f t="shared" ca="1" si="23"/>
        <v>Conforme</v>
      </c>
    </row>
    <row r="166" spans="1:24" x14ac:dyDescent="0.25">
      <c r="A166" s="1">
        <v>2</v>
      </c>
      <c r="B166" s="4">
        <v>44823</v>
      </c>
      <c r="C166" s="3" t="s">
        <v>4</v>
      </c>
      <c r="D166" s="6" t="s">
        <v>6</v>
      </c>
      <c r="E166" s="6" t="s">
        <v>6</v>
      </c>
      <c r="F166" s="6" t="s">
        <v>6</v>
      </c>
      <c r="G166" s="6" t="s">
        <v>6</v>
      </c>
      <c r="H166" s="6" t="s">
        <v>6</v>
      </c>
      <c r="I166" s="6" t="s">
        <v>6</v>
      </c>
      <c r="J166" s="6" t="s">
        <v>6</v>
      </c>
      <c r="K166" s="6" t="s">
        <v>6</v>
      </c>
      <c r="L166" s="6" t="s">
        <v>6</v>
      </c>
      <c r="M166" s="6" t="s">
        <v>6</v>
      </c>
      <c r="N166" s="6" t="s">
        <v>6</v>
      </c>
      <c r="O166" s="6" t="s">
        <v>6</v>
      </c>
      <c r="P166" s="6" t="s">
        <v>6</v>
      </c>
      <c r="Q166" s="6" t="s">
        <v>6</v>
      </c>
      <c r="R166" s="6" t="s">
        <v>6</v>
      </c>
      <c r="S166" s="6" t="s">
        <v>6</v>
      </c>
      <c r="T166" s="6" t="s">
        <v>6</v>
      </c>
      <c r="U166" s="6" t="s">
        <v>6</v>
      </c>
      <c r="V166" s="6" t="s">
        <v>6</v>
      </c>
      <c r="W166" s="6" t="s">
        <v>6</v>
      </c>
      <c r="X166" s="2" t="str">
        <f t="shared" ca="1" si="23"/>
        <v>Conforme</v>
      </c>
    </row>
    <row r="167" spans="1:24" x14ac:dyDescent="0.25">
      <c r="A167" s="1">
        <v>3</v>
      </c>
      <c r="B167" s="4">
        <v>44824</v>
      </c>
      <c r="C167" s="3" t="s">
        <v>4</v>
      </c>
      <c r="D167" s="6" t="s">
        <v>6</v>
      </c>
      <c r="E167" s="6" t="s">
        <v>6</v>
      </c>
      <c r="F167" s="6" t="s">
        <v>6</v>
      </c>
      <c r="G167" s="6" t="s">
        <v>6</v>
      </c>
      <c r="H167" s="6" t="s">
        <v>6</v>
      </c>
      <c r="I167" s="6" t="s">
        <v>6</v>
      </c>
      <c r="J167" s="6" t="s">
        <v>6</v>
      </c>
      <c r="K167" s="6" t="s">
        <v>6</v>
      </c>
      <c r="L167" s="6" t="s">
        <v>6</v>
      </c>
      <c r="M167" s="6" t="s">
        <v>6</v>
      </c>
      <c r="N167" s="6" t="s">
        <v>6</v>
      </c>
      <c r="O167" s="6" t="s">
        <v>6</v>
      </c>
      <c r="P167" s="6" t="s">
        <v>6</v>
      </c>
      <c r="Q167" s="6" t="s">
        <v>6</v>
      </c>
      <c r="R167" s="6" t="s">
        <v>6</v>
      </c>
      <c r="S167" s="6" t="s">
        <v>6</v>
      </c>
      <c r="T167" s="6" t="s">
        <v>6</v>
      </c>
      <c r="U167" s="6" t="s">
        <v>6</v>
      </c>
      <c r="V167" s="6" t="s">
        <v>6</v>
      </c>
      <c r="W167" s="6" t="s">
        <v>6</v>
      </c>
      <c r="X167" s="2" t="str">
        <f t="shared" ca="1" si="23"/>
        <v>Conforme</v>
      </c>
    </row>
    <row r="168" spans="1:24" x14ac:dyDescent="0.25">
      <c r="A168" s="1">
        <v>4</v>
      </c>
      <c r="B168" s="4">
        <v>44825</v>
      </c>
      <c r="C168" s="3" t="s">
        <v>4</v>
      </c>
      <c r="D168" s="6" t="s">
        <v>6</v>
      </c>
      <c r="E168" s="6" t="s">
        <v>6</v>
      </c>
      <c r="F168" s="6" t="s">
        <v>6</v>
      </c>
      <c r="G168" s="6" t="s">
        <v>6</v>
      </c>
      <c r="H168" s="6" t="s">
        <v>6</v>
      </c>
      <c r="I168" s="6" t="s">
        <v>6</v>
      </c>
      <c r="J168" s="6" t="s">
        <v>6</v>
      </c>
      <c r="K168" s="6" t="s">
        <v>6</v>
      </c>
      <c r="L168" s="6" t="s">
        <v>6</v>
      </c>
      <c r="M168" s="6" t="s">
        <v>6</v>
      </c>
      <c r="N168" s="6" t="s">
        <v>6</v>
      </c>
      <c r="O168" s="6" t="s">
        <v>6</v>
      </c>
      <c r="P168" s="6" t="s">
        <v>6</v>
      </c>
      <c r="Q168" s="6" t="s">
        <v>6</v>
      </c>
      <c r="R168" s="6" t="s">
        <v>6</v>
      </c>
      <c r="S168" s="6" t="s">
        <v>6</v>
      </c>
      <c r="T168" s="6" t="s">
        <v>6</v>
      </c>
      <c r="U168" s="6" t="s">
        <v>6</v>
      </c>
      <c r="V168" s="6" t="s">
        <v>6</v>
      </c>
      <c r="W168" s="6" t="s">
        <v>6</v>
      </c>
      <c r="X168" s="2" t="str">
        <f t="shared" ca="1" si="23"/>
        <v>Conforme</v>
      </c>
    </row>
    <row r="169" spans="1:24" x14ac:dyDescent="0.25">
      <c r="A169" s="1">
        <v>5</v>
      </c>
      <c r="B169" s="4">
        <v>44826</v>
      </c>
      <c r="C169" s="3" t="s">
        <v>4</v>
      </c>
      <c r="D169" s="6" t="s">
        <v>6</v>
      </c>
      <c r="E169" s="6" t="s">
        <v>6</v>
      </c>
      <c r="F169" s="6" t="s">
        <v>6</v>
      </c>
      <c r="G169" s="6" t="s">
        <v>6</v>
      </c>
      <c r="H169" s="6" t="s">
        <v>6</v>
      </c>
      <c r="I169" s="6" t="s">
        <v>6</v>
      </c>
      <c r="J169" s="6" t="s">
        <v>6</v>
      </c>
      <c r="K169" s="6" t="s">
        <v>6</v>
      </c>
      <c r="L169" s="6" t="s">
        <v>6</v>
      </c>
      <c r="M169" s="6" t="s">
        <v>6</v>
      </c>
      <c r="N169" s="6" t="s">
        <v>6</v>
      </c>
      <c r="O169" s="6" t="s">
        <v>6</v>
      </c>
      <c r="P169" s="6" t="s">
        <v>6</v>
      </c>
      <c r="Q169" s="6" t="s">
        <v>6</v>
      </c>
      <c r="R169" s="6" t="s">
        <v>6</v>
      </c>
      <c r="S169" s="6" t="s">
        <v>6</v>
      </c>
      <c r="T169" s="6" t="s">
        <v>6</v>
      </c>
      <c r="U169" s="6" t="s">
        <v>6</v>
      </c>
      <c r="V169" s="6" t="s">
        <v>6</v>
      </c>
      <c r="W169" s="6" t="s">
        <v>6</v>
      </c>
      <c r="X169" s="2" t="str">
        <f t="shared" ca="1" si="23"/>
        <v>Conforme</v>
      </c>
    </row>
    <row r="170" spans="1:24" x14ac:dyDescent="0.25">
      <c r="A170" s="1">
        <v>6</v>
      </c>
      <c r="B170" s="4">
        <v>44827</v>
      </c>
      <c r="C170" s="3" t="s">
        <v>4</v>
      </c>
      <c r="D170" s="6" t="s">
        <v>6</v>
      </c>
      <c r="E170" s="6" t="s">
        <v>6</v>
      </c>
      <c r="F170" s="6" t="s">
        <v>6</v>
      </c>
      <c r="G170" s="6" t="s">
        <v>6</v>
      </c>
      <c r="H170" s="6" t="s">
        <v>6</v>
      </c>
      <c r="I170" s="6" t="s">
        <v>6</v>
      </c>
      <c r="J170" s="6" t="s">
        <v>6</v>
      </c>
      <c r="K170" s="6" t="s">
        <v>6</v>
      </c>
      <c r="L170" s="6" t="s">
        <v>6</v>
      </c>
      <c r="M170" s="6" t="s">
        <v>6</v>
      </c>
      <c r="N170" s="6" t="s">
        <v>6</v>
      </c>
      <c r="O170" s="6" t="s">
        <v>6</v>
      </c>
      <c r="P170" s="6" t="s">
        <v>6</v>
      </c>
      <c r="Q170" s="6" t="s">
        <v>6</v>
      </c>
      <c r="R170" s="6" t="s">
        <v>6</v>
      </c>
      <c r="S170" s="6" t="s">
        <v>6</v>
      </c>
      <c r="T170" s="6" t="s">
        <v>6</v>
      </c>
      <c r="U170" s="6" t="s">
        <v>6</v>
      </c>
      <c r="V170" s="6" t="s">
        <v>6</v>
      </c>
      <c r="W170" s="6" t="s">
        <v>6</v>
      </c>
      <c r="X170" s="2" t="str">
        <f t="shared" ca="1" si="23"/>
        <v>Conforme</v>
      </c>
    </row>
    <row r="171" spans="1:24" x14ac:dyDescent="0.25">
      <c r="A171" s="1">
        <v>2</v>
      </c>
      <c r="B171" s="4">
        <v>44830</v>
      </c>
      <c r="C171" s="3" t="s">
        <v>4</v>
      </c>
      <c r="D171" s="6" t="s">
        <v>6</v>
      </c>
      <c r="E171" s="6" t="s">
        <v>6</v>
      </c>
      <c r="F171" s="6" t="s">
        <v>6</v>
      </c>
      <c r="G171" s="6" t="s">
        <v>6</v>
      </c>
      <c r="H171" s="6" t="s">
        <v>6</v>
      </c>
      <c r="I171" s="6" t="s">
        <v>6</v>
      </c>
      <c r="J171" s="6" t="s">
        <v>6</v>
      </c>
      <c r="K171" s="6" t="s">
        <v>6</v>
      </c>
      <c r="L171" s="6" t="s">
        <v>6</v>
      </c>
      <c r="M171" s="6" t="s">
        <v>6</v>
      </c>
      <c r="N171" s="6" t="s">
        <v>6</v>
      </c>
      <c r="O171" s="6" t="s">
        <v>6</v>
      </c>
      <c r="P171" s="6" t="s">
        <v>6</v>
      </c>
      <c r="Q171" s="6" t="s">
        <v>6</v>
      </c>
      <c r="R171" s="6" t="s">
        <v>6</v>
      </c>
      <c r="S171" s="6" t="s">
        <v>6</v>
      </c>
      <c r="T171" s="6" t="s">
        <v>6</v>
      </c>
      <c r="U171" s="6" t="s">
        <v>6</v>
      </c>
      <c r="V171" s="6" t="s">
        <v>6</v>
      </c>
      <c r="W171" s="6" t="s">
        <v>6</v>
      </c>
      <c r="X171" s="2" t="str">
        <f t="shared" ca="1" si="23"/>
        <v>Conforme</v>
      </c>
    </row>
    <row r="172" spans="1:24" x14ac:dyDescent="0.25">
      <c r="A172" s="1">
        <v>3</v>
      </c>
      <c r="B172" s="4">
        <v>44831</v>
      </c>
      <c r="C172" s="3" t="s">
        <v>4</v>
      </c>
      <c r="D172" s="6" t="s">
        <v>6</v>
      </c>
      <c r="E172" s="6" t="s">
        <v>6</v>
      </c>
      <c r="F172" s="6" t="s">
        <v>6</v>
      </c>
      <c r="G172" s="6" t="s">
        <v>6</v>
      </c>
      <c r="H172" s="6" t="s">
        <v>6</v>
      </c>
      <c r="I172" s="6" t="s">
        <v>6</v>
      </c>
      <c r="J172" s="6" t="s">
        <v>6</v>
      </c>
      <c r="K172" s="6" t="s">
        <v>6</v>
      </c>
      <c r="L172" s="6" t="s">
        <v>6</v>
      </c>
      <c r="M172" s="6" t="s">
        <v>6</v>
      </c>
      <c r="N172" s="6" t="s">
        <v>6</v>
      </c>
      <c r="O172" s="6" t="s">
        <v>6</v>
      </c>
      <c r="P172" s="6" t="s">
        <v>6</v>
      </c>
      <c r="Q172" s="6" t="s">
        <v>6</v>
      </c>
      <c r="R172" s="6" t="s">
        <v>6</v>
      </c>
      <c r="S172" s="6" t="s">
        <v>6</v>
      </c>
      <c r="T172" s="6" t="s">
        <v>6</v>
      </c>
      <c r="U172" s="6" t="s">
        <v>6</v>
      </c>
      <c r="V172" s="6" t="s">
        <v>6</v>
      </c>
      <c r="W172" s="6" t="s">
        <v>6</v>
      </c>
      <c r="X172" s="2" t="str">
        <f t="shared" ca="1" si="23"/>
        <v>Conforme</v>
      </c>
    </row>
    <row r="173" spans="1:24" x14ac:dyDescent="0.25">
      <c r="A173" s="1">
        <v>4</v>
      </c>
      <c r="B173" s="4">
        <v>44832</v>
      </c>
      <c r="C173" s="3" t="s">
        <v>4</v>
      </c>
      <c r="D173" s="6" t="s">
        <v>6</v>
      </c>
      <c r="E173" s="6" t="s">
        <v>6</v>
      </c>
      <c r="F173" s="6" t="s">
        <v>6</v>
      </c>
      <c r="G173" s="6" t="s">
        <v>6</v>
      </c>
      <c r="H173" s="6" t="s">
        <v>6</v>
      </c>
      <c r="I173" s="6" t="s">
        <v>6</v>
      </c>
      <c r="J173" s="6" t="s">
        <v>6</v>
      </c>
      <c r="K173" s="6" t="s">
        <v>6</v>
      </c>
      <c r="L173" s="6" t="s">
        <v>6</v>
      </c>
      <c r="M173" s="6" t="s">
        <v>6</v>
      </c>
      <c r="N173" s="6" t="s">
        <v>6</v>
      </c>
      <c r="O173" s="6" t="s">
        <v>6</v>
      </c>
      <c r="P173" s="6" t="s">
        <v>6</v>
      </c>
      <c r="Q173" s="6" t="s">
        <v>6</v>
      </c>
      <c r="R173" s="6" t="s">
        <v>6</v>
      </c>
      <c r="S173" s="6" t="s">
        <v>6</v>
      </c>
      <c r="T173" s="6" t="s">
        <v>6</v>
      </c>
      <c r="U173" s="6" t="s">
        <v>6</v>
      </c>
      <c r="V173" s="6" t="s">
        <v>6</v>
      </c>
      <c r="W173" s="6" t="s">
        <v>6</v>
      </c>
      <c r="X173" s="2" t="str">
        <f t="shared" ca="1" si="23"/>
        <v>Conforme</v>
      </c>
    </row>
    <row r="174" spans="1:24" x14ac:dyDescent="0.25">
      <c r="A174" s="1">
        <v>5</v>
      </c>
      <c r="B174" s="4">
        <v>44833</v>
      </c>
      <c r="C174" s="3" t="s">
        <v>4</v>
      </c>
      <c r="D174" s="6" t="s">
        <v>6</v>
      </c>
      <c r="E174" s="6" t="s">
        <v>6</v>
      </c>
      <c r="F174" s="6" t="s">
        <v>6</v>
      </c>
      <c r="G174" s="6" t="s">
        <v>6</v>
      </c>
      <c r="H174" s="6" t="s">
        <v>6</v>
      </c>
      <c r="I174" s="6" t="s">
        <v>6</v>
      </c>
      <c r="J174" s="6" t="s">
        <v>6</v>
      </c>
      <c r="K174" s="6" t="s">
        <v>6</v>
      </c>
      <c r="L174" s="6" t="s">
        <v>6</v>
      </c>
      <c r="M174" s="6" t="s">
        <v>6</v>
      </c>
      <c r="N174" s="6" t="s">
        <v>6</v>
      </c>
      <c r="O174" s="6" t="s">
        <v>6</v>
      </c>
      <c r="P174" s="6" t="s">
        <v>6</v>
      </c>
      <c r="Q174" s="6" t="s">
        <v>6</v>
      </c>
      <c r="R174" s="6" t="s">
        <v>6</v>
      </c>
      <c r="S174" s="6" t="s">
        <v>6</v>
      </c>
      <c r="T174" s="6" t="s">
        <v>6</v>
      </c>
      <c r="U174" s="6" t="s">
        <v>6</v>
      </c>
      <c r="V174" s="6" t="s">
        <v>6</v>
      </c>
      <c r="W174" s="6" t="s">
        <v>6</v>
      </c>
      <c r="X174" s="2" t="str">
        <f t="shared" ca="1" si="23"/>
        <v>Conforme</v>
      </c>
    </row>
    <row r="175" spans="1:24" x14ac:dyDescent="0.25">
      <c r="A175" s="1">
        <v>6</v>
      </c>
      <c r="B175" s="4">
        <v>44834</v>
      </c>
      <c r="C175" s="3" t="s">
        <v>4</v>
      </c>
      <c r="D175" s="6" t="s">
        <v>6</v>
      </c>
      <c r="E175" s="6" t="s">
        <v>6</v>
      </c>
      <c r="F175" s="6" t="s">
        <v>6</v>
      </c>
      <c r="G175" s="6" t="s">
        <v>6</v>
      </c>
      <c r="H175" s="6" t="s">
        <v>6</v>
      </c>
      <c r="I175" s="6" t="s">
        <v>6</v>
      </c>
      <c r="J175" s="6" t="s">
        <v>6</v>
      </c>
      <c r="K175" s="6" t="s">
        <v>6</v>
      </c>
      <c r="L175" s="6" t="s">
        <v>6</v>
      </c>
      <c r="M175" s="6" t="s">
        <v>6</v>
      </c>
      <c r="N175" s="6" t="s">
        <v>6</v>
      </c>
      <c r="O175" s="6" t="s">
        <v>6</v>
      </c>
      <c r="P175" s="6" t="s">
        <v>6</v>
      </c>
      <c r="Q175" s="6" t="s">
        <v>6</v>
      </c>
      <c r="R175" s="6" t="s">
        <v>6</v>
      </c>
      <c r="S175" s="6" t="s">
        <v>6</v>
      </c>
      <c r="T175" s="6" t="s">
        <v>6</v>
      </c>
      <c r="U175" s="6" t="s">
        <v>6</v>
      </c>
      <c r="V175" s="6" t="s">
        <v>6</v>
      </c>
      <c r="W175" s="6" t="s">
        <v>6</v>
      </c>
      <c r="X175" s="2" t="str">
        <f t="shared" ca="1" si="23"/>
        <v>Conforme</v>
      </c>
    </row>
    <row r="176" spans="1:24" x14ac:dyDescent="0.25">
      <c r="A176" s="1">
        <v>2</v>
      </c>
      <c r="B176" s="4">
        <v>44837</v>
      </c>
      <c r="C176" s="3" t="s">
        <v>4</v>
      </c>
      <c r="D176" s="6" t="s">
        <v>6</v>
      </c>
      <c r="E176" s="6" t="s">
        <v>6</v>
      </c>
      <c r="F176" s="6" t="s">
        <v>6</v>
      </c>
      <c r="G176" s="6" t="s">
        <v>6</v>
      </c>
      <c r="H176" s="6" t="s">
        <v>6</v>
      </c>
      <c r="I176" s="6" t="s">
        <v>6</v>
      </c>
      <c r="J176" s="6" t="s">
        <v>6</v>
      </c>
      <c r="K176" s="6" t="s">
        <v>6</v>
      </c>
      <c r="L176" s="6" t="s">
        <v>6</v>
      </c>
      <c r="M176" s="6" t="s">
        <v>6</v>
      </c>
      <c r="N176" s="6" t="s">
        <v>6</v>
      </c>
      <c r="O176" s="6" t="s">
        <v>6</v>
      </c>
      <c r="P176" s="6" t="s">
        <v>6</v>
      </c>
      <c r="Q176" s="6" t="s">
        <v>6</v>
      </c>
      <c r="R176" s="6" t="s">
        <v>6</v>
      </c>
      <c r="S176" s="6" t="s">
        <v>6</v>
      </c>
      <c r="T176" s="6" t="s">
        <v>6</v>
      </c>
      <c r="U176" s="6" t="s">
        <v>6</v>
      </c>
      <c r="V176" s="6" t="s">
        <v>6</v>
      </c>
      <c r="W176" s="6" t="s">
        <v>6</v>
      </c>
      <c r="X176" s="2" t="str">
        <f t="shared" ca="1" si="23"/>
        <v>Conforme</v>
      </c>
    </row>
    <row r="177" spans="1:24" x14ac:dyDescent="0.25">
      <c r="A177" s="1">
        <v>3</v>
      </c>
      <c r="B177" s="4">
        <v>44838</v>
      </c>
      <c r="C177" s="3" t="s">
        <v>4</v>
      </c>
      <c r="D177" s="6" t="s">
        <v>6</v>
      </c>
      <c r="E177" s="6" t="s">
        <v>6</v>
      </c>
      <c r="F177" s="6" t="s">
        <v>6</v>
      </c>
      <c r="G177" s="6" t="s">
        <v>6</v>
      </c>
      <c r="H177" s="6" t="s">
        <v>6</v>
      </c>
      <c r="I177" s="6" t="s">
        <v>6</v>
      </c>
      <c r="J177" s="6" t="s">
        <v>6</v>
      </c>
      <c r="K177" s="6" t="s">
        <v>6</v>
      </c>
      <c r="L177" s="6" t="s">
        <v>6</v>
      </c>
      <c r="M177" s="6" t="s">
        <v>6</v>
      </c>
      <c r="N177" s="6" t="s">
        <v>6</v>
      </c>
      <c r="O177" s="6" t="s">
        <v>6</v>
      </c>
      <c r="P177" s="6" t="s">
        <v>6</v>
      </c>
      <c r="Q177" s="6" t="s">
        <v>6</v>
      </c>
      <c r="R177" s="6" t="s">
        <v>6</v>
      </c>
      <c r="S177" s="6" t="s">
        <v>6</v>
      </c>
      <c r="T177" s="6" t="s">
        <v>6</v>
      </c>
      <c r="U177" s="6" t="s">
        <v>6</v>
      </c>
      <c r="V177" s="6" t="s">
        <v>6</v>
      </c>
      <c r="W177" s="6" t="s">
        <v>6</v>
      </c>
      <c r="X177" s="2" t="str">
        <f t="shared" ca="1" si="23"/>
        <v>Conforme</v>
      </c>
    </row>
    <row r="178" spans="1:24" x14ac:dyDescent="0.25">
      <c r="A178" s="1">
        <v>4</v>
      </c>
      <c r="B178" s="4">
        <v>44839</v>
      </c>
      <c r="C178" s="3" t="s">
        <v>4</v>
      </c>
      <c r="D178" s="6" t="s">
        <v>6</v>
      </c>
      <c r="E178" s="6" t="s">
        <v>6</v>
      </c>
      <c r="F178" s="6" t="s">
        <v>6</v>
      </c>
      <c r="G178" s="6" t="s">
        <v>6</v>
      </c>
      <c r="H178" s="6" t="s">
        <v>6</v>
      </c>
      <c r="I178" s="6" t="s">
        <v>6</v>
      </c>
      <c r="J178" s="6" t="s">
        <v>6</v>
      </c>
      <c r="K178" s="6" t="s">
        <v>6</v>
      </c>
      <c r="L178" s="6" t="s">
        <v>6</v>
      </c>
      <c r="M178" s="6" t="s">
        <v>6</v>
      </c>
      <c r="N178" s="6" t="s">
        <v>6</v>
      </c>
      <c r="O178" s="6" t="s">
        <v>6</v>
      </c>
      <c r="P178" s="6" t="s">
        <v>6</v>
      </c>
      <c r="Q178" s="6" t="s">
        <v>6</v>
      </c>
      <c r="R178" s="6" t="s">
        <v>6</v>
      </c>
      <c r="S178" s="6" t="s">
        <v>6</v>
      </c>
      <c r="T178" s="6" t="s">
        <v>6</v>
      </c>
      <c r="U178" s="6" t="s">
        <v>6</v>
      </c>
      <c r="V178" s="6" t="s">
        <v>6</v>
      </c>
      <c r="W178" s="6" t="s">
        <v>6</v>
      </c>
      <c r="X178" s="2" t="str">
        <f t="shared" ca="1" si="23"/>
        <v>Conforme</v>
      </c>
    </row>
    <row r="179" spans="1:24" x14ac:dyDescent="0.25">
      <c r="A179" s="1">
        <v>5</v>
      </c>
      <c r="B179" s="4">
        <v>44840</v>
      </c>
      <c r="C179" s="3" t="s">
        <v>4</v>
      </c>
      <c r="D179" s="6" t="s">
        <v>6</v>
      </c>
      <c r="E179" s="6" t="s">
        <v>6</v>
      </c>
      <c r="F179" s="6" t="s">
        <v>6</v>
      </c>
      <c r="G179" s="6" t="s">
        <v>6</v>
      </c>
      <c r="H179" s="6" t="s">
        <v>6</v>
      </c>
      <c r="I179" s="6" t="s">
        <v>6</v>
      </c>
      <c r="J179" s="6" t="s">
        <v>6</v>
      </c>
      <c r="K179" s="6" t="s">
        <v>6</v>
      </c>
      <c r="L179" s="6" t="s">
        <v>6</v>
      </c>
      <c r="M179" s="6" t="s">
        <v>6</v>
      </c>
      <c r="N179" s="6" t="s">
        <v>6</v>
      </c>
      <c r="O179" s="6" t="s">
        <v>6</v>
      </c>
      <c r="P179" s="6" t="s">
        <v>6</v>
      </c>
      <c r="Q179" s="6" t="s">
        <v>6</v>
      </c>
      <c r="R179" s="6" t="s">
        <v>6</v>
      </c>
      <c r="S179" s="6" t="s">
        <v>6</v>
      </c>
      <c r="T179" s="6" t="s">
        <v>6</v>
      </c>
      <c r="U179" s="6" t="s">
        <v>6</v>
      </c>
      <c r="V179" s="6" t="s">
        <v>6</v>
      </c>
      <c r="W179" s="6" t="s">
        <v>6</v>
      </c>
      <c r="X179" s="2" t="str">
        <f t="shared" ca="1" si="23"/>
        <v>Conforme</v>
      </c>
    </row>
    <row r="180" spans="1:24" x14ac:dyDescent="0.25">
      <c r="A180" s="1">
        <v>6</v>
      </c>
      <c r="B180" s="4">
        <v>44841</v>
      </c>
      <c r="C180" s="3" t="s">
        <v>4</v>
      </c>
      <c r="D180" s="6" t="s">
        <v>6</v>
      </c>
      <c r="E180" s="6" t="s">
        <v>6</v>
      </c>
      <c r="F180" s="6" t="s">
        <v>6</v>
      </c>
      <c r="G180" s="6" t="s">
        <v>6</v>
      </c>
      <c r="H180" s="6" t="s">
        <v>6</v>
      </c>
      <c r="I180" s="6" t="s">
        <v>6</v>
      </c>
      <c r="J180" s="6" t="s">
        <v>6</v>
      </c>
      <c r="K180" s="6" t="s">
        <v>6</v>
      </c>
      <c r="L180" s="6" t="s">
        <v>6</v>
      </c>
      <c r="M180" s="6" t="s">
        <v>6</v>
      </c>
      <c r="N180" s="6" t="s">
        <v>6</v>
      </c>
      <c r="O180" s="6" t="s">
        <v>6</v>
      </c>
      <c r="P180" s="6" t="s">
        <v>6</v>
      </c>
      <c r="Q180" s="6" t="s">
        <v>6</v>
      </c>
      <c r="R180" s="6" t="s">
        <v>6</v>
      </c>
      <c r="S180" s="6" t="s">
        <v>6</v>
      </c>
      <c r="T180" s="6" t="s">
        <v>6</v>
      </c>
      <c r="U180" s="6" t="s">
        <v>6</v>
      </c>
      <c r="V180" s="6" t="s">
        <v>6</v>
      </c>
      <c r="W180" s="6" t="s">
        <v>6</v>
      </c>
      <c r="X180" s="2" t="str">
        <f t="shared" ca="1" si="23"/>
        <v>Conforme</v>
      </c>
    </row>
    <row r="181" spans="1:24" x14ac:dyDescent="0.25">
      <c r="A181" s="1">
        <v>2</v>
      </c>
      <c r="B181" s="4">
        <v>44844</v>
      </c>
      <c r="C181" s="3" t="s">
        <v>4</v>
      </c>
      <c r="D181" s="6" t="s">
        <v>6</v>
      </c>
      <c r="E181" s="6" t="s">
        <v>6</v>
      </c>
      <c r="F181" s="6" t="s">
        <v>6</v>
      </c>
      <c r="G181" s="6" t="s">
        <v>6</v>
      </c>
      <c r="H181" s="6" t="s">
        <v>6</v>
      </c>
      <c r="I181" s="6" t="s">
        <v>6</v>
      </c>
      <c r="J181" s="6" t="s">
        <v>6</v>
      </c>
      <c r="K181" s="6" t="s">
        <v>6</v>
      </c>
      <c r="L181" s="6" t="s">
        <v>6</v>
      </c>
      <c r="M181" s="6" t="s">
        <v>6</v>
      </c>
      <c r="N181" s="6" t="s">
        <v>6</v>
      </c>
      <c r="O181" s="6" t="s">
        <v>6</v>
      </c>
      <c r="P181" s="6" t="s">
        <v>6</v>
      </c>
      <c r="Q181" s="6" t="s">
        <v>6</v>
      </c>
      <c r="R181" s="6" t="s">
        <v>6</v>
      </c>
      <c r="S181" s="6" t="s">
        <v>6</v>
      </c>
      <c r="T181" s="6" t="s">
        <v>6</v>
      </c>
      <c r="U181" s="6" t="s">
        <v>6</v>
      </c>
      <c r="V181" s="6" t="s">
        <v>6</v>
      </c>
      <c r="W181" s="6" t="s">
        <v>6</v>
      </c>
      <c r="X181" s="2" t="str">
        <f t="shared" ca="1" si="23"/>
        <v>Conforme</v>
      </c>
    </row>
    <row r="182" spans="1:24" x14ac:dyDescent="0.25">
      <c r="A182" s="1">
        <v>3</v>
      </c>
      <c r="B182" s="4">
        <v>44845</v>
      </c>
      <c r="C182" s="3" t="s">
        <v>4</v>
      </c>
      <c r="D182" s="6" t="s">
        <v>6</v>
      </c>
      <c r="E182" s="6" t="s">
        <v>6</v>
      </c>
      <c r="F182" s="6" t="s">
        <v>6</v>
      </c>
      <c r="G182" s="6" t="s">
        <v>6</v>
      </c>
      <c r="H182" s="6" t="s">
        <v>6</v>
      </c>
      <c r="I182" s="6" t="s">
        <v>6</v>
      </c>
      <c r="J182" s="6" t="s">
        <v>6</v>
      </c>
      <c r="K182" s="6" t="s">
        <v>6</v>
      </c>
      <c r="L182" s="6" t="s">
        <v>6</v>
      </c>
      <c r="M182" s="6" t="s">
        <v>6</v>
      </c>
      <c r="N182" s="6" t="s">
        <v>6</v>
      </c>
      <c r="O182" s="6" t="s">
        <v>6</v>
      </c>
      <c r="P182" s="6" t="s">
        <v>6</v>
      </c>
      <c r="Q182" s="6" t="s">
        <v>6</v>
      </c>
      <c r="R182" s="6" t="s">
        <v>6</v>
      </c>
      <c r="S182" s="6" t="s">
        <v>6</v>
      </c>
      <c r="T182" s="6" t="s">
        <v>6</v>
      </c>
      <c r="U182" s="6" t="s">
        <v>6</v>
      </c>
      <c r="V182" s="6" t="s">
        <v>6</v>
      </c>
      <c r="W182" s="6" t="s">
        <v>6</v>
      </c>
      <c r="X182" s="2" t="str">
        <f t="shared" ca="1" si="23"/>
        <v>Conforme</v>
      </c>
    </row>
    <row r="183" spans="1:24" x14ac:dyDescent="0.25">
      <c r="A183" s="1">
        <v>4</v>
      </c>
      <c r="B183" s="4">
        <v>44846</v>
      </c>
      <c r="C183" s="3" t="s">
        <v>4</v>
      </c>
      <c r="D183" s="6" t="s">
        <v>6</v>
      </c>
      <c r="E183" s="6" t="s">
        <v>6</v>
      </c>
      <c r="F183" s="6" t="s">
        <v>6</v>
      </c>
      <c r="G183" s="6" t="s">
        <v>6</v>
      </c>
      <c r="H183" s="6" t="s">
        <v>6</v>
      </c>
      <c r="I183" s="6" t="s">
        <v>6</v>
      </c>
      <c r="J183" s="6" t="s">
        <v>6</v>
      </c>
      <c r="K183" s="6" t="s">
        <v>6</v>
      </c>
      <c r="L183" s="6" t="s">
        <v>6</v>
      </c>
      <c r="M183" s="6" t="s">
        <v>6</v>
      </c>
      <c r="N183" s="6" t="s">
        <v>6</v>
      </c>
      <c r="O183" s="6" t="s">
        <v>6</v>
      </c>
      <c r="P183" s="6" t="s">
        <v>6</v>
      </c>
      <c r="Q183" s="6" t="s">
        <v>6</v>
      </c>
      <c r="R183" s="6" t="s">
        <v>6</v>
      </c>
      <c r="S183" s="6" t="s">
        <v>6</v>
      </c>
      <c r="T183" s="6" t="s">
        <v>6</v>
      </c>
      <c r="U183" s="6" t="s">
        <v>6</v>
      </c>
      <c r="V183" s="6" t="s">
        <v>6</v>
      </c>
      <c r="W183" s="6" t="s">
        <v>6</v>
      </c>
      <c r="X183" s="2" t="str">
        <f t="shared" ca="1" si="23"/>
        <v>Conforme</v>
      </c>
    </row>
    <row r="184" spans="1:24" x14ac:dyDescent="0.25">
      <c r="A184" s="1">
        <v>5</v>
      </c>
      <c r="B184" s="4">
        <v>44847</v>
      </c>
      <c r="C184" s="3" t="s">
        <v>4</v>
      </c>
      <c r="D184" s="6" t="s">
        <v>6</v>
      </c>
      <c r="E184" s="6" t="s">
        <v>6</v>
      </c>
      <c r="F184" s="6" t="s">
        <v>6</v>
      </c>
      <c r="G184" s="6" t="s">
        <v>6</v>
      </c>
      <c r="H184" s="6" t="s">
        <v>6</v>
      </c>
      <c r="I184" s="6" t="s">
        <v>6</v>
      </c>
      <c r="J184" s="6" t="s">
        <v>6</v>
      </c>
      <c r="K184" s="6" t="s">
        <v>6</v>
      </c>
      <c r="L184" s="6" t="s">
        <v>6</v>
      </c>
      <c r="M184" s="6" t="s">
        <v>6</v>
      </c>
      <c r="N184" s="6" t="s">
        <v>6</v>
      </c>
      <c r="O184" s="6" t="s">
        <v>6</v>
      </c>
      <c r="P184" s="6" t="s">
        <v>6</v>
      </c>
      <c r="Q184" s="6" t="s">
        <v>6</v>
      </c>
      <c r="R184" s="6" t="s">
        <v>6</v>
      </c>
      <c r="S184" s="6" t="s">
        <v>6</v>
      </c>
      <c r="T184" s="6" t="s">
        <v>6</v>
      </c>
      <c r="U184" s="6" t="s">
        <v>6</v>
      </c>
      <c r="V184" s="6" t="s">
        <v>6</v>
      </c>
      <c r="W184" s="6" t="s">
        <v>6</v>
      </c>
      <c r="X184" s="2" t="str">
        <f t="shared" ca="1" si="23"/>
        <v>Conforme</v>
      </c>
    </row>
    <row r="185" spans="1:24" x14ac:dyDescent="0.25">
      <c r="A185" s="1">
        <v>6</v>
      </c>
      <c r="B185" s="4">
        <v>44848</v>
      </c>
      <c r="C185" s="3" t="s">
        <v>4</v>
      </c>
      <c r="D185" s="6" t="s">
        <v>6</v>
      </c>
      <c r="E185" s="6" t="s">
        <v>6</v>
      </c>
      <c r="F185" s="6" t="s">
        <v>6</v>
      </c>
      <c r="G185" s="6" t="s">
        <v>6</v>
      </c>
      <c r="H185" s="6" t="s">
        <v>6</v>
      </c>
      <c r="I185" s="6" t="s">
        <v>6</v>
      </c>
      <c r="J185" s="6" t="s">
        <v>6</v>
      </c>
      <c r="K185" s="6" t="s">
        <v>6</v>
      </c>
      <c r="L185" s="6" t="s">
        <v>6</v>
      </c>
      <c r="M185" s="6" t="s">
        <v>6</v>
      </c>
      <c r="N185" s="6" t="s">
        <v>6</v>
      </c>
      <c r="O185" s="6" t="s">
        <v>6</v>
      </c>
      <c r="P185" s="6" t="s">
        <v>6</v>
      </c>
      <c r="Q185" s="6" t="s">
        <v>6</v>
      </c>
      <c r="R185" s="6" t="s">
        <v>6</v>
      </c>
      <c r="S185" s="6" t="s">
        <v>6</v>
      </c>
      <c r="T185" s="6" t="s">
        <v>6</v>
      </c>
      <c r="U185" s="6" t="s">
        <v>6</v>
      </c>
      <c r="V185" s="6" t="s">
        <v>6</v>
      </c>
      <c r="W185" s="6" t="s">
        <v>6</v>
      </c>
      <c r="X185" s="2" t="str">
        <f t="shared" ca="1" si="23"/>
        <v>Conforme</v>
      </c>
    </row>
    <row r="186" spans="1:24" x14ac:dyDescent="0.25">
      <c r="A186" s="1">
        <v>2</v>
      </c>
      <c r="B186" s="4">
        <v>44851</v>
      </c>
      <c r="C186" s="3" t="s">
        <v>4</v>
      </c>
      <c r="D186" s="6" t="s">
        <v>6</v>
      </c>
      <c r="E186" s="6" t="s">
        <v>6</v>
      </c>
      <c r="F186" s="6" t="s">
        <v>6</v>
      </c>
      <c r="G186" s="6" t="s">
        <v>6</v>
      </c>
      <c r="H186" s="6" t="s">
        <v>6</v>
      </c>
      <c r="I186" s="6" t="s">
        <v>6</v>
      </c>
      <c r="J186" s="6" t="s">
        <v>6</v>
      </c>
      <c r="K186" s="6" t="s">
        <v>6</v>
      </c>
      <c r="L186" s="6" t="s">
        <v>6</v>
      </c>
      <c r="M186" s="6" t="s">
        <v>6</v>
      </c>
      <c r="N186" s="6" t="s">
        <v>6</v>
      </c>
      <c r="O186" s="6" t="s">
        <v>6</v>
      </c>
      <c r="P186" s="6" t="s">
        <v>6</v>
      </c>
      <c r="Q186" s="6" t="s">
        <v>6</v>
      </c>
      <c r="R186" s="6" t="s">
        <v>6</v>
      </c>
      <c r="S186" s="6" t="s">
        <v>6</v>
      </c>
      <c r="T186" s="6" t="s">
        <v>6</v>
      </c>
      <c r="U186" s="6" t="s">
        <v>6</v>
      </c>
      <c r="V186" s="6" t="s">
        <v>6</v>
      </c>
      <c r="W186" s="6" t="s">
        <v>6</v>
      </c>
      <c r="X186" s="2" t="str">
        <f t="shared" ca="1" si="23"/>
        <v>Conforme</v>
      </c>
    </row>
    <row r="187" spans="1:24" x14ac:dyDescent="0.25">
      <c r="A187" s="1">
        <v>3</v>
      </c>
      <c r="B187" s="4">
        <v>44852</v>
      </c>
      <c r="C187" s="3" t="s">
        <v>4</v>
      </c>
      <c r="D187" s="6" t="s">
        <v>6</v>
      </c>
      <c r="E187" s="6" t="s">
        <v>6</v>
      </c>
      <c r="F187" s="6" t="s">
        <v>6</v>
      </c>
      <c r="G187" s="6" t="s">
        <v>6</v>
      </c>
      <c r="H187" s="6" t="s">
        <v>6</v>
      </c>
      <c r="I187" s="6" t="s">
        <v>6</v>
      </c>
      <c r="J187" s="6" t="s">
        <v>6</v>
      </c>
      <c r="K187" s="6" t="s">
        <v>6</v>
      </c>
      <c r="L187" s="6" t="s">
        <v>6</v>
      </c>
      <c r="M187" s="6" t="s">
        <v>6</v>
      </c>
      <c r="N187" s="6" t="s">
        <v>6</v>
      </c>
      <c r="O187" s="6" t="s">
        <v>6</v>
      </c>
      <c r="P187" s="6" t="s">
        <v>6</v>
      </c>
      <c r="Q187" s="6" t="s">
        <v>6</v>
      </c>
      <c r="R187" s="6" t="s">
        <v>6</v>
      </c>
      <c r="S187" s="6" t="s">
        <v>6</v>
      </c>
      <c r="T187" s="6" t="s">
        <v>6</v>
      </c>
      <c r="U187" s="6" t="s">
        <v>6</v>
      </c>
      <c r="V187" s="6" t="s">
        <v>6</v>
      </c>
      <c r="W187" s="6" t="s">
        <v>6</v>
      </c>
      <c r="X187" s="2" t="str">
        <f t="shared" ca="1" si="23"/>
        <v>Conforme</v>
      </c>
    </row>
    <row r="188" spans="1:24" x14ac:dyDescent="0.25">
      <c r="A188" s="1">
        <v>4</v>
      </c>
      <c r="B188" s="4">
        <v>44853</v>
      </c>
      <c r="C188" s="3" t="s">
        <v>4</v>
      </c>
      <c r="D188" s="6" t="s">
        <v>6</v>
      </c>
      <c r="E188" s="6" t="s">
        <v>6</v>
      </c>
      <c r="F188" s="6" t="s">
        <v>6</v>
      </c>
      <c r="G188" s="6" t="s">
        <v>6</v>
      </c>
      <c r="H188" s="6" t="s">
        <v>6</v>
      </c>
      <c r="I188" s="6" t="s">
        <v>6</v>
      </c>
      <c r="J188" s="6" t="s">
        <v>6</v>
      </c>
      <c r="K188" s="6" t="s">
        <v>6</v>
      </c>
      <c r="L188" s="6" t="s">
        <v>6</v>
      </c>
      <c r="M188" s="6" t="s">
        <v>6</v>
      </c>
      <c r="N188" s="6" t="s">
        <v>6</v>
      </c>
      <c r="O188" s="6" t="s">
        <v>6</v>
      </c>
      <c r="P188" s="6" t="s">
        <v>6</v>
      </c>
      <c r="Q188" s="6" t="s">
        <v>6</v>
      </c>
      <c r="R188" s="6" t="s">
        <v>6</v>
      </c>
      <c r="S188" s="6" t="s">
        <v>6</v>
      </c>
      <c r="T188" s="6" t="s">
        <v>6</v>
      </c>
      <c r="U188" s="6" t="s">
        <v>6</v>
      </c>
      <c r="V188" s="6" t="s">
        <v>6</v>
      </c>
      <c r="W188" s="6" t="s">
        <v>6</v>
      </c>
      <c r="X188" s="2" t="str">
        <f t="shared" ca="1" si="23"/>
        <v>Conforme</v>
      </c>
    </row>
    <row r="189" spans="1:24" x14ac:dyDescent="0.25">
      <c r="A189" s="1">
        <v>5</v>
      </c>
      <c r="B189" s="4">
        <v>44854</v>
      </c>
      <c r="C189" s="3" t="s">
        <v>4</v>
      </c>
      <c r="D189" s="6" t="s">
        <v>6</v>
      </c>
      <c r="E189" s="6" t="s">
        <v>6</v>
      </c>
      <c r="F189" s="6" t="s">
        <v>6</v>
      </c>
      <c r="G189" s="6" t="s">
        <v>6</v>
      </c>
      <c r="H189" s="6" t="s">
        <v>6</v>
      </c>
      <c r="I189" s="6" t="s">
        <v>6</v>
      </c>
      <c r="J189" s="6" t="s">
        <v>6</v>
      </c>
      <c r="K189" s="6" t="s">
        <v>6</v>
      </c>
      <c r="L189" s="6" t="s">
        <v>6</v>
      </c>
      <c r="M189" s="6" t="s">
        <v>6</v>
      </c>
      <c r="N189" s="6" t="s">
        <v>6</v>
      </c>
      <c r="O189" s="6" t="s">
        <v>6</v>
      </c>
      <c r="P189" s="6" t="s">
        <v>6</v>
      </c>
      <c r="Q189" s="6" t="s">
        <v>6</v>
      </c>
      <c r="R189" s="6" t="s">
        <v>6</v>
      </c>
      <c r="S189" s="6" t="s">
        <v>6</v>
      </c>
      <c r="T189" s="6" t="s">
        <v>6</v>
      </c>
      <c r="U189" s="6" t="s">
        <v>6</v>
      </c>
      <c r="V189" s="6" t="s">
        <v>6</v>
      </c>
      <c r="W189" s="6" t="s">
        <v>6</v>
      </c>
      <c r="X189" s="2" t="str">
        <f t="shared" ca="1" si="23"/>
        <v>Conforme</v>
      </c>
    </row>
    <row r="190" spans="1:24" x14ac:dyDescent="0.25">
      <c r="A190" s="1">
        <v>6</v>
      </c>
      <c r="B190" s="4">
        <v>44855</v>
      </c>
      <c r="C190" s="3" t="s">
        <v>4</v>
      </c>
      <c r="D190" s="6" t="s">
        <v>6</v>
      </c>
      <c r="E190" s="6" t="s">
        <v>6</v>
      </c>
      <c r="F190" s="6" t="s">
        <v>6</v>
      </c>
      <c r="G190" s="6" t="s">
        <v>6</v>
      </c>
      <c r="H190" s="6" t="s">
        <v>6</v>
      </c>
      <c r="I190" s="6" t="s">
        <v>6</v>
      </c>
      <c r="J190" s="6" t="s">
        <v>6</v>
      </c>
      <c r="K190" s="6" t="s">
        <v>6</v>
      </c>
      <c r="L190" s="6" t="s">
        <v>6</v>
      </c>
      <c r="M190" s="6" t="s">
        <v>6</v>
      </c>
      <c r="N190" s="6" t="s">
        <v>6</v>
      </c>
      <c r="O190" s="6" t="s">
        <v>6</v>
      </c>
      <c r="P190" s="6" t="s">
        <v>6</v>
      </c>
      <c r="Q190" s="6" t="s">
        <v>6</v>
      </c>
      <c r="R190" s="6" t="s">
        <v>6</v>
      </c>
      <c r="S190" s="6" t="s">
        <v>6</v>
      </c>
      <c r="T190" s="6" t="s">
        <v>6</v>
      </c>
      <c r="U190" s="6" t="s">
        <v>6</v>
      </c>
      <c r="V190" s="6" t="s">
        <v>6</v>
      </c>
      <c r="W190" s="6" t="s">
        <v>6</v>
      </c>
      <c r="X190" s="2" t="str">
        <f t="shared" ca="1" si="23"/>
        <v>Conforme</v>
      </c>
    </row>
    <row r="191" spans="1:24" x14ac:dyDescent="0.25">
      <c r="A191" s="1">
        <v>2</v>
      </c>
      <c r="B191" s="4">
        <v>44858</v>
      </c>
      <c r="C191" s="3" t="s">
        <v>4</v>
      </c>
      <c r="D191" s="6" t="s">
        <v>6</v>
      </c>
      <c r="E191" s="6" t="s">
        <v>6</v>
      </c>
      <c r="F191" s="6" t="s">
        <v>6</v>
      </c>
      <c r="G191" s="6" t="s">
        <v>6</v>
      </c>
      <c r="H191" s="6" t="s">
        <v>6</v>
      </c>
      <c r="I191" s="6" t="s">
        <v>6</v>
      </c>
      <c r="J191" s="6" t="s">
        <v>6</v>
      </c>
      <c r="K191" s="6" t="s">
        <v>6</v>
      </c>
      <c r="L191" s="6" t="s">
        <v>6</v>
      </c>
      <c r="M191" s="6" t="s">
        <v>6</v>
      </c>
      <c r="N191" s="6" t="s">
        <v>6</v>
      </c>
      <c r="O191" s="6" t="s">
        <v>6</v>
      </c>
      <c r="P191" s="6" t="s">
        <v>6</v>
      </c>
      <c r="Q191" s="6" t="s">
        <v>6</v>
      </c>
      <c r="R191" s="6" t="s">
        <v>6</v>
      </c>
      <c r="S191" s="6" t="s">
        <v>6</v>
      </c>
      <c r="T191" s="6" t="s">
        <v>6</v>
      </c>
      <c r="U191" s="6" t="s">
        <v>6</v>
      </c>
      <c r="V191" s="6" t="s">
        <v>6</v>
      </c>
      <c r="W191" s="6" t="s">
        <v>6</v>
      </c>
      <c r="X191" s="2" t="str">
        <f t="shared" ca="1" si="23"/>
        <v>Conforme</v>
      </c>
    </row>
    <row r="192" spans="1:24" x14ac:dyDescent="0.25">
      <c r="A192" s="1">
        <v>3</v>
      </c>
      <c r="B192" s="4">
        <v>44859</v>
      </c>
      <c r="C192" s="3" t="s">
        <v>4</v>
      </c>
      <c r="D192" s="6" t="s">
        <v>6</v>
      </c>
      <c r="E192" s="6" t="s">
        <v>6</v>
      </c>
      <c r="F192" s="6" t="s">
        <v>6</v>
      </c>
      <c r="G192" s="6" t="s">
        <v>6</v>
      </c>
      <c r="H192" s="6" t="s">
        <v>6</v>
      </c>
      <c r="I192" s="6" t="s">
        <v>6</v>
      </c>
      <c r="J192" s="6" t="s">
        <v>6</v>
      </c>
      <c r="K192" s="6" t="s">
        <v>6</v>
      </c>
      <c r="L192" s="6" t="s">
        <v>6</v>
      </c>
      <c r="M192" s="6" t="s">
        <v>6</v>
      </c>
      <c r="N192" s="6" t="s">
        <v>6</v>
      </c>
      <c r="O192" s="6" t="s">
        <v>6</v>
      </c>
      <c r="P192" s="6" t="s">
        <v>6</v>
      </c>
      <c r="Q192" s="6" t="s">
        <v>6</v>
      </c>
      <c r="R192" s="6" t="s">
        <v>6</v>
      </c>
      <c r="S192" s="6" t="s">
        <v>6</v>
      </c>
      <c r="T192" s="6" t="s">
        <v>6</v>
      </c>
      <c r="U192" s="6" t="s">
        <v>6</v>
      </c>
      <c r="V192" s="6" t="s">
        <v>6</v>
      </c>
      <c r="W192" s="6" t="s">
        <v>6</v>
      </c>
      <c r="X192" s="2" t="str">
        <f t="shared" ca="1" si="23"/>
        <v>Conforme</v>
      </c>
    </row>
    <row r="193" spans="1:24" x14ac:dyDescent="0.25">
      <c r="A193" s="1">
        <v>4</v>
      </c>
      <c r="B193" s="4">
        <v>44860</v>
      </c>
      <c r="C193" s="3" t="s">
        <v>4</v>
      </c>
      <c r="D193" s="6" t="s">
        <v>6</v>
      </c>
      <c r="E193" s="6" t="s">
        <v>6</v>
      </c>
      <c r="F193" s="6" t="s">
        <v>6</v>
      </c>
      <c r="G193" s="6" t="s">
        <v>6</v>
      </c>
      <c r="H193" s="6" t="s">
        <v>6</v>
      </c>
      <c r="I193" s="6" t="s">
        <v>6</v>
      </c>
      <c r="J193" s="6" t="s">
        <v>6</v>
      </c>
      <c r="K193" s="6" t="s">
        <v>6</v>
      </c>
      <c r="L193" s="6" t="s">
        <v>6</v>
      </c>
      <c r="M193" s="6" t="s">
        <v>6</v>
      </c>
      <c r="N193" s="6" t="s">
        <v>6</v>
      </c>
      <c r="O193" s="6" t="s">
        <v>6</v>
      </c>
      <c r="P193" s="6" t="s">
        <v>6</v>
      </c>
      <c r="Q193" s="6" t="s">
        <v>6</v>
      </c>
      <c r="R193" s="6" t="s">
        <v>6</v>
      </c>
      <c r="S193" s="6" t="s">
        <v>6</v>
      </c>
      <c r="T193" s="6" t="s">
        <v>6</v>
      </c>
      <c r="U193" s="6" t="s">
        <v>6</v>
      </c>
      <c r="V193" s="6" t="s">
        <v>6</v>
      </c>
      <c r="W193" s="6" t="s">
        <v>6</v>
      </c>
      <c r="X193" s="2" t="str">
        <f t="shared" ca="1" si="23"/>
        <v>Conforme</v>
      </c>
    </row>
    <row r="194" spans="1:24" x14ac:dyDescent="0.25">
      <c r="A194" s="1">
        <v>5</v>
      </c>
      <c r="B194" s="4">
        <v>44861</v>
      </c>
      <c r="C194" s="3" t="s">
        <v>4</v>
      </c>
      <c r="D194" s="6" t="s">
        <v>6</v>
      </c>
      <c r="E194" s="6" t="s">
        <v>6</v>
      </c>
      <c r="F194" s="6" t="s">
        <v>6</v>
      </c>
      <c r="G194" s="6" t="s">
        <v>6</v>
      </c>
      <c r="H194" s="6" t="s">
        <v>6</v>
      </c>
      <c r="I194" s="6" t="s">
        <v>6</v>
      </c>
      <c r="J194" s="6" t="s">
        <v>6</v>
      </c>
      <c r="K194" s="6" t="s">
        <v>6</v>
      </c>
      <c r="L194" s="6" t="s">
        <v>6</v>
      </c>
      <c r="M194" s="6" t="s">
        <v>6</v>
      </c>
      <c r="N194" s="6" t="s">
        <v>6</v>
      </c>
      <c r="O194" s="6" t="s">
        <v>6</v>
      </c>
      <c r="P194" s="6" t="s">
        <v>6</v>
      </c>
      <c r="Q194" s="6" t="s">
        <v>6</v>
      </c>
      <c r="R194" s="6" t="s">
        <v>6</v>
      </c>
      <c r="S194" s="6" t="s">
        <v>6</v>
      </c>
      <c r="T194" s="6" t="s">
        <v>6</v>
      </c>
      <c r="U194" s="6" t="s">
        <v>6</v>
      </c>
      <c r="V194" s="6" t="s">
        <v>6</v>
      </c>
      <c r="W194" s="6" t="s">
        <v>6</v>
      </c>
      <c r="X194" s="2" t="str">
        <f t="shared" ca="1" si="23"/>
        <v>Conforme</v>
      </c>
    </row>
    <row r="195" spans="1:24" x14ac:dyDescent="0.25">
      <c r="A195" s="1">
        <v>6</v>
      </c>
      <c r="B195" s="4">
        <v>44862</v>
      </c>
      <c r="C195" s="3" t="s">
        <v>4</v>
      </c>
      <c r="D195" s="6" t="s">
        <v>6</v>
      </c>
      <c r="E195" s="6" t="s">
        <v>6</v>
      </c>
      <c r="F195" s="6" t="s">
        <v>6</v>
      </c>
      <c r="G195" s="6" t="s">
        <v>6</v>
      </c>
      <c r="H195" s="6" t="s">
        <v>6</v>
      </c>
      <c r="I195" s="6" t="s">
        <v>6</v>
      </c>
      <c r="J195" s="6" t="s">
        <v>6</v>
      </c>
      <c r="K195" s="6" t="s">
        <v>6</v>
      </c>
      <c r="L195" s="6" t="s">
        <v>6</v>
      </c>
      <c r="M195" s="6" t="s">
        <v>6</v>
      </c>
      <c r="N195" s="6" t="s">
        <v>6</v>
      </c>
      <c r="O195" s="6" t="s">
        <v>6</v>
      </c>
      <c r="P195" s="6" t="s">
        <v>6</v>
      </c>
      <c r="Q195" s="6" t="s">
        <v>6</v>
      </c>
      <c r="R195" s="6" t="s">
        <v>6</v>
      </c>
      <c r="S195" s="6" t="s">
        <v>6</v>
      </c>
      <c r="T195" s="6" t="s">
        <v>6</v>
      </c>
      <c r="U195" s="6" t="s">
        <v>6</v>
      </c>
      <c r="V195" s="6" t="s">
        <v>6</v>
      </c>
      <c r="W195" s="6" t="s">
        <v>6</v>
      </c>
      <c r="X195" s="2" t="str">
        <f t="shared" ca="1" si="23"/>
        <v>Conforme</v>
      </c>
    </row>
    <row r="196" spans="1:24" x14ac:dyDescent="0.25">
      <c r="A196" s="1">
        <v>2</v>
      </c>
      <c r="B196" s="4">
        <v>44865</v>
      </c>
      <c r="C196" s="3" t="s">
        <v>4</v>
      </c>
      <c r="D196" s="6" t="s">
        <v>6</v>
      </c>
      <c r="E196" s="6" t="s">
        <v>6</v>
      </c>
      <c r="F196" s="6" t="s">
        <v>6</v>
      </c>
      <c r="G196" s="6" t="s">
        <v>6</v>
      </c>
      <c r="H196" s="6" t="s">
        <v>6</v>
      </c>
      <c r="I196" s="6" t="s">
        <v>6</v>
      </c>
      <c r="J196" s="6" t="s">
        <v>6</v>
      </c>
      <c r="K196" s="6" t="s">
        <v>6</v>
      </c>
      <c r="L196" s="6" t="s">
        <v>6</v>
      </c>
      <c r="M196" s="6" t="s">
        <v>6</v>
      </c>
      <c r="N196" s="6" t="s">
        <v>6</v>
      </c>
      <c r="O196" s="6" t="s">
        <v>6</v>
      </c>
      <c r="P196" s="6" t="s">
        <v>6</v>
      </c>
      <c r="Q196" s="6" t="s">
        <v>6</v>
      </c>
      <c r="R196" s="6" t="s">
        <v>6</v>
      </c>
      <c r="S196" s="6" t="s">
        <v>6</v>
      </c>
      <c r="T196" s="6" t="s">
        <v>6</v>
      </c>
      <c r="U196" s="6" t="s">
        <v>6</v>
      </c>
      <c r="V196" s="6" t="s">
        <v>6</v>
      </c>
      <c r="W196" s="6" t="s">
        <v>6</v>
      </c>
      <c r="X196" s="2" t="str">
        <f t="shared" ca="1" si="23"/>
        <v>Conforme</v>
      </c>
    </row>
    <row r="197" spans="1:24" x14ac:dyDescent="0.25">
      <c r="A197" s="1">
        <v>3</v>
      </c>
      <c r="B197" s="4">
        <v>44866</v>
      </c>
      <c r="C197" s="3" t="s">
        <v>4</v>
      </c>
      <c r="D197" s="6" t="s">
        <v>6</v>
      </c>
      <c r="E197" s="6" t="s">
        <v>6</v>
      </c>
      <c r="F197" s="6" t="s">
        <v>6</v>
      </c>
      <c r="G197" s="6" t="s">
        <v>6</v>
      </c>
      <c r="H197" s="6" t="s">
        <v>6</v>
      </c>
      <c r="I197" s="6" t="s">
        <v>6</v>
      </c>
      <c r="J197" s="6" t="s">
        <v>6</v>
      </c>
      <c r="K197" s="6" t="s">
        <v>6</v>
      </c>
      <c r="L197" s="6" t="s">
        <v>6</v>
      </c>
      <c r="M197" s="6" t="s">
        <v>6</v>
      </c>
      <c r="N197" s="6" t="s">
        <v>6</v>
      </c>
      <c r="O197" s="6" t="s">
        <v>6</v>
      </c>
      <c r="P197" s="6" t="s">
        <v>6</v>
      </c>
      <c r="Q197" s="6" t="s">
        <v>6</v>
      </c>
      <c r="R197" s="6" t="s">
        <v>6</v>
      </c>
      <c r="S197" s="6" t="s">
        <v>6</v>
      </c>
      <c r="T197" s="6" t="s">
        <v>6</v>
      </c>
      <c r="U197" s="6" t="s">
        <v>6</v>
      </c>
      <c r="V197" s="6" t="s">
        <v>6</v>
      </c>
      <c r="W197" s="6" t="s">
        <v>6</v>
      </c>
      <c r="X197" s="2" t="str">
        <f t="shared" ca="1" si="23"/>
        <v>Conforme</v>
      </c>
    </row>
    <row r="198" spans="1:24" x14ac:dyDescent="0.25">
      <c r="A198" s="1">
        <v>4</v>
      </c>
      <c r="B198" s="4">
        <v>44867</v>
      </c>
      <c r="C198" s="3" t="s">
        <v>4</v>
      </c>
      <c r="D198" s="6" t="s">
        <v>6</v>
      </c>
      <c r="E198" s="6" t="s">
        <v>6</v>
      </c>
      <c r="F198" s="6" t="s">
        <v>6</v>
      </c>
      <c r="G198" s="6" t="s">
        <v>6</v>
      </c>
      <c r="H198" s="6" t="s">
        <v>6</v>
      </c>
      <c r="I198" s="6" t="s">
        <v>6</v>
      </c>
      <c r="J198" s="6" t="s">
        <v>6</v>
      </c>
      <c r="K198" s="6" t="s">
        <v>6</v>
      </c>
      <c r="L198" s="6" t="s">
        <v>6</v>
      </c>
      <c r="M198" s="6" t="s">
        <v>6</v>
      </c>
      <c r="N198" s="6" t="s">
        <v>6</v>
      </c>
      <c r="O198" s="6" t="s">
        <v>6</v>
      </c>
      <c r="P198" s="6" t="s">
        <v>6</v>
      </c>
      <c r="Q198" s="6" t="s">
        <v>6</v>
      </c>
      <c r="R198" s="6" t="s">
        <v>6</v>
      </c>
      <c r="S198" s="6" t="s">
        <v>6</v>
      </c>
      <c r="T198" s="6" t="s">
        <v>6</v>
      </c>
      <c r="U198" s="6" t="s">
        <v>6</v>
      </c>
      <c r="V198" s="6" t="s">
        <v>6</v>
      </c>
      <c r="W198" s="6" t="s">
        <v>6</v>
      </c>
      <c r="X198" s="2" t="str">
        <f t="shared" ca="1" si="23"/>
        <v>Conforme</v>
      </c>
    </row>
    <row r="199" spans="1:24" x14ac:dyDescent="0.25">
      <c r="A199" s="1">
        <v>5</v>
      </c>
      <c r="B199" s="4">
        <v>44868</v>
      </c>
      <c r="C199" s="3" t="s">
        <v>4</v>
      </c>
      <c r="D199" s="6" t="s">
        <v>6</v>
      </c>
      <c r="E199" s="6" t="s">
        <v>6</v>
      </c>
      <c r="F199" s="6" t="s">
        <v>6</v>
      </c>
      <c r="G199" s="6" t="s">
        <v>6</v>
      </c>
      <c r="H199" s="6" t="s">
        <v>6</v>
      </c>
      <c r="I199" s="6" t="s">
        <v>6</v>
      </c>
      <c r="J199" s="6" t="s">
        <v>6</v>
      </c>
      <c r="K199" s="6" t="s">
        <v>6</v>
      </c>
      <c r="L199" s="6" t="s">
        <v>6</v>
      </c>
      <c r="M199" s="6" t="s">
        <v>6</v>
      </c>
      <c r="N199" s="6" t="s">
        <v>6</v>
      </c>
      <c r="O199" s="6" t="s">
        <v>6</v>
      </c>
      <c r="P199" s="6" t="s">
        <v>6</v>
      </c>
      <c r="Q199" s="6" t="s">
        <v>6</v>
      </c>
      <c r="R199" s="6" t="s">
        <v>6</v>
      </c>
      <c r="S199" s="6" t="s">
        <v>6</v>
      </c>
      <c r="T199" s="6" t="s">
        <v>6</v>
      </c>
      <c r="U199" s="6" t="s">
        <v>6</v>
      </c>
      <c r="V199" s="6" t="s">
        <v>6</v>
      </c>
      <c r="W199" s="6" t="s">
        <v>6</v>
      </c>
      <c r="X199" s="2" t="str">
        <f t="shared" ca="1" si="23"/>
        <v>Conforme</v>
      </c>
    </row>
    <row r="200" spans="1:24" x14ac:dyDescent="0.25">
      <c r="A200" s="1">
        <v>6</v>
      </c>
      <c r="B200" s="4">
        <v>44869</v>
      </c>
      <c r="C200" s="3" t="s">
        <v>4</v>
      </c>
      <c r="D200" s="6" t="s">
        <v>6</v>
      </c>
      <c r="E200" s="6" t="s">
        <v>6</v>
      </c>
      <c r="F200" s="6" t="s">
        <v>6</v>
      </c>
      <c r="G200" s="6" t="s">
        <v>6</v>
      </c>
      <c r="H200" s="6" t="s">
        <v>6</v>
      </c>
      <c r="I200" s="6" t="s">
        <v>6</v>
      </c>
      <c r="J200" s="6" t="s">
        <v>6</v>
      </c>
      <c r="K200" s="6" t="s">
        <v>6</v>
      </c>
      <c r="L200" s="6" t="s">
        <v>6</v>
      </c>
      <c r="M200" s="6" t="s">
        <v>6</v>
      </c>
      <c r="N200" s="6" t="s">
        <v>6</v>
      </c>
      <c r="O200" s="6" t="s">
        <v>6</v>
      </c>
      <c r="P200" s="6" t="s">
        <v>6</v>
      </c>
      <c r="Q200" s="6" t="s">
        <v>6</v>
      </c>
      <c r="R200" s="6" t="s">
        <v>6</v>
      </c>
      <c r="S200" s="6" t="s">
        <v>6</v>
      </c>
      <c r="T200" s="6" t="s">
        <v>6</v>
      </c>
      <c r="U200" s="6" t="s">
        <v>6</v>
      </c>
      <c r="V200" s="6" t="s">
        <v>6</v>
      </c>
      <c r="W200" s="6" t="s">
        <v>6</v>
      </c>
      <c r="X200" s="2" t="str">
        <f t="shared" ca="1" si="23"/>
        <v>Conforme</v>
      </c>
    </row>
    <row r="201" spans="1:24" x14ac:dyDescent="0.25">
      <c r="A201" s="1">
        <v>2</v>
      </c>
      <c r="B201" s="4">
        <v>44872</v>
      </c>
      <c r="C201" s="3" t="s">
        <v>4</v>
      </c>
      <c r="D201" s="6" t="s">
        <v>6</v>
      </c>
      <c r="E201" s="6" t="s">
        <v>6</v>
      </c>
      <c r="F201" s="6" t="s">
        <v>6</v>
      </c>
      <c r="G201" s="6" t="s">
        <v>6</v>
      </c>
      <c r="H201" s="6" t="s">
        <v>6</v>
      </c>
      <c r="I201" s="6" t="s">
        <v>6</v>
      </c>
      <c r="J201" s="6" t="s">
        <v>6</v>
      </c>
      <c r="K201" s="6" t="s">
        <v>6</v>
      </c>
      <c r="L201" s="6" t="s">
        <v>6</v>
      </c>
      <c r="M201" s="6" t="s">
        <v>6</v>
      </c>
      <c r="N201" s="6" t="s">
        <v>6</v>
      </c>
      <c r="O201" s="6" t="s">
        <v>6</v>
      </c>
      <c r="P201" s="6" t="s">
        <v>6</v>
      </c>
      <c r="Q201" s="6" t="s">
        <v>6</v>
      </c>
      <c r="R201" s="6" t="s">
        <v>6</v>
      </c>
      <c r="S201" s="6" t="s">
        <v>6</v>
      </c>
      <c r="T201" s="6" t="s">
        <v>6</v>
      </c>
      <c r="U201" s="6" t="s">
        <v>6</v>
      </c>
      <c r="V201" s="6" t="s">
        <v>6</v>
      </c>
      <c r="W201" s="6" t="s">
        <v>6</v>
      </c>
      <c r="X201" s="2" t="str">
        <f t="shared" ca="1" si="23"/>
        <v>Conforme</v>
      </c>
    </row>
    <row r="202" spans="1:24" x14ac:dyDescent="0.25">
      <c r="A202" s="1">
        <v>3</v>
      </c>
      <c r="B202" s="4">
        <v>44873</v>
      </c>
      <c r="C202" s="3" t="s">
        <v>4</v>
      </c>
      <c r="D202" s="6" t="s">
        <v>6</v>
      </c>
      <c r="E202" s="6" t="s">
        <v>6</v>
      </c>
      <c r="F202" s="6" t="s">
        <v>6</v>
      </c>
      <c r="G202" s="6" t="s">
        <v>6</v>
      </c>
      <c r="H202" s="6" t="s">
        <v>6</v>
      </c>
      <c r="I202" s="6" t="s">
        <v>6</v>
      </c>
      <c r="J202" s="6" t="s">
        <v>6</v>
      </c>
      <c r="K202" s="6" t="s">
        <v>6</v>
      </c>
      <c r="L202" s="6" t="s">
        <v>6</v>
      </c>
      <c r="M202" s="6" t="s">
        <v>6</v>
      </c>
      <c r="N202" s="6" t="s">
        <v>6</v>
      </c>
      <c r="O202" s="6" t="s">
        <v>6</v>
      </c>
      <c r="P202" s="6" t="s">
        <v>6</v>
      </c>
      <c r="Q202" s="6" t="s">
        <v>6</v>
      </c>
      <c r="R202" s="6" t="s">
        <v>6</v>
      </c>
      <c r="S202" s="6" t="s">
        <v>6</v>
      </c>
      <c r="T202" s="6" t="s">
        <v>6</v>
      </c>
      <c r="U202" s="6" t="s">
        <v>6</v>
      </c>
      <c r="V202" s="6" t="s">
        <v>6</v>
      </c>
      <c r="W202" s="6" t="s">
        <v>6</v>
      </c>
      <c r="X202" s="2" t="str">
        <f t="shared" ca="1" si="23"/>
        <v>Conforme</v>
      </c>
    </row>
    <row r="203" spans="1:24" x14ac:dyDescent="0.25">
      <c r="A203" s="1">
        <v>4</v>
      </c>
      <c r="B203" s="4">
        <v>44874</v>
      </c>
      <c r="C203" s="3" t="s">
        <v>4</v>
      </c>
      <c r="D203" s="6" t="s">
        <v>6</v>
      </c>
      <c r="E203" s="6" t="s">
        <v>6</v>
      </c>
      <c r="F203" s="6" t="s">
        <v>6</v>
      </c>
      <c r="G203" s="6" t="s">
        <v>6</v>
      </c>
      <c r="H203" s="6" t="s">
        <v>6</v>
      </c>
      <c r="I203" s="6" t="s">
        <v>6</v>
      </c>
      <c r="J203" s="6" t="s">
        <v>6</v>
      </c>
      <c r="K203" s="6" t="s">
        <v>6</v>
      </c>
      <c r="L203" s="6" t="s">
        <v>6</v>
      </c>
      <c r="M203" s="6" t="s">
        <v>6</v>
      </c>
      <c r="N203" s="6" t="s">
        <v>6</v>
      </c>
      <c r="O203" s="6" t="s">
        <v>6</v>
      </c>
      <c r="P203" s="6" t="s">
        <v>6</v>
      </c>
      <c r="Q203" s="6" t="s">
        <v>6</v>
      </c>
      <c r="R203" s="6" t="s">
        <v>6</v>
      </c>
      <c r="S203" s="6" t="s">
        <v>6</v>
      </c>
      <c r="T203" s="6" t="s">
        <v>6</v>
      </c>
      <c r="U203" s="6" t="s">
        <v>6</v>
      </c>
      <c r="V203" s="6" t="s">
        <v>6</v>
      </c>
      <c r="W203" s="6" t="s">
        <v>6</v>
      </c>
      <c r="X203" s="2" t="str">
        <f t="shared" ca="1" si="23"/>
        <v>Conforme</v>
      </c>
    </row>
    <row r="204" spans="1:24" x14ac:dyDescent="0.25">
      <c r="A204" s="1">
        <v>5</v>
      </c>
      <c r="B204" s="4">
        <v>44875</v>
      </c>
      <c r="C204" s="3" t="s">
        <v>4</v>
      </c>
      <c r="D204" s="6" t="s">
        <v>6</v>
      </c>
      <c r="E204" s="6" t="s">
        <v>6</v>
      </c>
      <c r="F204" s="6" t="s">
        <v>6</v>
      </c>
      <c r="G204" s="6" t="s">
        <v>6</v>
      </c>
      <c r="H204" s="6" t="s">
        <v>6</v>
      </c>
      <c r="I204" s="6" t="s">
        <v>6</v>
      </c>
      <c r="J204" s="6" t="s">
        <v>6</v>
      </c>
      <c r="K204" s="6" t="s">
        <v>6</v>
      </c>
      <c r="L204" s="6" t="s">
        <v>6</v>
      </c>
      <c r="M204" s="6" t="s">
        <v>6</v>
      </c>
      <c r="N204" s="6" t="s">
        <v>6</v>
      </c>
      <c r="O204" s="6" t="s">
        <v>6</v>
      </c>
      <c r="P204" s="6" t="s">
        <v>6</v>
      </c>
      <c r="Q204" s="6" t="s">
        <v>6</v>
      </c>
      <c r="R204" s="6" t="s">
        <v>6</v>
      </c>
      <c r="S204" s="6" t="s">
        <v>6</v>
      </c>
      <c r="T204" s="6" t="s">
        <v>6</v>
      </c>
      <c r="U204" s="6" t="s">
        <v>6</v>
      </c>
      <c r="V204" s="6" t="s">
        <v>6</v>
      </c>
      <c r="W204" s="6" t="s">
        <v>6</v>
      </c>
      <c r="X204" s="2" t="str">
        <f t="shared" ca="1" si="23"/>
        <v>Conforme</v>
      </c>
    </row>
    <row r="205" spans="1:24" x14ac:dyDescent="0.25">
      <c r="A205" s="1">
        <v>6</v>
      </c>
      <c r="B205" s="4">
        <v>44876</v>
      </c>
      <c r="C205" s="3" t="s">
        <v>4</v>
      </c>
      <c r="D205" s="6" t="s">
        <v>6</v>
      </c>
      <c r="E205" s="6" t="s">
        <v>6</v>
      </c>
      <c r="F205" s="6" t="s">
        <v>6</v>
      </c>
      <c r="G205" s="6" t="s">
        <v>6</v>
      </c>
      <c r="H205" s="6" t="s">
        <v>6</v>
      </c>
      <c r="I205" s="6" t="s">
        <v>6</v>
      </c>
      <c r="J205" s="6" t="s">
        <v>6</v>
      </c>
      <c r="K205" s="6" t="s">
        <v>6</v>
      </c>
      <c r="L205" s="6" t="s">
        <v>6</v>
      </c>
      <c r="M205" s="6" t="s">
        <v>6</v>
      </c>
      <c r="N205" s="6" t="s">
        <v>6</v>
      </c>
      <c r="O205" s="6" t="s">
        <v>6</v>
      </c>
      <c r="P205" s="6" t="s">
        <v>6</v>
      </c>
      <c r="Q205" s="6" t="s">
        <v>6</v>
      </c>
      <c r="R205" s="6" t="s">
        <v>6</v>
      </c>
      <c r="S205" s="6" t="s">
        <v>6</v>
      </c>
      <c r="T205" s="6" t="s">
        <v>6</v>
      </c>
      <c r="U205" s="6" t="s">
        <v>6</v>
      </c>
      <c r="V205" s="6" t="s">
        <v>6</v>
      </c>
      <c r="W205" s="6" t="s">
        <v>6</v>
      </c>
      <c r="X205" s="2" t="str">
        <f t="shared" ca="1" si="23"/>
        <v>Conforme</v>
      </c>
    </row>
    <row r="206" spans="1:24" x14ac:dyDescent="0.25">
      <c r="A206" s="1">
        <v>2</v>
      </c>
      <c r="B206" s="4">
        <v>44879</v>
      </c>
      <c r="C206" s="3" t="s">
        <v>4</v>
      </c>
      <c r="D206" s="6" t="s">
        <v>6</v>
      </c>
      <c r="E206" s="6" t="s">
        <v>6</v>
      </c>
      <c r="F206" s="6" t="s">
        <v>6</v>
      </c>
      <c r="G206" s="6" t="s">
        <v>6</v>
      </c>
      <c r="H206" s="6" t="s">
        <v>6</v>
      </c>
      <c r="I206" s="6" t="s">
        <v>6</v>
      </c>
      <c r="J206" s="6" t="s">
        <v>6</v>
      </c>
      <c r="K206" s="6" t="s">
        <v>6</v>
      </c>
      <c r="L206" s="6" t="s">
        <v>6</v>
      </c>
      <c r="M206" s="6" t="s">
        <v>6</v>
      </c>
      <c r="N206" s="6" t="s">
        <v>6</v>
      </c>
      <c r="O206" s="6" t="s">
        <v>6</v>
      </c>
      <c r="P206" s="6" t="s">
        <v>6</v>
      </c>
      <c r="Q206" s="6" t="s">
        <v>6</v>
      </c>
      <c r="R206" s="6" t="s">
        <v>6</v>
      </c>
      <c r="S206" s="6" t="s">
        <v>6</v>
      </c>
      <c r="T206" s="6" t="s">
        <v>6</v>
      </c>
      <c r="U206" s="6" t="s">
        <v>6</v>
      </c>
      <c r="V206" s="6" t="s">
        <v>6</v>
      </c>
      <c r="W206" s="6" t="s">
        <v>6</v>
      </c>
      <c r="X206" s="2" t="str">
        <f t="shared" ref="X206:X250" ca="1" si="24">IF(B206&lt;TODAY(),IF(COUNTBLANK(D206:W206)=0,"Conforme","Não conforme"),"")</f>
        <v>Conforme</v>
      </c>
    </row>
    <row r="207" spans="1:24" x14ac:dyDescent="0.25">
      <c r="A207" s="1">
        <v>3</v>
      </c>
      <c r="B207" s="4">
        <v>44880</v>
      </c>
      <c r="C207" s="3" t="s">
        <v>4</v>
      </c>
      <c r="D207" s="6" t="s">
        <v>6</v>
      </c>
      <c r="E207" s="6" t="s">
        <v>6</v>
      </c>
      <c r="F207" s="6" t="s">
        <v>6</v>
      </c>
      <c r="G207" s="6" t="s">
        <v>6</v>
      </c>
      <c r="H207" s="6" t="s">
        <v>6</v>
      </c>
      <c r="I207" s="6" t="s">
        <v>6</v>
      </c>
      <c r="J207" s="6" t="s">
        <v>6</v>
      </c>
      <c r="K207" s="6" t="s">
        <v>6</v>
      </c>
      <c r="L207" s="6" t="s">
        <v>6</v>
      </c>
      <c r="M207" s="6" t="s">
        <v>6</v>
      </c>
      <c r="N207" s="6" t="s">
        <v>6</v>
      </c>
      <c r="O207" s="6" t="s">
        <v>6</v>
      </c>
      <c r="P207" s="6" t="s">
        <v>6</v>
      </c>
      <c r="Q207" s="6" t="s">
        <v>6</v>
      </c>
      <c r="R207" s="6" t="s">
        <v>6</v>
      </c>
      <c r="S207" s="6" t="s">
        <v>6</v>
      </c>
      <c r="T207" s="6" t="s">
        <v>6</v>
      </c>
      <c r="U207" s="6" t="s">
        <v>6</v>
      </c>
      <c r="V207" s="6" t="s">
        <v>6</v>
      </c>
      <c r="W207" s="6" t="s">
        <v>6</v>
      </c>
      <c r="X207" s="2" t="str">
        <f t="shared" ca="1" si="24"/>
        <v>Conforme</v>
      </c>
    </row>
    <row r="208" spans="1:24" x14ac:dyDescent="0.25">
      <c r="A208" s="1">
        <v>4</v>
      </c>
      <c r="B208" s="4">
        <v>44881</v>
      </c>
      <c r="C208" s="3" t="s">
        <v>4</v>
      </c>
      <c r="D208" s="6" t="s">
        <v>6</v>
      </c>
      <c r="E208" s="6" t="s">
        <v>6</v>
      </c>
      <c r="F208" s="6" t="s">
        <v>6</v>
      </c>
      <c r="G208" s="6" t="s">
        <v>6</v>
      </c>
      <c r="H208" s="6" t="s">
        <v>6</v>
      </c>
      <c r="I208" s="6" t="s">
        <v>6</v>
      </c>
      <c r="J208" s="6" t="s">
        <v>6</v>
      </c>
      <c r="K208" s="6" t="s">
        <v>6</v>
      </c>
      <c r="L208" s="6" t="s">
        <v>6</v>
      </c>
      <c r="M208" s="6" t="s">
        <v>6</v>
      </c>
      <c r="N208" s="6" t="s">
        <v>6</v>
      </c>
      <c r="O208" s="6" t="s">
        <v>6</v>
      </c>
      <c r="P208" s="6" t="s">
        <v>6</v>
      </c>
      <c r="Q208" s="6" t="s">
        <v>6</v>
      </c>
      <c r="R208" s="6" t="s">
        <v>6</v>
      </c>
      <c r="S208" s="6" t="s">
        <v>6</v>
      </c>
      <c r="T208" s="6" t="s">
        <v>6</v>
      </c>
      <c r="U208" s="6" t="s">
        <v>6</v>
      </c>
      <c r="V208" s="6" t="s">
        <v>6</v>
      </c>
      <c r="W208" s="6" t="s">
        <v>6</v>
      </c>
      <c r="X208" s="2" t="str">
        <f t="shared" ca="1" si="24"/>
        <v>Conforme</v>
      </c>
    </row>
    <row r="209" spans="1:24" x14ac:dyDescent="0.25">
      <c r="A209" s="1">
        <v>5</v>
      </c>
      <c r="B209" s="4">
        <v>44882</v>
      </c>
      <c r="C209" s="3" t="s">
        <v>4</v>
      </c>
      <c r="D209" s="6" t="s">
        <v>6</v>
      </c>
      <c r="E209" s="6" t="s">
        <v>6</v>
      </c>
      <c r="F209" s="6" t="s">
        <v>6</v>
      </c>
      <c r="G209" s="6" t="s">
        <v>6</v>
      </c>
      <c r="H209" s="6" t="s">
        <v>6</v>
      </c>
      <c r="I209" s="6" t="s">
        <v>6</v>
      </c>
      <c r="J209" s="6" t="s">
        <v>6</v>
      </c>
      <c r="K209" s="6" t="s">
        <v>6</v>
      </c>
      <c r="L209" s="6" t="s">
        <v>6</v>
      </c>
      <c r="M209" s="6" t="s">
        <v>6</v>
      </c>
      <c r="N209" s="6" t="s">
        <v>6</v>
      </c>
      <c r="O209" s="6" t="s">
        <v>6</v>
      </c>
      <c r="P209" s="6" t="s">
        <v>6</v>
      </c>
      <c r="Q209" s="6" t="s">
        <v>6</v>
      </c>
      <c r="R209" s="6" t="s">
        <v>6</v>
      </c>
      <c r="S209" s="6" t="s">
        <v>6</v>
      </c>
      <c r="T209" s="6" t="s">
        <v>6</v>
      </c>
      <c r="U209" s="6" t="s">
        <v>6</v>
      </c>
      <c r="V209" s="6" t="s">
        <v>6</v>
      </c>
      <c r="W209" s="6" t="s">
        <v>6</v>
      </c>
      <c r="X209" s="2" t="str">
        <f t="shared" ca="1" si="24"/>
        <v>Conforme</v>
      </c>
    </row>
    <row r="210" spans="1:24" x14ac:dyDescent="0.25">
      <c r="A210" s="1">
        <v>6</v>
      </c>
      <c r="B210" s="4">
        <v>44883</v>
      </c>
      <c r="C210" s="3" t="s">
        <v>4</v>
      </c>
      <c r="D210" s="6" t="s">
        <v>6</v>
      </c>
      <c r="E210" s="6" t="s">
        <v>6</v>
      </c>
      <c r="F210" s="6" t="s">
        <v>6</v>
      </c>
      <c r="G210" s="6" t="s">
        <v>6</v>
      </c>
      <c r="H210" s="6" t="s">
        <v>6</v>
      </c>
      <c r="I210" s="6" t="s">
        <v>6</v>
      </c>
      <c r="J210" s="6" t="s">
        <v>6</v>
      </c>
      <c r="K210" s="6" t="s">
        <v>6</v>
      </c>
      <c r="L210" s="6" t="s">
        <v>6</v>
      </c>
      <c r="M210" s="6" t="s">
        <v>6</v>
      </c>
      <c r="N210" s="6" t="s">
        <v>6</v>
      </c>
      <c r="O210" s="6" t="s">
        <v>6</v>
      </c>
      <c r="P210" s="6" t="s">
        <v>6</v>
      </c>
      <c r="Q210" s="6" t="s">
        <v>6</v>
      </c>
      <c r="R210" s="6" t="s">
        <v>6</v>
      </c>
      <c r="S210" s="6" t="s">
        <v>6</v>
      </c>
      <c r="T210" s="6" t="s">
        <v>6</v>
      </c>
      <c r="U210" s="6" t="s">
        <v>6</v>
      </c>
      <c r="V210" s="6" t="s">
        <v>6</v>
      </c>
      <c r="W210" s="6" t="s">
        <v>6</v>
      </c>
      <c r="X210" s="2" t="str">
        <f t="shared" ca="1" si="24"/>
        <v>Conforme</v>
      </c>
    </row>
    <row r="211" spans="1:24" x14ac:dyDescent="0.25">
      <c r="A211" s="1">
        <v>2</v>
      </c>
      <c r="B211" s="4">
        <v>44886</v>
      </c>
      <c r="C211" s="3" t="s">
        <v>4</v>
      </c>
      <c r="D211" s="6" t="s">
        <v>6</v>
      </c>
      <c r="E211" s="6" t="s">
        <v>6</v>
      </c>
      <c r="F211" s="6" t="s">
        <v>6</v>
      </c>
      <c r="G211" s="6" t="s">
        <v>6</v>
      </c>
      <c r="H211" s="6" t="s">
        <v>6</v>
      </c>
      <c r="I211" s="6" t="s">
        <v>6</v>
      </c>
      <c r="J211" s="6" t="s">
        <v>6</v>
      </c>
      <c r="K211" s="6" t="s">
        <v>6</v>
      </c>
      <c r="L211" s="6" t="s">
        <v>6</v>
      </c>
      <c r="M211" s="6" t="s">
        <v>6</v>
      </c>
      <c r="N211" s="6" t="s">
        <v>6</v>
      </c>
      <c r="O211" s="6" t="s">
        <v>6</v>
      </c>
      <c r="P211" s="6" t="s">
        <v>6</v>
      </c>
      <c r="Q211" s="6" t="s">
        <v>6</v>
      </c>
      <c r="R211" s="6" t="s">
        <v>6</v>
      </c>
      <c r="S211" s="6" t="s">
        <v>6</v>
      </c>
      <c r="T211" s="6" t="s">
        <v>6</v>
      </c>
      <c r="U211" s="6" t="s">
        <v>6</v>
      </c>
      <c r="V211" s="6" t="s">
        <v>6</v>
      </c>
      <c r="W211" s="6" t="s">
        <v>6</v>
      </c>
      <c r="X211" s="2" t="str">
        <f t="shared" ca="1" si="24"/>
        <v>Conforme</v>
      </c>
    </row>
    <row r="212" spans="1:24" x14ac:dyDescent="0.25">
      <c r="A212" s="1">
        <v>3</v>
      </c>
      <c r="B212" s="4">
        <v>44887</v>
      </c>
      <c r="C212" s="3" t="s">
        <v>4</v>
      </c>
      <c r="D212" s="6" t="s">
        <v>6</v>
      </c>
      <c r="E212" s="6" t="s">
        <v>6</v>
      </c>
      <c r="F212" s="6" t="s">
        <v>6</v>
      </c>
      <c r="G212" s="6" t="s">
        <v>6</v>
      </c>
      <c r="H212" s="6" t="s">
        <v>6</v>
      </c>
      <c r="I212" s="6" t="s">
        <v>6</v>
      </c>
      <c r="J212" s="6" t="s">
        <v>6</v>
      </c>
      <c r="K212" s="6" t="s">
        <v>6</v>
      </c>
      <c r="L212" s="6" t="s">
        <v>6</v>
      </c>
      <c r="M212" s="6" t="s">
        <v>6</v>
      </c>
      <c r="N212" s="6" t="s">
        <v>6</v>
      </c>
      <c r="O212" s="6" t="s">
        <v>6</v>
      </c>
      <c r="P212" s="6" t="s">
        <v>6</v>
      </c>
      <c r="Q212" s="6" t="s">
        <v>6</v>
      </c>
      <c r="R212" s="6" t="s">
        <v>6</v>
      </c>
      <c r="S212" s="6" t="s">
        <v>6</v>
      </c>
      <c r="T212" s="6" t="s">
        <v>6</v>
      </c>
      <c r="U212" s="6" t="s">
        <v>6</v>
      </c>
      <c r="V212" s="6" t="s">
        <v>6</v>
      </c>
      <c r="W212" s="6" t="s">
        <v>6</v>
      </c>
      <c r="X212" s="2" t="str">
        <f t="shared" ca="1" si="24"/>
        <v>Conforme</v>
      </c>
    </row>
    <row r="213" spans="1:24" x14ac:dyDescent="0.25">
      <c r="A213" s="1">
        <v>4</v>
      </c>
      <c r="B213" s="4">
        <v>44888</v>
      </c>
      <c r="C213" s="3" t="s">
        <v>4</v>
      </c>
      <c r="D213" s="6" t="s">
        <v>6</v>
      </c>
      <c r="E213" s="6" t="s">
        <v>6</v>
      </c>
      <c r="F213" s="6" t="s">
        <v>6</v>
      </c>
      <c r="G213" s="6" t="s">
        <v>6</v>
      </c>
      <c r="H213" s="6" t="s">
        <v>6</v>
      </c>
      <c r="I213" s="6" t="s">
        <v>6</v>
      </c>
      <c r="J213" s="6" t="s">
        <v>6</v>
      </c>
      <c r="K213" s="6" t="s">
        <v>6</v>
      </c>
      <c r="L213" s="6" t="s">
        <v>6</v>
      </c>
      <c r="M213" s="6" t="s">
        <v>6</v>
      </c>
      <c r="N213" s="6" t="s">
        <v>6</v>
      </c>
      <c r="O213" s="6" t="s">
        <v>6</v>
      </c>
      <c r="P213" s="6" t="s">
        <v>6</v>
      </c>
      <c r="Q213" s="6" t="s">
        <v>6</v>
      </c>
      <c r="R213" s="6" t="s">
        <v>6</v>
      </c>
      <c r="S213" s="6" t="s">
        <v>6</v>
      </c>
      <c r="T213" s="6" t="s">
        <v>6</v>
      </c>
      <c r="U213" s="6" t="s">
        <v>6</v>
      </c>
      <c r="V213" s="6" t="s">
        <v>6</v>
      </c>
      <c r="W213" s="6" t="s">
        <v>6</v>
      </c>
      <c r="X213" s="2" t="str">
        <f t="shared" ca="1" si="24"/>
        <v>Conforme</v>
      </c>
    </row>
    <row r="214" spans="1:24" x14ac:dyDescent="0.25">
      <c r="A214" s="1">
        <v>5</v>
      </c>
      <c r="B214" s="4">
        <v>44889</v>
      </c>
      <c r="C214" s="3" t="s">
        <v>4</v>
      </c>
      <c r="D214" s="6" t="s">
        <v>6</v>
      </c>
      <c r="E214" s="6" t="s">
        <v>6</v>
      </c>
      <c r="F214" s="6" t="s">
        <v>6</v>
      </c>
      <c r="G214" s="6" t="s">
        <v>6</v>
      </c>
      <c r="H214" s="6" t="s">
        <v>6</v>
      </c>
      <c r="I214" s="6" t="s">
        <v>6</v>
      </c>
      <c r="J214" s="6" t="s">
        <v>6</v>
      </c>
      <c r="K214" s="6" t="s">
        <v>6</v>
      </c>
      <c r="L214" s="6" t="s">
        <v>6</v>
      </c>
      <c r="M214" s="6" t="s">
        <v>6</v>
      </c>
      <c r="N214" s="6" t="s">
        <v>6</v>
      </c>
      <c r="O214" s="6" t="s">
        <v>6</v>
      </c>
      <c r="P214" s="6" t="s">
        <v>6</v>
      </c>
      <c r="Q214" s="6" t="s">
        <v>6</v>
      </c>
      <c r="R214" s="6" t="s">
        <v>6</v>
      </c>
      <c r="S214" s="6" t="s">
        <v>6</v>
      </c>
      <c r="T214" s="6" t="s">
        <v>6</v>
      </c>
      <c r="U214" s="6" t="s">
        <v>6</v>
      </c>
      <c r="V214" s="6" t="s">
        <v>6</v>
      </c>
      <c r="W214" s="6" t="s">
        <v>6</v>
      </c>
      <c r="X214" s="2" t="str">
        <f t="shared" ca="1" si="24"/>
        <v>Conforme</v>
      </c>
    </row>
    <row r="215" spans="1:24" x14ac:dyDescent="0.25">
      <c r="A215" s="1">
        <v>6</v>
      </c>
      <c r="B215" s="4">
        <v>44890</v>
      </c>
      <c r="C215" s="3" t="s">
        <v>4</v>
      </c>
      <c r="D215" s="6" t="s">
        <v>6</v>
      </c>
      <c r="E215" s="6" t="s">
        <v>6</v>
      </c>
      <c r="F215" s="6" t="s">
        <v>6</v>
      </c>
      <c r="G215" s="6" t="s">
        <v>6</v>
      </c>
      <c r="H215" s="6" t="s">
        <v>6</v>
      </c>
      <c r="I215" s="6" t="s">
        <v>6</v>
      </c>
      <c r="J215" s="6" t="s">
        <v>6</v>
      </c>
      <c r="K215" s="6" t="s">
        <v>6</v>
      </c>
      <c r="L215" s="6" t="s">
        <v>6</v>
      </c>
      <c r="M215" s="6" t="s">
        <v>6</v>
      </c>
      <c r="N215" s="6" t="s">
        <v>6</v>
      </c>
      <c r="O215" s="6" t="s">
        <v>6</v>
      </c>
      <c r="P215" s="6" t="s">
        <v>6</v>
      </c>
      <c r="Q215" s="6" t="s">
        <v>6</v>
      </c>
      <c r="R215" s="6" t="s">
        <v>6</v>
      </c>
      <c r="S215" s="6" t="s">
        <v>6</v>
      </c>
      <c r="T215" s="6" t="s">
        <v>6</v>
      </c>
      <c r="U215" s="6" t="s">
        <v>6</v>
      </c>
      <c r="V215" s="6" t="s">
        <v>6</v>
      </c>
      <c r="W215" s="6" t="s">
        <v>6</v>
      </c>
      <c r="X215" s="2" t="str">
        <f t="shared" ca="1" si="24"/>
        <v>Conforme</v>
      </c>
    </row>
    <row r="216" spans="1:24" x14ac:dyDescent="0.25">
      <c r="A216" s="1">
        <v>2</v>
      </c>
      <c r="B216" s="4">
        <v>44893</v>
      </c>
      <c r="C216" s="3" t="s">
        <v>4</v>
      </c>
      <c r="D216" s="6" t="s">
        <v>6</v>
      </c>
      <c r="E216" s="6" t="s">
        <v>6</v>
      </c>
      <c r="F216" s="6" t="s">
        <v>6</v>
      </c>
      <c r="G216" s="6" t="s">
        <v>6</v>
      </c>
      <c r="H216" s="6" t="s">
        <v>6</v>
      </c>
      <c r="I216" s="6" t="s">
        <v>6</v>
      </c>
      <c r="J216" s="6" t="s">
        <v>6</v>
      </c>
      <c r="K216" s="6" t="s">
        <v>6</v>
      </c>
      <c r="L216" s="6" t="s">
        <v>6</v>
      </c>
      <c r="M216" s="6" t="s">
        <v>6</v>
      </c>
      <c r="N216" s="6" t="s">
        <v>6</v>
      </c>
      <c r="O216" s="6" t="s">
        <v>6</v>
      </c>
      <c r="P216" s="6" t="s">
        <v>6</v>
      </c>
      <c r="Q216" s="6" t="s">
        <v>6</v>
      </c>
      <c r="R216" s="6" t="s">
        <v>6</v>
      </c>
      <c r="S216" s="6" t="s">
        <v>6</v>
      </c>
      <c r="T216" s="6" t="s">
        <v>6</v>
      </c>
      <c r="U216" s="6" t="s">
        <v>6</v>
      </c>
      <c r="V216" s="6" t="s">
        <v>6</v>
      </c>
      <c r="W216" s="6" t="s">
        <v>6</v>
      </c>
      <c r="X216" s="2" t="str">
        <f t="shared" ref="X216:X224" ca="1" si="25">IF(B216&lt;TODAY(),IF(COUNTBLANK(D216:W216)=0,"Conforme","Não conforme"),"")</f>
        <v>Conforme</v>
      </c>
    </row>
    <row r="217" spans="1:24" x14ac:dyDescent="0.25">
      <c r="A217" s="1">
        <v>3</v>
      </c>
      <c r="B217" s="4">
        <v>44894</v>
      </c>
      <c r="C217" s="3" t="s">
        <v>4</v>
      </c>
      <c r="D217" s="6" t="s">
        <v>839</v>
      </c>
      <c r="E217" s="6" t="s">
        <v>6</v>
      </c>
      <c r="F217" s="6" t="s">
        <v>6</v>
      </c>
      <c r="G217" s="6" t="s">
        <v>6</v>
      </c>
      <c r="H217" s="6" t="s">
        <v>6</v>
      </c>
      <c r="I217" s="6" t="s">
        <v>6</v>
      </c>
      <c r="J217" s="6" t="s">
        <v>6</v>
      </c>
      <c r="K217" s="6" t="s">
        <v>6</v>
      </c>
      <c r="L217" s="6" t="s">
        <v>6</v>
      </c>
      <c r="M217" s="6" t="s">
        <v>6</v>
      </c>
      <c r="N217" s="6" t="s">
        <v>6</v>
      </c>
      <c r="O217" s="6" t="s">
        <v>6</v>
      </c>
      <c r="P217" s="6" t="s">
        <v>6</v>
      </c>
      <c r="Q217" s="6" t="s">
        <v>6</v>
      </c>
      <c r="R217" s="6" t="s">
        <v>6</v>
      </c>
      <c r="S217" s="6" t="s">
        <v>6</v>
      </c>
      <c r="T217" s="6" t="s">
        <v>6</v>
      </c>
      <c r="U217" s="6" t="s">
        <v>6</v>
      </c>
      <c r="V217" s="6" t="s">
        <v>6</v>
      </c>
      <c r="W217" s="6" t="s">
        <v>6</v>
      </c>
      <c r="X217" s="2" t="str">
        <f t="shared" ca="1" si="25"/>
        <v>Conforme</v>
      </c>
    </row>
    <row r="218" spans="1:24" x14ac:dyDescent="0.25">
      <c r="A218" s="1">
        <v>4</v>
      </c>
      <c r="B218" s="4">
        <v>44895</v>
      </c>
      <c r="C218" s="3" t="s">
        <v>4</v>
      </c>
      <c r="D218" s="6" t="s">
        <v>6</v>
      </c>
      <c r="E218" s="6" t="s">
        <v>6</v>
      </c>
      <c r="F218" s="6" t="s">
        <v>6</v>
      </c>
      <c r="G218" s="6" t="s">
        <v>6</v>
      </c>
      <c r="H218" s="6" t="s">
        <v>6</v>
      </c>
      <c r="I218" s="6" t="s">
        <v>6</v>
      </c>
      <c r="J218" s="6" t="s">
        <v>6</v>
      </c>
      <c r="K218" s="6" t="s">
        <v>6</v>
      </c>
      <c r="L218" s="6" t="s">
        <v>6</v>
      </c>
      <c r="M218" s="6" t="s">
        <v>6</v>
      </c>
      <c r="N218" s="6" t="s">
        <v>6</v>
      </c>
      <c r="O218" s="6" t="s">
        <v>6</v>
      </c>
      <c r="P218" s="6" t="s">
        <v>6</v>
      </c>
      <c r="Q218" s="6" t="s">
        <v>6</v>
      </c>
      <c r="R218" s="6" t="s">
        <v>6</v>
      </c>
      <c r="S218" s="6" t="s">
        <v>6</v>
      </c>
      <c r="T218" s="6" t="s">
        <v>6</v>
      </c>
      <c r="U218" s="6" t="s">
        <v>6</v>
      </c>
      <c r="V218" s="6" t="s">
        <v>6</v>
      </c>
      <c r="W218" s="6" t="s">
        <v>6</v>
      </c>
      <c r="X218" s="2" t="str">
        <f t="shared" ca="1" si="25"/>
        <v>Conforme</v>
      </c>
    </row>
    <row r="219" spans="1:24" x14ac:dyDescent="0.25">
      <c r="A219" s="1">
        <v>5</v>
      </c>
      <c r="B219" s="4">
        <v>44896</v>
      </c>
      <c r="C219" s="3" t="s">
        <v>4</v>
      </c>
      <c r="D219" s="6" t="s">
        <v>6</v>
      </c>
      <c r="E219" s="6" t="s">
        <v>6</v>
      </c>
      <c r="F219" s="6" t="s">
        <v>6</v>
      </c>
      <c r="G219" s="6" t="s">
        <v>6</v>
      </c>
      <c r="H219" s="6" t="s">
        <v>6</v>
      </c>
      <c r="I219" s="6" t="s">
        <v>6</v>
      </c>
      <c r="J219" s="6" t="s">
        <v>6</v>
      </c>
      <c r="K219" s="6" t="s">
        <v>6</v>
      </c>
      <c r="L219" s="6" t="s">
        <v>6</v>
      </c>
      <c r="M219" s="6" t="s">
        <v>6</v>
      </c>
      <c r="N219" s="6" t="s">
        <v>6</v>
      </c>
      <c r="O219" s="6" t="s">
        <v>6</v>
      </c>
      <c r="P219" s="6" t="s">
        <v>6</v>
      </c>
      <c r="Q219" s="6" t="s">
        <v>6</v>
      </c>
      <c r="R219" s="6" t="s">
        <v>6</v>
      </c>
      <c r="S219" s="6" t="s">
        <v>6</v>
      </c>
      <c r="T219" s="6" t="s">
        <v>6</v>
      </c>
      <c r="U219" s="6" t="s">
        <v>6</v>
      </c>
      <c r="V219" s="6" t="s">
        <v>6</v>
      </c>
      <c r="W219" s="6" t="s">
        <v>6</v>
      </c>
      <c r="X219" s="2" t="str">
        <f t="shared" ca="1" si="25"/>
        <v>Conforme</v>
      </c>
    </row>
    <row r="220" spans="1:24" x14ac:dyDescent="0.25">
      <c r="A220" s="1">
        <v>6</v>
      </c>
      <c r="B220" s="4">
        <v>44897</v>
      </c>
      <c r="C220" s="3" t="s">
        <v>4</v>
      </c>
      <c r="D220" s="6" t="s">
        <v>6</v>
      </c>
      <c r="E220" s="6" t="s">
        <v>6</v>
      </c>
      <c r="F220" s="6" t="s">
        <v>6</v>
      </c>
      <c r="G220" s="6" t="s">
        <v>6</v>
      </c>
      <c r="H220" s="6" t="s">
        <v>6</v>
      </c>
      <c r="I220" s="6" t="s">
        <v>6</v>
      </c>
      <c r="J220" s="6" t="s">
        <v>6</v>
      </c>
      <c r="K220" s="6" t="s">
        <v>6</v>
      </c>
      <c r="L220" s="6" t="s">
        <v>6</v>
      </c>
      <c r="M220" s="6" t="s">
        <v>6</v>
      </c>
      <c r="N220" s="6" t="s">
        <v>6</v>
      </c>
      <c r="O220" s="6" t="s">
        <v>6</v>
      </c>
      <c r="P220" s="6" t="s">
        <v>6</v>
      </c>
      <c r="Q220" s="6" t="s">
        <v>6</v>
      </c>
      <c r="R220" s="6" t="s">
        <v>6</v>
      </c>
      <c r="S220" s="6" t="s">
        <v>6</v>
      </c>
      <c r="T220" s="6" t="s">
        <v>6</v>
      </c>
      <c r="U220" s="6" t="s">
        <v>6</v>
      </c>
      <c r="V220" s="6" t="s">
        <v>6</v>
      </c>
      <c r="W220" s="6" t="s">
        <v>6</v>
      </c>
      <c r="X220" s="2" t="str">
        <f t="shared" ca="1" si="25"/>
        <v>Conforme</v>
      </c>
    </row>
    <row r="221" spans="1:24" x14ac:dyDescent="0.25">
      <c r="A221" s="1">
        <v>2</v>
      </c>
      <c r="B221" s="4">
        <v>44900</v>
      </c>
      <c r="C221" s="3" t="s">
        <v>4</v>
      </c>
      <c r="D221" s="6" t="s">
        <v>6</v>
      </c>
      <c r="E221" s="6" t="s">
        <v>6</v>
      </c>
      <c r="F221" s="6" t="s">
        <v>6</v>
      </c>
      <c r="G221" s="6" t="s">
        <v>6</v>
      </c>
      <c r="H221" s="6" t="s">
        <v>6</v>
      </c>
      <c r="I221" s="6" t="s">
        <v>6</v>
      </c>
      <c r="J221" s="6" t="s">
        <v>6</v>
      </c>
      <c r="K221" s="6" t="s">
        <v>6</v>
      </c>
      <c r="L221" s="6" t="s">
        <v>6</v>
      </c>
      <c r="M221" s="6" t="s">
        <v>6</v>
      </c>
      <c r="N221" s="6" t="s">
        <v>6</v>
      </c>
      <c r="O221" s="6" t="s">
        <v>6</v>
      </c>
      <c r="P221" s="6" t="s">
        <v>6</v>
      </c>
      <c r="Q221" s="6" t="s">
        <v>6</v>
      </c>
      <c r="R221" s="6" t="s">
        <v>6</v>
      </c>
      <c r="S221" s="6" t="s">
        <v>6</v>
      </c>
      <c r="T221" s="6" t="s">
        <v>6</v>
      </c>
      <c r="U221" s="6" t="s">
        <v>6</v>
      </c>
      <c r="V221" s="6" t="s">
        <v>6</v>
      </c>
      <c r="W221" s="6" t="s">
        <v>6</v>
      </c>
      <c r="X221" s="2" t="str">
        <f t="shared" ca="1" si="25"/>
        <v>Conforme</v>
      </c>
    </row>
    <row r="222" spans="1:24" x14ac:dyDescent="0.25">
      <c r="A222" s="1">
        <v>3</v>
      </c>
      <c r="B222" s="4">
        <v>44901</v>
      </c>
      <c r="C222" s="3" t="s">
        <v>4</v>
      </c>
      <c r="D222" s="6" t="s">
        <v>6</v>
      </c>
      <c r="E222" s="6" t="s">
        <v>6</v>
      </c>
      <c r="F222" s="6" t="s">
        <v>6</v>
      </c>
      <c r="G222" s="6" t="s">
        <v>6</v>
      </c>
      <c r="H222" s="6" t="s">
        <v>6</v>
      </c>
      <c r="I222" s="6" t="s">
        <v>6</v>
      </c>
      <c r="J222" s="6" t="s">
        <v>6</v>
      </c>
      <c r="K222" s="6" t="s">
        <v>6</v>
      </c>
      <c r="L222" s="6" t="s">
        <v>6</v>
      </c>
      <c r="M222" s="6" t="s">
        <v>6</v>
      </c>
      <c r="N222" s="6" t="s">
        <v>6</v>
      </c>
      <c r="O222" s="6" t="s">
        <v>6</v>
      </c>
      <c r="P222" s="6" t="s">
        <v>6</v>
      </c>
      <c r="Q222" s="6" t="s">
        <v>6</v>
      </c>
      <c r="R222" s="6" t="s">
        <v>6</v>
      </c>
      <c r="S222" s="6" t="s">
        <v>6</v>
      </c>
      <c r="T222" s="6" t="s">
        <v>6</v>
      </c>
      <c r="U222" s="6" t="s">
        <v>6</v>
      </c>
      <c r="V222" s="6" t="s">
        <v>6</v>
      </c>
      <c r="W222" s="6" t="s">
        <v>6</v>
      </c>
      <c r="X222" s="2" t="str">
        <f t="shared" ca="1" si="25"/>
        <v>Conforme</v>
      </c>
    </row>
    <row r="223" spans="1:24" x14ac:dyDescent="0.25">
      <c r="A223" s="1">
        <v>4</v>
      </c>
      <c r="B223" s="4">
        <v>44902</v>
      </c>
      <c r="C223" s="3" t="s">
        <v>4</v>
      </c>
      <c r="D223" s="6" t="s">
        <v>6</v>
      </c>
      <c r="E223" s="6" t="s">
        <v>6</v>
      </c>
      <c r="F223" s="6" t="s">
        <v>6</v>
      </c>
      <c r="G223" s="6" t="s">
        <v>6</v>
      </c>
      <c r="H223" s="6" t="s">
        <v>6</v>
      </c>
      <c r="I223" s="6" t="s">
        <v>6</v>
      </c>
      <c r="J223" s="6" t="s">
        <v>6</v>
      </c>
      <c r="K223" s="6" t="s">
        <v>6</v>
      </c>
      <c r="L223" s="6" t="s">
        <v>6</v>
      </c>
      <c r="M223" s="6" t="s">
        <v>6</v>
      </c>
      <c r="N223" s="6" t="s">
        <v>6</v>
      </c>
      <c r="O223" s="6" t="s">
        <v>6</v>
      </c>
      <c r="P223" s="6" t="s">
        <v>6</v>
      </c>
      <c r="Q223" s="6" t="s">
        <v>6</v>
      </c>
      <c r="R223" s="6" t="s">
        <v>6</v>
      </c>
      <c r="S223" s="6" t="s">
        <v>6</v>
      </c>
      <c r="T223" s="6" t="s">
        <v>6</v>
      </c>
      <c r="U223" s="6" t="s">
        <v>6</v>
      </c>
      <c r="V223" s="6" t="s">
        <v>6</v>
      </c>
      <c r="W223" s="6" t="s">
        <v>6</v>
      </c>
      <c r="X223" s="2" t="str">
        <f t="shared" ca="1" si="25"/>
        <v>Conforme</v>
      </c>
    </row>
    <row r="224" spans="1:24" x14ac:dyDescent="0.25">
      <c r="A224" s="1">
        <v>5</v>
      </c>
      <c r="B224" s="4">
        <v>44903</v>
      </c>
      <c r="C224" s="3" t="s">
        <v>4</v>
      </c>
      <c r="D224" s="6" t="s">
        <v>6</v>
      </c>
      <c r="E224" s="6" t="s">
        <v>6</v>
      </c>
      <c r="F224" s="6" t="s">
        <v>6</v>
      </c>
      <c r="G224" s="6" t="s">
        <v>6</v>
      </c>
      <c r="H224" s="6" t="s">
        <v>6</v>
      </c>
      <c r="I224" s="6" t="s">
        <v>6</v>
      </c>
      <c r="J224" s="6" t="s">
        <v>6</v>
      </c>
      <c r="K224" s="6" t="s">
        <v>6</v>
      </c>
      <c r="L224" s="6" t="s">
        <v>6</v>
      </c>
      <c r="M224" s="6" t="s">
        <v>6</v>
      </c>
      <c r="N224" s="6" t="s">
        <v>6</v>
      </c>
      <c r="O224" s="6" t="s">
        <v>6</v>
      </c>
      <c r="P224" s="6" t="s">
        <v>6</v>
      </c>
      <c r="Q224" s="6" t="s">
        <v>6</v>
      </c>
      <c r="R224" s="6" t="s">
        <v>6</v>
      </c>
      <c r="S224" s="6" t="s">
        <v>6</v>
      </c>
      <c r="T224" s="6" t="s">
        <v>6</v>
      </c>
      <c r="U224" s="6" t="s">
        <v>6</v>
      </c>
      <c r="V224" s="6" t="s">
        <v>6</v>
      </c>
      <c r="W224" s="6" t="s">
        <v>6</v>
      </c>
      <c r="X224" s="2" t="str">
        <f t="shared" ca="1" si="25"/>
        <v>Conforme</v>
      </c>
    </row>
    <row r="225" spans="1:24" x14ac:dyDescent="0.25">
      <c r="A225" s="1">
        <v>6</v>
      </c>
      <c r="B225" s="4">
        <v>44904</v>
      </c>
      <c r="C225" s="3" t="s">
        <v>4</v>
      </c>
      <c r="D225" s="6" t="s">
        <v>6</v>
      </c>
      <c r="E225" s="6" t="s">
        <v>6</v>
      </c>
      <c r="F225" s="6" t="s">
        <v>6</v>
      </c>
      <c r="G225" s="6" t="s">
        <v>6</v>
      </c>
      <c r="H225" s="6" t="s">
        <v>6</v>
      </c>
      <c r="I225" s="6" t="s">
        <v>6</v>
      </c>
      <c r="J225" s="6" t="s">
        <v>6</v>
      </c>
      <c r="K225" s="6" t="s">
        <v>6</v>
      </c>
      <c r="L225" s="6" t="s">
        <v>6</v>
      </c>
      <c r="M225" s="6" t="s">
        <v>6</v>
      </c>
      <c r="N225" s="6" t="s">
        <v>6</v>
      </c>
      <c r="O225" s="6" t="s">
        <v>6</v>
      </c>
      <c r="P225" s="6" t="s">
        <v>6</v>
      </c>
      <c r="Q225" s="6" t="s">
        <v>6</v>
      </c>
      <c r="R225" s="6" t="s">
        <v>6</v>
      </c>
      <c r="S225" s="6" t="s">
        <v>6</v>
      </c>
      <c r="T225" s="6" t="s">
        <v>6</v>
      </c>
      <c r="U225" s="6" t="s">
        <v>6</v>
      </c>
      <c r="V225" s="6" t="s">
        <v>6</v>
      </c>
      <c r="W225" s="6" t="s">
        <v>6</v>
      </c>
      <c r="X225" s="2" t="str">
        <f t="shared" ca="1" si="24"/>
        <v>Conforme</v>
      </c>
    </row>
    <row r="226" spans="1:24" x14ac:dyDescent="0.25">
      <c r="A226" s="1">
        <v>2</v>
      </c>
      <c r="B226" s="4">
        <v>44907</v>
      </c>
      <c r="C226" s="3" t="s">
        <v>4</v>
      </c>
      <c r="D226" s="6" t="s">
        <v>6</v>
      </c>
      <c r="E226" s="6" t="s">
        <v>6</v>
      </c>
      <c r="F226" s="6" t="s">
        <v>6</v>
      </c>
      <c r="G226" s="6" t="s">
        <v>6</v>
      </c>
      <c r="H226" s="6" t="s">
        <v>6</v>
      </c>
      <c r="I226" s="6" t="s">
        <v>6</v>
      </c>
      <c r="J226" s="6" t="s">
        <v>6</v>
      </c>
      <c r="K226" s="6" t="s">
        <v>6</v>
      </c>
      <c r="L226" s="6" t="s">
        <v>6</v>
      </c>
      <c r="M226" s="6" t="s">
        <v>6</v>
      </c>
      <c r="N226" s="6" t="s">
        <v>6</v>
      </c>
      <c r="O226" s="6" t="s">
        <v>6</v>
      </c>
      <c r="P226" s="6" t="s">
        <v>6</v>
      </c>
      <c r="Q226" s="6" t="s">
        <v>6</v>
      </c>
      <c r="R226" s="6" t="s">
        <v>6</v>
      </c>
      <c r="S226" s="6" t="s">
        <v>6</v>
      </c>
      <c r="T226" s="6" t="s">
        <v>6</v>
      </c>
      <c r="U226" s="6" t="s">
        <v>6</v>
      </c>
      <c r="V226" s="6" t="s">
        <v>6</v>
      </c>
      <c r="W226" s="6" t="s">
        <v>6</v>
      </c>
      <c r="X226" s="2" t="str">
        <f t="shared" ca="1" si="24"/>
        <v>Conforme</v>
      </c>
    </row>
    <row r="227" spans="1:24" x14ac:dyDescent="0.25">
      <c r="A227" s="1">
        <v>3</v>
      </c>
      <c r="B227" s="4">
        <v>44908</v>
      </c>
      <c r="C227" s="3" t="s">
        <v>4</v>
      </c>
      <c r="D227" s="6" t="s">
        <v>6</v>
      </c>
      <c r="E227" s="6" t="s">
        <v>6</v>
      </c>
      <c r="F227" s="6" t="s">
        <v>6</v>
      </c>
      <c r="G227" s="6" t="s">
        <v>6</v>
      </c>
      <c r="H227" s="6" t="s">
        <v>6</v>
      </c>
      <c r="I227" s="6" t="s">
        <v>6</v>
      </c>
      <c r="J227" s="6" t="s">
        <v>6</v>
      </c>
      <c r="K227" s="6" t="s">
        <v>6</v>
      </c>
      <c r="L227" s="6" t="s">
        <v>6</v>
      </c>
      <c r="M227" s="6" t="s">
        <v>6</v>
      </c>
      <c r="N227" s="6" t="s">
        <v>6</v>
      </c>
      <c r="O227" s="6" t="s">
        <v>6</v>
      </c>
      <c r="P227" s="6" t="s">
        <v>6</v>
      </c>
      <c r="Q227" s="6" t="s">
        <v>6</v>
      </c>
      <c r="R227" s="6" t="s">
        <v>6</v>
      </c>
      <c r="S227" s="6" t="s">
        <v>6</v>
      </c>
      <c r="T227" s="6" t="s">
        <v>6</v>
      </c>
      <c r="U227" s="6" t="s">
        <v>6</v>
      </c>
      <c r="V227" s="6" t="s">
        <v>6</v>
      </c>
      <c r="W227" s="6" t="s">
        <v>6</v>
      </c>
      <c r="X227" s="2" t="str">
        <f t="shared" ca="1" si="24"/>
        <v>Conforme</v>
      </c>
    </row>
    <row r="228" spans="1:24" x14ac:dyDescent="0.25">
      <c r="A228" s="1">
        <v>4</v>
      </c>
      <c r="B228" s="4">
        <v>44909</v>
      </c>
      <c r="C228" s="3" t="s">
        <v>4</v>
      </c>
      <c r="D228" s="6" t="s">
        <v>6</v>
      </c>
      <c r="E228" s="6" t="s">
        <v>6</v>
      </c>
      <c r="F228" s="6" t="s">
        <v>6</v>
      </c>
      <c r="G228" s="6" t="s">
        <v>6</v>
      </c>
      <c r="H228" s="6" t="s">
        <v>6</v>
      </c>
      <c r="I228" s="6" t="s">
        <v>6</v>
      </c>
      <c r="J228" s="6" t="s">
        <v>6</v>
      </c>
      <c r="K228" s="6" t="s">
        <v>6</v>
      </c>
      <c r="L228" s="6" t="s">
        <v>6</v>
      </c>
      <c r="M228" s="6" t="s">
        <v>6</v>
      </c>
      <c r="N228" s="6" t="s">
        <v>6</v>
      </c>
      <c r="O228" s="6" t="s">
        <v>6</v>
      </c>
      <c r="P228" s="6" t="s">
        <v>6</v>
      </c>
      <c r="Q228" s="6" t="s">
        <v>6</v>
      </c>
      <c r="R228" s="6" t="s">
        <v>6</v>
      </c>
      <c r="S228" s="6" t="s">
        <v>6</v>
      </c>
      <c r="T228" s="6" t="s">
        <v>6</v>
      </c>
      <c r="U228" s="6" t="s">
        <v>6</v>
      </c>
      <c r="V228" s="6" t="s">
        <v>6</v>
      </c>
      <c r="W228" s="6" t="s">
        <v>6</v>
      </c>
      <c r="X228" s="2" t="str">
        <f t="shared" ca="1" si="24"/>
        <v>Conforme</v>
      </c>
    </row>
    <row r="229" spans="1:24" x14ac:dyDescent="0.25">
      <c r="A229" s="1">
        <v>5</v>
      </c>
      <c r="B229" s="4">
        <v>44910</v>
      </c>
      <c r="C229" s="3" t="s">
        <v>4</v>
      </c>
      <c r="D229" s="6" t="s">
        <v>6</v>
      </c>
      <c r="E229" s="6" t="s">
        <v>6</v>
      </c>
      <c r="F229" s="6" t="s">
        <v>6</v>
      </c>
      <c r="G229" s="6" t="s">
        <v>6</v>
      </c>
      <c r="H229" s="6" t="s">
        <v>6</v>
      </c>
      <c r="I229" s="6" t="s">
        <v>6</v>
      </c>
      <c r="J229" s="6" t="s">
        <v>6</v>
      </c>
      <c r="K229" s="6" t="s">
        <v>6</v>
      </c>
      <c r="L229" s="6" t="s">
        <v>6</v>
      </c>
      <c r="M229" s="6" t="s">
        <v>6</v>
      </c>
      <c r="N229" s="6" t="s">
        <v>6</v>
      </c>
      <c r="O229" s="6" t="s">
        <v>6</v>
      </c>
      <c r="P229" s="6" t="s">
        <v>6</v>
      </c>
      <c r="Q229" s="6" t="s">
        <v>6</v>
      </c>
      <c r="R229" s="6" t="s">
        <v>6</v>
      </c>
      <c r="S229" s="6" t="s">
        <v>6</v>
      </c>
      <c r="T229" s="6" t="s">
        <v>6</v>
      </c>
      <c r="U229" s="6" t="s">
        <v>6</v>
      </c>
      <c r="V229" s="6" t="s">
        <v>6</v>
      </c>
      <c r="W229" s="6" t="s">
        <v>6</v>
      </c>
      <c r="X229" s="2" t="str">
        <f t="shared" ca="1" si="24"/>
        <v>Conforme</v>
      </c>
    </row>
    <row r="230" spans="1:24" x14ac:dyDescent="0.25">
      <c r="A230" s="1">
        <v>6</v>
      </c>
      <c r="B230" s="4">
        <v>44911</v>
      </c>
      <c r="C230" s="3" t="s">
        <v>4</v>
      </c>
      <c r="D230" s="6" t="s">
        <v>6</v>
      </c>
      <c r="E230" s="6" t="s">
        <v>6</v>
      </c>
      <c r="F230" s="6" t="s">
        <v>6</v>
      </c>
      <c r="G230" s="6" t="s">
        <v>6</v>
      </c>
      <c r="H230" s="6" t="s">
        <v>6</v>
      </c>
      <c r="I230" s="6" t="s">
        <v>6</v>
      </c>
      <c r="J230" s="6" t="s">
        <v>6</v>
      </c>
      <c r="K230" s="6" t="s">
        <v>6</v>
      </c>
      <c r="L230" s="6" t="s">
        <v>6</v>
      </c>
      <c r="M230" s="6" t="s">
        <v>6</v>
      </c>
      <c r="N230" s="6" t="s">
        <v>6</v>
      </c>
      <c r="O230" s="6" t="s">
        <v>6</v>
      </c>
      <c r="P230" s="6" t="s">
        <v>6</v>
      </c>
      <c r="Q230" s="6" t="s">
        <v>6</v>
      </c>
      <c r="R230" s="6" t="s">
        <v>6</v>
      </c>
      <c r="S230" s="6" t="s">
        <v>6</v>
      </c>
      <c r="T230" s="6" t="s">
        <v>6</v>
      </c>
      <c r="U230" s="6" t="s">
        <v>6</v>
      </c>
      <c r="V230" s="6" t="s">
        <v>6</v>
      </c>
      <c r="W230" s="6" t="s">
        <v>6</v>
      </c>
      <c r="X230" s="2" t="str">
        <f t="shared" ca="1" si="24"/>
        <v>Conforme</v>
      </c>
    </row>
    <row r="231" spans="1:24" x14ac:dyDescent="0.25">
      <c r="A231" s="1">
        <v>2</v>
      </c>
      <c r="B231" s="4">
        <v>44914</v>
      </c>
      <c r="C231" s="3" t="s">
        <v>4</v>
      </c>
      <c r="D231" s="6" t="s">
        <v>47</v>
      </c>
      <c r="E231" s="6" t="s">
        <v>47</v>
      </c>
      <c r="F231" s="6" t="s">
        <v>47</v>
      </c>
      <c r="G231" s="6" t="s">
        <v>47</v>
      </c>
      <c r="H231" s="6" t="s">
        <v>47</v>
      </c>
      <c r="I231" s="6" t="s">
        <v>47</v>
      </c>
      <c r="J231" s="6" t="s">
        <v>47</v>
      </c>
      <c r="K231" s="6" t="s">
        <v>47</v>
      </c>
      <c r="L231" s="6" t="s">
        <v>47</v>
      </c>
      <c r="M231" s="6" t="s">
        <v>47</v>
      </c>
      <c r="N231" s="6" t="s">
        <v>47</v>
      </c>
      <c r="O231" s="6" t="s">
        <v>47</v>
      </c>
      <c r="P231" s="6" t="s">
        <v>47</v>
      </c>
      <c r="Q231" s="6" t="s">
        <v>47</v>
      </c>
      <c r="R231" s="6" t="s">
        <v>47</v>
      </c>
      <c r="S231" s="6" t="s">
        <v>47</v>
      </c>
      <c r="T231" s="6" t="s">
        <v>47</v>
      </c>
      <c r="U231" s="6" t="s">
        <v>47</v>
      </c>
      <c r="V231" s="6" t="s">
        <v>47</v>
      </c>
      <c r="W231" s="6" t="s">
        <v>47</v>
      </c>
      <c r="X231" s="2" t="str">
        <f t="shared" ca="1" si="24"/>
        <v>Conforme</v>
      </c>
    </row>
    <row r="232" spans="1:24" x14ac:dyDescent="0.25">
      <c r="A232" s="1">
        <v>3</v>
      </c>
      <c r="B232" s="4">
        <v>44915</v>
      </c>
      <c r="C232" s="3" t="s">
        <v>4</v>
      </c>
      <c r="D232" s="6" t="s">
        <v>47</v>
      </c>
      <c r="E232" s="6" t="s">
        <v>47</v>
      </c>
      <c r="F232" s="6" t="s">
        <v>47</v>
      </c>
      <c r="G232" s="6" t="s">
        <v>47</v>
      </c>
      <c r="H232" s="6" t="s">
        <v>47</v>
      </c>
      <c r="I232" s="6" t="s">
        <v>47</v>
      </c>
      <c r="J232" s="6" t="s">
        <v>47</v>
      </c>
      <c r="K232" s="6" t="s">
        <v>47</v>
      </c>
      <c r="L232" s="6" t="s">
        <v>47</v>
      </c>
      <c r="M232" s="6" t="s">
        <v>47</v>
      </c>
      <c r="N232" s="6" t="s">
        <v>47</v>
      </c>
      <c r="O232" s="6" t="s">
        <v>47</v>
      </c>
      <c r="P232" s="6" t="s">
        <v>47</v>
      </c>
      <c r="Q232" s="6" t="s">
        <v>47</v>
      </c>
      <c r="R232" s="6" t="s">
        <v>47</v>
      </c>
      <c r="S232" s="6" t="s">
        <v>47</v>
      </c>
      <c r="T232" s="6" t="s">
        <v>47</v>
      </c>
      <c r="U232" s="6" t="s">
        <v>47</v>
      </c>
      <c r="V232" s="6" t="s">
        <v>47</v>
      </c>
      <c r="W232" s="6" t="s">
        <v>47</v>
      </c>
      <c r="X232" s="2" t="str">
        <f t="shared" ca="1" si="24"/>
        <v>Conforme</v>
      </c>
    </row>
    <row r="233" spans="1:24" x14ac:dyDescent="0.25">
      <c r="A233" s="1">
        <v>4</v>
      </c>
      <c r="B233" s="4">
        <v>44916</v>
      </c>
      <c r="C233" s="3" t="s">
        <v>4</v>
      </c>
      <c r="D233" s="6" t="s">
        <v>47</v>
      </c>
      <c r="E233" s="6" t="s">
        <v>47</v>
      </c>
      <c r="F233" s="6" t="s">
        <v>47</v>
      </c>
      <c r="G233" s="6" t="s">
        <v>47</v>
      </c>
      <c r="H233" s="6" t="s">
        <v>47</v>
      </c>
      <c r="I233" s="6" t="s">
        <v>47</v>
      </c>
      <c r="J233" s="6" t="s">
        <v>47</v>
      </c>
      <c r="K233" s="6" t="s">
        <v>47</v>
      </c>
      <c r="L233" s="6" t="s">
        <v>47</v>
      </c>
      <c r="M233" s="6" t="s">
        <v>47</v>
      </c>
      <c r="N233" s="6" t="s">
        <v>47</v>
      </c>
      <c r="O233" s="6" t="s">
        <v>47</v>
      </c>
      <c r="P233" s="6" t="s">
        <v>47</v>
      </c>
      <c r="Q233" s="6" t="s">
        <v>47</v>
      </c>
      <c r="R233" s="6" t="s">
        <v>47</v>
      </c>
      <c r="S233" s="6" t="s">
        <v>47</v>
      </c>
      <c r="T233" s="6" t="s">
        <v>47</v>
      </c>
      <c r="U233" s="6" t="s">
        <v>47</v>
      </c>
      <c r="V233" s="6" t="s">
        <v>47</v>
      </c>
      <c r="W233" s="6" t="s">
        <v>47</v>
      </c>
      <c r="X233" s="2" t="str">
        <f t="shared" ca="1" si="24"/>
        <v>Conforme</v>
      </c>
    </row>
    <row r="234" spans="1:24" x14ac:dyDescent="0.25">
      <c r="A234" s="1">
        <v>5</v>
      </c>
      <c r="B234" s="4">
        <v>44917</v>
      </c>
      <c r="C234" s="3" t="s">
        <v>4</v>
      </c>
      <c r="D234" s="6" t="s">
        <v>47</v>
      </c>
      <c r="E234" s="6" t="s">
        <v>47</v>
      </c>
      <c r="F234" s="6" t="s">
        <v>47</v>
      </c>
      <c r="G234" s="6" t="s">
        <v>47</v>
      </c>
      <c r="H234" s="6" t="s">
        <v>47</v>
      </c>
      <c r="I234" s="6" t="s">
        <v>47</v>
      </c>
      <c r="J234" s="6" t="s">
        <v>47</v>
      </c>
      <c r="K234" s="6" t="s">
        <v>47</v>
      </c>
      <c r="L234" s="6" t="s">
        <v>47</v>
      </c>
      <c r="M234" s="6" t="s">
        <v>47</v>
      </c>
      <c r="N234" s="6" t="s">
        <v>47</v>
      </c>
      <c r="O234" s="6" t="s">
        <v>47</v>
      </c>
      <c r="P234" s="6" t="s">
        <v>47</v>
      </c>
      <c r="Q234" s="6" t="s">
        <v>47</v>
      </c>
      <c r="R234" s="6" t="s">
        <v>47</v>
      </c>
      <c r="S234" s="6" t="s">
        <v>47</v>
      </c>
      <c r="T234" s="6" t="s">
        <v>47</v>
      </c>
      <c r="U234" s="6" t="s">
        <v>47</v>
      </c>
      <c r="V234" s="6" t="s">
        <v>47</v>
      </c>
      <c r="W234" s="6" t="s">
        <v>47</v>
      </c>
      <c r="X234" s="2" t="str">
        <f t="shared" ca="1" si="24"/>
        <v>Conforme</v>
      </c>
    </row>
    <row r="235" spans="1:24" x14ac:dyDescent="0.25">
      <c r="A235" s="1">
        <v>6</v>
      </c>
      <c r="B235" s="4">
        <v>44918</v>
      </c>
      <c r="C235" s="3" t="s">
        <v>4</v>
      </c>
      <c r="D235" s="6" t="s">
        <v>47</v>
      </c>
      <c r="E235" s="6" t="s">
        <v>47</v>
      </c>
      <c r="F235" s="6" t="s">
        <v>47</v>
      </c>
      <c r="G235" s="6" t="s">
        <v>47</v>
      </c>
      <c r="H235" s="6" t="s">
        <v>47</v>
      </c>
      <c r="I235" s="6" t="s">
        <v>47</v>
      </c>
      <c r="J235" s="6" t="s">
        <v>47</v>
      </c>
      <c r="K235" s="6" t="s">
        <v>47</v>
      </c>
      <c r="L235" s="6" t="s">
        <v>47</v>
      </c>
      <c r="M235" s="6" t="s">
        <v>47</v>
      </c>
      <c r="N235" s="6" t="s">
        <v>47</v>
      </c>
      <c r="O235" s="6" t="s">
        <v>47</v>
      </c>
      <c r="P235" s="6" t="s">
        <v>47</v>
      </c>
      <c r="Q235" s="6" t="s">
        <v>47</v>
      </c>
      <c r="R235" s="6" t="s">
        <v>47</v>
      </c>
      <c r="S235" s="6" t="s">
        <v>47</v>
      </c>
      <c r="T235" s="6" t="s">
        <v>47</v>
      </c>
      <c r="U235" s="6" t="s">
        <v>47</v>
      </c>
      <c r="V235" s="6" t="s">
        <v>47</v>
      </c>
      <c r="W235" s="6" t="s">
        <v>47</v>
      </c>
      <c r="X235" s="2" t="str">
        <f t="shared" ca="1" si="24"/>
        <v>Conforme</v>
      </c>
    </row>
    <row r="236" spans="1:24" x14ac:dyDescent="0.25">
      <c r="A236" s="1">
        <v>2</v>
      </c>
      <c r="B236" s="4">
        <v>44921</v>
      </c>
      <c r="C236" s="3" t="s">
        <v>4</v>
      </c>
      <c r="D236" s="6" t="s">
        <v>47</v>
      </c>
      <c r="E236" s="6" t="s">
        <v>47</v>
      </c>
      <c r="F236" s="6" t="s">
        <v>47</v>
      </c>
      <c r="G236" s="6" t="s">
        <v>47</v>
      </c>
      <c r="H236" s="6" t="s">
        <v>47</v>
      </c>
      <c r="I236" s="6" t="s">
        <v>47</v>
      </c>
      <c r="J236" s="6" t="s">
        <v>47</v>
      </c>
      <c r="K236" s="6" t="s">
        <v>47</v>
      </c>
      <c r="L236" s="6" t="s">
        <v>47</v>
      </c>
      <c r="M236" s="6" t="s">
        <v>47</v>
      </c>
      <c r="N236" s="6" t="s">
        <v>47</v>
      </c>
      <c r="O236" s="6" t="s">
        <v>47</v>
      </c>
      <c r="P236" s="6" t="s">
        <v>47</v>
      </c>
      <c r="Q236" s="6" t="s">
        <v>47</v>
      </c>
      <c r="R236" s="6" t="s">
        <v>47</v>
      </c>
      <c r="S236" s="6" t="s">
        <v>47</v>
      </c>
      <c r="T236" s="6" t="s">
        <v>47</v>
      </c>
      <c r="U236" s="6" t="s">
        <v>47</v>
      </c>
      <c r="V236" s="6" t="s">
        <v>47</v>
      </c>
      <c r="W236" s="6" t="s">
        <v>47</v>
      </c>
      <c r="X236" s="2" t="str">
        <f t="shared" ca="1" si="24"/>
        <v>Conforme</v>
      </c>
    </row>
    <row r="237" spans="1:24" x14ac:dyDescent="0.25">
      <c r="A237" s="1">
        <v>3</v>
      </c>
      <c r="B237" s="4">
        <v>44922</v>
      </c>
      <c r="C237" s="3" t="s">
        <v>4</v>
      </c>
      <c r="D237" s="6" t="s">
        <v>47</v>
      </c>
      <c r="E237" s="6" t="s">
        <v>47</v>
      </c>
      <c r="F237" s="6" t="s">
        <v>47</v>
      </c>
      <c r="G237" s="6" t="s">
        <v>47</v>
      </c>
      <c r="H237" s="6" t="s">
        <v>47</v>
      </c>
      <c r="I237" s="6" t="s">
        <v>47</v>
      </c>
      <c r="J237" s="6" t="s">
        <v>47</v>
      </c>
      <c r="K237" s="6" t="s">
        <v>47</v>
      </c>
      <c r="L237" s="6" t="s">
        <v>47</v>
      </c>
      <c r="M237" s="6" t="s">
        <v>47</v>
      </c>
      <c r="N237" s="6" t="s">
        <v>47</v>
      </c>
      <c r="O237" s="6" t="s">
        <v>47</v>
      </c>
      <c r="P237" s="6" t="s">
        <v>47</v>
      </c>
      <c r="Q237" s="6" t="s">
        <v>47</v>
      </c>
      <c r="R237" s="6" t="s">
        <v>47</v>
      </c>
      <c r="S237" s="6" t="s">
        <v>47</v>
      </c>
      <c r="T237" s="6" t="s">
        <v>47</v>
      </c>
      <c r="U237" s="6" t="s">
        <v>47</v>
      </c>
      <c r="V237" s="6" t="s">
        <v>47</v>
      </c>
      <c r="W237" s="6" t="s">
        <v>47</v>
      </c>
      <c r="X237" s="2" t="str">
        <f t="shared" ca="1" si="24"/>
        <v>Conforme</v>
      </c>
    </row>
    <row r="238" spans="1:24" x14ac:dyDescent="0.25">
      <c r="A238" s="1">
        <v>4</v>
      </c>
      <c r="B238" s="4">
        <v>44923</v>
      </c>
      <c r="C238" s="3" t="s">
        <v>4</v>
      </c>
      <c r="D238" s="6" t="s">
        <v>47</v>
      </c>
      <c r="E238" s="6" t="s">
        <v>47</v>
      </c>
      <c r="F238" s="6" t="s">
        <v>47</v>
      </c>
      <c r="G238" s="6" t="s">
        <v>47</v>
      </c>
      <c r="H238" s="6" t="s">
        <v>47</v>
      </c>
      <c r="I238" s="6" t="s">
        <v>47</v>
      </c>
      <c r="J238" s="6" t="s">
        <v>47</v>
      </c>
      <c r="K238" s="6" t="s">
        <v>47</v>
      </c>
      <c r="L238" s="6" t="s">
        <v>47</v>
      </c>
      <c r="M238" s="6" t="s">
        <v>47</v>
      </c>
      <c r="N238" s="6" t="s">
        <v>47</v>
      </c>
      <c r="O238" s="6" t="s">
        <v>47</v>
      </c>
      <c r="P238" s="6" t="s">
        <v>47</v>
      </c>
      <c r="Q238" s="6" t="s">
        <v>47</v>
      </c>
      <c r="R238" s="6" t="s">
        <v>47</v>
      </c>
      <c r="S238" s="6" t="s">
        <v>47</v>
      </c>
      <c r="T238" s="6" t="s">
        <v>47</v>
      </c>
      <c r="U238" s="6" t="s">
        <v>47</v>
      </c>
      <c r="V238" s="6" t="s">
        <v>47</v>
      </c>
      <c r="W238" s="6" t="s">
        <v>47</v>
      </c>
      <c r="X238" s="2" t="str">
        <f t="shared" ca="1" si="24"/>
        <v>Conforme</v>
      </c>
    </row>
    <row r="239" spans="1:24" x14ac:dyDescent="0.25">
      <c r="A239" s="1">
        <v>5</v>
      </c>
      <c r="B239" s="4">
        <v>44924</v>
      </c>
      <c r="C239" s="3" t="s">
        <v>4</v>
      </c>
      <c r="D239" s="6" t="s">
        <v>47</v>
      </c>
      <c r="E239" s="6" t="s">
        <v>47</v>
      </c>
      <c r="F239" s="6" t="s">
        <v>47</v>
      </c>
      <c r="G239" s="6" t="s">
        <v>47</v>
      </c>
      <c r="H239" s="6" t="s">
        <v>47</v>
      </c>
      <c r="I239" s="6" t="s">
        <v>47</v>
      </c>
      <c r="J239" s="6" t="s">
        <v>47</v>
      </c>
      <c r="K239" s="6" t="s">
        <v>47</v>
      </c>
      <c r="L239" s="6" t="s">
        <v>47</v>
      </c>
      <c r="M239" s="6" t="s">
        <v>47</v>
      </c>
      <c r="N239" s="6" t="s">
        <v>47</v>
      </c>
      <c r="O239" s="6" t="s">
        <v>47</v>
      </c>
      <c r="P239" s="6" t="s">
        <v>47</v>
      </c>
      <c r="Q239" s="6" t="s">
        <v>47</v>
      </c>
      <c r="R239" s="6" t="s">
        <v>47</v>
      </c>
      <c r="S239" s="6" t="s">
        <v>47</v>
      </c>
      <c r="T239" s="6" t="s">
        <v>47</v>
      </c>
      <c r="U239" s="6" t="s">
        <v>47</v>
      </c>
      <c r="V239" s="6" t="s">
        <v>47</v>
      </c>
      <c r="W239" s="6" t="s">
        <v>47</v>
      </c>
      <c r="X239" s="2" t="str">
        <f t="shared" ca="1" si="24"/>
        <v>Conforme</v>
      </c>
    </row>
    <row r="240" spans="1:24" x14ac:dyDescent="0.25">
      <c r="A240" s="1">
        <v>6</v>
      </c>
      <c r="B240" s="4">
        <v>44925</v>
      </c>
      <c r="C240" s="3" t="s">
        <v>4</v>
      </c>
      <c r="D240" s="6" t="s">
        <v>47</v>
      </c>
      <c r="E240" s="6" t="s">
        <v>47</v>
      </c>
      <c r="F240" s="6" t="s">
        <v>47</v>
      </c>
      <c r="G240" s="6" t="s">
        <v>47</v>
      </c>
      <c r="H240" s="6" t="s">
        <v>47</v>
      </c>
      <c r="I240" s="6" t="s">
        <v>47</v>
      </c>
      <c r="J240" s="6" t="s">
        <v>47</v>
      </c>
      <c r="K240" s="6" t="s">
        <v>47</v>
      </c>
      <c r="L240" s="6" t="s">
        <v>47</v>
      </c>
      <c r="M240" s="6" t="s">
        <v>47</v>
      </c>
      <c r="N240" s="6" t="s">
        <v>47</v>
      </c>
      <c r="O240" s="6" t="s">
        <v>47</v>
      </c>
      <c r="P240" s="6" t="s">
        <v>47</v>
      </c>
      <c r="Q240" s="6" t="s">
        <v>47</v>
      </c>
      <c r="R240" s="6" t="s">
        <v>47</v>
      </c>
      <c r="S240" s="6" t="s">
        <v>47</v>
      </c>
      <c r="T240" s="6" t="s">
        <v>47</v>
      </c>
      <c r="U240" s="6" t="s">
        <v>47</v>
      </c>
      <c r="V240" s="6" t="s">
        <v>47</v>
      </c>
      <c r="W240" s="6" t="s">
        <v>47</v>
      </c>
      <c r="X240" s="2" t="str">
        <f t="shared" ca="1" si="24"/>
        <v>Conforme</v>
      </c>
    </row>
    <row r="241" spans="1:24" x14ac:dyDescent="0.25">
      <c r="A241" s="1">
        <v>2</v>
      </c>
      <c r="B241" s="4">
        <v>44928</v>
      </c>
      <c r="C241" s="3" t="s">
        <v>4</v>
      </c>
      <c r="D241" s="6" t="s">
        <v>47</v>
      </c>
      <c r="E241" s="6" t="s">
        <v>47</v>
      </c>
      <c r="F241" s="6" t="s">
        <v>47</v>
      </c>
      <c r="G241" s="6" t="s">
        <v>47</v>
      </c>
      <c r="H241" s="6" t="s">
        <v>47</v>
      </c>
      <c r="I241" s="6" t="s">
        <v>47</v>
      </c>
      <c r="J241" s="6" t="s">
        <v>47</v>
      </c>
      <c r="K241" s="6" t="s">
        <v>47</v>
      </c>
      <c r="L241" s="6" t="s">
        <v>47</v>
      </c>
      <c r="M241" s="6" t="s">
        <v>47</v>
      </c>
      <c r="N241" s="6" t="s">
        <v>47</v>
      </c>
      <c r="O241" s="6" t="s">
        <v>47</v>
      </c>
      <c r="P241" s="6" t="s">
        <v>47</v>
      </c>
      <c r="Q241" s="6" t="s">
        <v>47</v>
      </c>
      <c r="R241" s="6" t="s">
        <v>47</v>
      </c>
      <c r="S241" s="6" t="s">
        <v>47</v>
      </c>
      <c r="T241" s="6" t="s">
        <v>47</v>
      </c>
      <c r="U241" s="6" t="s">
        <v>47</v>
      </c>
      <c r="V241" s="6" t="s">
        <v>47</v>
      </c>
      <c r="W241" s="6" t="s">
        <v>47</v>
      </c>
      <c r="X241" s="2" t="str">
        <f t="shared" ca="1" si="24"/>
        <v>Conforme</v>
      </c>
    </row>
    <row r="242" spans="1:24" x14ac:dyDescent="0.25">
      <c r="A242" s="1">
        <v>3</v>
      </c>
      <c r="B242" s="4">
        <v>44929</v>
      </c>
      <c r="C242" s="3" t="s">
        <v>4</v>
      </c>
      <c r="D242" s="6" t="s">
        <v>47</v>
      </c>
      <c r="E242" s="6" t="s">
        <v>47</v>
      </c>
      <c r="F242" s="6" t="s">
        <v>47</v>
      </c>
      <c r="G242" s="6" t="s">
        <v>47</v>
      </c>
      <c r="H242" s="6" t="s">
        <v>47</v>
      </c>
      <c r="I242" s="6" t="s">
        <v>47</v>
      </c>
      <c r="J242" s="6" t="s">
        <v>47</v>
      </c>
      <c r="K242" s="6" t="s">
        <v>47</v>
      </c>
      <c r="L242" s="6" t="s">
        <v>47</v>
      </c>
      <c r="M242" s="6" t="s">
        <v>47</v>
      </c>
      <c r="N242" s="6" t="s">
        <v>47</v>
      </c>
      <c r="O242" s="6" t="s">
        <v>47</v>
      </c>
      <c r="P242" s="6" t="s">
        <v>47</v>
      </c>
      <c r="Q242" s="6" t="s">
        <v>47</v>
      </c>
      <c r="R242" s="6" t="s">
        <v>47</v>
      </c>
      <c r="S242" s="6" t="s">
        <v>47</v>
      </c>
      <c r="T242" s="6" t="s">
        <v>47</v>
      </c>
      <c r="U242" s="6" t="s">
        <v>47</v>
      </c>
      <c r="V242" s="6" t="s">
        <v>47</v>
      </c>
      <c r="W242" s="6" t="s">
        <v>47</v>
      </c>
      <c r="X242" s="2" t="str">
        <f t="shared" ca="1" si="24"/>
        <v>Conforme</v>
      </c>
    </row>
    <row r="243" spans="1:24" x14ac:dyDescent="0.25">
      <c r="A243" s="1">
        <v>4</v>
      </c>
      <c r="B243" s="4">
        <v>44930</v>
      </c>
      <c r="C243" s="3" t="s">
        <v>4</v>
      </c>
      <c r="D243" s="6" t="s">
        <v>47</v>
      </c>
      <c r="E243" s="6" t="s">
        <v>47</v>
      </c>
      <c r="F243" s="6" t="s">
        <v>47</v>
      </c>
      <c r="G243" s="6" t="s">
        <v>47</v>
      </c>
      <c r="H243" s="6" t="s">
        <v>47</v>
      </c>
      <c r="I243" s="6" t="s">
        <v>47</v>
      </c>
      <c r="J243" s="6" t="s">
        <v>47</v>
      </c>
      <c r="K243" s="6" t="s">
        <v>47</v>
      </c>
      <c r="L243" s="6" t="s">
        <v>47</v>
      </c>
      <c r="M243" s="6" t="s">
        <v>47</v>
      </c>
      <c r="N243" s="6" t="s">
        <v>47</v>
      </c>
      <c r="O243" s="6" t="s">
        <v>47</v>
      </c>
      <c r="P243" s="6" t="s">
        <v>47</v>
      </c>
      <c r="Q243" s="6" t="s">
        <v>47</v>
      </c>
      <c r="R243" s="6" t="s">
        <v>47</v>
      </c>
      <c r="S243" s="6" t="s">
        <v>47</v>
      </c>
      <c r="T243" s="6" t="s">
        <v>47</v>
      </c>
      <c r="U243" s="6" t="s">
        <v>47</v>
      </c>
      <c r="V243" s="6" t="s">
        <v>47</v>
      </c>
      <c r="W243" s="6" t="s">
        <v>47</v>
      </c>
      <c r="X243" s="2" t="str">
        <f t="shared" ca="1" si="24"/>
        <v>Conforme</v>
      </c>
    </row>
    <row r="244" spans="1:24" x14ac:dyDescent="0.25">
      <c r="A244" s="1">
        <v>5</v>
      </c>
      <c r="B244" s="4">
        <v>44931</v>
      </c>
      <c r="C244" s="3" t="s">
        <v>4</v>
      </c>
      <c r="D244" s="6" t="s">
        <v>47</v>
      </c>
      <c r="E244" s="6" t="s">
        <v>47</v>
      </c>
      <c r="F244" s="6" t="s">
        <v>47</v>
      </c>
      <c r="G244" s="6" t="s">
        <v>47</v>
      </c>
      <c r="H244" s="6" t="s">
        <v>47</v>
      </c>
      <c r="I244" s="6" t="s">
        <v>47</v>
      </c>
      <c r="J244" s="6" t="s">
        <v>47</v>
      </c>
      <c r="K244" s="6" t="s">
        <v>47</v>
      </c>
      <c r="L244" s="6" t="s">
        <v>47</v>
      </c>
      <c r="M244" s="6" t="s">
        <v>47</v>
      </c>
      <c r="N244" s="6" t="s">
        <v>47</v>
      </c>
      <c r="O244" s="6" t="s">
        <v>47</v>
      </c>
      <c r="P244" s="6" t="s">
        <v>47</v>
      </c>
      <c r="Q244" s="6" t="s">
        <v>47</v>
      </c>
      <c r="R244" s="6" t="s">
        <v>47</v>
      </c>
      <c r="S244" s="6" t="s">
        <v>47</v>
      </c>
      <c r="T244" s="6" t="s">
        <v>47</v>
      </c>
      <c r="U244" s="6" t="s">
        <v>47</v>
      </c>
      <c r="V244" s="6" t="s">
        <v>47</v>
      </c>
      <c r="W244" s="6" t="s">
        <v>47</v>
      </c>
      <c r="X244" s="2" t="str">
        <f t="shared" ca="1" si="24"/>
        <v>Conforme</v>
      </c>
    </row>
    <row r="245" spans="1:24" x14ac:dyDescent="0.25">
      <c r="A245" s="1">
        <v>6</v>
      </c>
      <c r="B245" s="4">
        <v>44932</v>
      </c>
      <c r="C245" s="3" t="s">
        <v>4</v>
      </c>
      <c r="D245" s="6" t="s">
        <v>47</v>
      </c>
      <c r="E245" s="6" t="s">
        <v>47</v>
      </c>
      <c r="F245" s="6" t="s">
        <v>47</v>
      </c>
      <c r="G245" s="6" t="s">
        <v>47</v>
      </c>
      <c r="H245" s="6" t="s">
        <v>47</v>
      </c>
      <c r="I245" s="6" t="s">
        <v>47</v>
      </c>
      <c r="J245" s="6" t="s">
        <v>47</v>
      </c>
      <c r="K245" s="6" t="s">
        <v>47</v>
      </c>
      <c r="L245" s="6" t="s">
        <v>47</v>
      </c>
      <c r="M245" s="6" t="s">
        <v>47</v>
      </c>
      <c r="N245" s="6" t="s">
        <v>47</v>
      </c>
      <c r="O245" s="6" t="s">
        <v>47</v>
      </c>
      <c r="P245" s="6" t="s">
        <v>47</v>
      </c>
      <c r="Q245" s="6" t="s">
        <v>47</v>
      </c>
      <c r="R245" s="6" t="s">
        <v>47</v>
      </c>
      <c r="S245" s="6" t="s">
        <v>47</v>
      </c>
      <c r="T245" s="6" t="s">
        <v>47</v>
      </c>
      <c r="U245" s="6" t="s">
        <v>47</v>
      </c>
      <c r="V245" s="6" t="s">
        <v>47</v>
      </c>
      <c r="W245" s="6" t="s">
        <v>47</v>
      </c>
      <c r="X245" s="2" t="str">
        <f t="shared" ca="1" si="24"/>
        <v>Conforme</v>
      </c>
    </row>
    <row r="246" spans="1:24" x14ac:dyDescent="0.25">
      <c r="A246" s="1">
        <v>2</v>
      </c>
      <c r="B246" s="4">
        <v>44935</v>
      </c>
      <c r="C246" s="3" t="s">
        <v>4</v>
      </c>
      <c r="D246" s="6" t="s">
        <v>47</v>
      </c>
      <c r="E246" s="6" t="s">
        <v>47</v>
      </c>
      <c r="F246" s="6" t="s">
        <v>47</v>
      </c>
      <c r="G246" s="6" t="s">
        <v>47</v>
      </c>
      <c r="H246" s="6" t="s">
        <v>47</v>
      </c>
      <c r="I246" s="6" t="s">
        <v>47</v>
      </c>
      <c r="J246" s="6" t="s">
        <v>47</v>
      </c>
      <c r="K246" s="6" t="s">
        <v>47</v>
      </c>
      <c r="L246" s="6" t="s">
        <v>47</v>
      </c>
      <c r="M246" s="6" t="s">
        <v>47</v>
      </c>
      <c r="N246" s="6" t="s">
        <v>47</v>
      </c>
      <c r="O246" s="6" t="s">
        <v>47</v>
      </c>
      <c r="P246" s="6" t="s">
        <v>47</v>
      </c>
      <c r="Q246" s="6" t="s">
        <v>47</v>
      </c>
      <c r="R246" s="6" t="s">
        <v>47</v>
      </c>
      <c r="S246" s="6" t="s">
        <v>47</v>
      </c>
      <c r="T246" s="6" t="s">
        <v>47</v>
      </c>
      <c r="U246" s="6" t="s">
        <v>47</v>
      </c>
      <c r="V246" s="6" t="s">
        <v>47</v>
      </c>
      <c r="W246" s="6" t="s">
        <v>47</v>
      </c>
      <c r="X246" s="2" t="str">
        <f t="shared" ref="X246" ca="1" si="26">IF(B246&lt;TODAY(),IF(COUNTBLANK(D246:W246)=0,"Conforme","Não conforme"),"")</f>
        <v>Conforme</v>
      </c>
    </row>
    <row r="247" spans="1:24" x14ac:dyDescent="0.25">
      <c r="A247" s="1">
        <v>3</v>
      </c>
      <c r="B247" s="4">
        <v>44936</v>
      </c>
      <c r="C247" s="3" t="s">
        <v>4</v>
      </c>
      <c r="D247" s="6" t="s">
        <v>47</v>
      </c>
      <c r="E247" s="6" t="s">
        <v>47</v>
      </c>
      <c r="F247" s="6" t="s">
        <v>47</v>
      </c>
      <c r="G247" s="6" t="s">
        <v>47</v>
      </c>
      <c r="H247" s="6" t="s">
        <v>47</v>
      </c>
      <c r="I247" s="6" t="s">
        <v>47</v>
      </c>
      <c r="J247" s="6" t="s">
        <v>47</v>
      </c>
      <c r="K247" s="6" t="s">
        <v>47</v>
      </c>
      <c r="L247" s="6" t="s">
        <v>47</v>
      </c>
      <c r="M247" s="6" t="s">
        <v>47</v>
      </c>
      <c r="N247" s="6" t="s">
        <v>47</v>
      </c>
      <c r="O247" s="6" t="s">
        <v>47</v>
      </c>
      <c r="P247" s="6" t="s">
        <v>47</v>
      </c>
      <c r="Q247" s="6" t="s">
        <v>47</v>
      </c>
      <c r="R247" s="6" t="s">
        <v>47</v>
      </c>
      <c r="S247" s="6" t="s">
        <v>47</v>
      </c>
      <c r="T247" s="6" t="s">
        <v>47</v>
      </c>
      <c r="U247" s="6" t="s">
        <v>47</v>
      </c>
      <c r="V247" s="6" t="s">
        <v>47</v>
      </c>
      <c r="W247" s="6" t="s">
        <v>47</v>
      </c>
      <c r="X247" s="2" t="str">
        <f t="shared" ca="1" si="24"/>
        <v>Conforme</v>
      </c>
    </row>
    <row r="248" spans="1:24" x14ac:dyDescent="0.25">
      <c r="A248" s="1">
        <v>4</v>
      </c>
      <c r="B248" s="4">
        <v>44937</v>
      </c>
      <c r="C248" s="3" t="s">
        <v>4</v>
      </c>
      <c r="D248" s="6" t="s">
        <v>47</v>
      </c>
      <c r="E248" s="6" t="s">
        <v>47</v>
      </c>
      <c r="F248" s="6" t="s">
        <v>47</v>
      </c>
      <c r="G248" s="6" t="s">
        <v>47</v>
      </c>
      <c r="H248" s="6" t="s">
        <v>47</v>
      </c>
      <c r="I248" s="6" t="s">
        <v>47</v>
      </c>
      <c r="J248" s="6" t="s">
        <v>47</v>
      </c>
      <c r="K248" s="6" t="s">
        <v>47</v>
      </c>
      <c r="L248" s="6" t="s">
        <v>47</v>
      </c>
      <c r="M248" s="6" t="s">
        <v>47</v>
      </c>
      <c r="N248" s="6" t="s">
        <v>47</v>
      </c>
      <c r="O248" s="6" t="s">
        <v>47</v>
      </c>
      <c r="P248" s="6" t="s">
        <v>47</v>
      </c>
      <c r="Q248" s="6" t="s">
        <v>47</v>
      </c>
      <c r="R248" s="6" t="s">
        <v>47</v>
      </c>
      <c r="S248" s="6" t="s">
        <v>47</v>
      </c>
      <c r="T248" s="6" t="s">
        <v>47</v>
      </c>
      <c r="U248" s="6" t="s">
        <v>47</v>
      </c>
      <c r="V248" s="6" t="s">
        <v>47</v>
      </c>
      <c r="W248" s="6" t="s">
        <v>47</v>
      </c>
      <c r="X248" s="2" t="str">
        <f t="shared" ca="1" si="24"/>
        <v>Conforme</v>
      </c>
    </row>
    <row r="249" spans="1:24" x14ac:dyDescent="0.25">
      <c r="A249" s="1">
        <v>5</v>
      </c>
      <c r="B249" s="4">
        <v>44938</v>
      </c>
      <c r="C249" s="3" t="s">
        <v>4</v>
      </c>
      <c r="D249" s="6" t="s">
        <v>47</v>
      </c>
      <c r="E249" s="6" t="s">
        <v>47</v>
      </c>
      <c r="F249" s="6" t="s">
        <v>47</v>
      </c>
      <c r="G249" s="6" t="s">
        <v>47</v>
      </c>
      <c r="H249" s="6" t="s">
        <v>47</v>
      </c>
      <c r="I249" s="6" t="s">
        <v>47</v>
      </c>
      <c r="J249" s="6" t="s">
        <v>47</v>
      </c>
      <c r="K249" s="6" t="s">
        <v>47</v>
      </c>
      <c r="L249" s="6" t="s">
        <v>47</v>
      </c>
      <c r="M249" s="6" t="s">
        <v>47</v>
      </c>
      <c r="N249" s="6" t="s">
        <v>47</v>
      </c>
      <c r="O249" s="6" t="s">
        <v>47</v>
      </c>
      <c r="P249" s="6" t="s">
        <v>47</v>
      </c>
      <c r="Q249" s="6" t="s">
        <v>47</v>
      </c>
      <c r="R249" s="6" t="s">
        <v>47</v>
      </c>
      <c r="S249" s="6" t="s">
        <v>47</v>
      </c>
      <c r="T249" s="6" t="s">
        <v>47</v>
      </c>
      <c r="U249" s="6" t="s">
        <v>47</v>
      </c>
      <c r="V249" s="6" t="s">
        <v>47</v>
      </c>
      <c r="W249" s="6" t="s">
        <v>47</v>
      </c>
      <c r="X249" s="2" t="str">
        <f t="shared" ca="1" si="24"/>
        <v>Conforme</v>
      </c>
    </row>
    <row r="250" spans="1:24" x14ac:dyDescent="0.25">
      <c r="A250" s="1">
        <v>6</v>
      </c>
      <c r="B250" s="4">
        <v>44939</v>
      </c>
      <c r="C250" s="3" t="s">
        <v>4</v>
      </c>
      <c r="D250" s="6" t="s">
        <v>47</v>
      </c>
      <c r="E250" s="6" t="s">
        <v>47</v>
      </c>
      <c r="F250" s="6" t="s">
        <v>47</v>
      </c>
      <c r="G250" s="6" t="s">
        <v>47</v>
      </c>
      <c r="H250" s="6" t="s">
        <v>47</v>
      </c>
      <c r="I250" s="6" t="s">
        <v>47</v>
      </c>
      <c r="J250" s="6" t="s">
        <v>47</v>
      </c>
      <c r="K250" s="6" t="s">
        <v>47</v>
      </c>
      <c r="L250" s="6" t="s">
        <v>47</v>
      </c>
      <c r="M250" s="6" t="s">
        <v>47</v>
      </c>
      <c r="N250" s="6" t="s">
        <v>47</v>
      </c>
      <c r="O250" s="6" t="s">
        <v>47</v>
      </c>
      <c r="P250" s="6" t="s">
        <v>47</v>
      </c>
      <c r="Q250" s="6" t="s">
        <v>47</v>
      </c>
      <c r="R250" s="6" t="s">
        <v>47</v>
      </c>
      <c r="S250" s="6" t="s">
        <v>47</v>
      </c>
      <c r="T250" s="6" t="s">
        <v>47</v>
      </c>
      <c r="U250" s="6" t="s">
        <v>47</v>
      </c>
      <c r="V250" s="6" t="s">
        <v>47</v>
      </c>
      <c r="W250" s="6" t="s">
        <v>47</v>
      </c>
      <c r="X250" s="2" t="str">
        <f t="shared" ca="1" si="24"/>
        <v>Conforme</v>
      </c>
    </row>
    <row r="251" spans="1:24" x14ac:dyDescent="0.25">
      <c r="A251" s="1">
        <v>2</v>
      </c>
      <c r="B251" s="4">
        <v>44942</v>
      </c>
      <c r="C251" s="3" t="s">
        <v>4</v>
      </c>
      <c r="D251" s="6" t="s">
        <v>47</v>
      </c>
      <c r="E251" s="6" t="s">
        <v>47</v>
      </c>
      <c r="F251" s="6" t="s">
        <v>47</v>
      </c>
      <c r="G251" s="6" t="s">
        <v>47</v>
      </c>
      <c r="H251" s="6" t="s">
        <v>47</v>
      </c>
      <c r="I251" s="6" t="s">
        <v>47</v>
      </c>
      <c r="J251" s="6" t="s">
        <v>47</v>
      </c>
      <c r="K251" s="6" t="s">
        <v>47</v>
      </c>
      <c r="L251" s="6" t="s">
        <v>47</v>
      </c>
      <c r="M251" s="6" t="s">
        <v>47</v>
      </c>
      <c r="N251" s="6" t="s">
        <v>47</v>
      </c>
      <c r="O251" s="6" t="s">
        <v>47</v>
      </c>
      <c r="P251" s="6" t="s">
        <v>47</v>
      </c>
      <c r="Q251" s="6" t="s">
        <v>47</v>
      </c>
      <c r="R251" s="6" t="s">
        <v>47</v>
      </c>
      <c r="S251" s="6" t="s">
        <v>47</v>
      </c>
      <c r="T251" s="6" t="s">
        <v>47</v>
      </c>
      <c r="U251" s="6" t="s">
        <v>47</v>
      </c>
      <c r="V251" s="6" t="s">
        <v>47</v>
      </c>
      <c r="W251" s="6" t="s">
        <v>47</v>
      </c>
      <c r="X251" s="2" t="str">
        <f t="shared" ref="X251:X295" ca="1" si="27">IF(B251&lt;TODAY(),IF(COUNTBLANK(D251:W251)=0,"Conforme","Não conforme"),"")</f>
        <v>Conforme</v>
      </c>
    </row>
    <row r="252" spans="1:24" x14ac:dyDescent="0.25">
      <c r="A252" s="1">
        <v>3</v>
      </c>
      <c r="B252" s="4">
        <v>44943</v>
      </c>
      <c r="C252" s="3" t="s">
        <v>4</v>
      </c>
      <c r="D252" s="6" t="s">
        <v>47</v>
      </c>
      <c r="E252" s="6" t="s">
        <v>47</v>
      </c>
      <c r="F252" s="6" t="s">
        <v>47</v>
      </c>
      <c r="G252" s="6" t="s">
        <v>47</v>
      </c>
      <c r="H252" s="6" t="s">
        <v>47</v>
      </c>
      <c r="I252" s="6" t="s">
        <v>47</v>
      </c>
      <c r="J252" s="6" t="s">
        <v>47</v>
      </c>
      <c r="K252" s="6" t="s">
        <v>47</v>
      </c>
      <c r="L252" s="6" t="s">
        <v>47</v>
      </c>
      <c r="M252" s="6" t="s">
        <v>47</v>
      </c>
      <c r="N252" s="6" t="s">
        <v>47</v>
      </c>
      <c r="O252" s="6" t="s">
        <v>47</v>
      </c>
      <c r="P252" s="6" t="s">
        <v>47</v>
      </c>
      <c r="Q252" s="6" t="s">
        <v>47</v>
      </c>
      <c r="R252" s="6" t="s">
        <v>47</v>
      </c>
      <c r="S252" s="6" t="s">
        <v>47</v>
      </c>
      <c r="T252" s="6" t="s">
        <v>47</v>
      </c>
      <c r="U252" s="6" t="s">
        <v>47</v>
      </c>
      <c r="V252" s="6" t="s">
        <v>47</v>
      </c>
      <c r="W252" s="6" t="s">
        <v>47</v>
      </c>
      <c r="X252" s="2" t="str">
        <f t="shared" ca="1" si="27"/>
        <v>Conforme</v>
      </c>
    </row>
    <row r="253" spans="1:24" x14ac:dyDescent="0.25">
      <c r="A253" s="1">
        <v>4</v>
      </c>
      <c r="B253" s="4">
        <v>44944</v>
      </c>
      <c r="C253" s="3" t="s">
        <v>4</v>
      </c>
      <c r="D253" s="6" t="s">
        <v>47</v>
      </c>
      <c r="E253" s="6" t="s">
        <v>47</v>
      </c>
      <c r="F253" s="6" t="s">
        <v>47</v>
      </c>
      <c r="G253" s="6" t="s">
        <v>47</v>
      </c>
      <c r="H253" s="6" t="s">
        <v>47</v>
      </c>
      <c r="I253" s="6" t="s">
        <v>47</v>
      </c>
      <c r="J253" s="6" t="s">
        <v>47</v>
      </c>
      <c r="K253" s="6" t="s">
        <v>47</v>
      </c>
      <c r="L253" s="6" t="s">
        <v>47</v>
      </c>
      <c r="M253" s="6" t="s">
        <v>47</v>
      </c>
      <c r="N253" s="6" t="s">
        <v>47</v>
      </c>
      <c r="O253" s="6" t="s">
        <v>47</v>
      </c>
      <c r="P253" s="6" t="s">
        <v>47</v>
      </c>
      <c r="Q253" s="6" t="s">
        <v>47</v>
      </c>
      <c r="R253" s="6" t="s">
        <v>47</v>
      </c>
      <c r="S253" s="6" t="s">
        <v>47</v>
      </c>
      <c r="T253" s="6" t="s">
        <v>47</v>
      </c>
      <c r="U253" s="6" t="s">
        <v>47</v>
      </c>
      <c r="V253" s="6" t="s">
        <v>47</v>
      </c>
      <c r="W253" s="6" t="s">
        <v>47</v>
      </c>
      <c r="X253" s="2" t="str">
        <f t="shared" ca="1" si="27"/>
        <v>Conforme</v>
      </c>
    </row>
    <row r="254" spans="1:24" x14ac:dyDescent="0.25">
      <c r="A254" s="1">
        <v>5</v>
      </c>
      <c r="B254" s="4">
        <v>44945</v>
      </c>
      <c r="C254" s="3" t="s">
        <v>4</v>
      </c>
      <c r="D254" s="6" t="s">
        <v>47</v>
      </c>
      <c r="E254" s="6" t="s">
        <v>47</v>
      </c>
      <c r="F254" s="6" t="s">
        <v>47</v>
      </c>
      <c r="G254" s="6" t="s">
        <v>47</v>
      </c>
      <c r="H254" s="6" t="s">
        <v>47</v>
      </c>
      <c r="I254" s="6" t="s">
        <v>47</v>
      </c>
      <c r="J254" s="6" t="s">
        <v>47</v>
      </c>
      <c r="K254" s="6" t="s">
        <v>47</v>
      </c>
      <c r="L254" s="6" t="s">
        <v>47</v>
      </c>
      <c r="M254" s="6" t="s">
        <v>47</v>
      </c>
      <c r="N254" s="6" t="s">
        <v>47</v>
      </c>
      <c r="O254" s="6" t="s">
        <v>47</v>
      </c>
      <c r="P254" s="6" t="s">
        <v>47</v>
      </c>
      <c r="Q254" s="6" t="s">
        <v>47</v>
      </c>
      <c r="R254" s="6" t="s">
        <v>47</v>
      </c>
      <c r="S254" s="6" t="s">
        <v>47</v>
      </c>
      <c r="T254" s="6" t="s">
        <v>47</v>
      </c>
      <c r="U254" s="6" t="s">
        <v>47</v>
      </c>
      <c r="V254" s="6" t="s">
        <v>47</v>
      </c>
      <c r="W254" s="6" t="s">
        <v>47</v>
      </c>
      <c r="X254" s="2" t="str">
        <f t="shared" ca="1" si="27"/>
        <v>Conforme</v>
      </c>
    </row>
    <row r="255" spans="1:24" x14ac:dyDescent="0.25">
      <c r="A255" s="1">
        <v>6</v>
      </c>
      <c r="B255" s="4">
        <v>44946</v>
      </c>
      <c r="C255" s="3" t="s">
        <v>4</v>
      </c>
      <c r="D255" s="6" t="s">
        <v>47</v>
      </c>
      <c r="E255" s="6" t="s">
        <v>47</v>
      </c>
      <c r="F255" s="6" t="s">
        <v>47</v>
      </c>
      <c r="G255" s="6" t="s">
        <v>47</v>
      </c>
      <c r="H255" s="6" t="s">
        <v>47</v>
      </c>
      <c r="I255" s="6" t="s">
        <v>47</v>
      </c>
      <c r="J255" s="6" t="s">
        <v>47</v>
      </c>
      <c r="K255" s="6" t="s">
        <v>47</v>
      </c>
      <c r="L255" s="6" t="s">
        <v>47</v>
      </c>
      <c r="M255" s="6" t="s">
        <v>47</v>
      </c>
      <c r="N255" s="6" t="s">
        <v>47</v>
      </c>
      <c r="O255" s="6" t="s">
        <v>47</v>
      </c>
      <c r="P255" s="6" t="s">
        <v>47</v>
      </c>
      <c r="Q255" s="6" t="s">
        <v>47</v>
      </c>
      <c r="R255" s="6" t="s">
        <v>47</v>
      </c>
      <c r="S255" s="6" t="s">
        <v>47</v>
      </c>
      <c r="T255" s="6" t="s">
        <v>47</v>
      </c>
      <c r="U255" s="6" t="s">
        <v>47</v>
      </c>
      <c r="V255" s="6" t="s">
        <v>47</v>
      </c>
      <c r="W255" s="6" t="s">
        <v>47</v>
      </c>
      <c r="X255" s="2" t="str">
        <f t="shared" ca="1" si="27"/>
        <v>Conforme</v>
      </c>
    </row>
    <row r="256" spans="1:24" x14ac:dyDescent="0.25">
      <c r="A256" s="1">
        <v>2</v>
      </c>
      <c r="B256" s="4">
        <v>44949</v>
      </c>
      <c r="C256" s="3" t="s">
        <v>4</v>
      </c>
      <c r="D256" s="6" t="s">
        <v>47</v>
      </c>
      <c r="E256" s="6" t="s">
        <v>47</v>
      </c>
      <c r="F256" s="6" t="s">
        <v>47</v>
      </c>
      <c r="G256" s="6" t="s">
        <v>47</v>
      </c>
      <c r="H256" s="6" t="s">
        <v>47</v>
      </c>
      <c r="I256" s="6" t="s">
        <v>47</v>
      </c>
      <c r="J256" s="6" t="s">
        <v>47</v>
      </c>
      <c r="K256" s="6" t="s">
        <v>47</v>
      </c>
      <c r="L256" s="6" t="s">
        <v>47</v>
      </c>
      <c r="M256" s="6" t="s">
        <v>47</v>
      </c>
      <c r="N256" s="6" t="s">
        <v>47</v>
      </c>
      <c r="O256" s="6" t="s">
        <v>47</v>
      </c>
      <c r="P256" s="6" t="s">
        <v>47</v>
      </c>
      <c r="Q256" s="6" t="s">
        <v>47</v>
      </c>
      <c r="R256" s="6" t="s">
        <v>47</v>
      </c>
      <c r="S256" s="6" t="s">
        <v>47</v>
      </c>
      <c r="T256" s="6" t="s">
        <v>47</v>
      </c>
      <c r="U256" s="6" t="s">
        <v>47</v>
      </c>
      <c r="V256" s="6" t="s">
        <v>47</v>
      </c>
      <c r="W256" s="6" t="s">
        <v>47</v>
      </c>
      <c r="X256" s="2" t="str">
        <f t="shared" ca="1" si="27"/>
        <v>Conforme</v>
      </c>
    </row>
    <row r="257" spans="1:24" x14ac:dyDescent="0.25">
      <c r="A257" s="1">
        <v>3</v>
      </c>
      <c r="B257" s="4">
        <v>44950</v>
      </c>
      <c r="C257" s="3" t="s">
        <v>4</v>
      </c>
      <c r="D257" s="6" t="s">
        <v>47</v>
      </c>
      <c r="E257" s="6" t="s">
        <v>47</v>
      </c>
      <c r="F257" s="6" t="s">
        <v>47</v>
      </c>
      <c r="G257" s="6" t="s">
        <v>47</v>
      </c>
      <c r="H257" s="6" t="s">
        <v>47</v>
      </c>
      <c r="I257" s="6" t="s">
        <v>47</v>
      </c>
      <c r="J257" s="6" t="s">
        <v>47</v>
      </c>
      <c r="K257" s="6" t="s">
        <v>47</v>
      </c>
      <c r="L257" s="6" t="s">
        <v>47</v>
      </c>
      <c r="M257" s="6" t="s">
        <v>47</v>
      </c>
      <c r="N257" s="6" t="s">
        <v>47</v>
      </c>
      <c r="O257" s="6" t="s">
        <v>47</v>
      </c>
      <c r="P257" s="6" t="s">
        <v>47</v>
      </c>
      <c r="Q257" s="6" t="s">
        <v>47</v>
      </c>
      <c r="R257" s="6" t="s">
        <v>47</v>
      </c>
      <c r="S257" s="6" t="s">
        <v>47</v>
      </c>
      <c r="T257" s="6" t="s">
        <v>47</v>
      </c>
      <c r="U257" s="6" t="s">
        <v>47</v>
      </c>
      <c r="V257" s="6" t="s">
        <v>47</v>
      </c>
      <c r="W257" s="6" t="s">
        <v>47</v>
      </c>
      <c r="X257" s="2" t="str">
        <f t="shared" ca="1" si="27"/>
        <v>Conforme</v>
      </c>
    </row>
    <row r="258" spans="1:24" x14ac:dyDescent="0.25">
      <c r="A258" s="1">
        <v>4</v>
      </c>
      <c r="B258" s="4">
        <v>44951</v>
      </c>
      <c r="C258" s="3" t="s">
        <v>4</v>
      </c>
      <c r="D258" s="6" t="s">
        <v>47</v>
      </c>
      <c r="E258" s="6" t="s">
        <v>47</v>
      </c>
      <c r="F258" s="6" t="s">
        <v>47</v>
      </c>
      <c r="G258" s="6" t="s">
        <v>47</v>
      </c>
      <c r="H258" s="6" t="s">
        <v>47</v>
      </c>
      <c r="I258" s="6" t="s">
        <v>47</v>
      </c>
      <c r="J258" s="6" t="s">
        <v>47</v>
      </c>
      <c r="K258" s="6" t="s">
        <v>47</v>
      </c>
      <c r="L258" s="6" t="s">
        <v>47</v>
      </c>
      <c r="M258" s="6" t="s">
        <v>47</v>
      </c>
      <c r="N258" s="6" t="s">
        <v>47</v>
      </c>
      <c r="O258" s="6" t="s">
        <v>47</v>
      </c>
      <c r="P258" s="6" t="s">
        <v>47</v>
      </c>
      <c r="Q258" s="6" t="s">
        <v>47</v>
      </c>
      <c r="R258" s="6" t="s">
        <v>47</v>
      </c>
      <c r="S258" s="6" t="s">
        <v>47</v>
      </c>
      <c r="T258" s="6" t="s">
        <v>47</v>
      </c>
      <c r="U258" s="6" t="s">
        <v>47</v>
      </c>
      <c r="V258" s="6" t="s">
        <v>47</v>
      </c>
      <c r="W258" s="6" t="s">
        <v>47</v>
      </c>
      <c r="X258" s="2" t="str">
        <f t="shared" ca="1" si="27"/>
        <v>Conforme</v>
      </c>
    </row>
    <row r="259" spans="1:24" x14ac:dyDescent="0.25">
      <c r="A259" s="1">
        <v>5</v>
      </c>
      <c r="B259" s="4">
        <v>44952</v>
      </c>
      <c r="C259" s="3" t="s">
        <v>4</v>
      </c>
      <c r="D259" s="6" t="s">
        <v>47</v>
      </c>
      <c r="E259" s="6" t="s">
        <v>47</v>
      </c>
      <c r="F259" s="6" t="s">
        <v>47</v>
      </c>
      <c r="G259" s="6" t="s">
        <v>47</v>
      </c>
      <c r="H259" s="6" t="s">
        <v>47</v>
      </c>
      <c r="I259" s="6" t="s">
        <v>47</v>
      </c>
      <c r="J259" s="6" t="s">
        <v>47</v>
      </c>
      <c r="K259" s="6" t="s">
        <v>47</v>
      </c>
      <c r="L259" s="6" t="s">
        <v>47</v>
      </c>
      <c r="M259" s="6" t="s">
        <v>47</v>
      </c>
      <c r="N259" s="6" t="s">
        <v>47</v>
      </c>
      <c r="O259" s="6" t="s">
        <v>47</v>
      </c>
      <c r="P259" s="6" t="s">
        <v>47</v>
      </c>
      <c r="Q259" s="6" t="s">
        <v>47</v>
      </c>
      <c r="R259" s="6" t="s">
        <v>47</v>
      </c>
      <c r="S259" s="6" t="s">
        <v>47</v>
      </c>
      <c r="T259" s="6" t="s">
        <v>47</v>
      </c>
      <c r="U259" s="6" t="s">
        <v>47</v>
      </c>
      <c r="V259" s="6" t="s">
        <v>47</v>
      </c>
      <c r="W259" s="6" t="s">
        <v>47</v>
      </c>
      <c r="X259" s="2" t="str">
        <f t="shared" ca="1" si="27"/>
        <v>Conforme</v>
      </c>
    </row>
    <row r="260" spans="1:24" x14ac:dyDescent="0.25">
      <c r="A260" s="1">
        <v>6</v>
      </c>
      <c r="B260" s="4">
        <v>44953</v>
      </c>
      <c r="C260" s="3" t="s">
        <v>4</v>
      </c>
      <c r="D260" s="6" t="s">
        <v>47</v>
      </c>
      <c r="E260" s="6" t="s">
        <v>47</v>
      </c>
      <c r="F260" s="6" t="s">
        <v>47</v>
      </c>
      <c r="G260" s="6" t="s">
        <v>47</v>
      </c>
      <c r="H260" s="6" t="s">
        <v>47</v>
      </c>
      <c r="I260" s="6" t="s">
        <v>47</v>
      </c>
      <c r="J260" s="6" t="s">
        <v>47</v>
      </c>
      <c r="K260" s="6" t="s">
        <v>47</v>
      </c>
      <c r="L260" s="6" t="s">
        <v>47</v>
      </c>
      <c r="M260" s="6" t="s">
        <v>47</v>
      </c>
      <c r="N260" s="6" t="s">
        <v>47</v>
      </c>
      <c r="O260" s="6" t="s">
        <v>47</v>
      </c>
      <c r="P260" s="6" t="s">
        <v>47</v>
      </c>
      <c r="Q260" s="6" t="s">
        <v>47</v>
      </c>
      <c r="R260" s="6" t="s">
        <v>47</v>
      </c>
      <c r="S260" s="6" t="s">
        <v>47</v>
      </c>
      <c r="T260" s="6" t="s">
        <v>47</v>
      </c>
      <c r="U260" s="6" t="s">
        <v>47</v>
      </c>
      <c r="V260" s="6" t="s">
        <v>47</v>
      </c>
      <c r="W260" s="6" t="s">
        <v>47</v>
      </c>
      <c r="X260" s="2" t="str">
        <f t="shared" ca="1" si="27"/>
        <v>Conforme</v>
      </c>
    </row>
    <row r="261" spans="1:24" x14ac:dyDescent="0.25">
      <c r="A261" s="1">
        <v>2</v>
      </c>
      <c r="B261" s="4">
        <v>44956</v>
      </c>
      <c r="C261" s="3" t="s">
        <v>4</v>
      </c>
      <c r="D261" s="6" t="s">
        <v>47</v>
      </c>
      <c r="E261" s="6" t="s">
        <v>47</v>
      </c>
      <c r="F261" s="6" t="s">
        <v>47</v>
      </c>
      <c r="G261" s="6" t="s">
        <v>47</v>
      </c>
      <c r="H261" s="6" t="s">
        <v>47</v>
      </c>
      <c r="I261" s="6" t="s">
        <v>47</v>
      </c>
      <c r="J261" s="6" t="s">
        <v>47</v>
      </c>
      <c r="K261" s="6" t="s">
        <v>47</v>
      </c>
      <c r="L261" s="6" t="s">
        <v>47</v>
      </c>
      <c r="M261" s="6" t="s">
        <v>47</v>
      </c>
      <c r="N261" s="6" t="s">
        <v>47</v>
      </c>
      <c r="O261" s="6" t="s">
        <v>47</v>
      </c>
      <c r="P261" s="6" t="s">
        <v>47</v>
      </c>
      <c r="Q261" s="6" t="s">
        <v>47</v>
      </c>
      <c r="R261" s="6" t="s">
        <v>47</v>
      </c>
      <c r="S261" s="6" t="s">
        <v>47</v>
      </c>
      <c r="T261" s="6" t="s">
        <v>47</v>
      </c>
      <c r="U261" s="6" t="s">
        <v>47</v>
      </c>
      <c r="V261" s="6" t="s">
        <v>47</v>
      </c>
      <c r="W261" s="6" t="s">
        <v>47</v>
      </c>
      <c r="X261" s="2" t="str">
        <f t="shared" ca="1" si="27"/>
        <v>Conforme</v>
      </c>
    </row>
    <row r="262" spans="1:24" x14ac:dyDescent="0.25">
      <c r="A262" s="1">
        <v>3</v>
      </c>
      <c r="B262" s="4">
        <v>44957</v>
      </c>
      <c r="C262" s="3" t="s">
        <v>4</v>
      </c>
      <c r="D262" s="6" t="s">
        <v>47</v>
      </c>
      <c r="E262" s="6" t="s">
        <v>47</v>
      </c>
      <c r="F262" s="6" t="s">
        <v>47</v>
      </c>
      <c r="G262" s="6" t="s">
        <v>47</v>
      </c>
      <c r="H262" s="6" t="s">
        <v>47</v>
      </c>
      <c r="I262" s="6" t="s">
        <v>47</v>
      </c>
      <c r="J262" s="6" t="s">
        <v>47</v>
      </c>
      <c r="K262" s="6" t="s">
        <v>47</v>
      </c>
      <c r="L262" s="6" t="s">
        <v>47</v>
      </c>
      <c r="M262" s="6" t="s">
        <v>47</v>
      </c>
      <c r="N262" s="6" t="s">
        <v>47</v>
      </c>
      <c r="O262" s="6" t="s">
        <v>47</v>
      </c>
      <c r="P262" s="6" t="s">
        <v>47</v>
      </c>
      <c r="Q262" s="6" t="s">
        <v>47</v>
      </c>
      <c r="R262" s="6" t="s">
        <v>47</v>
      </c>
      <c r="S262" s="6" t="s">
        <v>47</v>
      </c>
      <c r="T262" s="6" t="s">
        <v>47</v>
      </c>
      <c r="U262" s="6" t="s">
        <v>47</v>
      </c>
      <c r="V262" s="6" t="s">
        <v>47</v>
      </c>
      <c r="W262" s="6" t="s">
        <v>47</v>
      </c>
      <c r="X262" s="2" t="str">
        <f t="shared" ca="1" si="27"/>
        <v>Conforme</v>
      </c>
    </row>
    <row r="263" spans="1:24" x14ac:dyDescent="0.25">
      <c r="A263" s="1">
        <v>4</v>
      </c>
      <c r="B263" s="4">
        <v>44958</v>
      </c>
      <c r="C263" s="3" t="s">
        <v>4</v>
      </c>
      <c r="D263" s="6" t="s">
        <v>47</v>
      </c>
      <c r="E263" s="6" t="s">
        <v>47</v>
      </c>
      <c r="F263" s="6" t="s">
        <v>47</v>
      </c>
      <c r="G263" s="6" t="s">
        <v>47</v>
      </c>
      <c r="H263" s="6" t="s">
        <v>47</v>
      </c>
      <c r="I263" s="6" t="s">
        <v>47</v>
      </c>
      <c r="J263" s="6" t="s">
        <v>47</v>
      </c>
      <c r="K263" s="6" t="s">
        <v>47</v>
      </c>
      <c r="L263" s="6" t="s">
        <v>47</v>
      </c>
      <c r="M263" s="6" t="s">
        <v>47</v>
      </c>
      <c r="N263" s="6" t="s">
        <v>47</v>
      </c>
      <c r="O263" s="6" t="s">
        <v>47</v>
      </c>
      <c r="P263" s="6" t="s">
        <v>47</v>
      </c>
      <c r="Q263" s="6" t="s">
        <v>47</v>
      </c>
      <c r="R263" s="6" t="s">
        <v>47</v>
      </c>
      <c r="S263" s="6" t="s">
        <v>47</v>
      </c>
      <c r="T263" s="6" t="s">
        <v>47</v>
      </c>
      <c r="U263" s="6" t="s">
        <v>47</v>
      </c>
      <c r="V263" s="6" t="s">
        <v>47</v>
      </c>
      <c r="W263" s="6" t="s">
        <v>47</v>
      </c>
      <c r="X263" s="2" t="str">
        <f t="shared" ca="1" si="27"/>
        <v>Conforme</v>
      </c>
    </row>
    <row r="264" spans="1:24" x14ac:dyDescent="0.25">
      <c r="A264" s="1">
        <v>5</v>
      </c>
      <c r="B264" s="4">
        <v>44959</v>
      </c>
      <c r="C264" s="3" t="s">
        <v>4</v>
      </c>
      <c r="D264" s="6" t="s">
        <v>47</v>
      </c>
      <c r="E264" s="6" t="s">
        <v>47</v>
      </c>
      <c r="F264" s="6" t="s">
        <v>47</v>
      </c>
      <c r="G264" s="6" t="s">
        <v>47</v>
      </c>
      <c r="H264" s="6" t="s">
        <v>47</v>
      </c>
      <c r="I264" s="6" t="s">
        <v>47</v>
      </c>
      <c r="J264" s="6" t="s">
        <v>47</v>
      </c>
      <c r="K264" s="6" t="s">
        <v>47</v>
      </c>
      <c r="L264" s="6" t="s">
        <v>47</v>
      </c>
      <c r="M264" s="6" t="s">
        <v>47</v>
      </c>
      <c r="N264" s="6" t="s">
        <v>47</v>
      </c>
      <c r="O264" s="6" t="s">
        <v>47</v>
      </c>
      <c r="P264" s="6" t="s">
        <v>47</v>
      </c>
      <c r="Q264" s="6" t="s">
        <v>47</v>
      </c>
      <c r="R264" s="6" t="s">
        <v>47</v>
      </c>
      <c r="S264" s="6" t="s">
        <v>47</v>
      </c>
      <c r="T264" s="6" t="s">
        <v>47</v>
      </c>
      <c r="U264" s="6" t="s">
        <v>47</v>
      </c>
      <c r="V264" s="6" t="s">
        <v>47</v>
      </c>
      <c r="W264" s="6" t="s">
        <v>47</v>
      </c>
      <c r="X264" s="2" t="str">
        <f t="shared" ca="1" si="27"/>
        <v>Conforme</v>
      </c>
    </row>
    <row r="265" spans="1:24" x14ac:dyDescent="0.25">
      <c r="A265" s="1">
        <v>6</v>
      </c>
      <c r="B265" s="4">
        <v>44960</v>
      </c>
      <c r="C265" s="3" t="s">
        <v>4</v>
      </c>
      <c r="D265" s="6" t="s">
        <v>47</v>
      </c>
      <c r="E265" s="6" t="s">
        <v>47</v>
      </c>
      <c r="F265" s="6" t="s">
        <v>47</v>
      </c>
      <c r="G265" s="6" t="s">
        <v>47</v>
      </c>
      <c r="H265" s="6" t="s">
        <v>47</v>
      </c>
      <c r="I265" s="6" t="s">
        <v>47</v>
      </c>
      <c r="J265" s="6" t="s">
        <v>47</v>
      </c>
      <c r="K265" s="6" t="s">
        <v>47</v>
      </c>
      <c r="L265" s="6" t="s">
        <v>47</v>
      </c>
      <c r="M265" s="6" t="s">
        <v>47</v>
      </c>
      <c r="N265" s="6" t="s">
        <v>47</v>
      </c>
      <c r="O265" s="6" t="s">
        <v>47</v>
      </c>
      <c r="P265" s="6" t="s">
        <v>47</v>
      </c>
      <c r="Q265" s="6" t="s">
        <v>47</v>
      </c>
      <c r="R265" s="6" t="s">
        <v>47</v>
      </c>
      <c r="S265" s="6" t="s">
        <v>47</v>
      </c>
      <c r="T265" s="6" t="s">
        <v>47</v>
      </c>
      <c r="U265" s="6" t="s">
        <v>47</v>
      </c>
      <c r="V265" s="6" t="s">
        <v>47</v>
      </c>
      <c r="W265" s="6" t="s">
        <v>47</v>
      </c>
      <c r="X265" s="2" t="str">
        <f t="shared" ca="1" si="27"/>
        <v>Conforme</v>
      </c>
    </row>
    <row r="266" spans="1:24" x14ac:dyDescent="0.25">
      <c r="A266" s="1">
        <v>2</v>
      </c>
      <c r="B266" s="4">
        <v>44963</v>
      </c>
      <c r="C266" s="3" t="s">
        <v>4</v>
      </c>
      <c r="D266" s="6" t="s">
        <v>47</v>
      </c>
      <c r="E266" s="6" t="s">
        <v>47</v>
      </c>
      <c r="F266" s="6" t="s">
        <v>47</v>
      </c>
      <c r="G266" s="6" t="s">
        <v>47</v>
      </c>
      <c r="H266" s="6" t="s">
        <v>47</v>
      </c>
      <c r="I266" s="6" t="s">
        <v>47</v>
      </c>
      <c r="J266" s="6" t="s">
        <v>47</v>
      </c>
      <c r="K266" s="6" t="s">
        <v>47</v>
      </c>
      <c r="L266" s="6" t="s">
        <v>47</v>
      </c>
      <c r="M266" s="6" t="s">
        <v>47</v>
      </c>
      <c r="N266" s="6" t="s">
        <v>47</v>
      </c>
      <c r="O266" s="6" t="s">
        <v>47</v>
      </c>
      <c r="P266" s="6" t="s">
        <v>47</v>
      </c>
      <c r="Q266" s="6" t="s">
        <v>47</v>
      </c>
      <c r="R266" s="6" t="s">
        <v>47</v>
      </c>
      <c r="S266" s="6" t="s">
        <v>47</v>
      </c>
      <c r="T266" s="6" t="s">
        <v>47</v>
      </c>
      <c r="U266" s="6" t="s">
        <v>47</v>
      </c>
      <c r="V266" s="6" t="s">
        <v>47</v>
      </c>
      <c r="W266" s="6" t="s">
        <v>47</v>
      </c>
      <c r="X266" s="2" t="str">
        <f t="shared" ca="1" si="27"/>
        <v>Conforme</v>
      </c>
    </row>
    <row r="267" spans="1:24" x14ac:dyDescent="0.25">
      <c r="A267" s="1">
        <v>3</v>
      </c>
      <c r="B267" s="4">
        <v>44964</v>
      </c>
      <c r="C267" s="3" t="s">
        <v>4</v>
      </c>
      <c r="D267" s="6" t="s">
        <v>47</v>
      </c>
      <c r="E267" s="6" t="s">
        <v>47</v>
      </c>
      <c r="F267" s="6" t="s">
        <v>47</v>
      </c>
      <c r="G267" s="6" t="s">
        <v>47</v>
      </c>
      <c r="H267" s="6" t="s">
        <v>47</v>
      </c>
      <c r="I267" s="6" t="s">
        <v>47</v>
      </c>
      <c r="J267" s="6" t="s">
        <v>47</v>
      </c>
      <c r="K267" s="6" t="s">
        <v>47</v>
      </c>
      <c r="L267" s="6" t="s">
        <v>47</v>
      </c>
      <c r="M267" s="6" t="s">
        <v>47</v>
      </c>
      <c r="N267" s="6" t="s">
        <v>47</v>
      </c>
      <c r="O267" s="6" t="s">
        <v>47</v>
      </c>
      <c r="P267" s="6" t="s">
        <v>47</v>
      </c>
      <c r="Q267" s="6" t="s">
        <v>47</v>
      </c>
      <c r="R267" s="6" t="s">
        <v>47</v>
      </c>
      <c r="S267" s="6" t="s">
        <v>47</v>
      </c>
      <c r="T267" s="6" t="s">
        <v>47</v>
      </c>
      <c r="U267" s="6" t="s">
        <v>47</v>
      </c>
      <c r="V267" s="6" t="s">
        <v>47</v>
      </c>
      <c r="W267" s="6" t="s">
        <v>47</v>
      </c>
      <c r="X267" s="2" t="str">
        <f t="shared" ca="1" si="27"/>
        <v>Conforme</v>
      </c>
    </row>
    <row r="268" spans="1:24" x14ac:dyDescent="0.25">
      <c r="A268" s="1">
        <v>4</v>
      </c>
      <c r="B268" s="4">
        <v>44965</v>
      </c>
      <c r="C268" s="3" t="s">
        <v>4</v>
      </c>
      <c r="D268" s="6" t="s">
        <v>47</v>
      </c>
      <c r="E268" s="6" t="s">
        <v>47</v>
      </c>
      <c r="F268" s="6" t="s">
        <v>47</v>
      </c>
      <c r="G268" s="6" t="s">
        <v>47</v>
      </c>
      <c r="H268" s="6" t="s">
        <v>47</v>
      </c>
      <c r="I268" s="6" t="s">
        <v>47</v>
      </c>
      <c r="J268" s="6" t="s">
        <v>47</v>
      </c>
      <c r="K268" s="6" t="s">
        <v>47</v>
      </c>
      <c r="L268" s="6" t="s">
        <v>47</v>
      </c>
      <c r="M268" s="6" t="s">
        <v>47</v>
      </c>
      <c r="N268" s="6" t="s">
        <v>47</v>
      </c>
      <c r="O268" s="6" t="s">
        <v>47</v>
      </c>
      <c r="P268" s="6" t="s">
        <v>47</v>
      </c>
      <c r="Q268" s="6" t="s">
        <v>47</v>
      </c>
      <c r="R268" s="6" t="s">
        <v>47</v>
      </c>
      <c r="S268" s="6" t="s">
        <v>47</v>
      </c>
      <c r="T268" s="6" t="s">
        <v>47</v>
      </c>
      <c r="U268" s="6" t="s">
        <v>47</v>
      </c>
      <c r="V268" s="6" t="s">
        <v>47</v>
      </c>
      <c r="W268" s="6" t="s">
        <v>47</v>
      </c>
      <c r="X268" s="2" t="str">
        <f t="shared" ca="1" si="27"/>
        <v>Conforme</v>
      </c>
    </row>
    <row r="269" spans="1:24" x14ac:dyDescent="0.25">
      <c r="A269" s="1">
        <v>5</v>
      </c>
      <c r="B269" s="4">
        <v>44966</v>
      </c>
      <c r="C269" s="3" t="s">
        <v>4</v>
      </c>
      <c r="D269" s="6" t="s">
        <v>47</v>
      </c>
      <c r="E269" s="6" t="s">
        <v>47</v>
      </c>
      <c r="F269" s="6" t="s">
        <v>47</v>
      </c>
      <c r="G269" s="6" t="s">
        <v>47</v>
      </c>
      <c r="H269" s="6" t="s">
        <v>47</v>
      </c>
      <c r="I269" s="6" t="s">
        <v>47</v>
      </c>
      <c r="J269" s="6" t="s">
        <v>47</v>
      </c>
      <c r="K269" s="6" t="s">
        <v>47</v>
      </c>
      <c r="L269" s="6" t="s">
        <v>47</v>
      </c>
      <c r="M269" s="6" t="s">
        <v>47</v>
      </c>
      <c r="N269" s="6" t="s">
        <v>47</v>
      </c>
      <c r="O269" s="6" t="s">
        <v>47</v>
      </c>
      <c r="P269" s="6" t="s">
        <v>47</v>
      </c>
      <c r="Q269" s="6" t="s">
        <v>47</v>
      </c>
      <c r="R269" s="6" t="s">
        <v>47</v>
      </c>
      <c r="S269" s="6" t="s">
        <v>47</v>
      </c>
      <c r="T269" s="6" t="s">
        <v>47</v>
      </c>
      <c r="U269" s="6" t="s">
        <v>47</v>
      </c>
      <c r="V269" s="6" t="s">
        <v>47</v>
      </c>
      <c r="W269" s="6" t="s">
        <v>47</v>
      </c>
      <c r="X269" s="2" t="str">
        <f t="shared" ca="1" si="27"/>
        <v>Conforme</v>
      </c>
    </row>
    <row r="270" spans="1:24" x14ac:dyDescent="0.25">
      <c r="A270" s="1">
        <v>6</v>
      </c>
      <c r="B270" s="4">
        <v>44967</v>
      </c>
      <c r="C270" s="3" t="s">
        <v>4</v>
      </c>
      <c r="D270" s="6" t="s">
        <v>47</v>
      </c>
      <c r="E270" s="6" t="s">
        <v>47</v>
      </c>
      <c r="F270" s="6" t="s">
        <v>47</v>
      </c>
      <c r="G270" s="6" t="s">
        <v>47</v>
      </c>
      <c r="H270" s="6" t="s">
        <v>47</v>
      </c>
      <c r="I270" s="6" t="s">
        <v>47</v>
      </c>
      <c r="J270" s="6" t="s">
        <v>47</v>
      </c>
      <c r="K270" s="6" t="s">
        <v>47</v>
      </c>
      <c r="L270" s="6" t="s">
        <v>47</v>
      </c>
      <c r="M270" s="6" t="s">
        <v>47</v>
      </c>
      <c r="N270" s="6" t="s">
        <v>47</v>
      </c>
      <c r="O270" s="6" t="s">
        <v>47</v>
      </c>
      <c r="P270" s="6" t="s">
        <v>47</v>
      </c>
      <c r="Q270" s="6" t="s">
        <v>47</v>
      </c>
      <c r="R270" s="6" t="s">
        <v>47</v>
      </c>
      <c r="S270" s="6" t="s">
        <v>47</v>
      </c>
      <c r="T270" s="6" t="s">
        <v>47</v>
      </c>
      <c r="U270" s="6" t="s">
        <v>47</v>
      </c>
      <c r="V270" s="6" t="s">
        <v>47</v>
      </c>
      <c r="W270" s="6" t="s">
        <v>47</v>
      </c>
      <c r="X270" s="2" t="str">
        <f t="shared" ca="1" si="27"/>
        <v>Conforme</v>
      </c>
    </row>
    <row r="271" spans="1:24" x14ac:dyDescent="0.25">
      <c r="A271" s="1">
        <v>2</v>
      </c>
      <c r="B271" s="4">
        <v>44970</v>
      </c>
      <c r="C271" s="3" t="s">
        <v>4</v>
      </c>
      <c r="D271" s="6" t="s">
        <v>47</v>
      </c>
      <c r="E271" s="6" t="s">
        <v>47</v>
      </c>
      <c r="F271" s="6" t="s">
        <v>47</v>
      </c>
      <c r="G271" s="6" t="s">
        <v>47</v>
      </c>
      <c r="H271" s="6" t="s">
        <v>47</v>
      </c>
      <c r="I271" s="6" t="s">
        <v>47</v>
      </c>
      <c r="J271" s="6" t="s">
        <v>47</v>
      </c>
      <c r="K271" s="6" t="s">
        <v>47</v>
      </c>
      <c r="L271" s="6" t="s">
        <v>47</v>
      </c>
      <c r="M271" s="6" t="s">
        <v>47</v>
      </c>
      <c r="N271" s="6" t="s">
        <v>47</v>
      </c>
      <c r="O271" s="6" t="s">
        <v>47</v>
      </c>
      <c r="P271" s="6" t="s">
        <v>47</v>
      </c>
      <c r="Q271" s="6" t="s">
        <v>47</v>
      </c>
      <c r="R271" s="6" t="s">
        <v>47</v>
      </c>
      <c r="S271" s="6" t="s">
        <v>47</v>
      </c>
      <c r="T271" s="6" t="s">
        <v>47</v>
      </c>
      <c r="U271" s="6" t="s">
        <v>47</v>
      </c>
      <c r="V271" s="6" t="s">
        <v>47</v>
      </c>
      <c r="W271" s="6" t="s">
        <v>47</v>
      </c>
      <c r="X271" s="2" t="str">
        <f t="shared" ca="1" si="27"/>
        <v>Conforme</v>
      </c>
    </row>
    <row r="272" spans="1:24" x14ac:dyDescent="0.25">
      <c r="A272" s="1">
        <v>3</v>
      </c>
      <c r="B272" s="4">
        <v>44971</v>
      </c>
      <c r="C272" s="3" t="s">
        <v>4</v>
      </c>
      <c r="D272" s="6" t="s">
        <v>47</v>
      </c>
      <c r="E272" s="6" t="s">
        <v>47</v>
      </c>
      <c r="F272" s="6" t="s">
        <v>47</v>
      </c>
      <c r="G272" s="6" t="s">
        <v>47</v>
      </c>
      <c r="H272" s="6" t="s">
        <v>47</v>
      </c>
      <c r="I272" s="6" t="s">
        <v>47</v>
      </c>
      <c r="J272" s="6" t="s">
        <v>47</v>
      </c>
      <c r="K272" s="6" t="s">
        <v>47</v>
      </c>
      <c r="L272" s="6" t="s">
        <v>47</v>
      </c>
      <c r="M272" s="6" t="s">
        <v>47</v>
      </c>
      <c r="N272" s="6" t="s">
        <v>47</v>
      </c>
      <c r="O272" s="6" t="s">
        <v>47</v>
      </c>
      <c r="P272" s="6" t="s">
        <v>47</v>
      </c>
      <c r="Q272" s="6" t="s">
        <v>47</v>
      </c>
      <c r="R272" s="6" t="s">
        <v>47</v>
      </c>
      <c r="S272" s="6" t="s">
        <v>47</v>
      </c>
      <c r="T272" s="6" t="s">
        <v>47</v>
      </c>
      <c r="U272" s="6" t="s">
        <v>47</v>
      </c>
      <c r="V272" s="6" t="s">
        <v>47</v>
      </c>
      <c r="W272" s="6" t="s">
        <v>47</v>
      </c>
      <c r="X272" s="2" t="str">
        <f t="shared" ca="1" si="27"/>
        <v>Conforme</v>
      </c>
    </row>
    <row r="273" spans="1:24" x14ac:dyDescent="0.25">
      <c r="A273" s="1">
        <v>4</v>
      </c>
      <c r="B273" s="4">
        <v>44972</v>
      </c>
      <c r="C273" s="3" t="s">
        <v>4</v>
      </c>
      <c r="D273" s="6" t="s">
        <v>47</v>
      </c>
      <c r="E273" s="6" t="s">
        <v>47</v>
      </c>
      <c r="F273" s="6" t="s">
        <v>47</v>
      </c>
      <c r="G273" s="6" t="s">
        <v>47</v>
      </c>
      <c r="H273" s="6" t="s">
        <v>47</v>
      </c>
      <c r="I273" s="6" t="s">
        <v>47</v>
      </c>
      <c r="J273" s="6" t="s">
        <v>47</v>
      </c>
      <c r="K273" s="6" t="s">
        <v>47</v>
      </c>
      <c r="L273" s="6" t="s">
        <v>47</v>
      </c>
      <c r="M273" s="6" t="s">
        <v>47</v>
      </c>
      <c r="N273" s="6" t="s">
        <v>47</v>
      </c>
      <c r="O273" s="6" t="s">
        <v>47</v>
      </c>
      <c r="P273" s="6" t="s">
        <v>47</v>
      </c>
      <c r="Q273" s="6" t="s">
        <v>47</v>
      </c>
      <c r="R273" s="6" t="s">
        <v>47</v>
      </c>
      <c r="S273" s="6" t="s">
        <v>47</v>
      </c>
      <c r="T273" s="6" t="s">
        <v>47</v>
      </c>
      <c r="U273" s="6" t="s">
        <v>47</v>
      </c>
      <c r="V273" s="6" t="s">
        <v>47</v>
      </c>
      <c r="W273" s="6" t="s">
        <v>47</v>
      </c>
      <c r="X273" s="2" t="str">
        <f t="shared" ca="1" si="27"/>
        <v>Conforme</v>
      </c>
    </row>
    <row r="274" spans="1:24" x14ac:dyDescent="0.25">
      <c r="A274" s="1">
        <v>5</v>
      </c>
      <c r="B274" s="4">
        <v>44973</v>
      </c>
      <c r="C274" s="3" t="s">
        <v>4</v>
      </c>
      <c r="D274" s="6" t="s">
        <v>47</v>
      </c>
      <c r="E274" s="6" t="s">
        <v>47</v>
      </c>
      <c r="F274" s="6" t="s">
        <v>47</v>
      </c>
      <c r="G274" s="6" t="s">
        <v>47</v>
      </c>
      <c r="H274" s="6" t="s">
        <v>47</v>
      </c>
      <c r="I274" s="6" t="s">
        <v>47</v>
      </c>
      <c r="J274" s="6" t="s">
        <v>47</v>
      </c>
      <c r="K274" s="6" t="s">
        <v>47</v>
      </c>
      <c r="L274" s="6" t="s">
        <v>47</v>
      </c>
      <c r="M274" s="6" t="s">
        <v>47</v>
      </c>
      <c r="N274" s="6" t="s">
        <v>47</v>
      </c>
      <c r="O274" s="6" t="s">
        <v>47</v>
      </c>
      <c r="P274" s="6" t="s">
        <v>47</v>
      </c>
      <c r="Q274" s="6" t="s">
        <v>47</v>
      </c>
      <c r="R274" s="6" t="s">
        <v>47</v>
      </c>
      <c r="S274" s="6" t="s">
        <v>47</v>
      </c>
      <c r="T274" s="6" t="s">
        <v>47</v>
      </c>
      <c r="U274" s="6" t="s">
        <v>47</v>
      </c>
      <c r="V274" s="6" t="s">
        <v>47</v>
      </c>
      <c r="W274" s="6" t="s">
        <v>47</v>
      </c>
      <c r="X274" s="2" t="str">
        <f t="shared" ca="1" si="27"/>
        <v>Conforme</v>
      </c>
    </row>
    <row r="275" spans="1:24" x14ac:dyDescent="0.25">
      <c r="A275" s="1">
        <v>6</v>
      </c>
      <c r="B275" s="4">
        <v>44974</v>
      </c>
      <c r="C275" s="3" t="s">
        <v>4</v>
      </c>
      <c r="D275" s="6" t="s">
        <v>47</v>
      </c>
      <c r="E275" s="6" t="s">
        <v>47</v>
      </c>
      <c r="F275" s="6" t="s">
        <v>47</v>
      </c>
      <c r="G275" s="6" t="s">
        <v>47</v>
      </c>
      <c r="H275" s="6" t="s">
        <v>47</v>
      </c>
      <c r="I275" s="6" t="s">
        <v>47</v>
      </c>
      <c r="J275" s="6" t="s">
        <v>47</v>
      </c>
      <c r="K275" s="6" t="s">
        <v>47</v>
      </c>
      <c r="L275" s="6" t="s">
        <v>47</v>
      </c>
      <c r="M275" s="6" t="s">
        <v>47</v>
      </c>
      <c r="N275" s="6" t="s">
        <v>47</v>
      </c>
      <c r="O275" s="6" t="s">
        <v>47</v>
      </c>
      <c r="P275" s="6" t="s">
        <v>47</v>
      </c>
      <c r="Q275" s="6" t="s">
        <v>47</v>
      </c>
      <c r="R275" s="6" t="s">
        <v>47</v>
      </c>
      <c r="S275" s="6" t="s">
        <v>47</v>
      </c>
      <c r="T275" s="6" t="s">
        <v>47</v>
      </c>
      <c r="U275" s="6" t="s">
        <v>47</v>
      </c>
      <c r="V275" s="6" t="s">
        <v>47</v>
      </c>
      <c r="W275" s="6" t="s">
        <v>47</v>
      </c>
      <c r="X275" s="2" t="str">
        <f t="shared" ca="1" si="27"/>
        <v>Conforme</v>
      </c>
    </row>
    <row r="276" spans="1:24" x14ac:dyDescent="0.25">
      <c r="A276" s="1">
        <v>2</v>
      </c>
      <c r="B276" s="4">
        <v>44977</v>
      </c>
      <c r="C276" s="3" t="s">
        <v>4</v>
      </c>
      <c r="D276" s="6" t="s">
        <v>47</v>
      </c>
      <c r="E276" s="6" t="s">
        <v>47</v>
      </c>
      <c r="F276" s="6" t="s">
        <v>47</v>
      </c>
      <c r="G276" s="6" t="s">
        <v>47</v>
      </c>
      <c r="H276" s="6" t="s">
        <v>47</v>
      </c>
      <c r="I276" s="6" t="s">
        <v>47</v>
      </c>
      <c r="J276" s="6" t="s">
        <v>47</v>
      </c>
      <c r="K276" s="6" t="s">
        <v>47</v>
      </c>
      <c r="L276" s="6" t="s">
        <v>47</v>
      </c>
      <c r="M276" s="6" t="s">
        <v>47</v>
      </c>
      <c r="N276" s="6" t="s">
        <v>47</v>
      </c>
      <c r="O276" s="6" t="s">
        <v>47</v>
      </c>
      <c r="P276" s="6" t="s">
        <v>47</v>
      </c>
      <c r="Q276" s="6" t="s">
        <v>47</v>
      </c>
      <c r="R276" s="6" t="s">
        <v>47</v>
      </c>
      <c r="S276" s="6" t="s">
        <v>47</v>
      </c>
      <c r="T276" s="6" t="s">
        <v>47</v>
      </c>
      <c r="U276" s="6" t="s">
        <v>47</v>
      </c>
      <c r="V276" s="6" t="s">
        <v>47</v>
      </c>
      <c r="W276" s="6" t="s">
        <v>47</v>
      </c>
      <c r="X276" s="2" t="str">
        <f t="shared" ca="1" si="27"/>
        <v>Conforme</v>
      </c>
    </row>
    <row r="277" spans="1:24" x14ac:dyDescent="0.25">
      <c r="A277" s="1">
        <v>3</v>
      </c>
      <c r="B277" s="4">
        <v>44978</v>
      </c>
      <c r="C277" s="3" t="s">
        <v>4</v>
      </c>
      <c r="D277" s="6" t="s">
        <v>47</v>
      </c>
      <c r="E277" s="6" t="s">
        <v>47</v>
      </c>
      <c r="F277" s="6" t="s">
        <v>47</v>
      </c>
      <c r="G277" s="6" t="s">
        <v>47</v>
      </c>
      <c r="H277" s="6" t="s">
        <v>47</v>
      </c>
      <c r="I277" s="6" t="s">
        <v>47</v>
      </c>
      <c r="J277" s="6" t="s">
        <v>47</v>
      </c>
      <c r="K277" s="6" t="s">
        <v>47</v>
      </c>
      <c r="L277" s="6" t="s">
        <v>47</v>
      </c>
      <c r="M277" s="6" t="s">
        <v>47</v>
      </c>
      <c r="N277" s="6" t="s">
        <v>47</v>
      </c>
      <c r="O277" s="6" t="s">
        <v>47</v>
      </c>
      <c r="P277" s="6" t="s">
        <v>47</v>
      </c>
      <c r="Q277" s="6" t="s">
        <v>47</v>
      </c>
      <c r="R277" s="6" t="s">
        <v>47</v>
      </c>
      <c r="S277" s="6" t="s">
        <v>47</v>
      </c>
      <c r="T277" s="6" t="s">
        <v>47</v>
      </c>
      <c r="U277" s="6" t="s">
        <v>47</v>
      </c>
      <c r="V277" s="6" t="s">
        <v>47</v>
      </c>
      <c r="W277" s="6" t="s">
        <v>47</v>
      </c>
      <c r="X277" s="2" t="str">
        <f t="shared" ca="1" si="27"/>
        <v>Conforme</v>
      </c>
    </row>
    <row r="278" spans="1:24" x14ac:dyDescent="0.25">
      <c r="A278" s="1">
        <v>4</v>
      </c>
      <c r="B278" s="4">
        <v>44979</v>
      </c>
      <c r="C278" s="3" t="s">
        <v>4</v>
      </c>
      <c r="D278" s="6" t="s">
        <v>47</v>
      </c>
      <c r="E278" s="6" t="s">
        <v>47</v>
      </c>
      <c r="F278" s="6" t="s">
        <v>47</v>
      </c>
      <c r="G278" s="6" t="s">
        <v>47</v>
      </c>
      <c r="H278" s="6" t="s">
        <v>47</v>
      </c>
      <c r="I278" s="6" t="s">
        <v>47</v>
      </c>
      <c r="J278" s="6" t="s">
        <v>47</v>
      </c>
      <c r="K278" s="6" t="s">
        <v>47</v>
      </c>
      <c r="L278" s="6" t="s">
        <v>47</v>
      </c>
      <c r="M278" s="6" t="s">
        <v>47</v>
      </c>
      <c r="N278" s="6" t="s">
        <v>47</v>
      </c>
      <c r="O278" s="6" t="s">
        <v>47</v>
      </c>
      <c r="P278" s="6" t="s">
        <v>47</v>
      </c>
      <c r="Q278" s="6" t="s">
        <v>47</v>
      </c>
      <c r="R278" s="6" t="s">
        <v>47</v>
      </c>
      <c r="S278" s="6" t="s">
        <v>47</v>
      </c>
      <c r="T278" s="6" t="s">
        <v>47</v>
      </c>
      <c r="U278" s="6" t="s">
        <v>47</v>
      </c>
      <c r="V278" s="6" t="s">
        <v>47</v>
      </c>
      <c r="W278" s="6" t="s">
        <v>47</v>
      </c>
      <c r="X278" s="2" t="str">
        <f t="shared" ca="1" si="27"/>
        <v>Conforme</v>
      </c>
    </row>
    <row r="279" spans="1:24" x14ac:dyDescent="0.25">
      <c r="A279" s="1">
        <v>5</v>
      </c>
      <c r="B279" s="4">
        <v>44980</v>
      </c>
      <c r="C279" s="3" t="s">
        <v>4</v>
      </c>
      <c r="D279" s="6" t="s">
        <v>47</v>
      </c>
      <c r="E279" s="6" t="s">
        <v>47</v>
      </c>
      <c r="F279" s="6" t="s">
        <v>47</v>
      </c>
      <c r="G279" s="6" t="s">
        <v>47</v>
      </c>
      <c r="H279" s="6" t="s">
        <v>47</v>
      </c>
      <c r="I279" s="6" t="s">
        <v>47</v>
      </c>
      <c r="J279" s="6" t="s">
        <v>47</v>
      </c>
      <c r="K279" s="6" t="s">
        <v>47</v>
      </c>
      <c r="L279" s="6" t="s">
        <v>47</v>
      </c>
      <c r="M279" s="6" t="s">
        <v>47</v>
      </c>
      <c r="N279" s="6" t="s">
        <v>47</v>
      </c>
      <c r="O279" s="6" t="s">
        <v>47</v>
      </c>
      <c r="P279" s="6" t="s">
        <v>47</v>
      </c>
      <c r="Q279" s="6" t="s">
        <v>47</v>
      </c>
      <c r="R279" s="6" t="s">
        <v>47</v>
      </c>
      <c r="S279" s="6" t="s">
        <v>47</v>
      </c>
      <c r="T279" s="6" t="s">
        <v>47</v>
      </c>
      <c r="U279" s="6" t="s">
        <v>47</v>
      </c>
      <c r="V279" s="6" t="s">
        <v>47</v>
      </c>
      <c r="W279" s="6" t="s">
        <v>47</v>
      </c>
      <c r="X279" s="2" t="str">
        <f t="shared" ca="1" si="27"/>
        <v>Conforme</v>
      </c>
    </row>
    <row r="280" spans="1:24" x14ac:dyDescent="0.25">
      <c r="A280" s="1">
        <v>6</v>
      </c>
      <c r="B280" s="4">
        <v>44981</v>
      </c>
      <c r="C280" s="3" t="s">
        <v>4</v>
      </c>
      <c r="D280" s="6" t="s">
        <v>47</v>
      </c>
      <c r="E280" s="6" t="s">
        <v>47</v>
      </c>
      <c r="F280" s="6" t="s">
        <v>47</v>
      </c>
      <c r="G280" s="6" t="s">
        <v>47</v>
      </c>
      <c r="H280" s="6" t="s">
        <v>47</v>
      </c>
      <c r="I280" s="6" t="s">
        <v>47</v>
      </c>
      <c r="J280" s="6" t="s">
        <v>47</v>
      </c>
      <c r="K280" s="6" t="s">
        <v>47</v>
      </c>
      <c r="L280" s="6" t="s">
        <v>47</v>
      </c>
      <c r="M280" s="6" t="s">
        <v>47</v>
      </c>
      <c r="N280" s="6" t="s">
        <v>47</v>
      </c>
      <c r="O280" s="6" t="s">
        <v>47</v>
      </c>
      <c r="P280" s="6" t="s">
        <v>47</v>
      </c>
      <c r="Q280" s="6" t="s">
        <v>47</v>
      </c>
      <c r="R280" s="6" t="s">
        <v>47</v>
      </c>
      <c r="S280" s="6" t="s">
        <v>47</v>
      </c>
      <c r="T280" s="6" t="s">
        <v>47</v>
      </c>
      <c r="U280" s="6" t="s">
        <v>47</v>
      </c>
      <c r="V280" s="6" t="s">
        <v>47</v>
      </c>
      <c r="W280" s="6" t="s">
        <v>47</v>
      </c>
      <c r="X280" s="2" t="str">
        <f t="shared" ca="1" si="27"/>
        <v>Conforme</v>
      </c>
    </row>
    <row r="281" spans="1:24" x14ac:dyDescent="0.25">
      <c r="A281" s="1">
        <v>2</v>
      </c>
      <c r="B281" s="4">
        <v>44984</v>
      </c>
      <c r="C281" s="3" t="s">
        <v>4</v>
      </c>
      <c r="D281" s="6" t="s">
        <v>47</v>
      </c>
      <c r="E281" s="6" t="s">
        <v>47</v>
      </c>
      <c r="F281" s="6" t="s">
        <v>47</v>
      </c>
      <c r="G281" s="6" t="s">
        <v>47</v>
      </c>
      <c r="H281" s="6" t="s">
        <v>47</v>
      </c>
      <c r="I281" s="6" t="s">
        <v>47</v>
      </c>
      <c r="J281" s="6" t="s">
        <v>47</v>
      </c>
      <c r="K281" s="6" t="s">
        <v>47</v>
      </c>
      <c r="L281" s="6" t="s">
        <v>47</v>
      </c>
      <c r="M281" s="6" t="s">
        <v>47</v>
      </c>
      <c r="N281" s="6" t="s">
        <v>47</v>
      </c>
      <c r="O281" s="6" t="s">
        <v>47</v>
      </c>
      <c r="P281" s="6" t="s">
        <v>47</v>
      </c>
      <c r="Q281" s="6" t="s">
        <v>47</v>
      </c>
      <c r="R281" s="6" t="s">
        <v>47</v>
      </c>
      <c r="S281" s="6" t="s">
        <v>47</v>
      </c>
      <c r="T281" s="6" t="s">
        <v>47</v>
      </c>
      <c r="U281" s="6" t="s">
        <v>47</v>
      </c>
      <c r="V281" s="6" t="s">
        <v>47</v>
      </c>
      <c r="W281" s="6" t="s">
        <v>47</v>
      </c>
      <c r="X281" s="2" t="str">
        <f t="shared" ca="1" si="27"/>
        <v>Conforme</v>
      </c>
    </row>
    <row r="282" spans="1:24" x14ac:dyDescent="0.25">
      <c r="A282" s="1">
        <v>3</v>
      </c>
      <c r="B282" s="4">
        <v>44985</v>
      </c>
      <c r="C282" s="3" t="s">
        <v>4</v>
      </c>
      <c r="D282" s="6" t="s">
        <v>47</v>
      </c>
      <c r="E282" s="6" t="s">
        <v>47</v>
      </c>
      <c r="F282" s="6" t="s">
        <v>47</v>
      </c>
      <c r="G282" s="6" t="s">
        <v>47</v>
      </c>
      <c r="H282" s="6" t="s">
        <v>47</v>
      </c>
      <c r="I282" s="6" t="s">
        <v>47</v>
      </c>
      <c r="J282" s="6" t="s">
        <v>47</v>
      </c>
      <c r="K282" s="6" t="s">
        <v>47</v>
      </c>
      <c r="L282" s="6" t="s">
        <v>47</v>
      </c>
      <c r="M282" s="6" t="s">
        <v>47</v>
      </c>
      <c r="N282" s="6" t="s">
        <v>47</v>
      </c>
      <c r="O282" s="6" t="s">
        <v>47</v>
      </c>
      <c r="P282" s="6" t="s">
        <v>47</v>
      </c>
      <c r="Q282" s="6" t="s">
        <v>47</v>
      </c>
      <c r="R282" s="6" t="s">
        <v>47</v>
      </c>
      <c r="S282" s="6" t="s">
        <v>47</v>
      </c>
      <c r="T282" s="6" t="s">
        <v>47</v>
      </c>
      <c r="U282" s="6" t="s">
        <v>47</v>
      </c>
      <c r="V282" s="6" t="s">
        <v>47</v>
      </c>
      <c r="W282" s="6" t="s">
        <v>47</v>
      </c>
      <c r="X282" s="2" t="str">
        <f t="shared" ca="1" si="27"/>
        <v>Conforme</v>
      </c>
    </row>
    <row r="283" spans="1:24" x14ac:dyDescent="0.25">
      <c r="A283" s="1">
        <v>4</v>
      </c>
      <c r="B283" s="4">
        <v>44986</v>
      </c>
      <c r="C283" s="3" t="s">
        <v>4</v>
      </c>
      <c r="D283" s="6" t="s">
        <v>47</v>
      </c>
      <c r="E283" s="6" t="s">
        <v>47</v>
      </c>
      <c r="F283" s="6" t="s">
        <v>47</v>
      </c>
      <c r="G283" s="6" t="s">
        <v>47</v>
      </c>
      <c r="H283" s="6" t="s">
        <v>47</v>
      </c>
      <c r="I283" s="6" t="s">
        <v>47</v>
      </c>
      <c r="J283" s="6" t="s">
        <v>47</v>
      </c>
      <c r="K283" s="6" t="s">
        <v>47</v>
      </c>
      <c r="L283" s="6" t="s">
        <v>47</v>
      </c>
      <c r="M283" s="6" t="s">
        <v>47</v>
      </c>
      <c r="N283" s="6" t="s">
        <v>47</v>
      </c>
      <c r="O283" s="6" t="s">
        <v>47</v>
      </c>
      <c r="P283" s="6" t="s">
        <v>47</v>
      </c>
      <c r="Q283" s="6" t="s">
        <v>47</v>
      </c>
      <c r="R283" s="6" t="s">
        <v>47</v>
      </c>
      <c r="S283" s="6" t="s">
        <v>47</v>
      </c>
      <c r="T283" s="6" t="s">
        <v>47</v>
      </c>
      <c r="U283" s="6" t="s">
        <v>47</v>
      </c>
      <c r="V283" s="6" t="s">
        <v>47</v>
      </c>
      <c r="W283" s="6" t="s">
        <v>47</v>
      </c>
      <c r="X283" s="2" t="str">
        <f t="shared" ca="1" si="27"/>
        <v>Conforme</v>
      </c>
    </row>
    <row r="284" spans="1:24" x14ac:dyDescent="0.25">
      <c r="A284" s="1">
        <v>5</v>
      </c>
      <c r="B284" s="4">
        <v>44987</v>
      </c>
      <c r="C284" s="3" t="s">
        <v>4</v>
      </c>
      <c r="D284" s="6" t="s">
        <v>47</v>
      </c>
      <c r="E284" s="6" t="s">
        <v>47</v>
      </c>
      <c r="F284" s="6" t="s">
        <v>47</v>
      </c>
      <c r="G284" s="6" t="s">
        <v>47</v>
      </c>
      <c r="H284" s="6" t="s">
        <v>47</v>
      </c>
      <c r="I284" s="6" t="s">
        <v>47</v>
      </c>
      <c r="J284" s="6" t="s">
        <v>47</v>
      </c>
      <c r="K284" s="6" t="s">
        <v>47</v>
      </c>
      <c r="L284" s="6" t="s">
        <v>47</v>
      </c>
      <c r="M284" s="6" t="s">
        <v>47</v>
      </c>
      <c r="N284" s="6" t="s">
        <v>47</v>
      </c>
      <c r="O284" s="6" t="s">
        <v>47</v>
      </c>
      <c r="P284" s="6" t="s">
        <v>47</v>
      </c>
      <c r="Q284" s="6" t="s">
        <v>47</v>
      </c>
      <c r="R284" s="6" t="s">
        <v>47</v>
      </c>
      <c r="S284" s="6" t="s">
        <v>47</v>
      </c>
      <c r="T284" s="6" t="s">
        <v>47</v>
      </c>
      <c r="U284" s="6" t="s">
        <v>47</v>
      </c>
      <c r="V284" s="6" t="s">
        <v>47</v>
      </c>
      <c r="W284" s="6" t="s">
        <v>47</v>
      </c>
      <c r="X284" s="2" t="str">
        <f t="shared" ca="1" si="27"/>
        <v>Conforme</v>
      </c>
    </row>
    <row r="285" spans="1:24" x14ac:dyDescent="0.25">
      <c r="A285" s="1">
        <v>6</v>
      </c>
      <c r="B285" s="4">
        <v>44988</v>
      </c>
      <c r="C285" s="3" t="s">
        <v>4</v>
      </c>
      <c r="D285" s="6" t="s">
        <v>47</v>
      </c>
      <c r="E285" s="6" t="s">
        <v>47</v>
      </c>
      <c r="F285" s="6" t="s">
        <v>47</v>
      </c>
      <c r="G285" s="6" t="s">
        <v>47</v>
      </c>
      <c r="H285" s="6" t="s">
        <v>47</v>
      </c>
      <c r="I285" s="6" t="s">
        <v>47</v>
      </c>
      <c r="J285" s="6" t="s">
        <v>47</v>
      </c>
      <c r="K285" s="6" t="s">
        <v>47</v>
      </c>
      <c r="L285" s="6" t="s">
        <v>47</v>
      </c>
      <c r="M285" s="6" t="s">
        <v>47</v>
      </c>
      <c r="N285" s="6" t="s">
        <v>47</v>
      </c>
      <c r="O285" s="6" t="s">
        <v>47</v>
      </c>
      <c r="P285" s="6" t="s">
        <v>47</v>
      </c>
      <c r="Q285" s="6" t="s">
        <v>47</v>
      </c>
      <c r="R285" s="6" t="s">
        <v>47</v>
      </c>
      <c r="S285" s="6" t="s">
        <v>47</v>
      </c>
      <c r="T285" s="6" t="s">
        <v>47</v>
      </c>
      <c r="U285" s="6" t="s">
        <v>47</v>
      </c>
      <c r="V285" s="6" t="s">
        <v>47</v>
      </c>
      <c r="W285" s="6" t="s">
        <v>47</v>
      </c>
      <c r="X285" s="2" t="str">
        <f t="shared" ca="1" si="27"/>
        <v>Conforme</v>
      </c>
    </row>
    <row r="286" spans="1:24" x14ac:dyDescent="0.25">
      <c r="A286" s="1">
        <v>2</v>
      </c>
      <c r="B286" s="4">
        <v>44991</v>
      </c>
      <c r="C286" s="3" t="s">
        <v>4</v>
      </c>
      <c r="D286" s="6" t="s">
        <v>47</v>
      </c>
      <c r="E286" s="6" t="s">
        <v>47</v>
      </c>
      <c r="F286" s="6" t="s">
        <v>47</v>
      </c>
      <c r="G286" s="6" t="s">
        <v>47</v>
      </c>
      <c r="H286" s="6" t="s">
        <v>47</v>
      </c>
      <c r="I286" s="6" t="s">
        <v>47</v>
      </c>
      <c r="J286" s="6" t="s">
        <v>47</v>
      </c>
      <c r="K286" s="6" t="s">
        <v>47</v>
      </c>
      <c r="L286" s="6" t="s">
        <v>47</v>
      </c>
      <c r="M286" s="6" t="s">
        <v>47</v>
      </c>
      <c r="N286" s="6" t="s">
        <v>47</v>
      </c>
      <c r="O286" s="6" t="s">
        <v>47</v>
      </c>
      <c r="P286" s="6" t="s">
        <v>47</v>
      </c>
      <c r="Q286" s="6" t="s">
        <v>47</v>
      </c>
      <c r="R286" s="6" t="s">
        <v>47</v>
      </c>
      <c r="S286" s="6" t="s">
        <v>47</v>
      </c>
      <c r="T286" s="6" t="s">
        <v>47</v>
      </c>
      <c r="U286" s="6" t="s">
        <v>47</v>
      </c>
      <c r="V286" s="6" t="s">
        <v>47</v>
      </c>
      <c r="W286" s="6" t="s">
        <v>47</v>
      </c>
      <c r="X286" s="2" t="str">
        <f t="shared" ca="1" si="27"/>
        <v>Conforme</v>
      </c>
    </row>
    <row r="287" spans="1:24" x14ac:dyDescent="0.25">
      <c r="A287" s="1">
        <v>3</v>
      </c>
      <c r="B287" s="4">
        <v>44992</v>
      </c>
      <c r="C287" s="3" t="s">
        <v>4</v>
      </c>
      <c r="D287" s="6" t="s">
        <v>47</v>
      </c>
      <c r="E287" s="6" t="s">
        <v>47</v>
      </c>
      <c r="F287" s="6" t="s">
        <v>47</v>
      </c>
      <c r="G287" s="6" t="s">
        <v>47</v>
      </c>
      <c r="H287" s="6" t="s">
        <v>47</v>
      </c>
      <c r="I287" s="6" t="s">
        <v>47</v>
      </c>
      <c r="J287" s="6" t="s">
        <v>47</v>
      </c>
      <c r="K287" s="6" t="s">
        <v>47</v>
      </c>
      <c r="L287" s="6" t="s">
        <v>47</v>
      </c>
      <c r="M287" s="6" t="s">
        <v>47</v>
      </c>
      <c r="N287" s="6" t="s">
        <v>47</v>
      </c>
      <c r="O287" s="6" t="s">
        <v>47</v>
      </c>
      <c r="P287" s="6" t="s">
        <v>47</v>
      </c>
      <c r="Q287" s="6" t="s">
        <v>47</v>
      </c>
      <c r="R287" s="6" t="s">
        <v>47</v>
      </c>
      <c r="S287" s="6" t="s">
        <v>47</v>
      </c>
      <c r="T287" s="6" t="s">
        <v>47</v>
      </c>
      <c r="U287" s="6" t="s">
        <v>47</v>
      </c>
      <c r="V287" s="6" t="s">
        <v>47</v>
      </c>
      <c r="W287" s="6" t="s">
        <v>47</v>
      </c>
      <c r="X287" s="2" t="str">
        <f t="shared" ca="1" si="27"/>
        <v>Conforme</v>
      </c>
    </row>
    <row r="288" spans="1:24" x14ac:dyDescent="0.25">
      <c r="A288" s="1">
        <v>4</v>
      </c>
      <c r="B288" s="4">
        <v>44993</v>
      </c>
      <c r="C288" s="3" t="s">
        <v>4</v>
      </c>
      <c r="D288" s="6" t="s">
        <v>47</v>
      </c>
      <c r="E288" s="6" t="s">
        <v>47</v>
      </c>
      <c r="F288" s="6" t="s">
        <v>47</v>
      </c>
      <c r="G288" s="6" t="s">
        <v>47</v>
      </c>
      <c r="H288" s="6" t="s">
        <v>47</v>
      </c>
      <c r="I288" s="6" t="s">
        <v>47</v>
      </c>
      <c r="J288" s="6" t="s">
        <v>47</v>
      </c>
      <c r="K288" s="6" t="s">
        <v>47</v>
      </c>
      <c r="L288" s="6" t="s">
        <v>47</v>
      </c>
      <c r="M288" s="6" t="s">
        <v>47</v>
      </c>
      <c r="N288" s="6" t="s">
        <v>47</v>
      </c>
      <c r="O288" s="6" t="s">
        <v>47</v>
      </c>
      <c r="P288" s="6" t="s">
        <v>47</v>
      </c>
      <c r="Q288" s="6" t="s">
        <v>47</v>
      </c>
      <c r="R288" s="6" t="s">
        <v>47</v>
      </c>
      <c r="S288" s="6" t="s">
        <v>47</v>
      </c>
      <c r="T288" s="6" t="s">
        <v>47</v>
      </c>
      <c r="U288" s="6" t="s">
        <v>47</v>
      </c>
      <c r="V288" s="6" t="s">
        <v>47</v>
      </c>
      <c r="W288" s="6" t="s">
        <v>47</v>
      </c>
      <c r="X288" s="2" t="str">
        <f t="shared" ca="1" si="27"/>
        <v>Conforme</v>
      </c>
    </row>
    <row r="289" spans="1:24" x14ac:dyDescent="0.25">
      <c r="A289" s="1">
        <v>5</v>
      </c>
      <c r="B289" s="4">
        <v>44994</v>
      </c>
      <c r="C289" s="3" t="s">
        <v>4</v>
      </c>
      <c r="D289" s="6" t="s">
        <v>47</v>
      </c>
      <c r="E289" s="6" t="s">
        <v>47</v>
      </c>
      <c r="F289" s="6" t="s">
        <v>47</v>
      </c>
      <c r="G289" s="6" t="s">
        <v>47</v>
      </c>
      <c r="H289" s="6" t="s">
        <v>47</v>
      </c>
      <c r="I289" s="6" t="s">
        <v>47</v>
      </c>
      <c r="J289" s="6" t="s">
        <v>47</v>
      </c>
      <c r="K289" s="6" t="s">
        <v>47</v>
      </c>
      <c r="L289" s="6" t="s">
        <v>47</v>
      </c>
      <c r="M289" s="6" t="s">
        <v>47</v>
      </c>
      <c r="N289" s="6" t="s">
        <v>47</v>
      </c>
      <c r="O289" s="6" t="s">
        <v>47</v>
      </c>
      <c r="P289" s="6" t="s">
        <v>47</v>
      </c>
      <c r="Q289" s="6" t="s">
        <v>47</v>
      </c>
      <c r="R289" s="6" t="s">
        <v>47</v>
      </c>
      <c r="S289" s="6" t="s">
        <v>47</v>
      </c>
      <c r="T289" s="6" t="s">
        <v>47</v>
      </c>
      <c r="U289" s="6" t="s">
        <v>47</v>
      </c>
      <c r="V289" s="6" t="s">
        <v>47</v>
      </c>
      <c r="W289" s="6" t="s">
        <v>47</v>
      </c>
      <c r="X289" s="2" t="str">
        <f t="shared" ca="1" si="27"/>
        <v>Conforme</v>
      </c>
    </row>
    <row r="290" spans="1:24" x14ac:dyDescent="0.25">
      <c r="A290" s="1">
        <v>6</v>
      </c>
      <c r="B290" s="4">
        <v>44995</v>
      </c>
      <c r="C290" s="3" t="s">
        <v>4</v>
      </c>
      <c r="D290" s="6" t="s">
        <v>47</v>
      </c>
      <c r="E290" s="6" t="s">
        <v>47</v>
      </c>
      <c r="F290" s="6" t="s">
        <v>47</v>
      </c>
      <c r="G290" s="6" t="s">
        <v>47</v>
      </c>
      <c r="H290" s="6" t="s">
        <v>47</v>
      </c>
      <c r="I290" s="6" t="s">
        <v>47</v>
      </c>
      <c r="J290" s="6" t="s">
        <v>47</v>
      </c>
      <c r="K290" s="6" t="s">
        <v>47</v>
      </c>
      <c r="L290" s="6" t="s">
        <v>47</v>
      </c>
      <c r="M290" s="6" t="s">
        <v>47</v>
      </c>
      <c r="N290" s="6" t="s">
        <v>47</v>
      </c>
      <c r="O290" s="6" t="s">
        <v>47</v>
      </c>
      <c r="P290" s="6" t="s">
        <v>47</v>
      </c>
      <c r="Q290" s="6" t="s">
        <v>47</v>
      </c>
      <c r="R290" s="6" t="s">
        <v>47</v>
      </c>
      <c r="S290" s="6" t="s">
        <v>47</v>
      </c>
      <c r="T290" s="6" t="s">
        <v>47</v>
      </c>
      <c r="U290" s="6" t="s">
        <v>47</v>
      </c>
      <c r="V290" s="6" t="s">
        <v>47</v>
      </c>
      <c r="W290" s="6" t="s">
        <v>47</v>
      </c>
      <c r="X290" s="2" t="str">
        <f t="shared" ca="1" si="27"/>
        <v>Conforme</v>
      </c>
    </row>
    <row r="291" spans="1:24" x14ac:dyDescent="0.25">
      <c r="A291" s="1">
        <v>2</v>
      </c>
      <c r="B291" s="4">
        <v>44998</v>
      </c>
      <c r="C291" s="3" t="s">
        <v>4</v>
      </c>
      <c r="D291" s="6" t="s">
        <v>47</v>
      </c>
      <c r="E291" s="6" t="s">
        <v>47</v>
      </c>
      <c r="F291" s="6" t="s">
        <v>47</v>
      </c>
      <c r="G291" s="6" t="s">
        <v>47</v>
      </c>
      <c r="H291" s="6" t="s">
        <v>47</v>
      </c>
      <c r="I291" s="6" t="s">
        <v>47</v>
      </c>
      <c r="J291" s="6" t="s">
        <v>47</v>
      </c>
      <c r="K291" s="6" t="s">
        <v>47</v>
      </c>
      <c r="L291" s="6" t="s">
        <v>47</v>
      </c>
      <c r="M291" s="6" t="s">
        <v>47</v>
      </c>
      <c r="N291" s="6" t="s">
        <v>47</v>
      </c>
      <c r="O291" s="6" t="s">
        <v>47</v>
      </c>
      <c r="P291" s="6" t="s">
        <v>47</v>
      </c>
      <c r="Q291" s="6" t="s">
        <v>47</v>
      </c>
      <c r="R291" s="6" t="s">
        <v>47</v>
      </c>
      <c r="S291" s="6" t="s">
        <v>47</v>
      </c>
      <c r="T291" s="6" t="s">
        <v>47</v>
      </c>
      <c r="U291" s="6" t="s">
        <v>47</v>
      </c>
      <c r="V291" s="6" t="s">
        <v>47</v>
      </c>
      <c r="W291" s="6" t="s">
        <v>47</v>
      </c>
      <c r="X291" s="2" t="str">
        <f t="shared" ca="1" si="27"/>
        <v>Conforme</v>
      </c>
    </row>
    <row r="292" spans="1:24" x14ac:dyDescent="0.25">
      <c r="A292" s="1">
        <v>3</v>
      </c>
      <c r="B292" s="4">
        <v>44999</v>
      </c>
      <c r="C292" s="3" t="s">
        <v>4</v>
      </c>
      <c r="D292" s="6" t="s">
        <v>47</v>
      </c>
      <c r="E292" s="6" t="s">
        <v>47</v>
      </c>
      <c r="F292" s="6" t="s">
        <v>47</v>
      </c>
      <c r="G292" s="6" t="s">
        <v>47</v>
      </c>
      <c r="H292" s="6" t="s">
        <v>47</v>
      </c>
      <c r="I292" s="6" t="s">
        <v>47</v>
      </c>
      <c r="J292" s="6" t="s">
        <v>47</v>
      </c>
      <c r="K292" s="6" t="s">
        <v>47</v>
      </c>
      <c r="L292" s="6" t="s">
        <v>47</v>
      </c>
      <c r="M292" s="6" t="s">
        <v>47</v>
      </c>
      <c r="N292" s="6" t="s">
        <v>47</v>
      </c>
      <c r="O292" s="6" t="s">
        <v>47</v>
      </c>
      <c r="P292" s="6" t="s">
        <v>47</v>
      </c>
      <c r="Q292" s="6" t="s">
        <v>47</v>
      </c>
      <c r="R292" s="6" t="s">
        <v>47</v>
      </c>
      <c r="S292" s="6" t="s">
        <v>47</v>
      </c>
      <c r="T292" s="6" t="s">
        <v>47</v>
      </c>
      <c r="U292" s="6" t="s">
        <v>47</v>
      </c>
      <c r="V292" s="6" t="s">
        <v>47</v>
      </c>
      <c r="W292" s="6" t="s">
        <v>47</v>
      </c>
      <c r="X292" s="2" t="str">
        <f t="shared" ca="1" si="27"/>
        <v>Conforme</v>
      </c>
    </row>
    <row r="293" spans="1:24" x14ac:dyDescent="0.25">
      <c r="A293" s="1">
        <v>4</v>
      </c>
      <c r="B293" s="4">
        <v>45000</v>
      </c>
      <c r="C293" s="3" t="s">
        <v>4</v>
      </c>
      <c r="D293" s="6" t="s">
        <v>47</v>
      </c>
      <c r="E293" s="6" t="s">
        <v>47</v>
      </c>
      <c r="F293" s="6" t="s">
        <v>47</v>
      </c>
      <c r="G293" s="6" t="s">
        <v>47</v>
      </c>
      <c r="H293" s="6" t="s">
        <v>47</v>
      </c>
      <c r="I293" s="6" t="s">
        <v>47</v>
      </c>
      <c r="J293" s="6" t="s">
        <v>47</v>
      </c>
      <c r="K293" s="6" t="s">
        <v>47</v>
      </c>
      <c r="L293" s="6" t="s">
        <v>47</v>
      </c>
      <c r="M293" s="6" t="s">
        <v>47</v>
      </c>
      <c r="N293" s="6" t="s">
        <v>47</v>
      </c>
      <c r="O293" s="6" t="s">
        <v>47</v>
      </c>
      <c r="P293" s="6" t="s">
        <v>47</v>
      </c>
      <c r="Q293" s="6" t="s">
        <v>47</v>
      </c>
      <c r="R293" s="6" t="s">
        <v>47</v>
      </c>
      <c r="S293" s="6" t="s">
        <v>47</v>
      </c>
      <c r="T293" s="6" t="s">
        <v>47</v>
      </c>
      <c r="U293" s="6" t="s">
        <v>47</v>
      </c>
      <c r="V293" s="6" t="s">
        <v>47</v>
      </c>
      <c r="W293" s="6" t="s">
        <v>47</v>
      </c>
      <c r="X293" s="2" t="str">
        <f t="shared" ca="1" si="27"/>
        <v>Conforme</v>
      </c>
    </row>
    <row r="294" spans="1:24" x14ac:dyDescent="0.25">
      <c r="A294" s="1">
        <v>5</v>
      </c>
      <c r="B294" s="4">
        <v>45001</v>
      </c>
      <c r="C294" s="3" t="s">
        <v>4</v>
      </c>
      <c r="D294" s="6" t="s">
        <v>47</v>
      </c>
      <c r="E294" s="6" t="s">
        <v>47</v>
      </c>
      <c r="F294" s="6" t="s">
        <v>47</v>
      </c>
      <c r="G294" s="6" t="s">
        <v>47</v>
      </c>
      <c r="H294" s="6" t="s">
        <v>47</v>
      </c>
      <c r="I294" s="6" t="s">
        <v>47</v>
      </c>
      <c r="J294" s="6" t="s">
        <v>47</v>
      </c>
      <c r="K294" s="6" t="s">
        <v>47</v>
      </c>
      <c r="L294" s="6" t="s">
        <v>47</v>
      </c>
      <c r="M294" s="6" t="s">
        <v>47</v>
      </c>
      <c r="N294" s="6" t="s">
        <v>47</v>
      </c>
      <c r="O294" s="6" t="s">
        <v>47</v>
      </c>
      <c r="P294" s="6" t="s">
        <v>47</v>
      </c>
      <c r="Q294" s="6" t="s">
        <v>47</v>
      </c>
      <c r="R294" s="6" t="s">
        <v>47</v>
      </c>
      <c r="S294" s="6" t="s">
        <v>47</v>
      </c>
      <c r="T294" s="6" t="s">
        <v>47</v>
      </c>
      <c r="U294" s="6" t="s">
        <v>47</v>
      </c>
      <c r="V294" s="6" t="s">
        <v>47</v>
      </c>
      <c r="W294" s="6" t="s">
        <v>47</v>
      </c>
      <c r="X294" s="2" t="str">
        <f t="shared" ca="1" si="27"/>
        <v>Conforme</v>
      </c>
    </row>
    <row r="295" spans="1:24" x14ac:dyDescent="0.25">
      <c r="A295" s="1">
        <v>6</v>
      </c>
      <c r="B295" s="4">
        <v>45002</v>
      </c>
      <c r="C295" s="3" t="s">
        <v>4</v>
      </c>
      <c r="D295" s="6" t="s">
        <v>47</v>
      </c>
      <c r="E295" s="6" t="s">
        <v>47</v>
      </c>
      <c r="F295" s="6" t="s">
        <v>47</v>
      </c>
      <c r="G295" s="6" t="s">
        <v>47</v>
      </c>
      <c r="H295" s="6" t="s">
        <v>47</v>
      </c>
      <c r="I295" s="6" t="s">
        <v>47</v>
      </c>
      <c r="J295" s="6" t="s">
        <v>47</v>
      </c>
      <c r="K295" s="6" t="s">
        <v>47</v>
      </c>
      <c r="L295" s="6" t="s">
        <v>47</v>
      </c>
      <c r="M295" s="6" t="s">
        <v>47</v>
      </c>
      <c r="N295" s="6" t="s">
        <v>47</v>
      </c>
      <c r="O295" s="6" t="s">
        <v>47</v>
      </c>
      <c r="P295" s="6" t="s">
        <v>47</v>
      </c>
      <c r="Q295" s="6" t="s">
        <v>47</v>
      </c>
      <c r="R295" s="6" t="s">
        <v>47</v>
      </c>
      <c r="S295" s="6" t="s">
        <v>47</v>
      </c>
      <c r="T295" s="6" t="s">
        <v>47</v>
      </c>
      <c r="U295" s="6" t="s">
        <v>47</v>
      </c>
      <c r="V295" s="6" t="s">
        <v>47</v>
      </c>
      <c r="W295" s="6" t="s">
        <v>47</v>
      </c>
      <c r="X295" s="2" t="str">
        <f t="shared" ca="1" si="27"/>
        <v>Conforme</v>
      </c>
    </row>
    <row r="296" spans="1:24" x14ac:dyDescent="0.25">
      <c r="A296" s="1">
        <v>2</v>
      </c>
      <c r="B296" s="4">
        <v>45005</v>
      </c>
      <c r="C296" s="3" t="s">
        <v>4</v>
      </c>
      <c r="D296" s="6" t="s">
        <v>47</v>
      </c>
      <c r="E296" s="6" t="s">
        <v>47</v>
      </c>
      <c r="F296" s="6" t="s">
        <v>47</v>
      </c>
      <c r="G296" s="6" t="s">
        <v>47</v>
      </c>
      <c r="H296" s="6" t="s">
        <v>47</v>
      </c>
      <c r="I296" s="6" t="s">
        <v>47</v>
      </c>
      <c r="J296" s="6" t="s">
        <v>47</v>
      </c>
      <c r="K296" s="6" t="s">
        <v>47</v>
      </c>
      <c r="L296" s="6" t="s">
        <v>47</v>
      </c>
      <c r="M296" s="6" t="s">
        <v>47</v>
      </c>
      <c r="N296" s="6" t="s">
        <v>47</v>
      </c>
      <c r="O296" s="6" t="s">
        <v>47</v>
      </c>
      <c r="P296" s="6" t="s">
        <v>47</v>
      </c>
      <c r="Q296" s="6" t="s">
        <v>47</v>
      </c>
      <c r="R296" s="6" t="s">
        <v>47</v>
      </c>
      <c r="S296" s="6" t="s">
        <v>47</v>
      </c>
      <c r="T296" s="6" t="s">
        <v>47</v>
      </c>
      <c r="U296" s="6" t="s">
        <v>47</v>
      </c>
      <c r="V296" s="6" t="s">
        <v>47</v>
      </c>
      <c r="W296" s="6" t="s">
        <v>47</v>
      </c>
      <c r="X296" s="2" t="str">
        <f t="shared" ref="X296:X341" ca="1" si="28">IF(B296&lt;TODAY(),IF(COUNTBLANK(D296:W296)=0,"Conforme","Não conforme"),"")</f>
        <v>Conforme</v>
      </c>
    </row>
    <row r="297" spans="1:24" x14ac:dyDescent="0.25">
      <c r="A297" s="1">
        <v>3</v>
      </c>
      <c r="B297" s="4">
        <v>45006</v>
      </c>
      <c r="C297" s="3" t="s">
        <v>4</v>
      </c>
      <c r="D297" s="6" t="s">
        <v>47</v>
      </c>
      <c r="E297" s="6" t="s">
        <v>47</v>
      </c>
      <c r="F297" s="6" t="s">
        <v>47</v>
      </c>
      <c r="G297" s="6" t="s">
        <v>47</v>
      </c>
      <c r="H297" s="6" t="s">
        <v>47</v>
      </c>
      <c r="I297" s="6" t="s">
        <v>47</v>
      </c>
      <c r="J297" s="6" t="s">
        <v>47</v>
      </c>
      <c r="K297" s="6" t="s">
        <v>47</v>
      </c>
      <c r="L297" s="6" t="s">
        <v>47</v>
      </c>
      <c r="M297" s="6" t="s">
        <v>47</v>
      </c>
      <c r="N297" s="6" t="s">
        <v>47</v>
      </c>
      <c r="O297" s="6" t="s">
        <v>47</v>
      </c>
      <c r="P297" s="6" t="s">
        <v>47</v>
      </c>
      <c r="Q297" s="6" t="s">
        <v>47</v>
      </c>
      <c r="R297" s="6" t="s">
        <v>47</v>
      </c>
      <c r="S297" s="6" t="s">
        <v>47</v>
      </c>
      <c r="T297" s="6" t="s">
        <v>47</v>
      </c>
      <c r="U297" s="6" t="s">
        <v>47</v>
      </c>
      <c r="V297" s="6" t="s">
        <v>47</v>
      </c>
      <c r="W297" s="6" t="s">
        <v>47</v>
      </c>
      <c r="X297" s="2" t="str">
        <f t="shared" ca="1" si="28"/>
        <v>Conforme</v>
      </c>
    </row>
    <row r="298" spans="1:24" x14ac:dyDescent="0.25">
      <c r="A298" s="1">
        <v>4</v>
      </c>
      <c r="B298" s="4">
        <v>45007</v>
      </c>
      <c r="C298" s="3" t="s">
        <v>4</v>
      </c>
      <c r="D298" s="6" t="s">
        <v>47</v>
      </c>
      <c r="E298" s="6" t="s">
        <v>47</v>
      </c>
      <c r="F298" s="6" t="s">
        <v>47</v>
      </c>
      <c r="G298" s="6" t="s">
        <v>47</v>
      </c>
      <c r="H298" s="6" t="s">
        <v>47</v>
      </c>
      <c r="I298" s="6" t="s">
        <v>47</v>
      </c>
      <c r="J298" s="6" t="s">
        <v>47</v>
      </c>
      <c r="K298" s="6" t="s">
        <v>47</v>
      </c>
      <c r="L298" s="6" t="s">
        <v>47</v>
      </c>
      <c r="M298" s="6" t="s">
        <v>47</v>
      </c>
      <c r="N298" s="6" t="s">
        <v>47</v>
      </c>
      <c r="O298" s="6" t="s">
        <v>47</v>
      </c>
      <c r="P298" s="6" t="s">
        <v>47</v>
      </c>
      <c r="Q298" s="6" t="s">
        <v>47</v>
      </c>
      <c r="R298" s="6" t="s">
        <v>47</v>
      </c>
      <c r="S298" s="6" t="s">
        <v>47</v>
      </c>
      <c r="T298" s="6" t="s">
        <v>47</v>
      </c>
      <c r="U298" s="6" t="s">
        <v>47</v>
      </c>
      <c r="V298" s="6" t="s">
        <v>47</v>
      </c>
      <c r="W298" s="6" t="s">
        <v>47</v>
      </c>
      <c r="X298" s="2" t="str">
        <f t="shared" ca="1" si="28"/>
        <v>Conforme</v>
      </c>
    </row>
    <row r="299" spans="1:24" x14ac:dyDescent="0.25">
      <c r="A299" s="1">
        <v>5</v>
      </c>
      <c r="B299" s="4">
        <v>45008</v>
      </c>
      <c r="C299" s="3" t="s">
        <v>4</v>
      </c>
      <c r="D299" s="6" t="s">
        <v>47</v>
      </c>
      <c r="E299" s="6" t="s">
        <v>47</v>
      </c>
      <c r="F299" s="6" t="s">
        <v>47</v>
      </c>
      <c r="G299" s="6" t="s">
        <v>47</v>
      </c>
      <c r="H299" s="6" t="s">
        <v>47</v>
      </c>
      <c r="I299" s="6" t="s">
        <v>47</v>
      </c>
      <c r="J299" s="6" t="s">
        <v>47</v>
      </c>
      <c r="K299" s="6" t="s">
        <v>47</v>
      </c>
      <c r="L299" s="6" t="s">
        <v>47</v>
      </c>
      <c r="M299" s="6" t="s">
        <v>47</v>
      </c>
      <c r="N299" s="6" t="s">
        <v>47</v>
      </c>
      <c r="O299" s="6" t="s">
        <v>47</v>
      </c>
      <c r="P299" s="6" t="s">
        <v>47</v>
      </c>
      <c r="Q299" s="6" t="s">
        <v>47</v>
      </c>
      <c r="R299" s="6" t="s">
        <v>47</v>
      </c>
      <c r="S299" s="6" t="s">
        <v>47</v>
      </c>
      <c r="T299" s="6" t="s">
        <v>47</v>
      </c>
      <c r="U299" s="6" t="s">
        <v>47</v>
      </c>
      <c r="V299" s="6" t="s">
        <v>47</v>
      </c>
      <c r="W299" s="6" t="s">
        <v>47</v>
      </c>
      <c r="X299" s="2" t="str">
        <f t="shared" ca="1" si="28"/>
        <v>Conforme</v>
      </c>
    </row>
    <row r="300" spans="1:24" x14ac:dyDescent="0.25">
      <c r="A300" s="1">
        <v>6</v>
      </c>
      <c r="B300" s="4">
        <v>45009</v>
      </c>
      <c r="C300" s="3" t="s">
        <v>4</v>
      </c>
      <c r="D300" s="6" t="s">
        <v>47</v>
      </c>
      <c r="E300" s="6" t="s">
        <v>47</v>
      </c>
      <c r="F300" s="6" t="s">
        <v>47</v>
      </c>
      <c r="G300" s="6" t="s">
        <v>47</v>
      </c>
      <c r="H300" s="6" t="s">
        <v>47</v>
      </c>
      <c r="I300" s="6" t="s">
        <v>47</v>
      </c>
      <c r="J300" s="6" t="s">
        <v>47</v>
      </c>
      <c r="K300" s="6" t="s">
        <v>47</v>
      </c>
      <c r="L300" s="6" t="s">
        <v>47</v>
      </c>
      <c r="M300" s="6" t="s">
        <v>47</v>
      </c>
      <c r="N300" s="6" t="s">
        <v>47</v>
      </c>
      <c r="O300" s="6" t="s">
        <v>47</v>
      </c>
      <c r="P300" s="6" t="s">
        <v>47</v>
      </c>
      <c r="Q300" s="6" t="s">
        <v>47</v>
      </c>
      <c r="R300" s="6" t="s">
        <v>47</v>
      </c>
      <c r="S300" s="6" t="s">
        <v>47</v>
      </c>
      <c r="T300" s="6" t="s">
        <v>47</v>
      </c>
      <c r="U300" s="6" t="s">
        <v>47</v>
      </c>
      <c r="V300" s="6" t="s">
        <v>47</v>
      </c>
      <c r="W300" s="6" t="s">
        <v>47</v>
      </c>
      <c r="X300" s="2" t="str">
        <f t="shared" ca="1" si="28"/>
        <v>Conforme</v>
      </c>
    </row>
    <row r="301" spans="1:24" x14ac:dyDescent="0.25">
      <c r="A301" s="1">
        <v>2</v>
      </c>
      <c r="B301" s="4">
        <v>45012</v>
      </c>
      <c r="C301" s="3" t="s">
        <v>4</v>
      </c>
      <c r="D301" s="6" t="s">
        <v>47</v>
      </c>
      <c r="E301" s="6" t="s">
        <v>47</v>
      </c>
      <c r="F301" s="6" t="s">
        <v>47</v>
      </c>
      <c r="G301" s="6" t="s">
        <v>47</v>
      </c>
      <c r="H301" s="6" t="s">
        <v>47</v>
      </c>
      <c r="I301" s="6" t="s">
        <v>47</v>
      </c>
      <c r="J301" s="6" t="s">
        <v>47</v>
      </c>
      <c r="K301" s="6" t="s">
        <v>47</v>
      </c>
      <c r="L301" s="6" t="s">
        <v>47</v>
      </c>
      <c r="M301" s="6" t="s">
        <v>47</v>
      </c>
      <c r="N301" s="6" t="s">
        <v>47</v>
      </c>
      <c r="O301" s="6" t="s">
        <v>47</v>
      </c>
      <c r="P301" s="6" t="s">
        <v>47</v>
      </c>
      <c r="Q301" s="6" t="s">
        <v>47</v>
      </c>
      <c r="R301" s="6" t="s">
        <v>47</v>
      </c>
      <c r="S301" s="6" t="s">
        <v>47</v>
      </c>
      <c r="T301" s="6" t="s">
        <v>47</v>
      </c>
      <c r="U301" s="6" t="s">
        <v>47</v>
      </c>
      <c r="V301" s="6" t="s">
        <v>47</v>
      </c>
      <c r="W301" s="6" t="s">
        <v>47</v>
      </c>
      <c r="X301" s="2" t="str">
        <f t="shared" ca="1" si="28"/>
        <v>Conforme</v>
      </c>
    </row>
    <row r="302" spans="1:24" x14ac:dyDescent="0.25">
      <c r="A302" s="1">
        <v>3</v>
      </c>
      <c r="B302" s="4">
        <v>45013</v>
      </c>
      <c r="C302" s="3" t="s">
        <v>4</v>
      </c>
      <c r="D302" s="6" t="s">
        <v>47</v>
      </c>
      <c r="E302" s="6" t="s">
        <v>47</v>
      </c>
      <c r="F302" s="6" t="s">
        <v>47</v>
      </c>
      <c r="G302" s="6" t="s">
        <v>47</v>
      </c>
      <c r="H302" s="6" t="s">
        <v>47</v>
      </c>
      <c r="I302" s="6" t="s">
        <v>47</v>
      </c>
      <c r="J302" s="6" t="s">
        <v>47</v>
      </c>
      <c r="K302" s="6" t="s">
        <v>47</v>
      </c>
      <c r="L302" s="6" t="s">
        <v>47</v>
      </c>
      <c r="M302" s="6" t="s">
        <v>47</v>
      </c>
      <c r="N302" s="6" t="s">
        <v>47</v>
      </c>
      <c r="O302" s="6" t="s">
        <v>47</v>
      </c>
      <c r="P302" s="6" t="s">
        <v>47</v>
      </c>
      <c r="Q302" s="6" t="s">
        <v>47</v>
      </c>
      <c r="R302" s="6" t="s">
        <v>47</v>
      </c>
      <c r="S302" s="6" t="s">
        <v>47</v>
      </c>
      <c r="T302" s="6" t="s">
        <v>47</v>
      </c>
      <c r="U302" s="6" t="s">
        <v>47</v>
      </c>
      <c r="V302" s="6" t="s">
        <v>47</v>
      </c>
      <c r="W302" s="6" t="s">
        <v>47</v>
      </c>
      <c r="X302" s="2" t="str">
        <f t="shared" ca="1" si="28"/>
        <v>Conforme</v>
      </c>
    </row>
    <row r="303" spans="1:24" x14ac:dyDescent="0.25">
      <c r="A303" s="1">
        <v>4</v>
      </c>
      <c r="B303" s="4">
        <v>45014</v>
      </c>
      <c r="C303" s="3" t="s">
        <v>4</v>
      </c>
      <c r="D303" s="6" t="s">
        <v>47</v>
      </c>
      <c r="E303" s="6" t="s">
        <v>47</v>
      </c>
      <c r="F303" s="6" t="s">
        <v>47</v>
      </c>
      <c r="G303" s="6" t="s">
        <v>47</v>
      </c>
      <c r="H303" s="6" t="s">
        <v>47</v>
      </c>
      <c r="I303" s="6" t="s">
        <v>47</v>
      </c>
      <c r="J303" s="6" t="s">
        <v>47</v>
      </c>
      <c r="K303" s="6" t="s">
        <v>47</v>
      </c>
      <c r="L303" s="6" t="s">
        <v>47</v>
      </c>
      <c r="M303" s="6" t="s">
        <v>47</v>
      </c>
      <c r="N303" s="6" t="s">
        <v>47</v>
      </c>
      <c r="O303" s="6" t="s">
        <v>47</v>
      </c>
      <c r="P303" s="6" t="s">
        <v>47</v>
      </c>
      <c r="Q303" s="6" t="s">
        <v>47</v>
      </c>
      <c r="R303" s="6" t="s">
        <v>47</v>
      </c>
      <c r="S303" s="6" t="s">
        <v>47</v>
      </c>
      <c r="T303" s="6" t="s">
        <v>47</v>
      </c>
      <c r="U303" s="6" t="s">
        <v>47</v>
      </c>
      <c r="V303" s="6" t="s">
        <v>47</v>
      </c>
      <c r="W303" s="6" t="s">
        <v>47</v>
      </c>
      <c r="X303" s="2" t="str">
        <f t="shared" ca="1" si="28"/>
        <v>Conforme</v>
      </c>
    </row>
    <row r="304" spans="1:24" x14ac:dyDescent="0.25">
      <c r="A304" s="1">
        <v>5</v>
      </c>
      <c r="B304" s="4">
        <v>45015</v>
      </c>
      <c r="C304" s="3" t="s">
        <v>4</v>
      </c>
      <c r="D304" s="6" t="s">
        <v>47</v>
      </c>
      <c r="E304" s="6" t="s">
        <v>47</v>
      </c>
      <c r="F304" s="6" t="s">
        <v>47</v>
      </c>
      <c r="G304" s="6" t="s">
        <v>47</v>
      </c>
      <c r="H304" s="6" t="s">
        <v>47</v>
      </c>
      <c r="I304" s="6" t="s">
        <v>47</v>
      </c>
      <c r="J304" s="6" t="s">
        <v>47</v>
      </c>
      <c r="K304" s="6" t="s">
        <v>47</v>
      </c>
      <c r="L304" s="6" t="s">
        <v>47</v>
      </c>
      <c r="M304" s="6" t="s">
        <v>47</v>
      </c>
      <c r="N304" s="6" t="s">
        <v>47</v>
      </c>
      <c r="O304" s="6" t="s">
        <v>47</v>
      </c>
      <c r="P304" s="6" t="s">
        <v>47</v>
      </c>
      <c r="Q304" s="6" t="s">
        <v>47</v>
      </c>
      <c r="R304" s="6" t="s">
        <v>47</v>
      </c>
      <c r="S304" s="6" t="s">
        <v>47</v>
      </c>
      <c r="T304" s="6" t="s">
        <v>47</v>
      </c>
      <c r="U304" s="6" t="s">
        <v>47</v>
      </c>
      <c r="V304" s="6" t="s">
        <v>47</v>
      </c>
      <c r="W304" s="6" t="s">
        <v>47</v>
      </c>
      <c r="X304" s="2" t="str">
        <f t="shared" ca="1" si="28"/>
        <v>Conforme</v>
      </c>
    </row>
    <row r="305" spans="1:24" x14ac:dyDescent="0.25">
      <c r="A305" s="1">
        <v>6</v>
      </c>
      <c r="B305" s="4">
        <v>45016</v>
      </c>
      <c r="C305" s="3" t="s">
        <v>4</v>
      </c>
      <c r="D305" s="6" t="s">
        <v>47</v>
      </c>
      <c r="E305" s="6" t="s">
        <v>47</v>
      </c>
      <c r="F305" s="6" t="s">
        <v>47</v>
      </c>
      <c r="G305" s="6" t="s">
        <v>47</v>
      </c>
      <c r="H305" s="6" t="s">
        <v>47</v>
      </c>
      <c r="I305" s="6" t="s">
        <v>47</v>
      </c>
      <c r="J305" s="6" t="s">
        <v>47</v>
      </c>
      <c r="K305" s="6" t="s">
        <v>47</v>
      </c>
      <c r="L305" s="6" t="s">
        <v>47</v>
      </c>
      <c r="M305" s="6" t="s">
        <v>47</v>
      </c>
      <c r="N305" s="6" t="s">
        <v>47</v>
      </c>
      <c r="O305" s="6" t="s">
        <v>47</v>
      </c>
      <c r="P305" s="6" t="s">
        <v>47</v>
      </c>
      <c r="Q305" s="6" t="s">
        <v>47</v>
      </c>
      <c r="R305" s="6" t="s">
        <v>47</v>
      </c>
      <c r="S305" s="6" t="s">
        <v>47</v>
      </c>
      <c r="T305" s="6" t="s">
        <v>47</v>
      </c>
      <c r="U305" s="6" t="s">
        <v>47</v>
      </c>
      <c r="V305" s="6" t="s">
        <v>47</v>
      </c>
      <c r="W305" s="6" t="s">
        <v>47</v>
      </c>
      <c r="X305" s="2" t="str">
        <f t="shared" ca="1" si="28"/>
        <v>Conforme</v>
      </c>
    </row>
    <row r="306" spans="1:24" x14ac:dyDescent="0.25">
      <c r="A306" s="1">
        <v>2</v>
      </c>
      <c r="B306" s="4">
        <v>45019</v>
      </c>
      <c r="C306" s="3" t="s">
        <v>4</v>
      </c>
      <c r="D306" s="6" t="s">
        <v>47</v>
      </c>
      <c r="E306" s="6" t="s">
        <v>47</v>
      </c>
      <c r="F306" s="6" t="s">
        <v>47</v>
      </c>
      <c r="G306" s="6" t="s">
        <v>47</v>
      </c>
      <c r="H306" s="6" t="s">
        <v>47</v>
      </c>
      <c r="I306" s="6" t="s">
        <v>47</v>
      </c>
      <c r="J306" s="6" t="s">
        <v>47</v>
      </c>
      <c r="K306" s="6" t="s">
        <v>47</v>
      </c>
      <c r="L306" s="6" t="s">
        <v>47</v>
      </c>
      <c r="M306" s="6" t="s">
        <v>47</v>
      </c>
      <c r="N306" s="6" t="s">
        <v>47</v>
      </c>
      <c r="O306" s="6" t="s">
        <v>47</v>
      </c>
      <c r="P306" s="6" t="s">
        <v>47</v>
      </c>
      <c r="Q306" s="6" t="s">
        <v>47</v>
      </c>
      <c r="R306" s="6" t="s">
        <v>47</v>
      </c>
      <c r="S306" s="6" t="s">
        <v>47</v>
      </c>
      <c r="T306" s="6" t="s">
        <v>47</v>
      </c>
      <c r="U306" s="6" t="s">
        <v>47</v>
      </c>
      <c r="V306" s="6" t="s">
        <v>47</v>
      </c>
      <c r="W306" s="6" t="s">
        <v>47</v>
      </c>
      <c r="X306" s="2" t="str">
        <f t="shared" ca="1" si="28"/>
        <v>Conforme</v>
      </c>
    </row>
    <row r="307" spans="1:24" x14ac:dyDescent="0.25">
      <c r="A307" s="1">
        <v>3</v>
      </c>
      <c r="B307" s="4">
        <v>45020</v>
      </c>
      <c r="C307" s="3" t="s">
        <v>4</v>
      </c>
      <c r="D307" s="6" t="s">
        <v>47</v>
      </c>
      <c r="E307" s="6" t="s">
        <v>47</v>
      </c>
      <c r="F307" s="6" t="s">
        <v>47</v>
      </c>
      <c r="G307" s="6" t="s">
        <v>47</v>
      </c>
      <c r="H307" s="6" t="s">
        <v>47</v>
      </c>
      <c r="I307" s="6" t="s">
        <v>47</v>
      </c>
      <c r="J307" s="6" t="s">
        <v>47</v>
      </c>
      <c r="K307" s="6" t="s">
        <v>47</v>
      </c>
      <c r="L307" s="6" t="s">
        <v>47</v>
      </c>
      <c r="M307" s="6" t="s">
        <v>47</v>
      </c>
      <c r="N307" s="6" t="s">
        <v>47</v>
      </c>
      <c r="O307" s="6" t="s">
        <v>47</v>
      </c>
      <c r="P307" s="6" t="s">
        <v>47</v>
      </c>
      <c r="Q307" s="6" t="s">
        <v>47</v>
      </c>
      <c r="R307" s="6" t="s">
        <v>47</v>
      </c>
      <c r="S307" s="6" t="s">
        <v>47</v>
      </c>
      <c r="T307" s="6" t="s">
        <v>47</v>
      </c>
      <c r="U307" s="6" t="s">
        <v>47</v>
      </c>
      <c r="V307" s="6" t="s">
        <v>47</v>
      </c>
      <c r="W307" s="6" t="s">
        <v>47</v>
      </c>
      <c r="X307" s="2" t="str">
        <f t="shared" ca="1" si="28"/>
        <v>Conforme</v>
      </c>
    </row>
    <row r="308" spans="1:24" x14ac:dyDescent="0.25">
      <c r="A308" s="1">
        <v>4</v>
      </c>
      <c r="B308" s="4">
        <v>45021</v>
      </c>
      <c r="C308" s="3" t="s">
        <v>4</v>
      </c>
      <c r="D308" s="6" t="s">
        <v>47</v>
      </c>
      <c r="E308" s="6" t="s">
        <v>47</v>
      </c>
      <c r="F308" s="6" t="s">
        <v>47</v>
      </c>
      <c r="G308" s="6" t="s">
        <v>47</v>
      </c>
      <c r="H308" s="6" t="s">
        <v>47</v>
      </c>
      <c r="I308" s="6" t="s">
        <v>47</v>
      </c>
      <c r="J308" s="6" t="s">
        <v>47</v>
      </c>
      <c r="K308" s="6" t="s">
        <v>47</v>
      </c>
      <c r="L308" s="6" t="s">
        <v>47</v>
      </c>
      <c r="M308" s="6" t="s">
        <v>47</v>
      </c>
      <c r="N308" s="6" t="s">
        <v>47</v>
      </c>
      <c r="O308" s="6" t="s">
        <v>47</v>
      </c>
      <c r="P308" s="6" t="s">
        <v>47</v>
      </c>
      <c r="Q308" s="6" t="s">
        <v>47</v>
      </c>
      <c r="R308" s="6" t="s">
        <v>47</v>
      </c>
      <c r="S308" s="6" t="s">
        <v>47</v>
      </c>
      <c r="T308" s="6" t="s">
        <v>47</v>
      </c>
      <c r="U308" s="6" t="s">
        <v>47</v>
      </c>
      <c r="V308" s="6" t="s">
        <v>47</v>
      </c>
      <c r="W308" s="6" t="s">
        <v>47</v>
      </c>
      <c r="X308" s="2" t="str">
        <f t="shared" ca="1" si="28"/>
        <v>Conforme</v>
      </c>
    </row>
    <row r="309" spans="1:24" x14ac:dyDescent="0.25">
      <c r="A309" s="1">
        <v>5</v>
      </c>
      <c r="B309" s="4">
        <v>45022</v>
      </c>
      <c r="C309" s="3" t="s">
        <v>4</v>
      </c>
      <c r="D309" s="6" t="s">
        <v>47</v>
      </c>
      <c r="E309" s="6" t="s">
        <v>47</v>
      </c>
      <c r="F309" s="6" t="s">
        <v>47</v>
      </c>
      <c r="G309" s="6" t="s">
        <v>47</v>
      </c>
      <c r="H309" s="6" t="s">
        <v>47</v>
      </c>
      <c r="I309" s="6" t="s">
        <v>47</v>
      </c>
      <c r="J309" s="6" t="s">
        <v>47</v>
      </c>
      <c r="K309" s="6" t="s">
        <v>47</v>
      </c>
      <c r="L309" s="6" t="s">
        <v>47</v>
      </c>
      <c r="M309" s="6" t="s">
        <v>47</v>
      </c>
      <c r="N309" s="6" t="s">
        <v>47</v>
      </c>
      <c r="O309" s="6" t="s">
        <v>47</v>
      </c>
      <c r="P309" s="6" t="s">
        <v>47</v>
      </c>
      <c r="Q309" s="6" t="s">
        <v>47</v>
      </c>
      <c r="R309" s="6" t="s">
        <v>47</v>
      </c>
      <c r="S309" s="6" t="s">
        <v>47</v>
      </c>
      <c r="T309" s="6" t="s">
        <v>47</v>
      </c>
      <c r="U309" s="6" t="s">
        <v>47</v>
      </c>
      <c r="V309" s="6" t="s">
        <v>47</v>
      </c>
      <c r="W309" s="6" t="s">
        <v>47</v>
      </c>
      <c r="X309" s="2" t="str">
        <f t="shared" ca="1" si="28"/>
        <v>Conforme</v>
      </c>
    </row>
    <row r="310" spans="1:24" x14ac:dyDescent="0.25">
      <c r="A310" s="1">
        <v>6</v>
      </c>
      <c r="B310" s="4">
        <v>45023</v>
      </c>
      <c r="C310" s="3" t="s">
        <v>4</v>
      </c>
      <c r="D310" s="6" t="s">
        <v>47</v>
      </c>
      <c r="E310" s="6" t="s">
        <v>47</v>
      </c>
      <c r="F310" s="6" t="s">
        <v>47</v>
      </c>
      <c r="G310" s="6" t="s">
        <v>47</v>
      </c>
      <c r="H310" s="6" t="s">
        <v>47</v>
      </c>
      <c r="I310" s="6" t="s">
        <v>47</v>
      </c>
      <c r="J310" s="6" t="s">
        <v>47</v>
      </c>
      <c r="K310" s="6" t="s">
        <v>47</v>
      </c>
      <c r="L310" s="6" t="s">
        <v>47</v>
      </c>
      <c r="M310" s="6" t="s">
        <v>47</v>
      </c>
      <c r="N310" s="6" t="s">
        <v>47</v>
      </c>
      <c r="O310" s="6" t="s">
        <v>47</v>
      </c>
      <c r="P310" s="6" t="s">
        <v>47</v>
      </c>
      <c r="Q310" s="6" t="s">
        <v>47</v>
      </c>
      <c r="R310" s="6" t="s">
        <v>47</v>
      </c>
      <c r="S310" s="6" t="s">
        <v>47</v>
      </c>
      <c r="T310" s="6" t="s">
        <v>47</v>
      </c>
      <c r="U310" s="6" t="s">
        <v>47</v>
      </c>
      <c r="V310" s="6" t="s">
        <v>47</v>
      </c>
      <c r="W310" s="6" t="s">
        <v>47</v>
      </c>
      <c r="X310" s="2" t="str">
        <f t="shared" ca="1" si="28"/>
        <v>Conforme</v>
      </c>
    </row>
    <row r="311" spans="1:24" x14ac:dyDescent="0.25">
      <c r="A311" s="1">
        <v>2</v>
      </c>
      <c r="B311" s="4">
        <v>45026</v>
      </c>
      <c r="C311" s="3" t="s">
        <v>4</v>
      </c>
      <c r="D311" s="6" t="s">
        <v>47</v>
      </c>
      <c r="E311" s="6" t="s">
        <v>47</v>
      </c>
      <c r="F311" s="6" t="s">
        <v>47</v>
      </c>
      <c r="G311" s="6" t="s">
        <v>47</v>
      </c>
      <c r="H311" s="6" t="s">
        <v>47</v>
      </c>
      <c r="I311" s="6" t="s">
        <v>47</v>
      </c>
      <c r="J311" s="6" t="s">
        <v>47</v>
      </c>
      <c r="K311" s="6" t="s">
        <v>47</v>
      </c>
      <c r="L311" s="6" t="s">
        <v>47</v>
      </c>
      <c r="M311" s="6" t="s">
        <v>47</v>
      </c>
      <c r="N311" s="6" t="s">
        <v>47</v>
      </c>
      <c r="O311" s="6" t="s">
        <v>47</v>
      </c>
      <c r="P311" s="6" t="s">
        <v>47</v>
      </c>
      <c r="Q311" s="6" t="s">
        <v>47</v>
      </c>
      <c r="R311" s="6" t="s">
        <v>47</v>
      </c>
      <c r="S311" s="6" t="s">
        <v>47</v>
      </c>
      <c r="T311" s="6" t="s">
        <v>47</v>
      </c>
      <c r="U311" s="6" t="s">
        <v>47</v>
      </c>
      <c r="V311" s="6" t="s">
        <v>47</v>
      </c>
      <c r="W311" s="6" t="s">
        <v>47</v>
      </c>
      <c r="X311" s="2" t="str">
        <f t="shared" ca="1" si="28"/>
        <v>Conforme</v>
      </c>
    </row>
    <row r="312" spans="1:24" x14ac:dyDescent="0.25">
      <c r="A312" s="1">
        <v>3</v>
      </c>
      <c r="B312" s="4">
        <v>45027</v>
      </c>
      <c r="C312" s="3" t="s">
        <v>4</v>
      </c>
      <c r="D312" s="6" t="s">
        <v>47</v>
      </c>
      <c r="E312" s="6" t="s">
        <v>47</v>
      </c>
      <c r="F312" s="6" t="s">
        <v>47</v>
      </c>
      <c r="G312" s="6" t="s">
        <v>47</v>
      </c>
      <c r="H312" s="6" t="s">
        <v>47</v>
      </c>
      <c r="I312" s="6" t="s">
        <v>47</v>
      </c>
      <c r="J312" s="6" t="s">
        <v>47</v>
      </c>
      <c r="K312" s="6" t="s">
        <v>47</v>
      </c>
      <c r="L312" s="6" t="s">
        <v>47</v>
      </c>
      <c r="M312" s="6" t="s">
        <v>47</v>
      </c>
      <c r="N312" s="6" t="s">
        <v>47</v>
      </c>
      <c r="O312" s="6" t="s">
        <v>47</v>
      </c>
      <c r="P312" s="6" t="s">
        <v>47</v>
      </c>
      <c r="Q312" s="6" t="s">
        <v>47</v>
      </c>
      <c r="R312" s="6" t="s">
        <v>47</v>
      </c>
      <c r="S312" s="6" t="s">
        <v>47</v>
      </c>
      <c r="T312" s="6" t="s">
        <v>47</v>
      </c>
      <c r="U312" s="6" t="s">
        <v>47</v>
      </c>
      <c r="V312" s="6" t="s">
        <v>47</v>
      </c>
      <c r="W312" s="6" t="s">
        <v>47</v>
      </c>
      <c r="X312" s="2" t="str">
        <f t="shared" ca="1" si="28"/>
        <v>Conforme</v>
      </c>
    </row>
    <row r="313" spans="1:24" x14ac:dyDescent="0.25">
      <c r="A313" s="1">
        <v>4</v>
      </c>
      <c r="B313" s="4">
        <v>45028</v>
      </c>
      <c r="C313" s="3" t="s">
        <v>4</v>
      </c>
      <c r="D313" s="6" t="s">
        <v>47</v>
      </c>
      <c r="E313" s="6" t="s">
        <v>47</v>
      </c>
      <c r="F313" s="6" t="s">
        <v>47</v>
      </c>
      <c r="G313" s="6" t="s">
        <v>47</v>
      </c>
      <c r="H313" s="6" t="s">
        <v>47</v>
      </c>
      <c r="I313" s="6" t="s">
        <v>47</v>
      </c>
      <c r="J313" s="6" t="s">
        <v>47</v>
      </c>
      <c r="K313" s="6" t="s">
        <v>47</v>
      </c>
      <c r="L313" s="6" t="s">
        <v>47</v>
      </c>
      <c r="M313" s="6" t="s">
        <v>47</v>
      </c>
      <c r="N313" s="6" t="s">
        <v>47</v>
      </c>
      <c r="O313" s="6" t="s">
        <v>47</v>
      </c>
      <c r="P313" s="6" t="s">
        <v>47</v>
      </c>
      <c r="Q313" s="6" t="s">
        <v>47</v>
      </c>
      <c r="R313" s="6" t="s">
        <v>47</v>
      </c>
      <c r="S313" s="6" t="s">
        <v>47</v>
      </c>
      <c r="T313" s="6" t="s">
        <v>47</v>
      </c>
      <c r="U313" s="6" t="s">
        <v>47</v>
      </c>
      <c r="V313" s="6" t="s">
        <v>47</v>
      </c>
      <c r="W313" s="6" t="s">
        <v>47</v>
      </c>
      <c r="X313" s="2" t="str">
        <f t="shared" ca="1" si="28"/>
        <v>Conforme</v>
      </c>
    </row>
    <row r="314" spans="1:24" x14ac:dyDescent="0.25">
      <c r="A314" s="1">
        <v>5</v>
      </c>
      <c r="B314" s="4">
        <v>45029</v>
      </c>
      <c r="C314" s="3" t="s">
        <v>4</v>
      </c>
      <c r="D314" s="6" t="s">
        <v>47</v>
      </c>
      <c r="E314" s="6" t="s">
        <v>47</v>
      </c>
      <c r="F314" s="6" t="s">
        <v>47</v>
      </c>
      <c r="G314" s="6" t="s">
        <v>47</v>
      </c>
      <c r="H314" s="6" t="s">
        <v>47</v>
      </c>
      <c r="I314" s="6" t="s">
        <v>47</v>
      </c>
      <c r="J314" s="6" t="s">
        <v>47</v>
      </c>
      <c r="K314" s="6" t="s">
        <v>47</v>
      </c>
      <c r="L314" s="6" t="s">
        <v>47</v>
      </c>
      <c r="M314" s="6" t="s">
        <v>47</v>
      </c>
      <c r="N314" s="6" t="s">
        <v>47</v>
      </c>
      <c r="O314" s="6" t="s">
        <v>47</v>
      </c>
      <c r="P314" s="6" t="s">
        <v>47</v>
      </c>
      <c r="Q314" s="6" t="s">
        <v>47</v>
      </c>
      <c r="R314" s="6" t="s">
        <v>47</v>
      </c>
      <c r="S314" s="6" t="s">
        <v>47</v>
      </c>
      <c r="T314" s="6" t="s">
        <v>47</v>
      </c>
      <c r="U314" s="6" t="s">
        <v>47</v>
      </c>
      <c r="V314" s="6" t="s">
        <v>47</v>
      </c>
      <c r="W314" s="6" t="s">
        <v>47</v>
      </c>
      <c r="X314" s="2" t="str">
        <f t="shared" ca="1" si="28"/>
        <v>Conforme</v>
      </c>
    </row>
    <row r="315" spans="1:24" x14ac:dyDescent="0.25">
      <c r="A315" s="1">
        <v>6</v>
      </c>
      <c r="B315" s="4">
        <v>45030</v>
      </c>
      <c r="C315" s="3" t="s">
        <v>4</v>
      </c>
      <c r="D315" s="6" t="s">
        <v>47</v>
      </c>
      <c r="E315" s="6" t="s">
        <v>47</v>
      </c>
      <c r="F315" s="6" t="s">
        <v>47</v>
      </c>
      <c r="G315" s="6" t="s">
        <v>47</v>
      </c>
      <c r="H315" s="6" t="s">
        <v>47</v>
      </c>
      <c r="I315" s="6" t="s">
        <v>47</v>
      </c>
      <c r="J315" s="6" t="s">
        <v>47</v>
      </c>
      <c r="K315" s="6" t="s">
        <v>47</v>
      </c>
      <c r="L315" s="6" t="s">
        <v>47</v>
      </c>
      <c r="M315" s="6" t="s">
        <v>47</v>
      </c>
      <c r="N315" s="6" t="s">
        <v>47</v>
      </c>
      <c r="O315" s="6" t="s">
        <v>47</v>
      </c>
      <c r="P315" s="6" t="s">
        <v>47</v>
      </c>
      <c r="Q315" s="6" t="s">
        <v>47</v>
      </c>
      <c r="R315" s="6" t="s">
        <v>47</v>
      </c>
      <c r="S315" s="6" t="s">
        <v>47</v>
      </c>
      <c r="T315" s="6" t="s">
        <v>47</v>
      </c>
      <c r="U315" s="6" t="s">
        <v>47</v>
      </c>
      <c r="V315" s="6" t="s">
        <v>47</v>
      </c>
      <c r="W315" s="6" t="s">
        <v>47</v>
      </c>
      <c r="X315" s="2" t="str">
        <f t="shared" ca="1" si="28"/>
        <v>Conforme</v>
      </c>
    </row>
    <row r="316" spans="1:24" x14ac:dyDescent="0.25">
      <c r="A316" s="1">
        <v>2</v>
      </c>
      <c r="B316" s="4">
        <v>45033</v>
      </c>
      <c r="C316" s="3" t="s">
        <v>4</v>
      </c>
      <c r="D316" s="6" t="s">
        <v>47</v>
      </c>
      <c r="E316" s="6" t="s">
        <v>47</v>
      </c>
      <c r="F316" s="6" t="s">
        <v>47</v>
      </c>
      <c r="G316" s="6" t="s">
        <v>47</v>
      </c>
      <c r="H316" s="6" t="s">
        <v>47</v>
      </c>
      <c r="I316" s="6" t="s">
        <v>47</v>
      </c>
      <c r="J316" s="6" t="s">
        <v>47</v>
      </c>
      <c r="K316" s="6" t="s">
        <v>47</v>
      </c>
      <c r="L316" s="6" t="s">
        <v>47</v>
      </c>
      <c r="M316" s="6" t="s">
        <v>47</v>
      </c>
      <c r="N316" s="6" t="s">
        <v>47</v>
      </c>
      <c r="O316" s="6" t="s">
        <v>47</v>
      </c>
      <c r="P316" s="6" t="s">
        <v>47</v>
      </c>
      <c r="Q316" s="6" t="s">
        <v>47</v>
      </c>
      <c r="R316" s="6" t="s">
        <v>47</v>
      </c>
      <c r="S316" s="6" t="s">
        <v>47</v>
      </c>
      <c r="T316" s="6" t="s">
        <v>47</v>
      </c>
      <c r="U316" s="6" t="s">
        <v>47</v>
      </c>
      <c r="V316" s="6" t="s">
        <v>47</v>
      </c>
      <c r="W316" s="6" t="s">
        <v>47</v>
      </c>
      <c r="X316" s="2" t="str">
        <f t="shared" ca="1" si="28"/>
        <v>Conforme</v>
      </c>
    </row>
    <row r="317" spans="1:24" x14ac:dyDescent="0.25">
      <c r="A317" s="1">
        <v>3</v>
      </c>
      <c r="B317" s="4">
        <v>45034</v>
      </c>
      <c r="C317" s="3" t="s">
        <v>4</v>
      </c>
      <c r="D317" s="6" t="s">
        <v>47</v>
      </c>
      <c r="E317" s="6" t="s">
        <v>47</v>
      </c>
      <c r="F317" s="6" t="s">
        <v>47</v>
      </c>
      <c r="G317" s="6" t="s">
        <v>47</v>
      </c>
      <c r="H317" s="6" t="s">
        <v>47</v>
      </c>
      <c r="I317" s="6" t="s">
        <v>47</v>
      </c>
      <c r="J317" s="6" t="s">
        <v>47</v>
      </c>
      <c r="K317" s="6" t="s">
        <v>47</v>
      </c>
      <c r="L317" s="6" t="s">
        <v>47</v>
      </c>
      <c r="M317" s="6" t="s">
        <v>47</v>
      </c>
      <c r="N317" s="6" t="s">
        <v>47</v>
      </c>
      <c r="O317" s="6" t="s">
        <v>47</v>
      </c>
      <c r="P317" s="6" t="s">
        <v>47</v>
      </c>
      <c r="Q317" s="6" t="s">
        <v>47</v>
      </c>
      <c r="R317" s="6" t="s">
        <v>47</v>
      </c>
      <c r="S317" s="6" t="s">
        <v>47</v>
      </c>
      <c r="T317" s="6" t="s">
        <v>47</v>
      </c>
      <c r="U317" s="6" t="s">
        <v>47</v>
      </c>
      <c r="V317" s="6" t="s">
        <v>47</v>
      </c>
      <c r="W317" s="6" t="s">
        <v>47</v>
      </c>
      <c r="X317" s="2" t="str">
        <f t="shared" ca="1" si="28"/>
        <v>Conforme</v>
      </c>
    </row>
    <row r="318" spans="1:24" x14ac:dyDescent="0.25">
      <c r="A318" s="1">
        <v>4</v>
      </c>
      <c r="B318" s="4">
        <v>45035</v>
      </c>
      <c r="C318" s="3" t="s">
        <v>4</v>
      </c>
      <c r="D318" s="6" t="s">
        <v>47</v>
      </c>
      <c r="E318" s="6" t="s">
        <v>47</v>
      </c>
      <c r="F318" s="6" t="s">
        <v>47</v>
      </c>
      <c r="G318" s="6" t="s">
        <v>47</v>
      </c>
      <c r="H318" s="6" t="s">
        <v>47</v>
      </c>
      <c r="I318" s="6" t="s">
        <v>47</v>
      </c>
      <c r="J318" s="6" t="s">
        <v>47</v>
      </c>
      <c r="K318" s="6" t="s">
        <v>47</v>
      </c>
      <c r="L318" s="6" t="s">
        <v>47</v>
      </c>
      <c r="M318" s="6" t="s">
        <v>47</v>
      </c>
      <c r="N318" s="6" t="s">
        <v>47</v>
      </c>
      <c r="O318" s="6" t="s">
        <v>47</v>
      </c>
      <c r="P318" s="6" t="s">
        <v>47</v>
      </c>
      <c r="Q318" s="6" t="s">
        <v>47</v>
      </c>
      <c r="R318" s="6" t="s">
        <v>47</v>
      </c>
      <c r="S318" s="6" t="s">
        <v>47</v>
      </c>
      <c r="T318" s="6" t="s">
        <v>47</v>
      </c>
      <c r="U318" s="6" t="s">
        <v>47</v>
      </c>
      <c r="V318" s="6" t="s">
        <v>47</v>
      </c>
      <c r="W318" s="6" t="s">
        <v>47</v>
      </c>
      <c r="X318" s="2" t="str">
        <f t="shared" ca="1" si="28"/>
        <v>Conforme</v>
      </c>
    </row>
    <row r="319" spans="1:24" x14ac:dyDescent="0.25">
      <c r="A319" s="1">
        <v>5</v>
      </c>
      <c r="B319" s="4">
        <v>45036</v>
      </c>
      <c r="C319" s="3" t="s">
        <v>4</v>
      </c>
      <c r="D319" s="6" t="s">
        <v>47</v>
      </c>
      <c r="E319" s="6" t="s">
        <v>47</v>
      </c>
      <c r="F319" s="6" t="s">
        <v>47</v>
      </c>
      <c r="G319" s="6" t="s">
        <v>47</v>
      </c>
      <c r="H319" s="6" t="s">
        <v>47</v>
      </c>
      <c r="I319" s="6" t="s">
        <v>47</v>
      </c>
      <c r="J319" s="6" t="s">
        <v>47</v>
      </c>
      <c r="K319" s="6" t="s">
        <v>47</v>
      </c>
      <c r="L319" s="6" t="s">
        <v>47</v>
      </c>
      <c r="M319" s="6" t="s">
        <v>47</v>
      </c>
      <c r="N319" s="6" t="s">
        <v>47</v>
      </c>
      <c r="O319" s="6" t="s">
        <v>47</v>
      </c>
      <c r="P319" s="6" t="s">
        <v>47</v>
      </c>
      <c r="Q319" s="6" t="s">
        <v>47</v>
      </c>
      <c r="R319" s="6" t="s">
        <v>47</v>
      </c>
      <c r="S319" s="6" t="s">
        <v>47</v>
      </c>
      <c r="T319" s="6" t="s">
        <v>47</v>
      </c>
      <c r="U319" s="6" t="s">
        <v>47</v>
      </c>
      <c r="V319" s="6" t="s">
        <v>47</v>
      </c>
      <c r="W319" s="6" t="s">
        <v>47</v>
      </c>
      <c r="X319" s="2" t="str">
        <f t="shared" ca="1" si="28"/>
        <v>Conforme</v>
      </c>
    </row>
    <row r="320" spans="1:24" x14ac:dyDescent="0.25">
      <c r="A320" s="1">
        <v>6</v>
      </c>
      <c r="B320" s="4">
        <v>45037</v>
      </c>
      <c r="C320" s="3" t="s">
        <v>4</v>
      </c>
      <c r="D320" s="6" t="s">
        <v>47</v>
      </c>
      <c r="E320" s="6" t="s">
        <v>47</v>
      </c>
      <c r="F320" s="6" t="s">
        <v>47</v>
      </c>
      <c r="G320" s="6" t="s">
        <v>47</v>
      </c>
      <c r="H320" s="6" t="s">
        <v>47</v>
      </c>
      <c r="I320" s="6" t="s">
        <v>47</v>
      </c>
      <c r="J320" s="6" t="s">
        <v>47</v>
      </c>
      <c r="K320" s="6" t="s">
        <v>47</v>
      </c>
      <c r="L320" s="6" t="s">
        <v>47</v>
      </c>
      <c r="M320" s="6" t="s">
        <v>47</v>
      </c>
      <c r="N320" s="6" t="s">
        <v>47</v>
      </c>
      <c r="O320" s="6" t="s">
        <v>47</v>
      </c>
      <c r="P320" s="6" t="s">
        <v>47</v>
      </c>
      <c r="Q320" s="6" t="s">
        <v>47</v>
      </c>
      <c r="R320" s="6" t="s">
        <v>47</v>
      </c>
      <c r="S320" s="6" t="s">
        <v>47</v>
      </c>
      <c r="T320" s="6" t="s">
        <v>47</v>
      </c>
      <c r="U320" s="6" t="s">
        <v>47</v>
      </c>
      <c r="V320" s="6" t="s">
        <v>47</v>
      </c>
      <c r="W320" s="6" t="s">
        <v>47</v>
      </c>
      <c r="X320" s="2" t="str">
        <f t="shared" ca="1" si="28"/>
        <v>Conforme</v>
      </c>
    </row>
    <row r="321" spans="1:24" x14ac:dyDescent="0.25">
      <c r="A321" s="1">
        <v>2</v>
      </c>
      <c r="B321" s="4">
        <v>45040</v>
      </c>
      <c r="C321" s="3" t="s">
        <v>4</v>
      </c>
      <c r="D321" s="6" t="s">
        <v>47</v>
      </c>
      <c r="E321" s="6" t="s">
        <v>47</v>
      </c>
      <c r="F321" s="6" t="s">
        <v>47</v>
      </c>
      <c r="G321" s="6" t="s">
        <v>47</v>
      </c>
      <c r="H321" s="6" t="s">
        <v>47</v>
      </c>
      <c r="I321" s="6" t="s">
        <v>47</v>
      </c>
      <c r="J321" s="6" t="s">
        <v>47</v>
      </c>
      <c r="K321" s="6" t="s">
        <v>47</v>
      </c>
      <c r="L321" s="6" t="s">
        <v>47</v>
      </c>
      <c r="M321" s="6" t="s">
        <v>47</v>
      </c>
      <c r="N321" s="6" t="s">
        <v>47</v>
      </c>
      <c r="O321" s="6" t="s">
        <v>47</v>
      </c>
      <c r="P321" s="6" t="s">
        <v>47</v>
      </c>
      <c r="Q321" s="6" t="s">
        <v>47</v>
      </c>
      <c r="R321" s="6" t="s">
        <v>47</v>
      </c>
      <c r="S321" s="6" t="s">
        <v>47</v>
      </c>
      <c r="T321" s="6" t="s">
        <v>47</v>
      </c>
      <c r="U321" s="6" t="s">
        <v>47</v>
      </c>
      <c r="V321" s="6" t="s">
        <v>47</v>
      </c>
      <c r="W321" s="6" t="s">
        <v>47</v>
      </c>
      <c r="X321" s="2" t="str">
        <f t="shared" ca="1" si="28"/>
        <v>Conforme</v>
      </c>
    </row>
    <row r="322" spans="1:24" x14ac:dyDescent="0.25">
      <c r="A322" s="1">
        <v>3</v>
      </c>
      <c r="B322" s="4">
        <v>45041</v>
      </c>
      <c r="C322" s="3" t="s">
        <v>4</v>
      </c>
      <c r="D322" s="6" t="s">
        <v>47</v>
      </c>
      <c r="E322" s="6" t="s">
        <v>47</v>
      </c>
      <c r="F322" s="6" t="s">
        <v>47</v>
      </c>
      <c r="G322" s="6" t="s">
        <v>47</v>
      </c>
      <c r="H322" s="6" t="s">
        <v>47</v>
      </c>
      <c r="I322" s="6" t="s">
        <v>47</v>
      </c>
      <c r="J322" s="6" t="s">
        <v>47</v>
      </c>
      <c r="K322" s="6" t="s">
        <v>47</v>
      </c>
      <c r="L322" s="6" t="s">
        <v>47</v>
      </c>
      <c r="M322" s="6" t="s">
        <v>47</v>
      </c>
      <c r="N322" s="6" t="s">
        <v>47</v>
      </c>
      <c r="O322" s="6" t="s">
        <v>47</v>
      </c>
      <c r="P322" s="6" t="s">
        <v>47</v>
      </c>
      <c r="Q322" s="6" t="s">
        <v>47</v>
      </c>
      <c r="R322" s="6" t="s">
        <v>47</v>
      </c>
      <c r="S322" s="6" t="s">
        <v>47</v>
      </c>
      <c r="T322" s="6" t="s">
        <v>47</v>
      </c>
      <c r="U322" s="6" t="s">
        <v>47</v>
      </c>
      <c r="V322" s="6" t="s">
        <v>47</v>
      </c>
      <c r="W322" s="6" t="s">
        <v>47</v>
      </c>
      <c r="X322" s="2" t="str">
        <f t="shared" ca="1" si="28"/>
        <v>Conforme</v>
      </c>
    </row>
    <row r="323" spans="1:24" x14ac:dyDescent="0.25">
      <c r="A323" s="1">
        <v>4</v>
      </c>
      <c r="B323" s="4">
        <v>45042</v>
      </c>
      <c r="C323" s="3" t="s">
        <v>4</v>
      </c>
      <c r="D323" s="6" t="s">
        <v>47</v>
      </c>
      <c r="E323" s="6" t="s">
        <v>47</v>
      </c>
      <c r="F323" s="6" t="s">
        <v>47</v>
      </c>
      <c r="G323" s="6" t="s">
        <v>47</v>
      </c>
      <c r="H323" s="6" t="s">
        <v>47</v>
      </c>
      <c r="I323" s="6" t="s">
        <v>47</v>
      </c>
      <c r="J323" s="6" t="s">
        <v>47</v>
      </c>
      <c r="K323" s="6" t="s">
        <v>47</v>
      </c>
      <c r="L323" s="6" t="s">
        <v>47</v>
      </c>
      <c r="M323" s="6" t="s">
        <v>47</v>
      </c>
      <c r="N323" s="6" t="s">
        <v>47</v>
      </c>
      <c r="O323" s="6" t="s">
        <v>47</v>
      </c>
      <c r="P323" s="6" t="s">
        <v>47</v>
      </c>
      <c r="Q323" s="6" t="s">
        <v>47</v>
      </c>
      <c r="R323" s="6" t="s">
        <v>47</v>
      </c>
      <c r="S323" s="6" t="s">
        <v>47</v>
      </c>
      <c r="T323" s="6" t="s">
        <v>47</v>
      </c>
      <c r="U323" s="6" t="s">
        <v>47</v>
      </c>
      <c r="V323" s="6" t="s">
        <v>47</v>
      </c>
      <c r="W323" s="6" t="s">
        <v>47</v>
      </c>
      <c r="X323" s="2" t="str">
        <f t="shared" ca="1" si="28"/>
        <v>Conforme</v>
      </c>
    </row>
    <row r="324" spans="1:24" x14ac:dyDescent="0.25">
      <c r="A324" s="1">
        <v>5</v>
      </c>
      <c r="B324" s="4">
        <v>45043</v>
      </c>
      <c r="C324" s="3" t="s">
        <v>4</v>
      </c>
      <c r="D324" s="6" t="s">
        <v>47</v>
      </c>
      <c r="E324" s="6" t="s">
        <v>47</v>
      </c>
      <c r="F324" s="6" t="s">
        <v>47</v>
      </c>
      <c r="G324" s="6" t="s">
        <v>47</v>
      </c>
      <c r="H324" s="6" t="s">
        <v>47</v>
      </c>
      <c r="I324" s="6" t="s">
        <v>47</v>
      </c>
      <c r="J324" s="6" t="s">
        <v>47</v>
      </c>
      <c r="K324" s="6" t="s">
        <v>47</v>
      </c>
      <c r="L324" s="6" t="s">
        <v>47</v>
      </c>
      <c r="M324" s="6" t="s">
        <v>47</v>
      </c>
      <c r="N324" s="6" t="s">
        <v>47</v>
      </c>
      <c r="O324" s="6" t="s">
        <v>47</v>
      </c>
      <c r="P324" s="6" t="s">
        <v>47</v>
      </c>
      <c r="Q324" s="6" t="s">
        <v>47</v>
      </c>
      <c r="R324" s="6" t="s">
        <v>47</v>
      </c>
      <c r="S324" s="6" t="s">
        <v>47</v>
      </c>
      <c r="T324" s="6" t="s">
        <v>47</v>
      </c>
      <c r="U324" s="6" t="s">
        <v>47</v>
      </c>
      <c r="V324" s="6" t="s">
        <v>47</v>
      </c>
      <c r="W324" s="6" t="s">
        <v>47</v>
      </c>
      <c r="X324" s="2" t="str">
        <f t="shared" ca="1" si="28"/>
        <v>Conforme</v>
      </c>
    </row>
    <row r="325" spans="1:24" x14ac:dyDescent="0.25">
      <c r="A325" s="1">
        <v>6</v>
      </c>
      <c r="B325" s="4">
        <v>45044</v>
      </c>
      <c r="C325" s="3" t="s">
        <v>4</v>
      </c>
      <c r="D325" s="6" t="s">
        <v>47</v>
      </c>
      <c r="E325" s="6" t="s">
        <v>47</v>
      </c>
      <c r="F325" s="6" t="s">
        <v>47</v>
      </c>
      <c r="G325" s="6" t="s">
        <v>47</v>
      </c>
      <c r="H325" s="6" t="s">
        <v>47</v>
      </c>
      <c r="I325" s="6" t="s">
        <v>47</v>
      </c>
      <c r="J325" s="6" t="s">
        <v>47</v>
      </c>
      <c r="K325" s="6" t="s">
        <v>47</v>
      </c>
      <c r="L325" s="6" t="s">
        <v>47</v>
      </c>
      <c r="M325" s="6" t="s">
        <v>47</v>
      </c>
      <c r="N325" s="6" t="s">
        <v>47</v>
      </c>
      <c r="O325" s="6" t="s">
        <v>47</v>
      </c>
      <c r="P325" s="6" t="s">
        <v>47</v>
      </c>
      <c r="Q325" s="6" t="s">
        <v>47</v>
      </c>
      <c r="R325" s="6" t="s">
        <v>47</v>
      </c>
      <c r="S325" s="6" t="s">
        <v>47</v>
      </c>
      <c r="T325" s="6" t="s">
        <v>47</v>
      </c>
      <c r="U325" s="6" t="s">
        <v>47</v>
      </c>
      <c r="V325" s="6" t="s">
        <v>47</v>
      </c>
      <c r="W325" s="6" t="s">
        <v>47</v>
      </c>
      <c r="X325" s="2" t="str">
        <f t="shared" ca="1" si="28"/>
        <v>Conforme</v>
      </c>
    </row>
    <row r="326" spans="1:24" x14ac:dyDescent="0.25">
      <c r="A326" s="1">
        <v>2</v>
      </c>
      <c r="B326" s="4">
        <v>45047</v>
      </c>
      <c r="C326" s="3" t="s">
        <v>4</v>
      </c>
      <c r="D326" s="6" t="s">
        <v>47</v>
      </c>
      <c r="E326" s="6" t="s">
        <v>47</v>
      </c>
      <c r="F326" s="6" t="s">
        <v>47</v>
      </c>
      <c r="G326" s="6" t="s">
        <v>47</v>
      </c>
      <c r="H326" s="6" t="s">
        <v>47</v>
      </c>
      <c r="I326" s="6" t="s">
        <v>47</v>
      </c>
      <c r="J326" s="6" t="s">
        <v>47</v>
      </c>
      <c r="K326" s="6" t="s">
        <v>47</v>
      </c>
      <c r="L326" s="6" t="s">
        <v>47</v>
      </c>
      <c r="M326" s="6" t="s">
        <v>47</v>
      </c>
      <c r="N326" s="6" t="s">
        <v>47</v>
      </c>
      <c r="O326" s="6" t="s">
        <v>47</v>
      </c>
      <c r="P326" s="6" t="s">
        <v>47</v>
      </c>
      <c r="Q326" s="6" t="s">
        <v>47</v>
      </c>
      <c r="R326" s="6" t="s">
        <v>47</v>
      </c>
      <c r="S326" s="6" t="s">
        <v>47</v>
      </c>
      <c r="T326" s="6" t="s">
        <v>47</v>
      </c>
      <c r="U326" s="6" t="s">
        <v>47</v>
      </c>
      <c r="V326" s="6" t="s">
        <v>47</v>
      </c>
      <c r="W326" s="6" t="s">
        <v>47</v>
      </c>
      <c r="X326" s="2" t="str">
        <f t="shared" ca="1" si="28"/>
        <v>Conforme</v>
      </c>
    </row>
    <row r="327" spans="1:24" x14ac:dyDescent="0.25">
      <c r="A327" s="1">
        <v>3</v>
      </c>
      <c r="B327" s="4">
        <v>45048</v>
      </c>
      <c r="C327" s="3" t="s">
        <v>4</v>
      </c>
      <c r="D327" s="6" t="s">
        <v>47</v>
      </c>
      <c r="E327" s="6" t="s">
        <v>47</v>
      </c>
      <c r="F327" s="6" t="s">
        <v>47</v>
      </c>
      <c r="G327" s="6" t="s">
        <v>47</v>
      </c>
      <c r="H327" s="6" t="s">
        <v>47</v>
      </c>
      <c r="I327" s="6" t="s">
        <v>47</v>
      </c>
      <c r="J327" s="6" t="s">
        <v>47</v>
      </c>
      <c r="K327" s="6" t="s">
        <v>47</v>
      </c>
      <c r="L327" s="6" t="s">
        <v>47</v>
      </c>
      <c r="M327" s="6" t="s">
        <v>47</v>
      </c>
      <c r="N327" s="6" t="s">
        <v>47</v>
      </c>
      <c r="O327" s="6" t="s">
        <v>47</v>
      </c>
      <c r="P327" s="6" t="s">
        <v>47</v>
      </c>
      <c r="Q327" s="6" t="s">
        <v>47</v>
      </c>
      <c r="R327" s="6" t="s">
        <v>47</v>
      </c>
      <c r="S327" s="6" t="s">
        <v>47</v>
      </c>
      <c r="T327" s="6" t="s">
        <v>47</v>
      </c>
      <c r="U327" s="6" t="s">
        <v>47</v>
      </c>
      <c r="V327" s="6" t="s">
        <v>47</v>
      </c>
      <c r="W327" s="6" t="s">
        <v>47</v>
      </c>
      <c r="X327" s="2" t="str">
        <f t="shared" ca="1" si="28"/>
        <v>Conforme</v>
      </c>
    </row>
    <row r="328" spans="1:24" x14ac:dyDescent="0.25">
      <c r="A328" s="1">
        <v>4</v>
      </c>
      <c r="B328" s="4">
        <v>45049</v>
      </c>
      <c r="C328" s="3" t="s">
        <v>4</v>
      </c>
      <c r="D328" s="6" t="s">
        <v>47</v>
      </c>
      <c r="E328" s="6" t="s">
        <v>47</v>
      </c>
      <c r="F328" s="6" t="s">
        <v>47</v>
      </c>
      <c r="G328" s="6" t="s">
        <v>47</v>
      </c>
      <c r="H328" s="6" t="s">
        <v>47</v>
      </c>
      <c r="I328" s="6" t="s">
        <v>47</v>
      </c>
      <c r="J328" s="6" t="s">
        <v>47</v>
      </c>
      <c r="K328" s="6" t="s">
        <v>47</v>
      </c>
      <c r="L328" s="6" t="s">
        <v>47</v>
      </c>
      <c r="M328" s="6" t="s">
        <v>47</v>
      </c>
      <c r="N328" s="6" t="s">
        <v>47</v>
      </c>
      <c r="O328" s="6" t="s">
        <v>47</v>
      </c>
      <c r="P328" s="6" t="s">
        <v>47</v>
      </c>
      <c r="Q328" s="6" t="s">
        <v>47</v>
      </c>
      <c r="R328" s="6" t="s">
        <v>47</v>
      </c>
      <c r="S328" s="6" t="s">
        <v>47</v>
      </c>
      <c r="T328" s="6" t="s">
        <v>47</v>
      </c>
      <c r="U328" s="6" t="s">
        <v>47</v>
      </c>
      <c r="V328" s="6" t="s">
        <v>47</v>
      </c>
      <c r="W328" s="6" t="s">
        <v>47</v>
      </c>
      <c r="X328" s="2" t="str">
        <f t="shared" ca="1" si="28"/>
        <v>Conforme</v>
      </c>
    </row>
    <row r="329" spans="1:24" x14ac:dyDescent="0.25">
      <c r="A329" s="1">
        <v>5</v>
      </c>
      <c r="B329" s="4">
        <v>45050</v>
      </c>
      <c r="C329" s="3" t="s">
        <v>4</v>
      </c>
      <c r="D329" s="6" t="s">
        <v>47</v>
      </c>
      <c r="E329" s="6" t="s">
        <v>47</v>
      </c>
      <c r="F329" s="6" t="s">
        <v>47</v>
      </c>
      <c r="G329" s="6" t="s">
        <v>47</v>
      </c>
      <c r="H329" s="6" t="s">
        <v>47</v>
      </c>
      <c r="I329" s="6" t="s">
        <v>47</v>
      </c>
      <c r="J329" s="6" t="s">
        <v>47</v>
      </c>
      <c r="K329" s="6" t="s">
        <v>47</v>
      </c>
      <c r="L329" s="6" t="s">
        <v>47</v>
      </c>
      <c r="M329" s="6" t="s">
        <v>47</v>
      </c>
      <c r="N329" s="6" t="s">
        <v>47</v>
      </c>
      <c r="O329" s="6" t="s">
        <v>47</v>
      </c>
      <c r="P329" s="6" t="s">
        <v>47</v>
      </c>
      <c r="Q329" s="6" t="s">
        <v>47</v>
      </c>
      <c r="R329" s="6" t="s">
        <v>47</v>
      </c>
      <c r="S329" s="6" t="s">
        <v>47</v>
      </c>
      <c r="T329" s="6" t="s">
        <v>47</v>
      </c>
      <c r="U329" s="6" t="s">
        <v>47</v>
      </c>
      <c r="V329" s="6" t="s">
        <v>47</v>
      </c>
      <c r="W329" s="6" t="s">
        <v>47</v>
      </c>
      <c r="X329" s="2" t="str">
        <f t="shared" ca="1" si="28"/>
        <v>Conforme</v>
      </c>
    </row>
    <row r="330" spans="1:24" x14ac:dyDescent="0.25">
      <c r="A330" s="1">
        <v>6</v>
      </c>
      <c r="B330" s="4">
        <v>45051</v>
      </c>
      <c r="C330" s="3" t="s">
        <v>4</v>
      </c>
      <c r="D330" s="6" t="s">
        <v>47</v>
      </c>
      <c r="E330" s="6" t="s">
        <v>47</v>
      </c>
      <c r="F330" s="6" t="s">
        <v>47</v>
      </c>
      <c r="G330" s="6" t="s">
        <v>47</v>
      </c>
      <c r="H330" s="6" t="s">
        <v>47</v>
      </c>
      <c r="I330" s="6" t="s">
        <v>47</v>
      </c>
      <c r="J330" s="6" t="s">
        <v>47</v>
      </c>
      <c r="K330" s="6" t="s">
        <v>47</v>
      </c>
      <c r="L330" s="6" t="s">
        <v>47</v>
      </c>
      <c r="M330" s="6" t="s">
        <v>47</v>
      </c>
      <c r="N330" s="6" t="s">
        <v>47</v>
      </c>
      <c r="O330" s="6" t="s">
        <v>47</v>
      </c>
      <c r="P330" s="6" t="s">
        <v>47</v>
      </c>
      <c r="Q330" s="6" t="s">
        <v>47</v>
      </c>
      <c r="R330" s="6" t="s">
        <v>47</v>
      </c>
      <c r="S330" s="6" t="s">
        <v>47</v>
      </c>
      <c r="T330" s="6" t="s">
        <v>47</v>
      </c>
      <c r="U330" s="6" t="s">
        <v>47</v>
      </c>
      <c r="V330" s="6" t="s">
        <v>47</v>
      </c>
      <c r="W330" s="6" t="s">
        <v>47</v>
      </c>
      <c r="X330" s="2" t="str">
        <f t="shared" ca="1" si="28"/>
        <v>Conforme</v>
      </c>
    </row>
    <row r="331" spans="1:24" x14ac:dyDescent="0.25">
      <c r="A331" s="1">
        <v>2</v>
      </c>
      <c r="B331" s="4">
        <v>45054</v>
      </c>
      <c r="C331" s="3" t="s">
        <v>4</v>
      </c>
      <c r="D331" s="6" t="s">
        <v>47</v>
      </c>
      <c r="E331" s="6" t="s">
        <v>47</v>
      </c>
      <c r="F331" s="6" t="s">
        <v>47</v>
      </c>
      <c r="G331" s="6" t="s">
        <v>47</v>
      </c>
      <c r="H331" s="6" t="s">
        <v>47</v>
      </c>
      <c r="I331" s="6" t="s">
        <v>47</v>
      </c>
      <c r="J331" s="6" t="s">
        <v>47</v>
      </c>
      <c r="K331" s="6" t="s">
        <v>47</v>
      </c>
      <c r="L331" s="6" t="s">
        <v>47</v>
      </c>
      <c r="M331" s="6" t="s">
        <v>47</v>
      </c>
      <c r="N331" s="6" t="s">
        <v>47</v>
      </c>
      <c r="O331" s="6" t="s">
        <v>47</v>
      </c>
      <c r="P331" s="6" t="s">
        <v>47</v>
      </c>
      <c r="Q331" s="6" t="s">
        <v>47</v>
      </c>
      <c r="R331" s="6" t="s">
        <v>47</v>
      </c>
      <c r="S331" s="6" t="s">
        <v>47</v>
      </c>
      <c r="T331" s="6" t="s">
        <v>47</v>
      </c>
      <c r="U331" s="6" t="s">
        <v>47</v>
      </c>
      <c r="V331" s="6" t="s">
        <v>47</v>
      </c>
      <c r="W331" s="6" t="s">
        <v>47</v>
      </c>
      <c r="X331" s="2" t="str">
        <f t="shared" ca="1" si="28"/>
        <v>Conforme</v>
      </c>
    </row>
    <row r="332" spans="1:24" x14ac:dyDescent="0.25">
      <c r="A332" s="1">
        <v>3</v>
      </c>
      <c r="B332" s="4">
        <v>45055</v>
      </c>
      <c r="C332" s="3" t="s">
        <v>4</v>
      </c>
      <c r="D332" s="6" t="s">
        <v>47</v>
      </c>
      <c r="E332" s="6" t="s">
        <v>47</v>
      </c>
      <c r="F332" s="6" t="s">
        <v>47</v>
      </c>
      <c r="G332" s="6" t="s">
        <v>47</v>
      </c>
      <c r="H332" s="6" t="s">
        <v>47</v>
      </c>
      <c r="I332" s="6" t="s">
        <v>47</v>
      </c>
      <c r="J332" s="6" t="s">
        <v>47</v>
      </c>
      <c r="K332" s="6" t="s">
        <v>47</v>
      </c>
      <c r="L332" s="6" t="s">
        <v>47</v>
      </c>
      <c r="M332" s="6" t="s">
        <v>47</v>
      </c>
      <c r="N332" s="6" t="s">
        <v>47</v>
      </c>
      <c r="O332" s="6" t="s">
        <v>47</v>
      </c>
      <c r="P332" s="6" t="s">
        <v>47</v>
      </c>
      <c r="Q332" s="6" t="s">
        <v>47</v>
      </c>
      <c r="R332" s="6" t="s">
        <v>47</v>
      </c>
      <c r="S332" s="6" t="s">
        <v>47</v>
      </c>
      <c r="T332" s="6" t="s">
        <v>47</v>
      </c>
      <c r="U332" s="6" t="s">
        <v>47</v>
      </c>
      <c r="V332" s="6" t="s">
        <v>47</v>
      </c>
      <c r="W332" s="6" t="s">
        <v>47</v>
      </c>
      <c r="X332" s="2" t="str">
        <f t="shared" ca="1" si="28"/>
        <v>Conforme</v>
      </c>
    </row>
    <row r="333" spans="1:24" x14ac:dyDescent="0.25">
      <c r="A333" s="1">
        <v>4</v>
      </c>
      <c r="B333" s="4">
        <v>45056</v>
      </c>
      <c r="C333" s="3" t="s">
        <v>4</v>
      </c>
      <c r="D333" s="6" t="s">
        <v>47</v>
      </c>
      <c r="E333" s="6" t="s">
        <v>47</v>
      </c>
      <c r="F333" s="6" t="s">
        <v>47</v>
      </c>
      <c r="G333" s="6" t="s">
        <v>47</v>
      </c>
      <c r="H333" s="6" t="s">
        <v>47</v>
      </c>
      <c r="I333" s="6" t="s">
        <v>47</v>
      </c>
      <c r="J333" s="6" t="s">
        <v>47</v>
      </c>
      <c r="K333" s="6" t="s">
        <v>47</v>
      </c>
      <c r="L333" s="6" t="s">
        <v>47</v>
      </c>
      <c r="M333" s="6" t="s">
        <v>47</v>
      </c>
      <c r="N333" s="6" t="s">
        <v>47</v>
      </c>
      <c r="O333" s="6" t="s">
        <v>47</v>
      </c>
      <c r="P333" s="6" t="s">
        <v>47</v>
      </c>
      <c r="Q333" s="6" t="s">
        <v>47</v>
      </c>
      <c r="R333" s="6" t="s">
        <v>47</v>
      </c>
      <c r="S333" s="6" t="s">
        <v>47</v>
      </c>
      <c r="T333" s="6" t="s">
        <v>47</v>
      </c>
      <c r="U333" s="6" t="s">
        <v>47</v>
      </c>
      <c r="V333" s="6" t="s">
        <v>47</v>
      </c>
      <c r="W333" s="6" t="s">
        <v>47</v>
      </c>
      <c r="X333" s="2" t="str">
        <f t="shared" ca="1" si="28"/>
        <v>Conforme</v>
      </c>
    </row>
    <row r="334" spans="1:24" x14ac:dyDescent="0.25">
      <c r="A334" s="1">
        <v>5</v>
      </c>
      <c r="B334" s="4">
        <v>45057</v>
      </c>
      <c r="C334" s="3" t="s">
        <v>4</v>
      </c>
      <c r="D334" s="6" t="s">
        <v>47</v>
      </c>
      <c r="E334" s="6" t="s">
        <v>47</v>
      </c>
      <c r="F334" s="6" t="s">
        <v>47</v>
      </c>
      <c r="G334" s="6" t="s">
        <v>47</v>
      </c>
      <c r="H334" s="6" t="s">
        <v>47</v>
      </c>
      <c r="I334" s="6" t="s">
        <v>47</v>
      </c>
      <c r="J334" s="6" t="s">
        <v>47</v>
      </c>
      <c r="K334" s="6" t="s">
        <v>47</v>
      </c>
      <c r="L334" s="6" t="s">
        <v>47</v>
      </c>
      <c r="M334" s="6" t="s">
        <v>47</v>
      </c>
      <c r="N334" s="6" t="s">
        <v>47</v>
      </c>
      <c r="O334" s="6" t="s">
        <v>47</v>
      </c>
      <c r="P334" s="6" t="s">
        <v>47</v>
      </c>
      <c r="Q334" s="6" t="s">
        <v>47</v>
      </c>
      <c r="R334" s="6" t="s">
        <v>47</v>
      </c>
      <c r="S334" s="6" t="s">
        <v>47</v>
      </c>
      <c r="T334" s="6" t="s">
        <v>47</v>
      </c>
      <c r="U334" s="6" t="s">
        <v>47</v>
      </c>
      <c r="V334" s="6" t="s">
        <v>47</v>
      </c>
      <c r="W334" s="6" t="s">
        <v>47</v>
      </c>
      <c r="X334" s="2" t="str">
        <f t="shared" ca="1" si="28"/>
        <v>Conforme</v>
      </c>
    </row>
    <row r="335" spans="1:24" x14ac:dyDescent="0.25">
      <c r="A335" s="1">
        <v>6</v>
      </c>
      <c r="B335" s="4">
        <v>45058</v>
      </c>
      <c r="C335" s="3" t="s">
        <v>4</v>
      </c>
      <c r="D335" s="6" t="s">
        <v>47</v>
      </c>
      <c r="E335" s="6" t="s">
        <v>47</v>
      </c>
      <c r="F335" s="6" t="s">
        <v>47</v>
      </c>
      <c r="G335" s="6" t="s">
        <v>47</v>
      </c>
      <c r="H335" s="6" t="s">
        <v>47</v>
      </c>
      <c r="I335" s="6" t="s">
        <v>47</v>
      </c>
      <c r="J335" s="6" t="s">
        <v>47</v>
      </c>
      <c r="K335" s="6" t="s">
        <v>47</v>
      </c>
      <c r="L335" s="6" t="s">
        <v>47</v>
      </c>
      <c r="M335" s="6" t="s">
        <v>47</v>
      </c>
      <c r="N335" s="6" t="s">
        <v>47</v>
      </c>
      <c r="O335" s="6" t="s">
        <v>47</v>
      </c>
      <c r="P335" s="6" t="s">
        <v>47</v>
      </c>
      <c r="Q335" s="6" t="s">
        <v>47</v>
      </c>
      <c r="R335" s="6" t="s">
        <v>47</v>
      </c>
      <c r="S335" s="6" t="s">
        <v>47</v>
      </c>
      <c r="T335" s="6" t="s">
        <v>47</v>
      </c>
      <c r="U335" s="6" t="s">
        <v>47</v>
      </c>
      <c r="V335" s="6" t="s">
        <v>47</v>
      </c>
      <c r="W335" s="6" t="s">
        <v>47</v>
      </c>
      <c r="X335" s="2" t="str">
        <f t="shared" ca="1" si="28"/>
        <v>Conforme</v>
      </c>
    </row>
    <row r="336" spans="1:24" x14ac:dyDescent="0.25">
      <c r="A336" s="1">
        <v>2</v>
      </c>
      <c r="B336" s="4">
        <v>45061</v>
      </c>
      <c r="C336" s="3" t="s">
        <v>4</v>
      </c>
      <c r="D336" s="6" t="s">
        <v>47</v>
      </c>
      <c r="E336" s="6" t="s">
        <v>47</v>
      </c>
      <c r="F336" s="6" t="s">
        <v>47</v>
      </c>
      <c r="G336" s="6" t="s">
        <v>47</v>
      </c>
      <c r="H336" s="6" t="s">
        <v>47</v>
      </c>
      <c r="I336" s="6" t="s">
        <v>47</v>
      </c>
      <c r="J336" s="6" t="s">
        <v>47</v>
      </c>
      <c r="K336" s="6" t="s">
        <v>47</v>
      </c>
      <c r="L336" s="6" t="s">
        <v>47</v>
      </c>
      <c r="M336" s="6" t="s">
        <v>47</v>
      </c>
      <c r="N336" s="6" t="s">
        <v>47</v>
      </c>
      <c r="O336" s="6" t="s">
        <v>47</v>
      </c>
      <c r="P336" s="6" t="s">
        <v>47</v>
      </c>
      <c r="Q336" s="6" t="s">
        <v>47</v>
      </c>
      <c r="R336" s="6" t="s">
        <v>47</v>
      </c>
      <c r="S336" s="6" t="s">
        <v>47</v>
      </c>
      <c r="T336" s="6" t="s">
        <v>47</v>
      </c>
      <c r="U336" s="6" t="s">
        <v>47</v>
      </c>
      <c r="V336" s="6" t="s">
        <v>47</v>
      </c>
      <c r="W336" s="6" t="s">
        <v>47</v>
      </c>
      <c r="X336" s="2" t="str">
        <f t="shared" ca="1" si="28"/>
        <v>Conforme</v>
      </c>
    </row>
    <row r="337" spans="1:24" x14ac:dyDescent="0.25">
      <c r="A337" s="1">
        <v>3</v>
      </c>
      <c r="B337" s="4">
        <v>45062</v>
      </c>
      <c r="C337" s="3" t="s">
        <v>4</v>
      </c>
      <c r="D337" s="6" t="s">
        <v>47</v>
      </c>
      <c r="E337" s="6" t="s">
        <v>47</v>
      </c>
      <c r="F337" s="6" t="s">
        <v>47</v>
      </c>
      <c r="G337" s="6" t="s">
        <v>47</v>
      </c>
      <c r="H337" s="6" t="s">
        <v>47</v>
      </c>
      <c r="I337" s="6" t="s">
        <v>47</v>
      </c>
      <c r="J337" s="6" t="s">
        <v>47</v>
      </c>
      <c r="K337" s="6" t="s">
        <v>47</v>
      </c>
      <c r="L337" s="6" t="s">
        <v>47</v>
      </c>
      <c r="M337" s="6" t="s">
        <v>47</v>
      </c>
      <c r="N337" s="6" t="s">
        <v>47</v>
      </c>
      <c r="O337" s="6" t="s">
        <v>47</v>
      </c>
      <c r="P337" s="6" t="s">
        <v>47</v>
      </c>
      <c r="Q337" s="6" t="s">
        <v>47</v>
      </c>
      <c r="R337" s="6" t="s">
        <v>47</v>
      </c>
      <c r="S337" s="6" t="s">
        <v>47</v>
      </c>
      <c r="T337" s="6" t="s">
        <v>47</v>
      </c>
      <c r="U337" s="6" t="s">
        <v>47</v>
      </c>
      <c r="V337" s="6" t="s">
        <v>47</v>
      </c>
      <c r="W337" s="6" t="s">
        <v>47</v>
      </c>
      <c r="X337" s="2" t="str">
        <f t="shared" ca="1" si="28"/>
        <v>Conforme</v>
      </c>
    </row>
    <row r="338" spans="1:24" x14ac:dyDescent="0.25">
      <c r="A338" s="1">
        <v>4</v>
      </c>
      <c r="B338" s="4">
        <v>45063</v>
      </c>
      <c r="C338" s="3" t="s">
        <v>4</v>
      </c>
      <c r="D338" s="6" t="s">
        <v>47</v>
      </c>
      <c r="E338" s="6" t="s">
        <v>47</v>
      </c>
      <c r="F338" s="6" t="s">
        <v>47</v>
      </c>
      <c r="G338" s="6" t="s">
        <v>47</v>
      </c>
      <c r="H338" s="6" t="s">
        <v>47</v>
      </c>
      <c r="I338" s="6" t="s">
        <v>47</v>
      </c>
      <c r="J338" s="6" t="s">
        <v>47</v>
      </c>
      <c r="K338" s="6" t="s">
        <v>47</v>
      </c>
      <c r="L338" s="6" t="s">
        <v>47</v>
      </c>
      <c r="M338" s="6" t="s">
        <v>47</v>
      </c>
      <c r="N338" s="6" t="s">
        <v>47</v>
      </c>
      <c r="O338" s="6" t="s">
        <v>47</v>
      </c>
      <c r="P338" s="6" t="s">
        <v>47</v>
      </c>
      <c r="Q338" s="6" t="s">
        <v>47</v>
      </c>
      <c r="R338" s="6" t="s">
        <v>47</v>
      </c>
      <c r="S338" s="6" t="s">
        <v>47</v>
      </c>
      <c r="T338" s="6" t="s">
        <v>47</v>
      </c>
      <c r="U338" s="6" t="s">
        <v>47</v>
      </c>
      <c r="V338" s="6" t="s">
        <v>47</v>
      </c>
      <c r="W338" s="6" t="s">
        <v>47</v>
      </c>
      <c r="X338" s="2" t="str">
        <f t="shared" ca="1" si="28"/>
        <v>Conforme</v>
      </c>
    </row>
    <row r="339" spans="1:24" x14ac:dyDescent="0.25">
      <c r="A339" s="1">
        <v>5</v>
      </c>
      <c r="B339" s="4">
        <v>45064</v>
      </c>
      <c r="C339" s="3" t="s">
        <v>4</v>
      </c>
      <c r="D339" s="6" t="s">
        <v>47</v>
      </c>
      <c r="E339" s="6" t="s">
        <v>47</v>
      </c>
      <c r="F339" s="6" t="s">
        <v>47</v>
      </c>
      <c r="G339" s="6" t="s">
        <v>47</v>
      </c>
      <c r="H339" s="6" t="s">
        <v>47</v>
      </c>
      <c r="I339" s="6" t="s">
        <v>47</v>
      </c>
      <c r="J339" s="6" t="s">
        <v>47</v>
      </c>
      <c r="K339" s="6" t="s">
        <v>47</v>
      </c>
      <c r="L339" s="6" t="s">
        <v>47</v>
      </c>
      <c r="M339" s="6" t="s">
        <v>47</v>
      </c>
      <c r="N339" s="6" t="s">
        <v>47</v>
      </c>
      <c r="O339" s="6" t="s">
        <v>47</v>
      </c>
      <c r="P339" s="6" t="s">
        <v>47</v>
      </c>
      <c r="Q339" s="6" t="s">
        <v>47</v>
      </c>
      <c r="R339" s="6" t="s">
        <v>47</v>
      </c>
      <c r="S339" s="6" t="s">
        <v>47</v>
      </c>
      <c r="T339" s="6" t="s">
        <v>47</v>
      </c>
      <c r="U339" s="6" t="s">
        <v>47</v>
      </c>
      <c r="V339" s="6" t="s">
        <v>47</v>
      </c>
      <c r="W339" s="6" t="s">
        <v>47</v>
      </c>
      <c r="X339" s="2" t="str">
        <f t="shared" ca="1" si="28"/>
        <v>Conforme</v>
      </c>
    </row>
    <row r="340" spans="1:24" x14ac:dyDescent="0.25">
      <c r="A340" s="1">
        <v>6</v>
      </c>
      <c r="B340" s="4">
        <v>45065</v>
      </c>
      <c r="C340" s="3" t="s">
        <v>4</v>
      </c>
      <c r="D340" s="6" t="s">
        <v>47</v>
      </c>
      <c r="E340" s="6" t="s">
        <v>47</v>
      </c>
      <c r="F340" s="6" t="s">
        <v>47</v>
      </c>
      <c r="G340" s="6" t="s">
        <v>47</v>
      </c>
      <c r="H340" s="6" t="s">
        <v>47</v>
      </c>
      <c r="I340" s="6" t="s">
        <v>47</v>
      </c>
      <c r="J340" s="6" t="s">
        <v>47</v>
      </c>
      <c r="K340" s="6" t="s">
        <v>47</v>
      </c>
      <c r="L340" s="6" t="s">
        <v>47</v>
      </c>
      <c r="M340" s="6" t="s">
        <v>47</v>
      </c>
      <c r="N340" s="6" t="s">
        <v>47</v>
      </c>
      <c r="O340" s="6" t="s">
        <v>47</v>
      </c>
      <c r="P340" s="6" t="s">
        <v>47</v>
      </c>
      <c r="Q340" s="6" t="s">
        <v>47</v>
      </c>
      <c r="R340" s="6" t="s">
        <v>47</v>
      </c>
      <c r="S340" s="6" t="s">
        <v>47</v>
      </c>
      <c r="T340" s="6" t="s">
        <v>47</v>
      </c>
      <c r="U340" s="6" t="s">
        <v>47</v>
      </c>
      <c r="V340" s="6" t="s">
        <v>47</v>
      </c>
      <c r="W340" s="6" t="s">
        <v>47</v>
      </c>
      <c r="X340" s="2" t="str">
        <f t="shared" ca="1" si="28"/>
        <v>Conforme</v>
      </c>
    </row>
    <row r="341" spans="1:24" x14ac:dyDescent="0.25">
      <c r="A341" s="1">
        <v>2</v>
      </c>
      <c r="B341" s="4">
        <v>45068</v>
      </c>
      <c r="C341" s="3" t="s">
        <v>4</v>
      </c>
      <c r="D341" s="6" t="s">
        <v>47</v>
      </c>
      <c r="E341" s="6" t="s">
        <v>47</v>
      </c>
      <c r="F341" s="6" t="s">
        <v>47</v>
      </c>
      <c r="G341" s="6" t="s">
        <v>47</v>
      </c>
      <c r="H341" s="6" t="s">
        <v>47</v>
      </c>
      <c r="I341" s="6" t="s">
        <v>47</v>
      </c>
      <c r="J341" s="6" t="s">
        <v>47</v>
      </c>
      <c r="K341" s="6" t="s">
        <v>47</v>
      </c>
      <c r="L341" s="6" t="s">
        <v>47</v>
      </c>
      <c r="M341" s="6" t="s">
        <v>47</v>
      </c>
      <c r="N341" s="6" t="s">
        <v>47</v>
      </c>
      <c r="O341" s="6" t="s">
        <v>47</v>
      </c>
      <c r="P341" s="6" t="s">
        <v>47</v>
      </c>
      <c r="Q341" s="6" t="s">
        <v>47</v>
      </c>
      <c r="R341" s="6" t="s">
        <v>47</v>
      </c>
      <c r="S341" s="6" t="s">
        <v>47</v>
      </c>
      <c r="T341" s="6" t="s">
        <v>47</v>
      </c>
      <c r="U341" s="6" t="s">
        <v>47</v>
      </c>
      <c r="V341" s="6" t="s">
        <v>47</v>
      </c>
      <c r="W341" s="6" t="s">
        <v>47</v>
      </c>
      <c r="X341" s="2" t="str">
        <f t="shared" ca="1" si="28"/>
        <v>Conforme</v>
      </c>
    </row>
    <row r="342" spans="1:24" x14ac:dyDescent="0.25">
      <c r="A342" s="1">
        <v>3</v>
      </c>
      <c r="B342" s="4">
        <v>45069</v>
      </c>
      <c r="C342" s="3" t="s">
        <v>4</v>
      </c>
      <c r="D342" s="6" t="s">
        <v>47</v>
      </c>
      <c r="E342" s="6" t="s">
        <v>47</v>
      </c>
      <c r="F342" s="6" t="s">
        <v>47</v>
      </c>
      <c r="G342" s="6" t="s">
        <v>47</v>
      </c>
      <c r="H342" s="6" t="s">
        <v>47</v>
      </c>
      <c r="I342" s="6" t="s">
        <v>47</v>
      </c>
      <c r="J342" s="6" t="s">
        <v>47</v>
      </c>
      <c r="K342" s="6" t="s">
        <v>47</v>
      </c>
      <c r="L342" s="6" t="s">
        <v>47</v>
      </c>
      <c r="M342" s="6" t="s">
        <v>47</v>
      </c>
      <c r="N342" s="6" t="s">
        <v>47</v>
      </c>
      <c r="O342" s="6" t="s">
        <v>47</v>
      </c>
      <c r="P342" s="6" t="s">
        <v>47</v>
      </c>
      <c r="Q342" s="6" t="s">
        <v>47</v>
      </c>
      <c r="R342" s="6" t="s">
        <v>47</v>
      </c>
      <c r="S342" s="6" t="s">
        <v>47</v>
      </c>
      <c r="T342" s="6" t="s">
        <v>47</v>
      </c>
      <c r="U342" s="6" t="s">
        <v>47</v>
      </c>
      <c r="V342" s="6" t="s">
        <v>47</v>
      </c>
      <c r="W342" s="6" t="s">
        <v>47</v>
      </c>
      <c r="X342" s="2" t="str">
        <f t="shared" ref="X342:X386" ca="1" si="29">IF(B342&lt;TODAY(),IF(COUNTBLANK(D342:W342)=0,"Conforme","Não conforme"),"")</f>
        <v>Conforme</v>
      </c>
    </row>
    <row r="343" spans="1:24" x14ac:dyDescent="0.25">
      <c r="A343" s="1">
        <v>4</v>
      </c>
      <c r="B343" s="4">
        <v>45070</v>
      </c>
      <c r="C343" s="3" t="s">
        <v>4</v>
      </c>
      <c r="D343" s="6" t="s">
        <v>47</v>
      </c>
      <c r="E343" s="6" t="s">
        <v>47</v>
      </c>
      <c r="F343" s="6" t="s">
        <v>47</v>
      </c>
      <c r="G343" s="6" t="s">
        <v>47</v>
      </c>
      <c r="H343" s="6" t="s">
        <v>47</v>
      </c>
      <c r="I343" s="6" t="s">
        <v>47</v>
      </c>
      <c r="J343" s="6" t="s">
        <v>47</v>
      </c>
      <c r="K343" s="6" t="s">
        <v>47</v>
      </c>
      <c r="L343" s="6" t="s">
        <v>47</v>
      </c>
      <c r="M343" s="6" t="s">
        <v>47</v>
      </c>
      <c r="N343" s="6" t="s">
        <v>47</v>
      </c>
      <c r="O343" s="6" t="s">
        <v>47</v>
      </c>
      <c r="P343" s="6" t="s">
        <v>47</v>
      </c>
      <c r="Q343" s="6" t="s">
        <v>47</v>
      </c>
      <c r="R343" s="6" t="s">
        <v>47</v>
      </c>
      <c r="S343" s="6" t="s">
        <v>47</v>
      </c>
      <c r="T343" s="6" t="s">
        <v>47</v>
      </c>
      <c r="U343" s="6" t="s">
        <v>47</v>
      </c>
      <c r="V343" s="6" t="s">
        <v>47</v>
      </c>
      <c r="W343" s="6" t="s">
        <v>47</v>
      </c>
      <c r="X343" s="2" t="str">
        <f t="shared" ca="1" si="29"/>
        <v>Conforme</v>
      </c>
    </row>
    <row r="344" spans="1:24" x14ac:dyDescent="0.25">
      <c r="A344" s="1">
        <v>5</v>
      </c>
      <c r="B344" s="4">
        <v>45071</v>
      </c>
      <c r="C344" s="3" t="s">
        <v>4</v>
      </c>
      <c r="D344" s="6" t="s">
        <v>47</v>
      </c>
      <c r="E344" s="6" t="s">
        <v>47</v>
      </c>
      <c r="F344" s="6" t="s">
        <v>47</v>
      </c>
      <c r="G344" s="6" t="s">
        <v>47</v>
      </c>
      <c r="H344" s="6" t="s">
        <v>47</v>
      </c>
      <c r="I344" s="6" t="s">
        <v>47</v>
      </c>
      <c r="J344" s="6" t="s">
        <v>47</v>
      </c>
      <c r="K344" s="6" t="s">
        <v>47</v>
      </c>
      <c r="L344" s="6" t="s">
        <v>47</v>
      </c>
      <c r="M344" s="6" t="s">
        <v>47</v>
      </c>
      <c r="N344" s="6" t="s">
        <v>47</v>
      </c>
      <c r="O344" s="6" t="s">
        <v>47</v>
      </c>
      <c r="P344" s="6" t="s">
        <v>47</v>
      </c>
      <c r="Q344" s="6" t="s">
        <v>47</v>
      </c>
      <c r="R344" s="6" t="s">
        <v>47</v>
      </c>
      <c r="S344" s="6" t="s">
        <v>47</v>
      </c>
      <c r="T344" s="6" t="s">
        <v>47</v>
      </c>
      <c r="U344" s="6" t="s">
        <v>47</v>
      </c>
      <c r="V344" s="6" t="s">
        <v>47</v>
      </c>
      <c r="W344" s="6" t="s">
        <v>47</v>
      </c>
      <c r="X344" s="2" t="str">
        <f t="shared" ca="1" si="29"/>
        <v>Conforme</v>
      </c>
    </row>
    <row r="345" spans="1:24" x14ac:dyDescent="0.25">
      <c r="A345" s="1">
        <v>6</v>
      </c>
      <c r="B345" s="4">
        <v>45072</v>
      </c>
      <c r="C345" s="3" t="s">
        <v>4</v>
      </c>
      <c r="D345" s="6" t="s">
        <v>47</v>
      </c>
      <c r="E345" s="6" t="s">
        <v>47</v>
      </c>
      <c r="F345" s="6" t="s">
        <v>47</v>
      </c>
      <c r="G345" s="6" t="s">
        <v>47</v>
      </c>
      <c r="H345" s="6" t="s">
        <v>47</v>
      </c>
      <c r="I345" s="6" t="s">
        <v>47</v>
      </c>
      <c r="J345" s="6" t="s">
        <v>47</v>
      </c>
      <c r="K345" s="6" t="s">
        <v>47</v>
      </c>
      <c r="L345" s="6" t="s">
        <v>47</v>
      </c>
      <c r="M345" s="6" t="s">
        <v>47</v>
      </c>
      <c r="N345" s="6" t="s">
        <v>47</v>
      </c>
      <c r="O345" s="6" t="s">
        <v>47</v>
      </c>
      <c r="P345" s="6" t="s">
        <v>47</v>
      </c>
      <c r="Q345" s="6" t="s">
        <v>47</v>
      </c>
      <c r="R345" s="6" t="s">
        <v>47</v>
      </c>
      <c r="S345" s="6" t="s">
        <v>47</v>
      </c>
      <c r="T345" s="6" t="s">
        <v>47</v>
      </c>
      <c r="U345" s="6" t="s">
        <v>47</v>
      </c>
      <c r="V345" s="6" t="s">
        <v>47</v>
      </c>
      <c r="W345" s="6" t="s">
        <v>47</v>
      </c>
      <c r="X345" s="2" t="str">
        <f t="shared" ca="1" si="29"/>
        <v>Conforme</v>
      </c>
    </row>
    <row r="346" spans="1:24" x14ac:dyDescent="0.25">
      <c r="A346" s="1">
        <v>2</v>
      </c>
      <c r="B346" s="4">
        <v>45075</v>
      </c>
      <c r="C346" s="3" t="s">
        <v>4</v>
      </c>
      <c r="D346" s="6" t="s">
        <v>47</v>
      </c>
      <c r="E346" s="6" t="s">
        <v>47</v>
      </c>
      <c r="F346" s="6" t="s">
        <v>47</v>
      </c>
      <c r="G346" s="6" t="s">
        <v>47</v>
      </c>
      <c r="H346" s="6" t="s">
        <v>47</v>
      </c>
      <c r="I346" s="6" t="s">
        <v>47</v>
      </c>
      <c r="J346" s="6" t="s">
        <v>47</v>
      </c>
      <c r="K346" s="6" t="s">
        <v>47</v>
      </c>
      <c r="L346" s="6" t="s">
        <v>47</v>
      </c>
      <c r="M346" s="6" t="s">
        <v>47</v>
      </c>
      <c r="N346" s="6" t="s">
        <v>47</v>
      </c>
      <c r="O346" s="6" t="s">
        <v>47</v>
      </c>
      <c r="P346" s="6" t="s">
        <v>47</v>
      </c>
      <c r="Q346" s="6" t="s">
        <v>47</v>
      </c>
      <c r="R346" s="6" t="s">
        <v>47</v>
      </c>
      <c r="S346" s="6" t="s">
        <v>47</v>
      </c>
      <c r="T346" s="6" t="s">
        <v>47</v>
      </c>
      <c r="U346" s="6" t="s">
        <v>47</v>
      </c>
      <c r="V346" s="6" t="s">
        <v>47</v>
      </c>
      <c r="W346" s="6" t="s">
        <v>47</v>
      </c>
      <c r="X346" s="2" t="str">
        <f t="shared" ca="1" si="29"/>
        <v>Conforme</v>
      </c>
    </row>
    <row r="347" spans="1:24" x14ac:dyDescent="0.25">
      <c r="A347" s="1">
        <v>3</v>
      </c>
      <c r="B347" s="4">
        <v>45076</v>
      </c>
      <c r="C347" s="3" t="s">
        <v>4</v>
      </c>
      <c r="D347" s="6" t="s">
        <v>47</v>
      </c>
      <c r="E347" s="6" t="s">
        <v>47</v>
      </c>
      <c r="F347" s="6" t="s">
        <v>47</v>
      </c>
      <c r="G347" s="6" t="s">
        <v>47</v>
      </c>
      <c r="H347" s="6" t="s">
        <v>47</v>
      </c>
      <c r="I347" s="6" t="s">
        <v>47</v>
      </c>
      <c r="J347" s="6" t="s">
        <v>47</v>
      </c>
      <c r="K347" s="6" t="s">
        <v>47</v>
      </c>
      <c r="L347" s="6" t="s">
        <v>47</v>
      </c>
      <c r="M347" s="6" t="s">
        <v>47</v>
      </c>
      <c r="N347" s="6" t="s">
        <v>47</v>
      </c>
      <c r="O347" s="6" t="s">
        <v>47</v>
      </c>
      <c r="P347" s="6" t="s">
        <v>47</v>
      </c>
      <c r="Q347" s="6" t="s">
        <v>47</v>
      </c>
      <c r="R347" s="6" t="s">
        <v>47</v>
      </c>
      <c r="S347" s="6" t="s">
        <v>47</v>
      </c>
      <c r="T347" s="6" t="s">
        <v>47</v>
      </c>
      <c r="U347" s="6" t="s">
        <v>47</v>
      </c>
      <c r="V347" s="6" t="s">
        <v>47</v>
      </c>
      <c r="W347" s="6" t="s">
        <v>47</v>
      </c>
      <c r="X347" s="2" t="str">
        <f t="shared" ca="1" si="29"/>
        <v>Conforme</v>
      </c>
    </row>
    <row r="348" spans="1:24" x14ac:dyDescent="0.25">
      <c r="A348" s="1">
        <v>4</v>
      </c>
      <c r="B348" s="4">
        <v>45077</v>
      </c>
      <c r="C348" s="3" t="s">
        <v>4</v>
      </c>
      <c r="D348" s="6" t="s">
        <v>47</v>
      </c>
      <c r="E348" s="6" t="s">
        <v>47</v>
      </c>
      <c r="F348" s="6" t="s">
        <v>47</v>
      </c>
      <c r="G348" s="6" t="s">
        <v>47</v>
      </c>
      <c r="H348" s="6" t="s">
        <v>47</v>
      </c>
      <c r="I348" s="6" t="s">
        <v>47</v>
      </c>
      <c r="J348" s="6" t="s">
        <v>47</v>
      </c>
      <c r="K348" s="6" t="s">
        <v>47</v>
      </c>
      <c r="L348" s="6" t="s">
        <v>47</v>
      </c>
      <c r="M348" s="6" t="s">
        <v>47</v>
      </c>
      <c r="N348" s="6" t="s">
        <v>47</v>
      </c>
      <c r="O348" s="6" t="s">
        <v>47</v>
      </c>
      <c r="P348" s="6" t="s">
        <v>47</v>
      </c>
      <c r="Q348" s="6" t="s">
        <v>47</v>
      </c>
      <c r="R348" s="6" t="s">
        <v>47</v>
      </c>
      <c r="S348" s="6" t="s">
        <v>47</v>
      </c>
      <c r="T348" s="6" t="s">
        <v>47</v>
      </c>
      <c r="U348" s="6" t="s">
        <v>47</v>
      </c>
      <c r="V348" s="6" t="s">
        <v>47</v>
      </c>
      <c r="W348" s="6" t="s">
        <v>47</v>
      </c>
      <c r="X348" s="2" t="str">
        <f t="shared" ca="1" si="29"/>
        <v>Conforme</v>
      </c>
    </row>
    <row r="349" spans="1:24" x14ac:dyDescent="0.25">
      <c r="A349" s="1">
        <v>5</v>
      </c>
      <c r="B349" s="4">
        <v>45078</v>
      </c>
      <c r="C349" s="3" t="s">
        <v>4</v>
      </c>
      <c r="D349" s="6" t="s">
        <v>47</v>
      </c>
      <c r="E349" s="6" t="s">
        <v>47</v>
      </c>
      <c r="F349" s="6" t="s">
        <v>47</v>
      </c>
      <c r="G349" s="6" t="s">
        <v>47</v>
      </c>
      <c r="H349" s="6" t="s">
        <v>47</v>
      </c>
      <c r="I349" s="6" t="s">
        <v>47</v>
      </c>
      <c r="J349" s="6" t="s">
        <v>47</v>
      </c>
      <c r="K349" s="6" t="s">
        <v>47</v>
      </c>
      <c r="L349" s="6" t="s">
        <v>47</v>
      </c>
      <c r="M349" s="6" t="s">
        <v>47</v>
      </c>
      <c r="N349" s="6" t="s">
        <v>47</v>
      </c>
      <c r="O349" s="6" t="s">
        <v>47</v>
      </c>
      <c r="P349" s="6" t="s">
        <v>47</v>
      </c>
      <c r="Q349" s="6" t="s">
        <v>47</v>
      </c>
      <c r="R349" s="6" t="s">
        <v>47</v>
      </c>
      <c r="S349" s="6" t="s">
        <v>47</v>
      </c>
      <c r="T349" s="6" t="s">
        <v>47</v>
      </c>
      <c r="U349" s="6" t="s">
        <v>47</v>
      </c>
      <c r="V349" s="6" t="s">
        <v>47</v>
      </c>
      <c r="W349" s="6" t="s">
        <v>47</v>
      </c>
      <c r="X349" s="2" t="str">
        <f t="shared" ca="1" si="29"/>
        <v>Conforme</v>
      </c>
    </row>
    <row r="350" spans="1:24" x14ac:dyDescent="0.25">
      <c r="A350" s="1">
        <v>6</v>
      </c>
      <c r="B350" s="4">
        <v>45079</v>
      </c>
      <c r="C350" s="3" t="s">
        <v>4</v>
      </c>
      <c r="D350" s="6" t="s">
        <v>47</v>
      </c>
      <c r="E350" s="6" t="s">
        <v>47</v>
      </c>
      <c r="F350" s="6" t="s">
        <v>47</v>
      </c>
      <c r="G350" s="6" t="s">
        <v>47</v>
      </c>
      <c r="H350" s="6" t="s">
        <v>47</v>
      </c>
      <c r="I350" s="6" t="s">
        <v>47</v>
      </c>
      <c r="J350" s="6" t="s">
        <v>47</v>
      </c>
      <c r="K350" s="6" t="s">
        <v>47</v>
      </c>
      <c r="L350" s="6" t="s">
        <v>47</v>
      </c>
      <c r="M350" s="6" t="s">
        <v>47</v>
      </c>
      <c r="N350" s="6" t="s">
        <v>47</v>
      </c>
      <c r="O350" s="6" t="s">
        <v>47</v>
      </c>
      <c r="P350" s="6" t="s">
        <v>47</v>
      </c>
      <c r="Q350" s="6" t="s">
        <v>47</v>
      </c>
      <c r="R350" s="6" t="s">
        <v>47</v>
      </c>
      <c r="S350" s="6" t="s">
        <v>47</v>
      </c>
      <c r="T350" s="6" t="s">
        <v>47</v>
      </c>
      <c r="U350" s="6" t="s">
        <v>47</v>
      </c>
      <c r="V350" s="6" t="s">
        <v>47</v>
      </c>
      <c r="W350" s="6" t="s">
        <v>47</v>
      </c>
      <c r="X350" s="2" t="str">
        <f t="shared" ca="1" si="29"/>
        <v>Conforme</v>
      </c>
    </row>
    <row r="351" spans="1:24" x14ac:dyDescent="0.25">
      <c r="A351" s="1">
        <v>2</v>
      </c>
      <c r="B351" s="4">
        <v>45082</v>
      </c>
      <c r="C351" s="3" t="s">
        <v>4</v>
      </c>
      <c r="D351" s="6" t="s">
        <v>47</v>
      </c>
      <c r="E351" s="6" t="s">
        <v>47</v>
      </c>
      <c r="F351" s="6" t="s">
        <v>47</v>
      </c>
      <c r="G351" s="6" t="s">
        <v>47</v>
      </c>
      <c r="H351" s="6" t="s">
        <v>47</v>
      </c>
      <c r="I351" s="6" t="s">
        <v>47</v>
      </c>
      <c r="J351" s="6" t="s">
        <v>47</v>
      </c>
      <c r="K351" s="6" t="s">
        <v>47</v>
      </c>
      <c r="L351" s="6" t="s">
        <v>47</v>
      </c>
      <c r="M351" s="6" t="s">
        <v>47</v>
      </c>
      <c r="N351" s="6" t="s">
        <v>47</v>
      </c>
      <c r="O351" s="6" t="s">
        <v>47</v>
      </c>
      <c r="P351" s="6" t="s">
        <v>47</v>
      </c>
      <c r="Q351" s="6" t="s">
        <v>47</v>
      </c>
      <c r="R351" s="6" t="s">
        <v>47</v>
      </c>
      <c r="S351" s="6" t="s">
        <v>47</v>
      </c>
      <c r="T351" s="6" t="s">
        <v>47</v>
      </c>
      <c r="U351" s="6" t="s">
        <v>47</v>
      </c>
      <c r="V351" s="6" t="s">
        <v>47</v>
      </c>
      <c r="W351" s="6" t="s">
        <v>47</v>
      </c>
      <c r="X351" s="2" t="str">
        <f t="shared" ca="1" si="29"/>
        <v>Conforme</v>
      </c>
    </row>
    <row r="352" spans="1:24" x14ac:dyDescent="0.25">
      <c r="A352" s="1">
        <v>3</v>
      </c>
      <c r="B352" s="4">
        <v>45083</v>
      </c>
      <c r="C352" s="3" t="s">
        <v>4</v>
      </c>
      <c r="D352" s="6" t="s">
        <v>47</v>
      </c>
      <c r="E352" s="6" t="s">
        <v>47</v>
      </c>
      <c r="F352" s="6" t="s">
        <v>47</v>
      </c>
      <c r="G352" s="6" t="s">
        <v>47</v>
      </c>
      <c r="H352" s="6" t="s">
        <v>47</v>
      </c>
      <c r="I352" s="6" t="s">
        <v>47</v>
      </c>
      <c r="J352" s="6" t="s">
        <v>47</v>
      </c>
      <c r="K352" s="6" t="s">
        <v>47</v>
      </c>
      <c r="L352" s="6" t="s">
        <v>47</v>
      </c>
      <c r="M352" s="6" t="s">
        <v>47</v>
      </c>
      <c r="N352" s="6" t="s">
        <v>47</v>
      </c>
      <c r="O352" s="6" t="s">
        <v>47</v>
      </c>
      <c r="P352" s="6" t="s">
        <v>47</v>
      </c>
      <c r="Q352" s="6" t="s">
        <v>47</v>
      </c>
      <c r="R352" s="6" t="s">
        <v>47</v>
      </c>
      <c r="S352" s="6" t="s">
        <v>47</v>
      </c>
      <c r="T352" s="6" t="s">
        <v>47</v>
      </c>
      <c r="U352" s="6" t="s">
        <v>47</v>
      </c>
      <c r="V352" s="6" t="s">
        <v>47</v>
      </c>
      <c r="W352" s="6" t="s">
        <v>47</v>
      </c>
      <c r="X352" s="2" t="str">
        <f t="shared" ca="1" si="29"/>
        <v>Conforme</v>
      </c>
    </row>
    <row r="353" spans="1:24" x14ac:dyDescent="0.25">
      <c r="A353" s="1">
        <v>4</v>
      </c>
      <c r="B353" s="4">
        <v>45084</v>
      </c>
      <c r="C353" s="3" t="s">
        <v>4</v>
      </c>
      <c r="D353" s="6" t="s">
        <v>47</v>
      </c>
      <c r="E353" s="6" t="s">
        <v>47</v>
      </c>
      <c r="F353" s="6" t="s">
        <v>47</v>
      </c>
      <c r="G353" s="6" t="s">
        <v>47</v>
      </c>
      <c r="H353" s="6" t="s">
        <v>47</v>
      </c>
      <c r="I353" s="6" t="s">
        <v>47</v>
      </c>
      <c r="J353" s="6" t="s">
        <v>47</v>
      </c>
      <c r="K353" s="6" t="s">
        <v>47</v>
      </c>
      <c r="L353" s="6" t="s">
        <v>47</v>
      </c>
      <c r="M353" s="6" t="s">
        <v>47</v>
      </c>
      <c r="N353" s="6" t="s">
        <v>47</v>
      </c>
      <c r="O353" s="6" t="s">
        <v>47</v>
      </c>
      <c r="P353" s="6" t="s">
        <v>47</v>
      </c>
      <c r="Q353" s="6" t="s">
        <v>47</v>
      </c>
      <c r="R353" s="6" t="s">
        <v>47</v>
      </c>
      <c r="S353" s="6" t="s">
        <v>47</v>
      </c>
      <c r="T353" s="6" t="s">
        <v>47</v>
      </c>
      <c r="U353" s="6" t="s">
        <v>47</v>
      </c>
      <c r="V353" s="6" t="s">
        <v>47</v>
      </c>
      <c r="W353" s="6" t="s">
        <v>47</v>
      </c>
      <c r="X353" s="2" t="str">
        <f t="shared" ca="1" si="29"/>
        <v>Conforme</v>
      </c>
    </row>
    <row r="354" spans="1:24" x14ac:dyDescent="0.25">
      <c r="A354" s="1">
        <v>6</v>
      </c>
      <c r="B354" s="4">
        <v>45086</v>
      </c>
      <c r="C354" s="3" t="s">
        <v>4</v>
      </c>
      <c r="D354" s="6" t="s">
        <v>47</v>
      </c>
      <c r="E354" s="6" t="s">
        <v>47</v>
      </c>
      <c r="F354" s="6" t="s">
        <v>47</v>
      </c>
      <c r="G354" s="6" t="s">
        <v>47</v>
      </c>
      <c r="H354" s="6" t="s">
        <v>47</v>
      </c>
      <c r="I354" s="6" t="s">
        <v>47</v>
      </c>
      <c r="J354" s="6" t="s">
        <v>47</v>
      </c>
      <c r="K354" s="6" t="s">
        <v>47</v>
      </c>
      <c r="L354" s="6" t="s">
        <v>47</v>
      </c>
      <c r="M354" s="6" t="s">
        <v>47</v>
      </c>
      <c r="N354" s="6" t="s">
        <v>47</v>
      </c>
      <c r="O354" s="6" t="s">
        <v>47</v>
      </c>
      <c r="P354" s="6" t="s">
        <v>47</v>
      </c>
      <c r="Q354" s="6" t="s">
        <v>47</v>
      </c>
      <c r="R354" s="6" t="s">
        <v>47</v>
      </c>
      <c r="S354" s="6" t="s">
        <v>47</v>
      </c>
      <c r="T354" s="6" t="s">
        <v>47</v>
      </c>
      <c r="U354" s="6" t="s">
        <v>47</v>
      </c>
      <c r="V354" s="6" t="s">
        <v>47</v>
      </c>
      <c r="W354" s="6" t="s">
        <v>47</v>
      </c>
      <c r="X354" s="2" t="str">
        <f t="shared" ca="1" si="29"/>
        <v>Conforme</v>
      </c>
    </row>
    <row r="355" spans="1:24" x14ac:dyDescent="0.25">
      <c r="A355" s="1">
        <v>2</v>
      </c>
      <c r="B355" s="4">
        <v>45089</v>
      </c>
      <c r="C355" s="3" t="s">
        <v>4</v>
      </c>
      <c r="D355" s="6" t="s">
        <v>47</v>
      </c>
      <c r="E355" s="6" t="s">
        <v>47</v>
      </c>
      <c r="F355" s="6" t="s">
        <v>47</v>
      </c>
      <c r="G355" s="6" t="s">
        <v>47</v>
      </c>
      <c r="H355" s="6" t="s">
        <v>47</v>
      </c>
      <c r="I355" s="6" t="s">
        <v>47</v>
      </c>
      <c r="J355" s="6" t="s">
        <v>47</v>
      </c>
      <c r="K355" s="6" t="s">
        <v>47</v>
      </c>
      <c r="L355" s="6" t="s">
        <v>47</v>
      </c>
      <c r="M355" s="6" t="s">
        <v>47</v>
      </c>
      <c r="N355" s="6" t="s">
        <v>47</v>
      </c>
      <c r="O355" s="6" t="s">
        <v>47</v>
      </c>
      <c r="P355" s="6" t="s">
        <v>47</v>
      </c>
      <c r="Q355" s="6" t="s">
        <v>47</v>
      </c>
      <c r="R355" s="6" t="s">
        <v>47</v>
      </c>
      <c r="S355" s="6" t="s">
        <v>47</v>
      </c>
      <c r="T355" s="6" t="s">
        <v>47</v>
      </c>
      <c r="U355" s="6" t="s">
        <v>47</v>
      </c>
      <c r="V355" s="6" t="s">
        <v>47</v>
      </c>
      <c r="W355" s="6" t="s">
        <v>47</v>
      </c>
      <c r="X355" s="2" t="str">
        <f t="shared" ca="1" si="29"/>
        <v>Conforme</v>
      </c>
    </row>
    <row r="356" spans="1:24" x14ac:dyDescent="0.25">
      <c r="A356" s="1">
        <v>3</v>
      </c>
      <c r="B356" s="4">
        <v>45090</v>
      </c>
      <c r="C356" s="3" t="s">
        <v>4</v>
      </c>
      <c r="D356" s="6" t="s">
        <v>47</v>
      </c>
      <c r="E356" s="6" t="s">
        <v>47</v>
      </c>
      <c r="F356" s="6" t="s">
        <v>47</v>
      </c>
      <c r="G356" s="6" t="s">
        <v>47</v>
      </c>
      <c r="H356" s="6" t="s">
        <v>47</v>
      </c>
      <c r="I356" s="6" t="s">
        <v>47</v>
      </c>
      <c r="J356" s="6" t="s">
        <v>47</v>
      </c>
      <c r="K356" s="6" t="s">
        <v>47</v>
      </c>
      <c r="L356" s="6" t="s">
        <v>47</v>
      </c>
      <c r="M356" s="6" t="s">
        <v>47</v>
      </c>
      <c r="N356" s="6" t="s">
        <v>47</v>
      </c>
      <c r="O356" s="6" t="s">
        <v>47</v>
      </c>
      <c r="P356" s="6" t="s">
        <v>47</v>
      </c>
      <c r="Q356" s="6" t="s">
        <v>47</v>
      </c>
      <c r="R356" s="6" t="s">
        <v>47</v>
      </c>
      <c r="S356" s="6" t="s">
        <v>47</v>
      </c>
      <c r="T356" s="6" t="s">
        <v>47</v>
      </c>
      <c r="U356" s="6" t="s">
        <v>47</v>
      </c>
      <c r="V356" s="6" t="s">
        <v>47</v>
      </c>
      <c r="W356" s="6" t="s">
        <v>47</v>
      </c>
      <c r="X356" s="2" t="str">
        <f t="shared" ca="1" si="29"/>
        <v>Conforme</v>
      </c>
    </row>
    <row r="357" spans="1:24" x14ac:dyDescent="0.25">
      <c r="A357" s="1">
        <v>4</v>
      </c>
      <c r="B357" s="4">
        <v>45091</v>
      </c>
      <c r="C357" s="3" t="s">
        <v>4</v>
      </c>
      <c r="D357" s="6" t="s">
        <v>47</v>
      </c>
      <c r="E357" s="6" t="s">
        <v>47</v>
      </c>
      <c r="F357" s="6" t="s">
        <v>47</v>
      </c>
      <c r="G357" s="6" t="s">
        <v>47</v>
      </c>
      <c r="H357" s="6" t="s">
        <v>47</v>
      </c>
      <c r="I357" s="6" t="s">
        <v>47</v>
      </c>
      <c r="J357" s="6" t="s">
        <v>47</v>
      </c>
      <c r="K357" s="6" t="s">
        <v>47</v>
      </c>
      <c r="L357" s="6" t="s">
        <v>47</v>
      </c>
      <c r="M357" s="6" t="s">
        <v>47</v>
      </c>
      <c r="N357" s="6" t="s">
        <v>47</v>
      </c>
      <c r="O357" s="6" t="s">
        <v>47</v>
      </c>
      <c r="P357" s="6" t="s">
        <v>47</v>
      </c>
      <c r="Q357" s="6" t="s">
        <v>47</v>
      </c>
      <c r="R357" s="6" t="s">
        <v>47</v>
      </c>
      <c r="S357" s="6" t="s">
        <v>47</v>
      </c>
      <c r="T357" s="6" t="s">
        <v>47</v>
      </c>
      <c r="U357" s="6" t="s">
        <v>47</v>
      </c>
      <c r="V357" s="6" t="s">
        <v>47</v>
      </c>
      <c r="W357" s="6" t="s">
        <v>47</v>
      </c>
      <c r="X357" s="2" t="str">
        <f t="shared" ca="1" si="29"/>
        <v>Conforme</v>
      </c>
    </row>
    <row r="358" spans="1:24" x14ac:dyDescent="0.25">
      <c r="A358" s="1">
        <v>5</v>
      </c>
      <c r="B358" s="4">
        <v>45092</v>
      </c>
      <c r="C358" s="3" t="s">
        <v>4</v>
      </c>
      <c r="D358" s="6" t="s">
        <v>47</v>
      </c>
      <c r="E358" s="6" t="s">
        <v>47</v>
      </c>
      <c r="F358" s="6" t="s">
        <v>47</v>
      </c>
      <c r="G358" s="6" t="s">
        <v>47</v>
      </c>
      <c r="H358" s="6" t="s">
        <v>47</v>
      </c>
      <c r="I358" s="6" t="s">
        <v>47</v>
      </c>
      <c r="J358" s="6" t="s">
        <v>47</v>
      </c>
      <c r="K358" s="6" t="s">
        <v>47</v>
      </c>
      <c r="L358" s="6" t="s">
        <v>47</v>
      </c>
      <c r="M358" s="6" t="s">
        <v>47</v>
      </c>
      <c r="N358" s="6" t="s">
        <v>47</v>
      </c>
      <c r="O358" s="6" t="s">
        <v>47</v>
      </c>
      <c r="P358" s="6" t="s">
        <v>47</v>
      </c>
      <c r="Q358" s="6" t="s">
        <v>47</v>
      </c>
      <c r="R358" s="6" t="s">
        <v>47</v>
      </c>
      <c r="S358" s="6" t="s">
        <v>47</v>
      </c>
      <c r="T358" s="6" t="s">
        <v>47</v>
      </c>
      <c r="U358" s="6" t="s">
        <v>47</v>
      </c>
      <c r="V358" s="6" t="s">
        <v>47</v>
      </c>
      <c r="W358" s="6" t="s">
        <v>47</v>
      </c>
      <c r="X358" s="2" t="str">
        <f t="shared" ca="1" si="29"/>
        <v>Conforme</v>
      </c>
    </row>
    <row r="359" spans="1:24" x14ac:dyDescent="0.25">
      <c r="A359" s="1">
        <v>6</v>
      </c>
      <c r="B359" s="4">
        <v>45093</v>
      </c>
      <c r="C359" s="3" t="s">
        <v>4</v>
      </c>
      <c r="D359" s="6" t="s">
        <v>47</v>
      </c>
      <c r="E359" s="6" t="s">
        <v>47</v>
      </c>
      <c r="F359" s="6" t="s">
        <v>47</v>
      </c>
      <c r="G359" s="6" t="s">
        <v>47</v>
      </c>
      <c r="H359" s="6" t="s">
        <v>47</v>
      </c>
      <c r="I359" s="6" t="s">
        <v>47</v>
      </c>
      <c r="J359" s="6" t="s">
        <v>47</v>
      </c>
      <c r="K359" s="6" t="s">
        <v>47</v>
      </c>
      <c r="L359" s="6" t="s">
        <v>47</v>
      </c>
      <c r="M359" s="6" t="s">
        <v>47</v>
      </c>
      <c r="N359" s="6" t="s">
        <v>47</v>
      </c>
      <c r="O359" s="6" t="s">
        <v>47</v>
      </c>
      <c r="P359" s="6" t="s">
        <v>47</v>
      </c>
      <c r="Q359" s="6" t="s">
        <v>47</v>
      </c>
      <c r="R359" s="6" t="s">
        <v>47</v>
      </c>
      <c r="S359" s="6" t="s">
        <v>47</v>
      </c>
      <c r="T359" s="6" t="s">
        <v>47</v>
      </c>
      <c r="U359" s="6" t="s">
        <v>47</v>
      </c>
      <c r="V359" s="6" t="s">
        <v>47</v>
      </c>
      <c r="W359" s="6" t="s">
        <v>47</v>
      </c>
      <c r="X359" s="2" t="str">
        <f t="shared" ca="1" si="29"/>
        <v>Conforme</v>
      </c>
    </row>
    <row r="360" spans="1:24" x14ac:dyDescent="0.25">
      <c r="A360" s="1">
        <v>2</v>
      </c>
      <c r="B360" s="4">
        <v>45096</v>
      </c>
      <c r="C360" s="3" t="s">
        <v>4</v>
      </c>
      <c r="D360" s="6" t="s">
        <v>47</v>
      </c>
      <c r="E360" s="6" t="s">
        <v>47</v>
      </c>
      <c r="F360" s="6" t="s">
        <v>47</v>
      </c>
      <c r="G360" s="6" t="s">
        <v>47</v>
      </c>
      <c r="H360" s="6" t="s">
        <v>47</v>
      </c>
      <c r="I360" s="6" t="s">
        <v>47</v>
      </c>
      <c r="J360" s="6" t="s">
        <v>47</v>
      </c>
      <c r="K360" s="6" t="s">
        <v>47</v>
      </c>
      <c r="L360" s="6" t="s">
        <v>47</v>
      </c>
      <c r="M360" s="6" t="s">
        <v>47</v>
      </c>
      <c r="N360" s="6" t="s">
        <v>47</v>
      </c>
      <c r="O360" s="6" t="s">
        <v>47</v>
      </c>
      <c r="P360" s="6" t="s">
        <v>47</v>
      </c>
      <c r="Q360" s="6" t="s">
        <v>47</v>
      </c>
      <c r="R360" s="6" t="s">
        <v>47</v>
      </c>
      <c r="S360" s="6" t="s">
        <v>47</v>
      </c>
      <c r="T360" s="6" t="s">
        <v>47</v>
      </c>
      <c r="U360" s="6" t="s">
        <v>47</v>
      </c>
      <c r="V360" s="6" t="s">
        <v>47</v>
      </c>
      <c r="W360" s="6" t="s">
        <v>47</v>
      </c>
      <c r="X360" s="2" t="str">
        <f t="shared" ca="1" si="29"/>
        <v>Conforme</v>
      </c>
    </row>
    <row r="361" spans="1:24" x14ac:dyDescent="0.25">
      <c r="A361" s="1">
        <v>3</v>
      </c>
      <c r="B361" s="4">
        <v>45097</v>
      </c>
      <c r="C361" s="3" t="s">
        <v>4</v>
      </c>
      <c r="D361" s="6" t="s">
        <v>47</v>
      </c>
      <c r="E361" s="6" t="s">
        <v>47</v>
      </c>
      <c r="F361" s="6" t="s">
        <v>47</v>
      </c>
      <c r="G361" s="6" t="s">
        <v>47</v>
      </c>
      <c r="H361" s="6" t="s">
        <v>47</v>
      </c>
      <c r="I361" s="6" t="s">
        <v>47</v>
      </c>
      <c r="J361" s="6" t="s">
        <v>47</v>
      </c>
      <c r="K361" s="6" t="s">
        <v>47</v>
      </c>
      <c r="L361" s="6" t="s">
        <v>47</v>
      </c>
      <c r="M361" s="6" t="s">
        <v>47</v>
      </c>
      <c r="N361" s="6" t="s">
        <v>47</v>
      </c>
      <c r="O361" s="6" t="s">
        <v>47</v>
      </c>
      <c r="P361" s="6" t="s">
        <v>47</v>
      </c>
      <c r="Q361" s="6" t="s">
        <v>47</v>
      </c>
      <c r="R361" s="6" t="s">
        <v>47</v>
      </c>
      <c r="S361" s="6" t="s">
        <v>47</v>
      </c>
      <c r="T361" s="6" t="s">
        <v>47</v>
      </c>
      <c r="U361" s="6" t="s">
        <v>47</v>
      </c>
      <c r="V361" s="6" t="s">
        <v>47</v>
      </c>
      <c r="W361" s="6" t="s">
        <v>47</v>
      </c>
      <c r="X361" s="2" t="str">
        <f t="shared" ca="1" si="29"/>
        <v>Conforme</v>
      </c>
    </row>
    <row r="362" spans="1:24" x14ac:dyDescent="0.25">
      <c r="A362" s="1">
        <v>4</v>
      </c>
      <c r="B362" s="4">
        <v>45098</v>
      </c>
      <c r="C362" s="3" t="s">
        <v>4</v>
      </c>
      <c r="D362" s="6" t="s">
        <v>47</v>
      </c>
      <c r="E362" s="6" t="s">
        <v>47</v>
      </c>
      <c r="F362" s="6" t="s">
        <v>47</v>
      </c>
      <c r="G362" s="6" t="s">
        <v>47</v>
      </c>
      <c r="H362" s="6" t="s">
        <v>47</v>
      </c>
      <c r="I362" s="6" t="s">
        <v>47</v>
      </c>
      <c r="J362" s="6" t="s">
        <v>47</v>
      </c>
      <c r="K362" s="6" t="s">
        <v>47</v>
      </c>
      <c r="L362" s="6" t="s">
        <v>47</v>
      </c>
      <c r="M362" s="6" t="s">
        <v>47</v>
      </c>
      <c r="N362" s="6" t="s">
        <v>47</v>
      </c>
      <c r="O362" s="6" t="s">
        <v>47</v>
      </c>
      <c r="P362" s="6" t="s">
        <v>47</v>
      </c>
      <c r="Q362" s="6" t="s">
        <v>47</v>
      </c>
      <c r="R362" s="6" t="s">
        <v>47</v>
      </c>
      <c r="S362" s="6" t="s">
        <v>47</v>
      </c>
      <c r="T362" s="6" t="s">
        <v>47</v>
      </c>
      <c r="U362" s="6" t="s">
        <v>47</v>
      </c>
      <c r="V362" s="6" t="s">
        <v>47</v>
      </c>
      <c r="W362" s="6" t="s">
        <v>47</v>
      </c>
      <c r="X362" s="2" t="str">
        <f t="shared" ca="1" si="29"/>
        <v>Conforme</v>
      </c>
    </row>
    <row r="363" spans="1:24" x14ac:dyDescent="0.25">
      <c r="A363" s="1">
        <v>5</v>
      </c>
      <c r="B363" s="4">
        <v>45099</v>
      </c>
      <c r="C363" s="3" t="s">
        <v>4</v>
      </c>
      <c r="D363" s="6" t="s">
        <v>47</v>
      </c>
      <c r="E363" s="6" t="s">
        <v>47</v>
      </c>
      <c r="F363" s="6" t="s">
        <v>47</v>
      </c>
      <c r="G363" s="6" t="s">
        <v>47</v>
      </c>
      <c r="H363" s="6" t="s">
        <v>47</v>
      </c>
      <c r="I363" s="6" t="s">
        <v>47</v>
      </c>
      <c r="J363" s="6" t="s">
        <v>47</v>
      </c>
      <c r="K363" s="6" t="s">
        <v>47</v>
      </c>
      <c r="L363" s="6" t="s">
        <v>47</v>
      </c>
      <c r="M363" s="6" t="s">
        <v>47</v>
      </c>
      <c r="N363" s="6" t="s">
        <v>47</v>
      </c>
      <c r="O363" s="6" t="s">
        <v>47</v>
      </c>
      <c r="P363" s="6" t="s">
        <v>47</v>
      </c>
      <c r="Q363" s="6" t="s">
        <v>47</v>
      </c>
      <c r="R363" s="6" t="s">
        <v>47</v>
      </c>
      <c r="S363" s="6" t="s">
        <v>47</v>
      </c>
      <c r="T363" s="6" t="s">
        <v>47</v>
      </c>
      <c r="U363" s="6" t="s">
        <v>47</v>
      </c>
      <c r="V363" s="6" t="s">
        <v>47</v>
      </c>
      <c r="W363" s="6" t="s">
        <v>47</v>
      </c>
      <c r="X363" s="2" t="str">
        <f t="shared" ca="1" si="29"/>
        <v>Conforme</v>
      </c>
    </row>
    <row r="364" spans="1:24" x14ac:dyDescent="0.25">
      <c r="A364" s="1">
        <v>6</v>
      </c>
      <c r="B364" s="4">
        <v>45100</v>
      </c>
      <c r="C364" s="3" t="s">
        <v>4</v>
      </c>
      <c r="D364" s="6" t="s">
        <v>47</v>
      </c>
      <c r="E364" s="6" t="s">
        <v>47</v>
      </c>
      <c r="F364" s="6" t="s">
        <v>47</v>
      </c>
      <c r="G364" s="6" t="s">
        <v>47</v>
      </c>
      <c r="H364" s="6" t="s">
        <v>47</v>
      </c>
      <c r="I364" s="6" t="s">
        <v>47</v>
      </c>
      <c r="J364" s="6" t="s">
        <v>47</v>
      </c>
      <c r="K364" s="6" t="s">
        <v>47</v>
      </c>
      <c r="L364" s="6" t="s">
        <v>47</v>
      </c>
      <c r="M364" s="6" t="s">
        <v>47</v>
      </c>
      <c r="N364" s="6" t="s">
        <v>47</v>
      </c>
      <c r="O364" s="6" t="s">
        <v>47</v>
      </c>
      <c r="P364" s="6" t="s">
        <v>47</v>
      </c>
      <c r="Q364" s="6" t="s">
        <v>47</v>
      </c>
      <c r="R364" s="6" t="s">
        <v>47</v>
      </c>
      <c r="S364" s="6" t="s">
        <v>47</v>
      </c>
      <c r="T364" s="6" t="s">
        <v>47</v>
      </c>
      <c r="U364" s="6" t="s">
        <v>47</v>
      </c>
      <c r="V364" s="6" t="s">
        <v>47</v>
      </c>
      <c r="W364" s="6" t="s">
        <v>47</v>
      </c>
      <c r="X364" s="2" t="str">
        <f t="shared" ca="1" si="29"/>
        <v>Conforme</v>
      </c>
    </row>
    <row r="365" spans="1:24" x14ac:dyDescent="0.25">
      <c r="A365" s="1">
        <v>2</v>
      </c>
      <c r="B365" s="4">
        <v>45103</v>
      </c>
      <c r="C365" s="3" t="s">
        <v>4</v>
      </c>
      <c r="D365" s="6" t="s">
        <v>47</v>
      </c>
      <c r="E365" s="6" t="s">
        <v>47</v>
      </c>
      <c r="F365" s="6" t="s">
        <v>47</v>
      </c>
      <c r="G365" s="6" t="s">
        <v>47</v>
      </c>
      <c r="H365" s="6" t="s">
        <v>47</v>
      </c>
      <c r="I365" s="6" t="s">
        <v>47</v>
      </c>
      <c r="J365" s="6" t="s">
        <v>47</v>
      </c>
      <c r="K365" s="6" t="s">
        <v>47</v>
      </c>
      <c r="L365" s="6" t="s">
        <v>47</v>
      </c>
      <c r="M365" s="6" t="s">
        <v>47</v>
      </c>
      <c r="N365" s="6" t="s">
        <v>47</v>
      </c>
      <c r="O365" s="6" t="s">
        <v>47</v>
      </c>
      <c r="P365" s="6" t="s">
        <v>47</v>
      </c>
      <c r="Q365" s="6" t="s">
        <v>47</v>
      </c>
      <c r="R365" s="6" t="s">
        <v>47</v>
      </c>
      <c r="S365" s="6" t="s">
        <v>47</v>
      </c>
      <c r="T365" s="6" t="s">
        <v>47</v>
      </c>
      <c r="U365" s="6" t="s">
        <v>47</v>
      </c>
      <c r="V365" s="6" t="s">
        <v>47</v>
      </c>
      <c r="W365" s="6" t="s">
        <v>47</v>
      </c>
      <c r="X365" s="2" t="str">
        <f t="shared" ca="1" si="29"/>
        <v>Conforme</v>
      </c>
    </row>
    <row r="366" spans="1:24" x14ac:dyDescent="0.25">
      <c r="A366" s="1">
        <v>3</v>
      </c>
      <c r="B366" s="4">
        <v>45104</v>
      </c>
      <c r="C366" s="3" t="s">
        <v>4</v>
      </c>
      <c r="D366" s="6" t="s">
        <v>47</v>
      </c>
      <c r="E366" s="6" t="s">
        <v>47</v>
      </c>
      <c r="F366" s="6" t="s">
        <v>47</v>
      </c>
      <c r="G366" s="6" t="s">
        <v>47</v>
      </c>
      <c r="H366" s="6" t="s">
        <v>47</v>
      </c>
      <c r="I366" s="6" t="s">
        <v>47</v>
      </c>
      <c r="J366" s="6" t="s">
        <v>47</v>
      </c>
      <c r="K366" s="6" t="s">
        <v>47</v>
      </c>
      <c r="L366" s="6" t="s">
        <v>47</v>
      </c>
      <c r="M366" s="6" t="s">
        <v>47</v>
      </c>
      <c r="N366" s="6" t="s">
        <v>47</v>
      </c>
      <c r="O366" s="6" t="s">
        <v>47</v>
      </c>
      <c r="P366" s="6" t="s">
        <v>47</v>
      </c>
      <c r="Q366" s="6" t="s">
        <v>47</v>
      </c>
      <c r="R366" s="6" t="s">
        <v>47</v>
      </c>
      <c r="S366" s="6" t="s">
        <v>47</v>
      </c>
      <c r="T366" s="6" t="s">
        <v>47</v>
      </c>
      <c r="U366" s="6" t="s">
        <v>47</v>
      </c>
      <c r="V366" s="6" t="s">
        <v>47</v>
      </c>
      <c r="W366" s="6" t="s">
        <v>47</v>
      </c>
      <c r="X366" s="2" t="str">
        <f t="shared" ca="1" si="29"/>
        <v>Conforme</v>
      </c>
    </row>
    <row r="367" spans="1:24" x14ac:dyDescent="0.25">
      <c r="A367" s="1">
        <v>4</v>
      </c>
      <c r="B367" s="4">
        <v>45105</v>
      </c>
      <c r="C367" s="3" t="s">
        <v>4</v>
      </c>
      <c r="D367" s="6" t="s">
        <v>47</v>
      </c>
      <c r="E367" s="6" t="s">
        <v>47</v>
      </c>
      <c r="F367" s="6" t="s">
        <v>47</v>
      </c>
      <c r="G367" s="6" t="s">
        <v>47</v>
      </c>
      <c r="H367" s="6" t="s">
        <v>47</v>
      </c>
      <c r="I367" s="6" t="s">
        <v>47</v>
      </c>
      <c r="J367" s="6" t="s">
        <v>47</v>
      </c>
      <c r="K367" s="6" t="s">
        <v>47</v>
      </c>
      <c r="L367" s="6" t="s">
        <v>47</v>
      </c>
      <c r="M367" s="6" t="s">
        <v>47</v>
      </c>
      <c r="N367" s="6" t="s">
        <v>47</v>
      </c>
      <c r="O367" s="6" t="s">
        <v>47</v>
      </c>
      <c r="P367" s="6" t="s">
        <v>47</v>
      </c>
      <c r="Q367" s="6" t="s">
        <v>47</v>
      </c>
      <c r="R367" s="6" t="s">
        <v>47</v>
      </c>
      <c r="S367" s="6" t="s">
        <v>47</v>
      </c>
      <c r="T367" s="6" t="s">
        <v>47</v>
      </c>
      <c r="U367" s="6" t="s">
        <v>47</v>
      </c>
      <c r="V367" s="6" t="s">
        <v>47</v>
      </c>
      <c r="W367" s="6" t="s">
        <v>47</v>
      </c>
      <c r="X367" s="2" t="str">
        <f t="shared" ca="1" si="29"/>
        <v>Conforme</v>
      </c>
    </row>
    <row r="368" spans="1:24" x14ac:dyDescent="0.25">
      <c r="A368" s="1">
        <v>5</v>
      </c>
      <c r="B368" s="4">
        <v>45106</v>
      </c>
      <c r="C368" s="3" t="s">
        <v>4</v>
      </c>
      <c r="D368" s="6" t="s">
        <v>47</v>
      </c>
      <c r="E368" s="6" t="s">
        <v>47</v>
      </c>
      <c r="F368" s="6" t="s">
        <v>47</v>
      </c>
      <c r="G368" s="6" t="s">
        <v>47</v>
      </c>
      <c r="H368" s="6" t="s">
        <v>47</v>
      </c>
      <c r="I368" s="6" t="s">
        <v>47</v>
      </c>
      <c r="J368" s="6" t="s">
        <v>47</v>
      </c>
      <c r="K368" s="6" t="s">
        <v>47</v>
      </c>
      <c r="L368" s="6" t="s">
        <v>47</v>
      </c>
      <c r="M368" s="6" t="s">
        <v>47</v>
      </c>
      <c r="N368" s="6" t="s">
        <v>47</v>
      </c>
      <c r="O368" s="6" t="s">
        <v>47</v>
      </c>
      <c r="P368" s="6" t="s">
        <v>47</v>
      </c>
      <c r="Q368" s="6" t="s">
        <v>47</v>
      </c>
      <c r="R368" s="6" t="s">
        <v>47</v>
      </c>
      <c r="S368" s="6" t="s">
        <v>47</v>
      </c>
      <c r="T368" s="6" t="s">
        <v>47</v>
      </c>
      <c r="U368" s="6" t="s">
        <v>47</v>
      </c>
      <c r="V368" s="6" t="s">
        <v>47</v>
      </c>
      <c r="W368" s="6" t="s">
        <v>47</v>
      </c>
      <c r="X368" s="2" t="str">
        <f t="shared" ca="1" si="29"/>
        <v>Conforme</v>
      </c>
    </row>
    <row r="369" spans="1:24" x14ac:dyDescent="0.25">
      <c r="A369" s="1">
        <v>6</v>
      </c>
      <c r="B369" s="4">
        <v>45107</v>
      </c>
      <c r="C369" s="3" t="s">
        <v>4</v>
      </c>
      <c r="D369" s="6" t="s">
        <v>47</v>
      </c>
      <c r="E369" s="6" t="s">
        <v>47</v>
      </c>
      <c r="F369" s="6" t="s">
        <v>47</v>
      </c>
      <c r="G369" s="6" t="s">
        <v>47</v>
      </c>
      <c r="H369" s="6" t="s">
        <v>47</v>
      </c>
      <c r="I369" s="6" t="s">
        <v>47</v>
      </c>
      <c r="J369" s="6" t="s">
        <v>47</v>
      </c>
      <c r="K369" s="6" t="s">
        <v>47</v>
      </c>
      <c r="L369" s="6" t="s">
        <v>47</v>
      </c>
      <c r="M369" s="6" t="s">
        <v>47</v>
      </c>
      <c r="N369" s="6" t="s">
        <v>47</v>
      </c>
      <c r="O369" s="6" t="s">
        <v>47</v>
      </c>
      <c r="P369" s="6" t="s">
        <v>47</v>
      </c>
      <c r="Q369" s="6" t="s">
        <v>47</v>
      </c>
      <c r="R369" s="6" t="s">
        <v>47</v>
      </c>
      <c r="S369" s="6" t="s">
        <v>47</v>
      </c>
      <c r="T369" s="6" t="s">
        <v>47</v>
      </c>
      <c r="U369" s="6" t="s">
        <v>47</v>
      </c>
      <c r="V369" s="6" t="s">
        <v>47</v>
      </c>
      <c r="W369" s="6" t="s">
        <v>47</v>
      </c>
      <c r="X369" s="2" t="str">
        <f t="shared" ca="1" si="29"/>
        <v>Conforme</v>
      </c>
    </row>
    <row r="370" spans="1:24" x14ac:dyDescent="0.25">
      <c r="A370" s="1">
        <v>2</v>
      </c>
      <c r="B370" s="4">
        <v>45110</v>
      </c>
      <c r="C370" s="3" t="s">
        <v>4</v>
      </c>
      <c r="D370" s="6" t="s">
        <v>47</v>
      </c>
      <c r="E370" s="6" t="s">
        <v>47</v>
      </c>
      <c r="F370" s="6" t="s">
        <v>47</v>
      </c>
      <c r="G370" s="6" t="s">
        <v>47</v>
      </c>
      <c r="H370" s="6" t="s">
        <v>47</v>
      </c>
      <c r="I370" s="6" t="s">
        <v>47</v>
      </c>
      <c r="J370" s="6" t="s">
        <v>47</v>
      </c>
      <c r="K370" s="6" t="s">
        <v>47</v>
      </c>
      <c r="L370" s="6" t="s">
        <v>47</v>
      </c>
      <c r="M370" s="6" t="s">
        <v>47</v>
      </c>
      <c r="N370" s="6" t="s">
        <v>47</v>
      </c>
      <c r="O370" s="6" t="s">
        <v>47</v>
      </c>
      <c r="P370" s="6" t="s">
        <v>47</v>
      </c>
      <c r="Q370" s="6" t="s">
        <v>47</v>
      </c>
      <c r="R370" s="6" t="s">
        <v>47</v>
      </c>
      <c r="S370" s="6" t="s">
        <v>47</v>
      </c>
      <c r="T370" s="6" t="s">
        <v>47</v>
      </c>
      <c r="U370" s="6" t="s">
        <v>47</v>
      </c>
      <c r="V370" s="6" t="s">
        <v>47</v>
      </c>
      <c r="W370" s="6" t="s">
        <v>47</v>
      </c>
      <c r="X370" s="2" t="str">
        <f t="shared" ca="1" si="29"/>
        <v>Conforme</v>
      </c>
    </row>
    <row r="371" spans="1:24" x14ac:dyDescent="0.25">
      <c r="A371" s="1">
        <v>3</v>
      </c>
      <c r="B371" s="4">
        <v>45111</v>
      </c>
      <c r="C371" s="3" t="s">
        <v>4</v>
      </c>
      <c r="D371" s="6" t="s">
        <v>47</v>
      </c>
      <c r="E371" s="6" t="s">
        <v>47</v>
      </c>
      <c r="F371" s="6" t="s">
        <v>47</v>
      </c>
      <c r="G371" s="6" t="s">
        <v>47</v>
      </c>
      <c r="H371" s="6" t="s">
        <v>47</v>
      </c>
      <c r="I371" s="6" t="s">
        <v>47</v>
      </c>
      <c r="J371" s="6" t="s">
        <v>47</v>
      </c>
      <c r="K371" s="6" t="s">
        <v>47</v>
      </c>
      <c r="L371" s="6" t="s">
        <v>47</v>
      </c>
      <c r="M371" s="6" t="s">
        <v>47</v>
      </c>
      <c r="N371" s="6" t="s">
        <v>47</v>
      </c>
      <c r="O371" s="6" t="s">
        <v>47</v>
      </c>
      <c r="P371" s="6" t="s">
        <v>47</v>
      </c>
      <c r="Q371" s="6" t="s">
        <v>47</v>
      </c>
      <c r="R371" s="6" t="s">
        <v>47</v>
      </c>
      <c r="S371" s="6" t="s">
        <v>47</v>
      </c>
      <c r="T371" s="6" t="s">
        <v>47</v>
      </c>
      <c r="U371" s="6" t="s">
        <v>47</v>
      </c>
      <c r="V371" s="6" t="s">
        <v>47</v>
      </c>
      <c r="W371" s="6" t="s">
        <v>47</v>
      </c>
      <c r="X371" s="2" t="str">
        <f t="shared" ca="1" si="29"/>
        <v>Conforme</v>
      </c>
    </row>
    <row r="372" spans="1:24" x14ac:dyDescent="0.25">
      <c r="A372" s="1">
        <v>4</v>
      </c>
      <c r="B372" s="4">
        <v>45112</v>
      </c>
      <c r="C372" s="3" t="s">
        <v>4</v>
      </c>
      <c r="D372" s="6" t="s">
        <v>47</v>
      </c>
      <c r="E372" s="6" t="s">
        <v>47</v>
      </c>
      <c r="F372" s="6" t="s">
        <v>47</v>
      </c>
      <c r="G372" s="6" t="s">
        <v>47</v>
      </c>
      <c r="H372" s="6" t="s">
        <v>47</v>
      </c>
      <c r="I372" s="6" t="s">
        <v>47</v>
      </c>
      <c r="J372" s="6" t="s">
        <v>47</v>
      </c>
      <c r="K372" s="6" t="s">
        <v>47</v>
      </c>
      <c r="L372" s="6" t="s">
        <v>47</v>
      </c>
      <c r="M372" s="6" t="s">
        <v>47</v>
      </c>
      <c r="N372" s="6" t="s">
        <v>47</v>
      </c>
      <c r="O372" s="6" t="s">
        <v>47</v>
      </c>
      <c r="P372" s="6" t="s">
        <v>47</v>
      </c>
      <c r="Q372" s="6" t="s">
        <v>47</v>
      </c>
      <c r="R372" s="6" t="s">
        <v>47</v>
      </c>
      <c r="S372" s="6" t="s">
        <v>47</v>
      </c>
      <c r="T372" s="6" t="s">
        <v>47</v>
      </c>
      <c r="U372" s="6" t="s">
        <v>47</v>
      </c>
      <c r="V372" s="6" t="s">
        <v>47</v>
      </c>
      <c r="W372" s="6" t="s">
        <v>47</v>
      </c>
      <c r="X372" s="2" t="str">
        <f t="shared" ca="1" si="29"/>
        <v>Conforme</v>
      </c>
    </row>
    <row r="373" spans="1:24" x14ac:dyDescent="0.25">
      <c r="A373" s="1">
        <v>5</v>
      </c>
      <c r="B373" s="4">
        <v>45113</v>
      </c>
      <c r="C373" s="3" t="s">
        <v>4</v>
      </c>
      <c r="D373" s="6" t="s">
        <v>47</v>
      </c>
      <c r="E373" s="6" t="s">
        <v>47</v>
      </c>
      <c r="F373" s="6" t="s">
        <v>47</v>
      </c>
      <c r="G373" s="6" t="s">
        <v>47</v>
      </c>
      <c r="H373" s="6" t="s">
        <v>47</v>
      </c>
      <c r="I373" s="6" t="s">
        <v>47</v>
      </c>
      <c r="J373" s="6" t="s">
        <v>47</v>
      </c>
      <c r="K373" s="6" t="s">
        <v>47</v>
      </c>
      <c r="L373" s="6" t="s">
        <v>47</v>
      </c>
      <c r="M373" s="6" t="s">
        <v>47</v>
      </c>
      <c r="N373" s="6" t="s">
        <v>47</v>
      </c>
      <c r="O373" s="6" t="s">
        <v>47</v>
      </c>
      <c r="P373" s="6" t="s">
        <v>47</v>
      </c>
      <c r="Q373" s="6" t="s">
        <v>47</v>
      </c>
      <c r="R373" s="6" t="s">
        <v>47</v>
      </c>
      <c r="S373" s="6" t="s">
        <v>47</v>
      </c>
      <c r="T373" s="6" t="s">
        <v>47</v>
      </c>
      <c r="U373" s="6" t="s">
        <v>47</v>
      </c>
      <c r="V373" s="6" t="s">
        <v>47</v>
      </c>
      <c r="W373" s="6" t="s">
        <v>47</v>
      </c>
      <c r="X373" s="2" t="str">
        <f t="shared" ca="1" si="29"/>
        <v>Conforme</v>
      </c>
    </row>
    <row r="374" spans="1:24" x14ac:dyDescent="0.25">
      <c r="A374" s="1">
        <v>6</v>
      </c>
      <c r="B374" s="4">
        <v>45114</v>
      </c>
      <c r="C374" s="3" t="s">
        <v>4</v>
      </c>
      <c r="D374" s="6" t="s">
        <v>47</v>
      </c>
      <c r="E374" s="6" t="s">
        <v>47</v>
      </c>
      <c r="F374" s="6" t="s">
        <v>47</v>
      </c>
      <c r="G374" s="6" t="s">
        <v>47</v>
      </c>
      <c r="H374" s="6" t="s">
        <v>47</v>
      </c>
      <c r="I374" s="6" t="s">
        <v>47</v>
      </c>
      <c r="J374" s="6" t="s">
        <v>47</v>
      </c>
      <c r="K374" s="6" t="s">
        <v>47</v>
      </c>
      <c r="L374" s="6" t="s">
        <v>47</v>
      </c>
      <c r="M374" s="6" t="s">
        <v>47</v>
      </c>
      <c r="N374" s="6" t="s">
        <v>47</v>
      </c>
      <c r="O374" s="6" t="s">
        <v>47</v>
      </c>
      <c r="P374" s="6" t="s">
        <v>47</v>
      </c>
      <c r="Q374" s="6" t="s">
        <v>47</v>
      </c>
      <c r="R374" s="6" t="s">
        <v>47</v>
      </c>
      <c r="S374" s="6" t="s">
        <v>47</v>
      </c>
      <c r="T374" s="6" t="s">
        <v>47</v>
      </c>
      <c r="U374" s="6" t="s">
        <v>47</v>
      </c>
      <c r="V374" s="6" t="s">
        <v>47</v>
      </c>
      <c r="W374" s="6" t="s">
        <v>47</v>
      </c>
      <c r="X374" s="2" t="str">
        <f t="shared" ca="1" si="29"/>
        <v>Conforme</v>
      </c>
    </row>
    <row r="375" spans="1:24" x14ac:dyDescent="0.25">
      <c r="A375" s="1">
        <v>2</v>
      </c>
      <c r="B375" s="4">
        <v>45117</v>
      </c>
      <c r="C375" s="3" t="s">
        <v>4</v>
      </c>
      <c r="D375" s="6" t="s">
        <v>47</v>
      </c>
      <c r="E375" s="6" t="s">
        <v>47</v>
      </c>
      <c r="F375" s="6" t="s">
        <v>47</v>
      </c>
      <c r="G375" s="6" t="s">
        <v>47</v>
      </c>
      <c r="H375" s="6" t="s">
        <v>47</v>
      </c>
      <c r="I375" s="6" t="s">
        <v>47</v>
      </c>
      <c r="J375" s="6" t="s">
        <v>47</v>
      </c>
      <c r="K375" s="6" t="s">
        <v>47</v>
      </c>
      <c r="L375" s="6" t="s">
        <v>47</v>
      </c>
      <c r="M375" s="6" t="s">
        <v>47</v>
      </c>
      <c r="N375" s="6" t="s">
        <v>47</v>
      </c>
      <c r="O375" s="6" t="s">
        <v>47</v>
      </c>
      <c r="P375" s="6" t="s">
        <v>47</v>
      </c>
      <c r="Q375" s="6" t="s">
        <v>47</v>
      </c>
      <c r="R375" s="6" t="s">
        <v>47</v>
      </c>
      <c r="S375" s="6" t="s">
        <v>47</v>
      </c>
      <c r="T375" s="6" t="s">
        <v>47</v>
      </c>
      <c r="U375" s="6" t="s">
        <v>47</v>
      </c>
      <c r="V375" s="6" t="s">
        <v>47</v>
      </c>
      <c r="W375" s="6" t="s">
        <v>47</v>
      </c>
      <c r="X375" s="2" t="str">
        <f t="shared" ca="1" si="29"/>
        <v>Conforme</v>
      </c>
    </row>
    <row r="376" spans="1:24" x14ac:dyDescent="0.25">
      <c r="A376" s="1">
        <v>3</v>
      </c>
      <c r="B376" s="4">
        <v>45118</v>
      </c>
      <c r="C376" s="3" t="s">
        <v>4</v>
      </c>
      <c r="D376" s="6" t="s">
        <v>47</v>
      </c>
      <c r="E376" s="6" t="s">
        <v>47</v>
      </c>
      <c r="F376" s="6" t="s">
        <v>47</v>
      </c>
      <c r="G376" s="6" t="s">
        <v>47</v>
      </c>
      <c r="H376" s="6" t="s">
        <v>47</v>
      </c>
      <c r="I376" s="6" t="s">
        <v>47</v>
      </c>
      <c r="J376" s="6" t="s">
        <v>47</v>
      </c>
      <c r="K376" s="6" t="s">
        <v>47</v>
      </c>
      <c r="L376" s="6" t="s">
        <v>47</v>
      </c>
      <c r="M376" s="6" t="s">
        <v>47</v>
      </c>
      <c r="N376" s="6" t="s">
        <v>47</v>
      </c>
      <c r="O376" s="6" t="s">
        <v>47</v>
      </c>
      <c r="P376" s="6" t="s">
        <v>47</v>
      </c>
      <c r="Q376" s="6" t="s">
        <v>47</v>
      </c>
      <c r="R376" s="6" t="s">
        <v>47</v>
      </c>
      <c r="S376" s="6" t="s">
        <v>47</v>
      </c>
      <c r="T376" s="6" t="s">
        <v>47</v>
      </c>
      <c r="U376" s="6" t="s">
        <v>47</v>
      </c>
      <c r="V376" s="6" t="s">
        <v>47</v>
      </c>
      <c r="W376" s="6" t="s">
        <v>47</v>
      </c>
      <c r="X376" s="2" t="str">
        <f t="shared" ca="1" si="29"/>
        <v>Conforme</v>
      </c>
    </row>
    <row r="377" spans="1:24" x14ac:dyDescent="0.25">
      <c r="A377" s="1">
        <v>4</v>
      </c>
      <c r="B377" s="4">
        <v>45119</v>
      </c>
      <c r="C377" s="3" t="s">
        <v>4</v>
      </c>
      <c r="D377" s="6" t="s">
        <v>47</v>
      </c>
      <c r="E377" s="6" t="s">
        <v>47</v>
      </c>
      <c r="F377" s="6" t="s">
        <v>47</v>
      </c>
      <c r="G377" s="6" t="s">
        <v>47</v>
      </c>
      <c r="H377" s="6" t="s">
        <v>47</v>
      </c>
      <c r="I377" s="6" t="s">
        <v>47</v>
      </c>
      <c r="J377" s="6" t="s">
        <v>47</v>
      </c>
      <c r="K377" s="6" t="s">
        <v>47</v>
      </c>
      <c r="L377" s="6" t="s">
        <v>47</v>
      </c>
      <c r="M377" s="6" t="s">
        <v>47</v>
      </c>
      <c r="N377" s="6" t="s">
        <v>47</v>
      </c>
      <c r="O377" s="6" t="s">
        <v>47</v>
      </c>
      <c r="P377" s="6" t="s">
        <v>47</v>
      </c>
      <c r="Q377" s="6" t="s">
        <v>47</v>
      </c>
      <c r="R377" s="6" t="s">
        <v>47</v>
      </c>
      <c r="S377" s="6" t="s">
        <v>47</v>
      </c>
      <c r="T377" s="6" t="s">
        <v>47</v>
      </c>
      <c r="U377" s="6" t="s">
        <v>47</v>
      </c>
      <c r="V377" s="6" t="s">
        <v>47</v>
      </c>
      <c r="W377" s="6" t="s">
        <v>47</v>
      </c>
      <c r="X377" s="2" t="str">
        <f t="shared" ca="1" si="29"/>
        <v>Conforme</v>
      </c>
    </row>
    <row r="378" spans="1:24" x14ac:dyDescent="0.25">
      <c r="A378" s="1">
        <v>5</v>
      </c>
      <c r="B378" s="4">
        <v>45120</v>
      </c>
      <c r="C378" s="3" t="s">
        <v>4</v>
      </c>
      <c r="D378" s="6" t="s">
        <v>47</v>
      </c>
      <c r="E378" s="6" t="s">
        <v>47</v>
      </c>
      <c r="F378" s="6" t="s">
        <v>47</v>
      </c>
      <c r="G378" s="6" t="s">
        <v>47</v>
      </c>
      <c r="H378" s="6" t="s">
        <v>47</v>
      </c>
      <c r="I378" s="6" t="s">
        <v>47</v>
      </c>
      <c r="J378" s="6" t="s">
        <v>47</v>
      </c>
      <c r="K378" s="6" t="s">
        <v>47</v>
      </c>
      <c r="L378" s="6" t="s">
        <v>47</v>
      </c>
      <c r="M378" s="6" t="s">
        <v>47</v>
      </c>
      <c r="N378" s="6" t="s">
        <v>47</v>
      </c>
      <c r="O378" s="6" t="s">
        <v>47</v>
      </c>
      <c r="P378" s="6" t="s">
        <v>47</v>
      </c>
      <c r="Q378" s="6" t="s">
        <v>47</v>
      </c>
      <c r="R378" s="6" t="s">
        <v>47</v>
      </c>
      <c r="S378" s="6" t="s">
        <v>47</v>
      </c>
      <c r="T378" s="6" t="s">
        <v>47</v>
      </c>
      <c r="U378" s="6" t="s">
        <v>47</v>
      </c>
      <c r="V378" s="6" t="s">
        <v>47</v>
      </c>
      <c r="W378" s="6" t="s">
        <v>47</v>
      </c>
      <c r="X378" s="2" t="str">
        <f t="shared" ca="1" si="29"/>
        <v>Conforme</v>
      </c>
    </row>
    <row r="379" spans="1:24" x14ac:dyDescent="0.25">
      <c r="A379" s="1">
        <v>6</v>
      </c>
      <c r="B379" s="4">
        <v>45121</v>
      </c>
      <c r="C379" s="3" t="s">
        <v>4</v>
      </c>
      <c r="D379" s="6" t="s">
        <v>47</v>
      </c>
      <c r="E379" s="6" t="s">
        <v>47</v>
      </c>
      <c r="F379" s="6" t="s">
        <v>47</v>
      </c>
      <c r="G379" s="6" t="s">
        <v>47</v>
      </c>
      <c r="H379" s="6" t="s">
        <v>47</v>
      </c>
      <c r="I379" s="6" t="s">
        <v>47</v>
      </c>
      <c r="J379" s="6" t="s">
        <v>47</v>
      </c>
      <c r="K379" s="6" t="s">
        <v>47</v>
      </c>
      <c r="L379" s="6" t="s">
        <v>47</v>
      </c>
      <c r="M379" s="6" t="s">
        <v>47</v>
      </c>
      <c r="N379" s="6" t="s">
        <v>47</v>
      </c>
      <c r="O379" s="6" t="s">
        <v>47</v>
      </c>
      <c r="P379" s="6" t="s">
        <v>47</v>
      </c>
      <c r="Q379" s="6" t="s">
        <v>47</v>
      </c>
      <c r="R379" s="6" t="s">
        <v>47</v>
      </c>
      <c r="S379" s="6" t="s">
        <v>47</v>
      </c>
      <c r="T379" s="6" t="s">
        <v>47</v>
      </c>
      <c r="U379" s="6" t="s">
        <v>47</v>
      </c>
      <c r="V379" s="6" t="s">
        <v>47</v>
      </c>
      <c r="W379" s="6" t="s">
        <v>47</v>
      </c>
      <c r="X379" s="2" t="str">
        <f t="shared" ca="1" si="29"/>
        <v>Conforme</v>
      </c>
    </row>
    <row r="380" spans="1:24" x14ac:dyDescent="0.25">
      <c r="A380" s="1">
        <v>2</v>
      </c>
      <c r="B380" s="4">
        <v>45124</v>
      </c>
      <c r="C380" s="3" t="s">
        <v>4</v>
      </c>
      <c r="D380" s="6" t="s">
        <v>47</v>
      </c>
      <c r="E380" s="6" t="s">
        <v>47</v>
      </c>
      <c r="F380" s="6" t="s">
        <v>47</v>
      </c>
      <c r="G380" s="6" t="s">
        <v>47</v>
      </c>
      <c r="H380" s="6" t="s">
        <v>47</v>
      </c>
      <c r="I380" s="6" t="s">
        <v>47</v>
      </c>
      <c r="J380" s="6" t="s">
        <v>47</v>
      </c>
      <c r="K380" s="6" t="s">
        <v>47</v>
      </c>
      <c r="L380" s="6" t="s">
        <v>47</v>
      </c>
      <c r="M380" s="6" t="s">
        <v>47</v>
      </c>
      <c r="N380" s="6" t="s">
        <v>47</v>
      </c>
      <c r="O380" s="6" t="s">
        <v>47</v>
      </c>
      <c r="P380" s="6" t="s">
        <v>47</v>
      </c>
      <c r="Q380" s="6" t="s">
        <v>47</v>
      </c>
      <c r="R380" s="6" t="s">
        <v>47</v>
      </c>
      <c r="S380" s="6" t="s">
        <v>47</v>
      </c>
      <c r="T380" s="6" t="s">
        <v>47</v>
      </c>
      <c r="U380" s="6" t="s">
        <v>47</v>
      </c>
      <c r="V380" s="6" t="s">
        <v>47</v>
      </c>
      <c r="W380" s="6" t="s">
        <v>47</v>
      </c>
      <c r="X380" s="2" t="str">
        <f t="shared" ca="1" si="29"/>
        <v>Conforme</v>
      </c>
    </row>
    <row r="381" spans="1:24" x14ac:dyDescent="0.25">
      <c r="A381" s="1">
        <v>3</v>
      </c>
      <c r="B381" s="4">
        <v>45125</v>
      </c>
      <c r="C381" s="3" t="s">
        <v>4</v>
      </c>
      <c r="D381" s="6" t="s">
        <v>47</v>
      </c>
      <c r="E381" s="6" t="s">
        <v>47</v>
      </c>
      <c r="F381" s="6" t="s">
        <v>47</v>
      </c>
      <c r="G381" s="6" t="s">
        <v>47</v>
      </c>
      <c r="H381" s="6" t="s">
        <v>47</v>
      </c>
      <c r="I381" s="6" t="s">
        <v>47</v>
      </c>
      <c r="J381" s="6" t="s">
        <v>47</v>
      </c>
      <c r="K381" s="6" t="s">
        <v>47</v>
      </c>
      <c r="L381" s="6" t="s">
        <v>47</v>
      </c>
      <c r="M381" s="6" t="s">
        <v>47</v>
      </c>
      <c r="N381" s="6" t="s">
        <v>47</v>
      </c>
      <c r="O381" s="6" t="s">
        <v>47</v>
      </c>
      <c r="P381" s="6" t="s">
        <v>47</v>
      </c>
      <c r="Q381" s="6" t="s">
        <v>47</v>
      </c>
      <c r="R381" s="6" t="s">
        <v>47</v>
      </c>
      <c r="S381" s="6" t="s">
        <v>47</v>
      </c>
      <c r="T381" s="6" t="s">
        <v>47</v>
      </c>
      <c r="U381" s="6" t="s">
        <v>47</v>
      </c>
      <c r="V381" s="6" t="s">
        <v>47</v>
      </c>
      <c r="W381" s="6" t="s">
        <v>47</v>
      </c>
      <c r="X381" s="2" t="str">
        <f t="shared" ca="1" si="29"/>
        <v>Conforme</v>
      </c>
    </row>
    <row r="382" spans="1:24" x14ac:dyDescent="0.25">
      <c r="A382" s="1">
        <v>4</v>
      </c>
      <c r="B382" s="4">
        <v>45126</v>
      </c>
      <c r="C382" s="3" t="s">
        <v>4</v>
      </c>
      <c r="D382" s="6" t="s">
        <v>47</v>
      </c>
      <c r="E382" s="6" t="s">
        <v>47</v>
      </c>
      <c r="F382" s="6" t="s">
        <v>47</v>
      </c>
      <c r="G382" s="6" t="s">
        <v>47</v>
      </c>
      <c r="H382" s="6" t="s">
        <v>47</v>
      </c>
      <c r="I382" s="6" t="s">
        <v>47</v>
      </c>
      <c r="J382" s="6" t="s">
        <v>47</v>
      </c>
      <c r="K382" s="6" t="s">
        <v>47</v>
      </c>
      <c r="L382" s="6" t="s">
        <v>47</v>
      </c>
      <c r="M382" s="6" t="s">
        <v>47</v>
      </c>
      <c r="N382" s="6" t="s">
        <v>47</v>
      </c>
      <c r="O382" s="6" t="s">
        <v>47</v>
      </c>
      <c r="P382" s="6" t="s">
        <v>47</v>
      </c>
      <c r="Q382" s="6" t="s">
        <v>47</v>
      </c>
      <c r="R382" s="6" t="s">
        <v>47</v>
      </c>
      <c r="S382" s="6" t="s">
        <v>47</v>
      </c>
      <c r="T382" s="6" t="s">
        <v>47</v>
      </c>
      <c r="U382" s="6" t="s">
        <v>47</v>
      </c>
      <c r="V382" s="6" t="s">
        <v>47</v>
      </c>
      <c r="W382" s="6" t="s">
        <v>47</v>
      </c>
      <c r="X382" s="2" t="str">
        <f t="shared" ca="1" si="29"/>
        <v>Conforme</v>
      </c>
    </row>
    <row r="383" spans="1:24" x14ac:dyDescent="0.25">
      <c r="A383" s="1">
        <v>5</v>
      </c>
      <c r="B383" s="4">
        <v>45127</v>
      </c>
      <c r="C383" s="3" t="s">
        <v>4</v>
      </c>
      <c r="D383" s="6" t="s">
        <v>47</v>
      </c>
      <c r="E383" s="6" t="s">
        <v>47</v>
      </c>
      <c r="F383" s="6" t="s">
        <v>47</v>
      </c>
      <c r="G383" s="6" t="s">
        <v>47</v>
      </c>
      <c r="H383" s="6" t="s">
        <v>47</v>
      </c>
      <c r="I383" s="6" t="s">
        <v>47</v>
      </c>
      <c r="J383" s="6" t="s">
        <v>47</v>
      </c>
      <c r="K383" s="6" t="s">
        <v>47</v>
      </c>
      <c r="L383" s="6" t="s">
        <v>47</v>
      </c>
      <c r="M383" s="6" t="s">
        <v>47</v>
      </c>
      <c r="N383" s="6" t="s">
        <v>47</v>
      </c>
      <c r="O383" s="6" t="s">
        <v>47</v>
      </c>
      <c r="P383" s="6" t="s">
        <v>47</v>
      </c>
      <c r="Q383" s="6" t="s">
        <v>47</v>
      </c>
      <c r="R383" s="6" t="s">
        <v>47</v>
      </c>
      <c r="S383" s="6" t="s">
        <v>47</v>
      </c>
      <c r="T383" s="6" t="s">
        <v>47</v>
      </c>
      <c r="U383" s="6" t="s">
        <v>47</v>
      </c>
      <c r="V383" s="6" t="s">
        <v>47</v>
      </c>
      <c r="W383" s="6" t="s">
        <v>47</v>
      </c>
      <c r="X383" s="2" t="str">
        <f t="shared" ca="1" si="29"/>
        <v>Conforme</v>
      </c>
    </row>
    <row r="384" spans="1:24" x14ac:dyDescent="0.25">
      <c r="A384" s="1">
        <v>6</v>
      </c>
      <c r="B384" s="4">
        <v>45128</v>
      </c>
      <c r="C384" s="3" t="s">
        <v>4</v>
      </c>
      <c r="D384" s="6" t="s">
        <v>47</v>
      </c>
      <c r="E384" s="6" t="s">
        <v>47</v>
      </c>
      <c r="F384" s="6" t="s">
        <v>47</v>
      </c>
      <c r="G384" s="6" t="s">
        <v>47</v>
      </c>
      <c r="H384" s="6" t="s">
        <v>47</v>
      </c>
      <c r="I384" s="6" t="s">
        <v>47</v>
      </c>
      <c r="J384" s="6" t="s">
        <v>47</v>
      </c>
      <c r="K384" s="6" t="s">
        <v>47</v>
      </c>
      <c r="L384" s="6" t="s">
        <v>47</v>
      </c>
      <c r="M384" s="6" t="s">
        <v>47</v>
      </c>
      <c r="N384" s="6" t="s">
        <v>47</v>
      </c>
      <c r="O384" s="6" t="s">
        <v>47</v>
      </c>
      <c r="P384" s="6" t="s">
        <v>47</v>
      </c>
      <c r="Q384" s="6" t="s">
        <v>47</v>
      </c>
      <c r="R384" s="6" t="s">
        <v>47</v>
      </c>
      <c r="S384" s="6" t="s">
        <v>47</v>
      </c>
      <c r="T384" s="6" t="s">
        <v>47</v>
      </c>
      <c r="U384" s="6" t="s">
        <v>47</v>
      </c>
      <c r="V384" s="6" t="s">
        <v>47</v>
      </c>
      <c r="W384" s="6" t="s">
        <v>47</v>
      </c>
      <c r="X384" s="2" t="str">
        <f t="shared" ca="1" si="29"/>
        <v>Conforme</v>
      </c>
    </row>
    <row r="385" spans="1:24" x14ac:dyDescent="0.25">
      <c r="A385" s="1">
        <v>2</v>
      </c>
      <c r="B385" s="4">
        <v>45131</v>
      </c>
      <c r="C385" s="3" t="s">
        <v>4</v>
      </c>
      <c r="D385" s="6" t="s">
        <v>47</v>
      </c>
      <c r="E385" s="6" t="s">
        <v>47</v>
      </c>
      <c r="F385" s="6" t="s">
        <v>47</v>
      </c>
      <c r="G385" s="6" t="s">
        <v>47</v>
      </c>
      <c r="H385" s="6" t="s">
        <v>47</v>
      </c>
      <c r="I385" s="6" t="s">
        <v>47</v>
      </c>
      <c r="J385" s="6" t="s">
        <v>47</v>
      </c>
      <c r="K385" s="6" t="s">
        <v>47</v>
      </c>
      <c r="L385" s="6" t="s">
        <v>47</v>
      </c>
      <c r="M385" s="6" t="s">
        <v>47</v>
      </c>
      <c r="N385" s="6" t="s">
        <v>47</v>
      </c>
      <c r="O385" s="6" t="s">
        <v>47</v>
      </c>
      <c r="P385" s="6" t="s">
        <v>47</v>
      </c>
      <c r="Q385" s="6" t="s">
        <v>47</v>
      </c>
      <c r="R385" s="6" t="s">
        <v>47</v>
      </c>
      <c r="S385" s="6" t="s">
        <v>47</v>
      </c>
      <c r="T385" s="6" t="s">
        <v>47</v>
      </c>
      <c r="U385" s="6" t="s">
        <v>47</v>
      </c>
      <c r="V385" s="6" t="s">
        <v>47</v>
      </c>
      <c r="W385" s="6" t="s">
        <v>47</v>
      </c>
      <c r="X385" s="2" t="str">
        <f t="shared" ca="1" si="29"/>
        <v>Conforme</v>
      </c>
    </row>
    <row r="386" spans="1:24" x14ac:dyDescent="0.25">
      <c r="A386" s="1">
        <v>3</v>
      </c>
      <c r="B386" s="4">
        <v>45132</v>
      </c>
      <c r="C386" s="3" t="s">
        <v>4</v>
      </c>
      <c r="D386" s="6" t="s">
        <v>47</v>
      </c>
      <c r="E386" s="6" t="s">
        <v>47</v>
      </c>
      <c r="F386" s="6" t="s">
        <v>47</v>
      </c>
      <c r="G386" s="6" t="s">
        <v>47</v>
      </c>
      <c r="H386" s="6" t="s">
        <v>47</v>
      </c>
      <c r="I386" s="6" t="s">
        <v>47</v>
      </c>
      <c r="J386" s="6" t="s">
        <v>47</v>
      </c>
      <c r="K386" s="6" t="s">
        <v>47</v>
      </c>
      <c r="L386" s="6" t="s">
        <v>47</v>
      </c>
      <c r="M386" s="6" t="s">
        <v>47</v>
      </c>
      <c r="N386" s="6" t="s">
        <v>47</v>
      </c>
      <c r="O386" s="6" t="s">
        <v>47</v>
      </c>
      <c r="P386" s="6" t="s">
        <v>47</v>
      </c>
      <c r="Q386" s="6" t="s">
        <v>47</v>
      </c>
      <c r="R386" s="6" t="s">
        <v>47</v>
      </c>
      <c r="S386" s="6" t="s">
        <v>47</v>
      </c>
      <c r="T386" s="6" t="s">
        <v>47</v>
      </c>
      <c r="U386" s="6" t="s">
        <v>47</v>
      </c>
      <c r="V386" s="6" t="s">
        <v>47</v>
      </c>
      <c r="W386" s="6" t="s">
        <v>47</v>
      </c>
      <c r="X386" s="2" t="str">
        <f t="shared" ca="1" si="29"/>
        <v>Conforme</v>
      </c>
    </row>
    <row r="387" spans="1:24" x14ac:dyDescent="0.25">
      <c r="A387" s="1">
        <v>4</v>
      </c>
      <c r="B387" s="4">
        <v>45133</v>
      </c>
      <c r="C387" s="3" t="s">
        <v>4</v>
      </c>
      <c r="D387" s="6" t="s">
        <v>47</v>
      </c>
      <c r="E387" s="6" t="s">
        <v>47</v>
      </c>
      <c r="F387" s="6" t="s">
        <v>47</v>
      </c>
      <c r="G387" s="6" t="s">
        <v>47</v>
      </c>
      <c r="H387" s="6" t="s">
        <v>47</v>
      </c>
      <c r="I387" s="6" t="s">
        <v>47</v>
      </c>
      <c r="J387" s="6" t="s">
        <v>47</v>
      </c>
      <c r="K387" s="6" t="s">
        <v>47</v>
      </c>
      <c r="L387" s="6" t="s">
        <v>47</v>
      </c>
      <c r="M387" s="6" t="s">
        <v>47</v>
      </c>
      <c r="N387" s="6" t="s">
        <v>47</v>
      </c>
      <c r="O387" s="6" t="s">
        <v>47</v>
      </c>
      <c r="P387" s="6" t="s">
        <v>47</v>
      </c>
      <c r="Q387" s="6" t="s">
        <v>47</v>
      </c>
      <c r="R387" s="6" t="s">
        <v>47</v>
      </c>
      <c r="S387" s="6" t="s">
        <v>47</v>
      </c>
      <c r="T387" s="6" t="s">
        <v>47</v>
      </c>
      <c r="U387" s="6" t="s">
        <v>47</v>
      </c>
      <c r="V387" s="6" t="s">
        <v>47</v>
      </c>
      <c r="W387" s="6" t="s">
        <v>47</v>
      </c>
      <c r="X387" s="2" t="str">
        <f t="shared" ref="X387:X432" ca="1" si="30">IF(B387&lt;TODAY(),IF(COUNTBLANK(D387:W387)=0,"Conforme","Não conforme"),"")</f>
        <v>Conforme</v>
      </c>
    </row>
    <row r="388" spans="1:24" x14ac:dyDescent="0.25">
      <c r="A388" s="1">
        <v>5</v>
      </c>
      <c r="B388" s="4">
        <v>45134</v>
      </c>
      <c r="C388" s="3" t="s">
        <v>4</v>
      </c>
      <c r="D388" s="6" t="s">
        <v>47</v>
      </c>
      <c r="E388" s="6" t="s">
        <v>47</v>
      </c>
      <c r="F388" s="6" t="s">
        <v>47</v>
      </c>
      <c r="G388" s="6" t="s">
        <v>47</v>
      </c>
      <c r="H388" s="6" t="s">
        <v>47</v>
      </c>
      <c r="I388" s="6" t="s">
        <v>47</v>
      </c>
      <c r="J388" s="6" t="s">
        <v>47</v>
      </c>
      <c r="K388" s="6" t="s">
        <v>47</v>
      </c>
      <c r="L388" s="6" t="s">
        <v>47</v>
      </c>
      <c r="M388" s="6" t="s">
        <v>47</v>
      </c>
      <c r="N388" s="6" t="s">
        <v>47</v>
      </c>
      <c r="O388" s="6" t="s">
        <v>47</v>
      </c>
      <c r="P388" s="6" t="s">
        <v>47</v>
      </c>
      <c r="Q388" s="6" t="s">
        <v>47</v>
      </c>
      <c r="R388" s="6" t="s">
        <v>47</v>
      </c>
      <c r="S388" s="6" t="s">
        <v>47</v>
      </c>
      <c r="T388" s="6" t="s">
        <v>47</v>
      </c>
      <c r="U388" s="6" t="s">
        <v>47</v>
      </c>
      <c r="V388" s="6" t="s">
        <v>47</v>
      </c>
      <c r="W388" s="6" t="s">
        <v>47</v>
      </c>
      <c r="X388" s="2" t="str">
        <f t="shared" ca="1" si="30"/>
        <v>Conforme</v>
      </c>
    </row>
    <row r="389" spans="1:24" x14ac:dyDescent="0.25">
      <c r="A389" s="1">
        <v>6</v>
      </c>
      <c r="B389" s="4">
        <v>45135</v>
      </c>
      <c r="C389" s="3" t="s">
        <v>4</v>
      </c>
      <c r="D389" s="6" t="s">
        <v>47</v>
      </c>
      <c r="E389" s="6" t="s">
        <v>47</v>
      </c>
      <c r="F389" s="6" t="s">
        <v>47</v>
      </c>
      <c r="G389" s="6" t="s">
        <v>47</v>
      </c>
      <c r="H389" s="6" t="s">
        <v>47</v>
      </c>
      <c r="I389" s="6" t="s">
        <v>47</v>
      </c>
      <c r="J389" s="6" t="s">
        <v>47</v>
      </c>
      <c r="K389" s="6" t="s">
        <v>47</v>
      </c>
      <c r="L389" s="6" t="s">
        <v>47</v>
      </c>
      <c r="M389" s="6" t="s">
        <v>47</v>
      </c>
      <c r="N389" s="6" t="s">
        <v>47</v>
      </c>
      <c r="O389" s="6" t="s">
        <v>47</v>
      </c>
      <c r="P389" s="6" t="s">
        <v>47</v>
      </c>
      <c r="Q389" s="6" t="s">
        <v>47</v>
      </c>
      <c r="R389" s="6" t="s">
        <v>47</v>
      </c>
      <c r="S389" s="6" t="s">
        <v>47</v>
      </c>
      <c r="T389" s="6" t="s">
        <v>47</v>
      </c>
      <c r="U389" s="6" t="s">
        <v>47</v>
      </c>
      <c r="V389" s="6" t="s">
        <v>47</v>
      </c>
      <c r="W389" s="6" t="s">
        <v>47</v>
      </c>
      <c r="X389" s="2" t="str">
        <f t="shared" ca="1" si="30"/>
        <v>Conforme</v>
      </c>
    </row>
    <row r="390" spans="1:24" x14ac:dyDescent="0.25">
      <c r="A390" s="1">
        <v>2</v>
      </c>
      <c r="B390" s="4">
        <v>45138</v>
      </c>
      <c r="C390" s="3" t="s">
        <v>4</v>
      </c>
      <c r="D390" s="6" t="s">
        <v>47</v>
      </c>
      <c r="E390" s="6" t="s">
        <v>47</v>
      </c>
      <c r="F390" s="6" t="s">
        <v>47</v>
      </c>
      <c r="G390" s="6" t="s">
        <v>47</v>
      </c>
      <c r="H390" s="6" t="s">
        <v>47</v>
      </c>
      <c r="I390" s="6" t="s">
        <v>47</v>
      </c>
      <c r="J390" s="6" t="s">
        <v>47</v>
      </c>
      <c r="K390" s="6" t="s">
        <v>47</v>
      </c>
      <c r="L390" s="6" t="s">
        <v>47</v>
      </c>
      <c r="M390" s="6" t="s">
        <v>47</v>
      </c>
      <c r="N390" s="6" t="s">
        <v>47</v>
      </c>
      <c r="O390" s="6" t="s">
        <v>47</v>
      </c>
      <c r="P390" s="6" t="s">
        <v>47</v>
      </c>
      <c r="Q390" s="6" t="s">
        <v>47</v>
      </c>
      <c r="R390" s="6" t="s">
        <v>47</v>
      </c>
      <c r="S390" s="6" t="s">
        <v>47</v>
      </c>
      <c r="T390" s="6" t="s">
        <v>47</v>
      </c>
      <c r="U390" s="6" t="s">
        <v>47</v>
      </c>
      <c r="V390" s="6" t="s">
        <v>47</v>
      </c>
      <c r="W390" s="6" t="s">
        <v>47</v>
      </c>
      <c r="X390" s="2" t="str">
        <f t="shared" ca="1" si="30"/>
        <v>Conforme</v>
      </c>
    </row>
    <row r="391" spans="1:24" x14ac:dyDescent="0.25">
      <c r="A391" s="1">
        <v>3</v>
      </c>
      <c r="B391" s="4">
        <v>45139</v>
      </c>
      <c r="C391" s="3" t="s">
        <v>4</v>
      </c>
      <c r="D391" s="6" t="s">
        <v>47</v>
      </c>
      <c r="E391" s="6" t="s">
        <v>47</v>
      </c>
      <c r="F391" s="6" t="s">
        <v>47</v>
      </c>
      <c r="G391" s="6" t="s">
        <v>47</v>
      </c>
      <c r="H391" s="6" t="s">
        <v>47</v>
      </c>
      <c r="I391" s="6" t="s">
        <v>47</v>
      </c>
      <c r="J391" s="6" t="s">
        <v>47</v>
      </c>
      <c r="K391" s="6" t="s">
        <v>47</v>
      </c>
      <c r="L391" s="6" t="s">
        <v>47</v>
      </c>
      <c r="M391" s="6" t="s">
        <v>47</v>
      </c>
      <c r="N391" s="6" t="s">
        <v>47</v>
      </c>
      <c r="O391" s="6" t="s">
        <v>47</v>
      </c>
      <c r="P391" s="6" t="s">
        <v>47</v>
      </c>
      <c r="Q391" s="6" t="s">
        <v>47</v>
      </c>
      <c r="R391" s="6" t="s">
        <v>47</v>
      </c>
      <c r="S391" s="6" t="s">
        <v>47</v>
      </c>
      <c r="T391" s="6" t="s">
        <v>47</v>
      </c>
      <c r="U391" s="6" t="s">
        <v>47</v>
      </c>
      <c r="V391" s="6" t="s">
        <v>47</v>
      </c>
      <c r="W391" s="6" t="s">
        <v>47</v>
      </c>
      <c r="X391" s="2" t="str">
        <f t="shared" ca="1" si="30"/>
        <v>Conforme</v>
      </c>
    </row>
    <row r="392" spans="1:24" x14ac:dyDescent="0.25">
      <c r="A392" s="1">
        <v>4</v>
      </c>
      <c r="B392" s="4">
        <v>45140</v>
      </c>
      <c r="C392" s="3" t="s">
        <v>4</v>
      </c>
      <c r="D392" s="6" t="s">
        <v>47</v>
      </c>
      <c r="E392" s="6" t="s">
        <v>47</v>
      </c>
      <c r="F392" s="6" t="s">
        <v>47</v>
      </c>
      <c r="G392" s="6" t="s">
        <v>47</v>
      </c>
      <c r="H392" s="6" t="s">
        <v>47</v>
      </c>
      <c r="I392" s="6" t="s">
        <v>47</v>
      </c>
      <c r="J392" s="6" t="s">
        <v>47</v>
      </c>
      <c r="K392" s="6" t="s">
        <v>47</v>
      </c>
      <c r="L392" s="6" t="s">
        <v>47</v>
      </c>
      <c r="M392" s="6" t="s">
        <v>47</v>
      </c>
      <c r="N392" s="6" t="s">
        <v>47</v>
      </c>
      <c r="O392" s="6" t="s">
        <v>47</v>
      </c>
      <c r="P392" s="6" t="s">
        <v>47</v>
      </c>
      <c r="Q392" s="6" t="s">
        <v>47</v>
      </c>
      <c r="R392" s="6" t="s">
        <v>47</v>
      </c>
      <c r="S392" s="6" t="s">
        <v>47</v>
      </c>
      <c r="T392" s="6" t="s">
        <v>47</v>
      </c>
      <c r="U392" s="6" t="s">
        <v>47</v>
      </c>
      <c r="V392" s="6" t="s">
        <v>47</v>
      </c>
      <c r="W392" s="6" t="s">
        <v>47</v>
      </c>
      <c r="X392" s="2" t="str">
        <f t="shared" ca="1" si="30"/>
        <v>Conforme</v>
      </c>
    </row>
    <row r="393" spans="1:24" x14ac:dyDescent="0.25">
      <c r="A393" s="1">
        <v>5</v>
      </c>
      <c r="B393" s="4">
        <v>45141</v>
      </c>
      <c r="C393" s="3" t="s">
        <v>4</v>
      </c>
      <c r="D393" s="6" t="s">
        <v>47</v>
      </c>
      <c r="E393" s="6" t="s">
        <v>47</v>
      </c>
      <c r="F393" s="6" t="s">
        <v>47</v>
      </c>
      <c r="G393" s="6" t="s">
        <v>47</v>
      </c>
      <c r="H393" s="6" t="s">
        <v>47</v>
      </c>
      <c r="I393" s="6" t="s">
        <v>47</v>
      </c>
      <c r="J393" s="6" t="s">
        <v>47</v>
      </c>
      <c r="K393" s="6" t="s">
        <v>47</v>
      </c>
      <c r="L393" s="6" t="s">
        <v>47</v>
      </c>
      <c r="M393" s="6" t="s">
        <v>47</v>
      </c>
      <c r="N393" s="6" t="s">
        <v>47</v>
      </c>
      <c r="O393" s="6" t="s">
        <v>47</v>
      </c>
      <c r="P393" s="6" t="s">
        <v>47</v>
      </c>
      <c r="Q393" s="6" t="s">
        <v>47</v>
      </c>
      <c r="R393" s="6" t="s">
        <v>47</v>
      </c>
      <c r="S393" s="6" t="s">
        <v>47</v>
      </c>
      <c r="T393" s="6" t="s">
        <v>47</v>
      </c>
      <c r="U393" s="6" t="s">
        <v>47</v>
      </c>
      <c r="V393" s="6" t="s">
        <v>47</v>
      </c>
      <c r="W393" s="6" t="s">
        <v>47</v>
      </c>
      <c r="X393" s="2" t="str">
        <f t="shared" ca="1" si="30"/>
        <v>Conforme</v>
      </c>
    </row>
    <row r="394" spans="1:24" x14ac:dyDescent="0.25">
      <c r="A394" s="1">
        <v>6</v>
      </c>
      <c r="B394" s="4">
        <v>45142</v>
      </c>
      <c r="C394" s="3" t="s">
        <v>4</v>
      </c>
      <c r="D394" s="6" t="s">
        <v>47</v>
      </c>
      <c r="E394" s="6" t="s">
        <v>47</v>
      </c>
      <c r="F394" s="6" t="s">
        <v>47</v>
      </c>
      <c r="G394" s="6" t="s">
        <v>47</v>
      </c>
      <c r="H394" s="6" t="s">
        <v>47</v>
      </c>
      <c r="I394" s="6" t="s">
        <v>47</v>
      </c>
      <c r="J394" s="6" t="s">
        <v>47</v>
      </c>
      <c r="K394" s="6" t="s">
        <v>47</v>
      </c>
      <c r="L394" s="6" t="s">
        <v>47</v>
      </c>
      <c r="M394" s="6" t="s">
        <v>47</v>
      </c>
      <c r="N394" s="6" t="s">
        <v>47</v>
      </c>
      <c r="O394" s="6" t="s">
        <v>47</v>
      </c>
      <c r="P394" s="6" t="s">
        <v>47</v>
      </c>
      <c r="Q394" s="6" t="s">
        <v>47</v>
      </c>
      <c r="R394" s="6" t="s">
        <v>47</v>
      </c>
      <c r="S394" s="6" t="s">
        <v>47</v>
      </c>
      <c r="T394" s="6" t="s">
        <v>47</v>
      </c>
      <c r="U394" s="6" t="s">
        <v>47</v>
      </c>
      <c r="V394" s="6" t="s">
        <v>47</v>
      </c>
      <c r="W394" s="6" t="s">
        <v>47</v>
      </c>
      <c r="X394" s="2" t="str">
        <f t="shared" ca="1" si="30"/>
        <v>Conforme</v>
      </c>
    </row>
    <row r="395" spans="1:24" x14ac:dyDescent="0.25">
      <c r="A395" s="1">
        <v>2</v>
      </c>
      <c r="B395" s="4">
        <v>45145</v>
      </c>
      <c r="C395" s="3" t="s">
        <v>4</v>
      </c>
      <c r="D395" s="6" t="s">
        <v>47</v>
      </c>
      <c r="E395" s="6" t="s">
        <v>47</v>
      </c>
      <c r="F395" s="6" t="s">
        <v>47</v>
      </c>
      <c r="G395" s="6" t="s">
        <v>47</v>
      </c>
      <c r="H395" s="6" t="s">
        <v>47</v>
      </c>
      <c r="I395" s="6" t="s">
        <v>47</v>
      </c>
      <c r="J395" s="6" t="s">
        <v>47</v>
      </c>
      <c r="K395" s="6" t="s">
        <v>47</v>
      </c>
      <c r="L395" s="6" t="s">
        <v>47</v>
      </c>
      <c r="M395" s="6" t="s">
        <v>47</v>
      </c>
      <c r="N395" s="6" t="s">
        <v>47</v>
      </c>
      <c r="O395" s="6" t="s">
        <v>47</v>
      </c>
      <c r="P395" s="6" t="s">
        <v>47</v>
      </c>
      <c r="Q395" s="6" t="s">
        <v>47</v>
      </c>
      <c r="R395" s="6" t="s">
        <v>47</v>
      </c>
      <c r="S395" s="6" t="s">
        <v>47</v>
      </c>
      <c r="T395" s="6" t="s">
        <v>47</v>
      </c>
      <c r="U395" s="6" t="s">
        <v>47</v>
      </c>
      <c r="V395" s="6" t="s">
        <v>47</v>
      </c>
      <c r="W395" s="6" t="s">
        <v>47</v>
      </c>
      <c r="X395" s="2" t="str">
        <f t="shared" ca="1" si="30"/>
        <v>Conforme</v>
      </c>
    </row>
    <row r="396" spans="1:24" x14ac:dyDescent="0.25">
      <c r="A396" s="1">
        <v>3</v>
      </c>
      <c r="B396" s="4">
        <v>45146</v>
      </c>
      <c r="C396" s="3" t="s">
        <v>4</v>
      </c>
      <c r="D396" s="6" t="s">
        <v>47</v>
      </c>
      <c r="E396" s="6" t="s">
        <v>47</v>
      </c>
      <c r="F396" s="6" t="s">
        <v>47</v>
      </c>
      <c r="G396" s="6" t="s">
        <v>47</v>
      </c>
      <c r="H396" s="6" t="s">
        <v>47</v>
      </c>
      <c r="I396" s="6" t="s">
        <v>47</v>
      </c>
      <c r="J396" s="6" t="s">
        <v>47</v>
      </c>
      <c r="K396" s="6" t="s">
        <v>47</v>
      </c>
      <c r="L396" s="6" t="s">
        <v>47</v>
      </c>
      <c r="M396" s="6" t="s">
        <v>47</v>
      </c>
      <c r="N396" s="6" t="s">
        <v>47</v>
      </c>
      <c r="O396" s="6" t="s">
        <v>47</v>
      </c>
      <c r="P396" s="6" t="s">
        <v>47</v>
      </c>
      <c r="Q396" s="6" t="s">
        <v>47</v>
      </c>
      <c r="R396" s="6" t="s">
        <v>47</v>
      </c>
      <c r="S396" s="6" t="s">
        <v>47</v>
      </c>
      <c r="T396" s="6" t="s">
        <v>47</v>
      </c>
      <c r="U396" s="6" t="s">
        <v>47</v>
      </c>
      <c r="V396" s="6" t="s">
        <v>47</v>
      </c>
      <c r="W396" s="6" t="s">
        <v>47</v>
      </c>
      <c r="X396" s="2" t="str">
        <f t="shared" ca="1" si="30"/>
        <v>Conforme</v>
      </c>
    </row>
    <row r="397" spans="1:24" x14ac:dyDescent="0.25">
      <c r="A397" s="1">
        <v>4</v>
      </c>
      <c r="B397" s="4">
        <v>45147</v>
      </c>
      <c r="C397" s="3" t="s">
        <v>4</v>
      </c>
      <c r="D397" s="6" t="s">
        <v>47</v>
      </c>
      <c r="E397" s="6" t="s">
        <v>47</v>
      </c>
      <c r="F397" s="6" t="s">
        <v>47</v>
      </c>
      <c r="G397" s="6" t="s">
        <v>47</v>
      </c>
      <c r="H397" s="6" t="s">
        <v>47</v>
      </c>
      <c r="I397" s="6" t="s">
        <v>47</v>
      </c>
      <c r="J397" s="6" t="s">
        <v>47</v>
      </c>
      <c r="K397" s="6" t="s">
        <v>47</v>
      </c>
      <c r="L397" s="6" t="s">
        <v>47</v>
      </c>
      <c r="M397" s="6" t="s">
        <v>47</v>
      </c>
      <c r="N397" s="6" t="s">
        <v>47</v>
      </c>
      <c r="O397" s="6" t="s">
        <v>47</v>
      </c>
      <c r="P397" s="6" t="s">
        <v>47</v>
      </c>
      <c r="Q397" s="6" t="s">
        <v>47</v>
      </c>
      <c r="R397" s="6" t="s">
        <v>47</v>
      </c>
      <c r="S397" s="6" t="s">
        <v>47</v>
      </c>
      <c r="T397" s="6" t="s">
        <v>47</v>
      </c>
      <c r="U397" s="6" t="s">
        <v>47</v>
      </c>
      <c r="V397" s="6" t="s">
        <v>47</v>
      </c>
      <c r="W397" s="6" t="s">
        <v>47</v>
      </c>
      <c r="X397" s="2" t="str">
        <f t="shared" ca="1" si="30"/>
        <v>Conforme</v>
      </c>
    </row>
    <row r="398" spans="1:24" x14ac:dyDescent="0.25">
      <c r="A398" s="1">
        <v>5</v>
      </c>
      <c r="B398" s="4">
        <v>45148</v>
      </c>
      <c r="C398" s="3" t="s">
        <v>4</v>
      </c>
      <c r="D398" s="6" t="s">
        <v>47</v>
      </c>
      <c r="E398" s="6" t="s">
        <v>47</v>
      </c>
      <c r="F398" s="6" t="s">
        <v>47</v>
      </c>
      <c r="G398" s="6" t="s">
        <v>47</v>
      </c>
      <c r="H398" s="6" t="s">
        <v>47</v>
      </c>
      <c r="I398" s="6" t="s">
        <v>47</v>
      </c>
      <c r="J398" s="6" t="s">
        <v>47</v>
      </c>
      <c r="K398" s="6" t="s">
        <v>47</v>
      </c>
      <c r="L398" s="6" t="s">
        <v>47</v>
      </c>
      <c r="M398" s="6" t="s">
        <v>47</v>
      </c>
      <c r="N398" s="6" t="s">
        <v>47</v>
      </c>
      <c r="O398" s="6" t="s">
        <v>47</v>
      </c>
      <c r="P398" s="6" t="s">
        <v>47</v>
      </c>
      <c r="Q398" s="6" t="s">
        <v>47</v>
      </c>
      <c r="R398" s="6" t="s">
        <v>47</v>
      </c>
      <c r="S398" s="6" t="s">
        <v>47</v>
      </c>
      <c r="T398" s="6" t="s">
        <v>47</v>
      </c>
      <c r="U398" s="6" t="s">
        <v>47</v>
      </c>
      <c r="V398" s="6" t="s">
        <v>47</v>
      </c>
      <c r="W398" s="6" t="s">
        <v>47</v>
      </c>
      <c r="X398" s="2" t="str">
        <f t="shared" ca="1" si="30"/>
        <v>Conforme</v>
      </c>
    </row>
    <row r="399" spans="1:24" x14ac:dyDescent="0.25">
      <c r="A399" s="1">
        <v>6</v>
      </c>
      <c r="B399" s="4">
        <v>45149</v>
      </c>
      <c r="C399" s="3" t="s">
        <v>4</v>
      </c>
      <c r="D399" s="6" t="s">
        <v>47</v>
      </c>
      <c r="E399" s="6" t="s">
        <v>47</v>
      </c>
      <c r="F399" s="6" t="s">
        <v>47</v>
      </c>
      <c r="G399" s="6" t="s">
        <v>47</v>
      </c>
      <c r="H399" s="6" t="s">
        <v>47</v>
      </c>
      <c r="I399" s="6" t="s">
        <v>47</v>
      </c>
      <c r="J399" s="6" t="s">
        <v>47</v>
      </c>
      <c r="K399" s="6" t="s">
        <v>47</v>
      </c>
      <c r="L399" s="6" t="s">
        <v>47</v>
      </c>
      <c r="M399" s="6" t="s">
        <v>47</v>
      </c>
      <c r="N399" s="6" t="s">
        <v>47</v>
      </c>
      <c r="O399" s="6" t="s">
        <v>47</v>
      </c>
      <c r="P399" s="6" t="s">
        <v>47</v>
      </c>
      <c r="Q399" s="6" t="s">
        <v>47</v>
      </c>
      <c r="R399" s="6" t="s">
        <v>47</v>
      </c>
      <c r="S399" s="6" t="s">
        <v>47</v>
      </c>
      <c r="T399" s="6" t="s">
        <v>47</v>
      </c>
      <c r="U399" s="6" t="s">
        <v>47</v>
      </c>
      <c r="V399" s="6" t="s">
        <v>47</v>
      </c>
      <c r="W399" s="6" t="s">
        <v>47</v>
      </c>
      <c r="X399" s="2" t="str">
        <f t="shared" ca="1" si="30"/>
        <v>Conforme</v>
      </c>
    </row>
    <row r="400" spans="1:24" x14ac:dyDescent="0.25">
      <c r="A400" s="1">
        <v>2</v>
      </c>
      <c r="B400" s="4">
        <v>45152</v>
      </c>
      <c r="C400" s="3" t="s">
        <v>4</v>
      </c>
      <c r="D400" s="6" t="s">
        <v>47</v>
      </c>
      <c r="E400" s="6" t="s">
        <v>47</v>
      </c>
      <c r="F400" s="6" t="s">
        <v>47</v>
      </c>
      <c r="G400" s="6" t="s">
        <v>47</v>
      </c>
      <c r="H400" s="6" t="s">
        <v>47</v>
      </c>
      <c r="I400" s="6" t="s">
        <v>47</v>
      </c>
      <c r="J400" s="6" t="s">
        <v>47</v>
      </c>
      <c r="K400" s="6" t="s">
        <v>47</v>
      </c>
      <c r="L400" s="6" t="s">
        <v>47</v>
      </c>
      <c r="M400" s="6" t="s">
        <v>47</v>
      </c>
      <c r="N400" s="6" t="s">
        <v>47</v>
      </c>
      <c r="O400" s="6" t="s">
        <v>47</v>
      </c>
      <c r="P400" s="6" t="s">
        <v>47</v>
      </c>
      <c r="Q400" s="6" t="s">
        <v>47</v>
      </c>
      <c r="R400" s="6" t="s">
        <v>47</v>
      </c>
      <c r="S400" s="6" t="s">
        <v>47</v>
      </c>
      <c r="T400" s="6" t="s">
        <v>47</v>
      </c>
      <c r="U400" s="6" t="s">
        <v>47</v>
      </c>
      <c r="V400" s="6" t="s">
        <v>47</v>
      </c>
      <c r="W400" s="6" t="s">
        <v>47</v>
      </c>
      <c r="X400" s="2" t="str">
        <f t="shared" ca="1" si="30"/>
        <v>Conforme</v>
      </c>
    </row>
    <row r="401" spans="1:24" x14ac:dyDescent="0.25">
      <c r="A401" s="1">
        <v>3</v>
      </c>
      <c r="B401" s="4">
        <v>45153</v>
      </c>
      <c r="C401" s="3" t="s">
        <v>4</v>
      </c>
      <c r="D401" s="6" t="s">
        <v>47</v>
      </c>
      <c r="E401" s="6" t="s">
        <v>47</v>
      </c>
      <c r="F401" s="6" t="s">
        <v>47</v>
      </c>
      <c r="G401" s="6" t="s">
        <v>47</v>
      </c>
      <c r="H401" s="6" t="s">
        <v>47</v>
      </c>
      <c r="I401" s="6" t="s">
        <v>47</v>
      </c>
      <c r="J401" s="6" t="s">
        <v>47</v>
      </c>
      <c r="K401" s="6" t="s">
        <v>47</v>
      </c>
      <c r="L401" s="6" t="s">
        <v>47</v>
      </c>
      <c r="M401" s="6" t="s">
        <v>47</v>
      </c>
      <c r="N401" s="6" t="s">
        <v>47</v>
      </c>
      <c r="O401" s="6" t="s">
        <v>47</v>
      </c>
      <c r="P401" s="6" t="s">
        <v>47</v>
      </c>
      <c r="Q401" s="6" t="s">
        <v>47</v>
      </c>
      <c r="R401" s="6" t="s">
        <v>47</v>
      </c>
      <c r="S401" s="6" t="s">
        <v>47</v>
      </c>
      <c r="T401" s="6" t="s">
        <v>47</v>
      </c>
      <c r="U401" s="6" t="s">
        <v>47</v>
      </c>
      <c r="V401" s="6" t="s">
        <v>47</v>
      </c>
      <c r="W401" s="6" t="s">
        <v>47</v>
      </c>
      <c r="X401" s="2" t="str">
        <f t="shared" ca="1" si="30"/>
        <v>Conforme</v>
      </c>
    </row>
    <row r="402" spans="1:24" x14ac:dyDescent="0.25">
      <c r="A402" s="1">
        <v>4</v>
      </c>
      <c r="B402" s="4">
        <v>45154</v>
      </c>
      <c r="C402" s="3" t="s">
        <v>4</v>
      </c>
      <c r="D402" s="6" t="s">
        <v>47</v>
      </c>
      <c r="E402" s="6" t="s">
        <v>47</v>
      </c>
      <c r="F402" s="6" t="s">
        <v>47</v>
      </c>
      <c r="G402" s="6" t="s">
        <v>47</v>
      </c>
      <c r="H402" s="6" t="s">
        <v>47</v>
      </c>
      <c r="I402" s="6" t="s">
        <v>47</v>
      </c>
      <c r="J402" s="6" t="s">
        <v>47</v>
      </c>
      <c r="K402" s="6" t="s">
        <v>47</v>
      </c>
      <c r="L402" s="6" t="s">
        <v>47</v>
      </c>
      <c r="M402" s="6" t="s">
        <v>47</v>
      </c>
      <c r="N402" s="6" t="s">
        <v>47</v>
      </c>
      <c r="O402" s="6" t="s">
        <v>47</v>
      </c>
      <c r="P402" s="6" t="s">
        <v>47</v>
      </c>
      <c r="Q402" s="6" t="s">
        <v>47</v>
      </c>
      <c r="R402" s="6" t="s">
        <v>47</v>
      </c>
      <c r="S402" s="6" t="s">
        <v>47</v>
      </c>
      <c r="T402" s="6" t="s">
        <v>47</v>
      </c>
      <c r="U402" s="6" t="s">
        <v>47</v>
      </c>
      <c r="V402" s="6" t="s">
        <v>47</v>
      </c>
      <c r="W402" s="6" t="s">
        <v>47</v>
      </c>
      <c r="X402" s="2" t="str">
        <f t="shared" ca="1" si="30"/>
        <v>Conforme</v>
      </c>
    </row>
    <row r="403" spans="1:24" x14ac:dyDescent="0.25">
      <c r="A403" s="1">
        <v>5</v>
      </c>
      <c r="B403" s="4">
        <v>45155</v>
      </c>
      <c r="C403" s="3" t="s">
        <v>4</v>
      </c>
      <c r="D403" s="6" t="s">
        <v>47</v>
      </c>
      <c r="E403" s="6" t="s">
        <v>47</v>
      </c>
      <c r="F403" s="6" t="s">
        <v>47</v>
      </c>
      <c r="G403" s="6" t="s">
        <v>47</v>
      </c>
      <c r="H403" s="6" t="s">
        <v>47</v>
      </c>
      <c r="I403" s="6" t="s">
        <v>47</v>
      </c>
      <c r="J403" s="6" t="s">
        <v>47</v>
      </c>
      <c r="K403" s="6" t="s">
        <v>47</v>
      </c>
      <c r="L403" s="6" t="s">
        <v>47</v>
      </c>
      <c r="M403" s="6" t="s">
        <v>47</v>
      </c>
      <c r="N403" s="6" t="s">
        <v>47</v>
      </c>
      <c r="O403" s="6" t="s">
        <v>47</v>
      </c>
      <c r="P403" s="6" t="s">
        <v>47</v>
      </c>
      <c r="Q403" s="6" t="s">
        <v>47</v>
      </c>
      <c r="R403" s="6" t="s">
        <v>47</v>
      </c>
      <c r="S403" s="6" t="s">
        <v>47</v>
      </c>
      <c r="T403" s="6" t="s">
        <v>47</v>
      </c>
      <c r="U403" s="6" t="s">
        <v>47</v>
      </c>
      <c r="V403" s="6" t="s">
        <v>47</v>
      </c>
      <c r="W403" s="6" t="s">
        <v>47</v>
      </c>
      <c r="X403" s="2" t="str">
        <f t="shared" ca="1" si="30"/>
        <v>Conforme</v>
      </c>
    </row>
    <row r="404" spans="1:24" x14ac:dyDescent="0.25">
      <c r="A404" s="1">
        <v>6</v>
      </c>
      <c r="B404" s="4">
        <v>45156</v>
      </c>
      <c r="C404" s="3" t="s">
        <v>4</v>
      </c>
      <c r="D404" s="6" t="s">
        <v>47</v>
      </c>
      <c r="E404" s="6" t="s">
        <v>47</v>
      </c>
      <c r="F404" s="6" t="s">
        <v>47</v>
      </c>
      <c r="G404" s="6" t="s">
        <v>47</v>
      </c>
      <c r="H404" s="6" t="s">
        <v>47</v>
      </c>
      <c r="I404" s="6" t="s">
        <v>47</v>
      </c>
      <c r="J404" s="6" t="s">
        <v>47</v>
      </c>
      <c r="K404" s="6" t="s">
        <v>47</v>
      </c>
      <c r="L404" s="6" t="s">
        <v>47</v>
      </c>
      <c r="M404" s="6" t="s">
        <v>47</v>
      </c>
      <c r="N404" s="6" t="s">
        <v>47</v>
      </c>
      <c r="O404" s="6" t="s">
        <v>47</v>
      </c>
      <c r="P404" s="6" t="s">
        <v>47</v>
      </c>
      <c r="Q404" s="6" t="s">
        <v>47</v>
      </c>
      <c r="R404" s="6" t="s">
        <v>47</v>
      </c>
      <c r="S404" s="6" t="s">
        <v>47</v>
      </c>
      <c r="T404" s="6" t="s">
        <v>47</v>
      </c>
      <c r="U404" s="6" t="s">
        <v>47</v>
      </c>
      <c r="V404" s="6" t="s">
        <v>47</v>
      </c>
      <c r="W404" s="6" t="s">
        <v>47</v>
      </c>
      <c r="X404" s="2" t="str">
        <f t="shared" ca="1" si="30"/>
        <v>Conforme</v>
      </c>
    </row>
    <row r="405" spans="1:24" x14ac:dyDescent="0.25">
      <c r="A405" s="1">
        <v>2</v>
      </c>
      <c r="B405" s="4">
        <v>45159</v>
      </c>
      <c r="C405" s="3" t="s">
        <v>4</v>
      </c>
      <c r="D405" s="6" t="s">
        <v>47</v>
      </c>
      <c r="E405" s="6" t="s">
        <v>47</v>
      </c>
      <c r="F405" s="6" t="s">
        <v>47</v>
      </c>
      <c r="G405" s="6" t="s">
        <v>47</v>
      </c>
      <c r="H405" s="6" t="s">
        <v>47</v>
      </c>
      <c r="I405" s="6" t="s">
        <v>47</v>
      </c>
      <c r="J405" s="6" t="s">
        <v>47</v>
      </c>
      <c r="K405" s="6" t="s">
        <v>47</v>
      </c>
      <c r="L405" s="6" t="s">
        <v>47</v>
      </c>
      <c r="M405" s="6" t="s">
        <v>47</v>
      </c>
      <c r="N405" s="6" t="s">
        <v>47</v>
      </c>
      <c r="O405" s="6" t="s">
        <v>47</v>
      </c>
      <c r="P405" s="6" t="s">
        <v>47</v>
      </c>
      <c r="Q405" s="6" t="s">
        <v>47</v>
      </c>
      <c r="R405" s="6" t="s">
        <v>47</v>
      </c>
      <c r="S405" s="6" t="s">
        <v>47</v>
      </c>
      <c r="T405" s="6" t="s">
        <v>47</v>
      </c>
      <c r="U405" s="6" t="s">
        <v>47</v>
      </c>
      <c r="V405" s="6" t="s">
        <v>47</v>
      </c>
      <c r="W405" s="6" t="s">
        <v>47</v>
      </c>
      <c r="X405" s="2" t="str">
        <f t="shared" ca="1" si="30"/>
        <v>Conforme</v>
      </c>
    </row>
    <row r="406" spans="1:24" x14ac:dyDescent="0.25">
      <c r="A406" s="1">
        <v>3</v>
      </c>
      <c r="B406" s="4">
        <v>45160</v>
      </c>
      <c r="C406" s="3" t="s">
        <v>4</v>
      </c>
      <c r="D406" s="6" t="s">
        <v>47</v>
      </c>
      <c r="E406" s="6" t="s">
        <v>47</v>
      </c>
      <c r="F406" s="6" t="s">
        <v>47</v>
      </c>
      <c r="G406" s="6" t="s">
        <v>47</v>
      </c>
      <c r="H406" s="6" t="s">
        <v>47</v>
      </c>
      <c r="I406" s="6" t="s">
        <v>47</v>
      </c>
      <c r="J406" s="6" t="s">
        <v>47</v>
      </c>
      <c r="K406" s="6" t="s">
        <v>47</v>
      </c>
      <c r="L406" s="6" t="s">
        <v>47</v>
      </c>
      <c r="M406" s="6" t="s">
        <v>47</v>
      </c>
      <c r="N406" s="6" t="s">
        <v>47</v>
      </c>
      <c r="O406" s="6" t="s">
        <v>47</v>
      </c>
      <c r="P406" s="6" t="s">
        <v>47</v>
      </c>
      <c r="Q406" s="6" t="s">
        <v>47</v>
      </c>
      <c r="R406" s="6" t="s">
        <v>47</v>
      </c>
      <c r="S406" s="6" t="s">
        <v>47</v>
      </c>
      <c r="T406" s="6" t="s">
        <v>47</v>
      </c>
      <c r="U406" s="6" t="s">
        <v>47</v>
      </c>
      <c r="V406" s="6" t="s">
        <v>47</v>
      </c>
      <c r="W406" s="6" t="s">
        <v>47</v>
      </c>
      <c r="X406" s="2" t="str">
        <f ca="1">IF(B406&lt;TODAY(),IF(COUNTBLANK(D406:W406)=0,"Conforme","Não conforme"),"")</f>
        <v>Conforme</v>
      </c>
    </row>
    <row r="407" spans="1:24" x14ac:dyDescent="0.25">
      <c r="A407" s="1">
        <v>4</v>
      </c>
      <c r="B407" s="4">
        <v>45161</v>
      </c>
      <c r="C407" s="3" t="s">
        <v>4</v>
      </c>
      <c r="D407" s="6" t="s">
        <v>47</v>
      </c>
      <c r="E407" s="6" t="s">
        <v>47</v>
      </c>
      <c r="F407" s="6" t="s">
        <v>47</v>
      </c>
      <c r="G407" s="6" t="s">
        <v>47</v>
      </c>
      <c r="H407" s="6" t="s">
        <v>47</v>
      </c>
      <c r="I407" s="6" t="s">
        <v>47</v>
      </c>
      <c r="J407" s="6" t="s">
        <v>47</v>
      </c>
      <c r="K407" s="6" t="s">
        <v>47</v>
      </c>
      <c r="L407" s="6" t="s">
        <v>47</v>
      </c>
      <c r="M407" s="6" t="s">
        <v>47</v>
      </c>
      <c r="N407" s="6" t="s">
        <v>47</v>
      </c>
      <c r="O407" s="6" t="s">
        <v>47</v>
      </c>
      <c r="P407" s="6" t="s">
        <v>47</v>
      </c>
      <c r="Q407" s="6" t="s">
        <v>47</v>
      </c>
      <c r="R407" s="6" t="s">
        <v>47</v>
      </c>
      <c r="S407" s="6" t="s">
        <v>47</v>
      </c>
      <c r="T407" s="6" t="s">
        <v>47</v>
      </c>
      <c r="U407" s="6" t="s">
        <v>47</v>
      </c>
      <c r="V407" s="6" t="s">
        <v>47</v>
      </c>
      <c r="W407" s="6" t="s">
        <v>47</v>
      </c>
      <c r="X407" s="2" t="str">
        <f ca="1">IF(B407&lt;TODAY(),IF(COUNTBLANK(D407:W407)=0,"Conforme","Não conforme"),"")</f>
        <v>Conforme</v>
      </c>
    </row>
    <row r="408" spans="1:24" x14ac:dyDescent="0.25">
      <c r="A408" s="1">
        <v>5</v>
      </c>
      <c r="B408" s="4">
        <v>45162</v>
      </c>
      <c r="C408" s="3" t="s">
        <v>4</v>
      </c>
      <c r="D408" s="6" t="s">
        <v>47</v>
      </c>
      <c r="E408" s="6" t="s">
        <v>47</v>
      </c>
      <c r="F408" s="6" t="s">
        <v>47</v>
      </c>
      <c r="G408" s="6" t="s">
        <v>47</v>
      </c>
      <c r="H408" s="6" t="s">
        <v>47</v>
      </c>
      <c r="I408" s="6" t="s">
        <v>47</v>
      </c>
      <c r="J408" s="6" t="s">
        <v>47</v>
      </c>
      <c r="K408" s="6" t="s">
        <v>47</v>
      </c>
      <c r="L408" s="6" t="s">
        <v>47</v>
      </c>
      <c r="M408" s="6" t="s">
        <v>47</v>
      </c>
      <c r="N408" s="6" t="s">
        <v>47</v>
      </c>
      <c r="O408" s="6" t="s">
        <v>47</v>
      </c>
      <c r="P408" s="6" t="s">
        <v>47</v>
      </c>
      <c r="Q408" s="6" t="s">
        <v>47</v>
      </c>
      <c r="R408" s="6" t="s">
        <v>47</v>
      </c>
      <c r="S408" s="6" t="s">
        <v>47</v>
      </c>
      <c r="T408" s="6" t="s">
        <v>47</v>
      </c>
      <c r="U408" s="6" t="s">
        <v>47</v>
      </c>
      <c r="V408" s="6" t="s">
        <v>47</v>
      </c>
      <c r="W408" s="6" t="s">
        <v>47</v>
      </c>
      <c r="X408" s="2" t="str">
        <f ca="1">IF(B408&lt;TODAY(),IF(COUNTBLANK(D408:W408)=0,"Conforme","Não conforme"),"")</f>
        <v>Conforme</v>
      </c>
    </row>
    <row r="409" spans="1:24" x14ac:dyDescent="0.25">
      <c r="A409" s="1">
        <v>6</v>
      </c>
      <c r="B409" s="4">
        <v>45163</v>
      </c>
      <c r="C409" s="3" t="s">
        <v>4</v>
      </c>
      <c r="D409" s="6" t="s">
        <v>47</v>
      </c>
      <c r="E409" s="6" t="s">
        <v>47</v>
      </c>
      <c r="F409" s="6" t="s">
        <v>47</v>
      </c>
      <c r="G409" s="6" t="s">
        <v>47</v>
      </c>
      <c r="H409" s="6" t="s">
        <v>47</v>
      </c>
      <c r="I409" s="6" t="s">
        <v>47</v>
      </c>
      <c r="J409" s="6" t="s">
        <v>47</v>
      </c>
      <c r="K409" s="6" t="s">
        <v>47</v>
      </c>
      <c r="L409" s="6" t="s">
        <v>47</v>
      </c>
      <c r="M409" s="6" t="s">
        <v>47</v>
      </c>
      <c r="N409" s="6" t="s">
        <v>47</v>
      </c>
      <c r="O409" s="6" t="s">
        <v>47</v>
      </c>
      <c r="P409" s="6" t="s">
        <v>47</v>
      </c>
      <c r="Q409" s="6" t="s">
        <v>47</v>
      </c>
      <c r="R409" s="6" t="s">
        <v>47</v>
      </c>
      <c r="S409" s="6" t="s">
        <v>47</v>
      </c>
      <c r="T409" s="6" t="s">
        <v>47</v>
      </c>
      <c r="U409" s="6" t="s">
        <v>47</v>
      </c>
      <c r="V409" s="6" t="s">
        <v>47</v>
      </c>
      <c r="W409" s="6" t="s">
        <v>47</v>
      </c>
      <c r="X409" s="2" t="str">
        <f ca="1">IF(B409&lt;TODAY(),IF(COUNTBLANK(D409:W409)=0,"Conforme","Não conforme"),"")</f>
        <v>Conforme</v>
      </c>
    </row>
    <row r="410" spans="1:24" x14ac:dyDescent="0.25">
      <c r="A410" s="1">
        <v>2</v>
      </c>
      <c r="B410" s="4">
        <v>45166</v>
      </c>
      <c r="C410" s="3" t="s">
        <v>4</v>
      </c>
      <c r="D410" s="6" t="s">
        <v>47</v>
      </c>
      <c r="E410" s="6" t="s">
        <v>47</v>
      </c>
      <c r="F410" s="6" t="s">
        <v>47</v>
      </c>
      <c r="G410" s="6" t="s">
        <v>47</v>
      </c>
      <c r="H410" s="6" t="s">
        <v>47</v>
      </c>
      <c r="I410" s="6" t="s">
        <v>47</v>
      </c>
      <c r="J410" s="6" t="s">
        <v>47</v>
      </c>
      <c r="K410" s="6" t="s">
        <v>47</v>
      </c>
      <c r="L410" s="6" t="s">
        <v>47</v>
      </c>
      <c r="M410" s="6" t="s">
        <v>47</v>
      </c>
      <c r="N410" s="6" t="s">
        <v>47</v>
      </c>
      <c r="O410" s="6" t="s">
        <v>47</v>
      </c>
      <c r="P410" s="6" t="s">
        <v>47</v>
      </c>
      <c r="Q410" s="6" t="s">
        <v>47</v>
      </c>
      <c r="R410" s="6" t="s">
        <v>47</v>
      </c>
      <c r="S410" s="6" t="s">
        <v>47</v>
      </c>
      <c r="T410" s="6" t="s">
        <v>47</v>
      </c>
      <c r="U410" s="6" t="s">
        <v>47</v>
      </c>
      <c r="V410" s="6" t="s">
        <v>47</v>
      </c>
      <c r="W410" s="6" t="s">
        <v>47</v>
      </c>
      <c r="X410" s="2" t="str">
        <f t="shared" ca="1" si="30"/>
        <v>Conforme</v>
      </c>
    </row>
    <row r="411" spans="1:24" x14ac:dyDescent="0.25">
      <c r="A411" s="1">
        <v>3</v>
      </c>
      <c r="B411" s="4">
        <v>45167</v>
      </c>
      <c r="C411" s="3" t="s">
        <v>4</v>
      </c>
      <c r="D411" s="6" t="s">
        <v>47</v>
      </c>
      <c r="E411" s="6" t="s">
        <v>47</v>
      </c>
      <c r="F411" s="6" t="s">
        <v>47</v>
      </c>
      <c r="G411" s="6" t="s">
        <v>47</v>
      </c>
      <c r="H411" s="6" t="s">
        <v>47</v>
      </c>
      <c r="I411" s="6" t="s">
        <v>47</v>
      </c>
      <c r="J411" s="6" t="s">
        <v>47</v>
      </c>
      <c r="K411" s="6" t="s">
        <v>47</v>
      </c>
      <c r="L411" s="6" t="s">
        <v>47</v>
      </c>
      <c r="M411" s="6" t="s">
        <v>47</v>
      </c>
      <c r="N411" s="6" t="s">
        <v>47</v>
      </c>
      <c r="O411" s="6" t="s">
        <v>47</v>
      </c>
      <c r="P411" s="6" t="s">
        <v>47</v>
      </c>
      <c r="Q411" s="6" t="s">
        <v>47</v>
      </c>
      <c r="R411" s="6" t="s">
        <v>47</v>
      </c>
      <c r="S411" s="6" t="s">
        <v>47</v>
      </c>
      <c r="T411" s="6" t="s">
        <v>47</v>
      </c>
      <c r="U411" s="6" t="s">
        <v>47</v>
      </c>
      <c r="V411" s="6" t="s">
        <v>47</v>
      </c>
      <c r="W411" s="6" t="s">
        <v>47</v>
      </c>
      <c r="X411" s="2" t="str">
        <f t="shared" ca="1" si="30"/>
        <v>Conforme</v>
      </c>
    </row>
    <row r="412" spans="1:24" x14ac:dyDescent="0.25">
      <c r="A412" s="1">
        <v>4</v>
      </c>
      <c r="B412" s="4">
        <v>45168</v>
      </c>
      <c r="C412" s="3" t="s">
        <v>4</v>
      </c>
      <c r="D412" s="6" t="s">
        <v>47</v>
      </c>
      <c r="E412" s="6" t="s">
        <v>47</v>
      </c>
      <c r="F412" s="6" t="s">
        <v>47</v>
      </c>
      <c r="G412" s="6" t="s">
        <v>47</v>
      </c>
      <c r="H412" s="6" t="s">
        <v>47</v>
      </c>
      <c r="I412" s="6" t="s">
        <v>47</v>
      </c>
      <c r="J412" s="6" t="s">
        <v>47</v>
      </c>
      <c r="K412" s="6" t="s">
        <v>47</v>
      </c>
      <c r="L412" s="6" t="s">
        <v>47</v>
      </c>
      <c r="M412" s="6" t="s">
        <v>47</v>
      </c>
      <c r="N412" s="6" t="s">
        <v>47</v>
      </c>
      <c r="O412" s="6" t="s">
        <v>47</v>
      </c>
      <c r="P412" s="6" t="s">
        <v>47</v>
      </c>
      <c r="Q412" s="6" t="s">
        <v>47</v>
      </c>
      <c r="R412" s="6" t="s">
        <v>47</v>
      </c>
      <c r="S412" s="6" t="s">
        <v>47</v>
      </c>
      <c r="T412" s="6" t="s">
        <v>47</v>
      </c>
      <c r="U412" s="6" t="s">
        <v>47</v>
      </c>
      <c r="V412" s="6" t="s">
        <v>47</v>
      </c>
      <c r="W412" s="6" t="s">
        <v>47</v>
      </c>
      <c r="X412" s="2" t="str">
        <f t="shared" ca="1" si="30"/>
        <v>Conforme</v>
      </c>
    </row>
    <row r="413" spans="1:24" x14ac:dyDescent="0.25">
      <c r="A413" s="1">
        <v>5</v>
      </c>
      <c r="B413" s="4">
        <v>45169</v>
      </c>
      <c r="C413" s="3" t="s">
        <v>4</v>
      </c>
      <c r="D413" s="6"/>
      <c r="E413" s="6"/>
      <c r="F413" s="6"/>
      <c r="G413" s="6"/>
      <c r="H413" s="6"/>
      <c r="I413" s="6"/>
      <c r="J413" s="6"/>
      <c r="K413" s="6"/>
      <c r="L413" s="6"/>
      <c r="M413" s="6"/>
      <c r="N413" s="6"/>
      <c r="O413" s="6"/>
      <c r="P413" s="6"/>
      <c r="Q413" s="6"/>
      <c r="R413" s="6"/>
      <c r="S413" s="6"/>
      <c r="T413" s="6"/>
      <c r="U413" s="6"/>
      <c r="V413" s="6"/>
      <c r="W413" s="6"/>
      <c r="X413" s="2" t="str">
        <f t="shared" ca="1" si="30"/>
        <v>Não conforme</v>
      </c>
    </row>
    <row r="414" spans="1:24" x14ac:dyDescent="0.25">
      <c r="A414" s="1">
        <v>6</v>
      </c>
      <c r="B414" s="4">
        <v>45170</v>
      </c>
      <c r="C414" s="3" t="s">
        <v>4</v>
      </c>
      <c r="D414" s="6"/>
      <c r="E414" s="6"/>
      <c r="F414" s="6"/>
      <c r="G414" s="6"/>
      <c r="H414" s="6"/>
      <c r="I414" s="6"/>
      <c r="J414" s="6"/>
      <c r="K414" s="6"/>
      <c r="L414" s="6"/>
      <c r="M414" s="6"/>
      <c r="N414" s="6"/>
      <c r="O414" s="6"/>
      <c r="P414" s="6"/>
      <c r="Q414" s="6"/>
      <c r="R414" s="6"/>
      <c r="S414" s="6"/>
      <c r="T414" s="6"/>
      <c r="U414" s="6"/>
      <c r="V414" s="6"/>
      <c r="W414" s="6"/>
      <c r="X414" s="2" t="str">
        <f t="shared" ca="1" si="30"/>
        <v>Não conforme</v>
      </c>
    </row>
    <row r="415" spans="1:24" x14ac:dyDescent="0.25">
      <c r="A415" s="1">
        <v>2</v>
      </c>
      <c r="B415" s="4">
        <v>45173</v>
      </c>
      <c r="C415" s="3" t="s">
        <v>4</v>
      </c>
      <c r="D415" s="6"/>
      <c r="E415" s="6"/>
      <c r="F415" s="6"/>
      <c r="G415" s="6"/>
      <c r="H415" s="6"/>
      <c r="I415" s="6"/>
      <c r="J415" s="6"/>
      <c r="K415" s="6"/>
      <c r="L415" s="6"/>
      <c r="M415" s="6"/>
      <c r="N415" s="6"/>
      <c r="O415" s="6"/>
      <c r="P415" s="6"/>
      <c r="Q415" s="6"/>
      <c r="R415" s="6"/>
      <c r="S415" s="6"/>
      <c r="T415" s="6"/>
      <c r="U415" s="6"/>
      <c r="V415" s="6"/>
      <c r="W415" s="6"/>
      <c r="X415" s="2" t="str">
        <f t="shared" ca="1" si="30"/>
        <v>Não conforme</v>
      </c>
    </row>
    <row r="416" spans="1:24" x14ac:dyDescent="0.25">
      <c r="A416" s="1">
        <v>3</v>
      </c>
      <c r="B416" s="4">
        <v>45174</v>
      </c>
      <c r="C416" s="3" t="s">
        <v>4</v>
      </c>
      <c r="D416" s="6"/>
      <c r="E416" s="6"/>
      <c r="F416" s="6"/>
      <c r="G416" s="6"/>
      <c r="H416" s="6"/>
      <c r="I416" s="6"/>
      <c r="J416" s="6"/>
      <c r="K416" s="6"/>
      <c r="L416" s="6"/>
      <c r="M416" s="6"/>
      <c r="N416" s="6"/>
      <c r="O416" s="6"/>
      <c r="P416" s="6"/>
      <c r="Q416" s="6"/>
      <c r="R416" s="6"/>
      <c r="S416" s="6"/>
      <c r="T416" s="6"/>
      <c r="U416" s="6"/>
      <c r="V416" s="6"/>
      <c r="W416" s="6"/>
      <c r="X416" s="2" t="str">
        <f t="shared" ca="1" si="30"/>
        <v>Não conforme</v>
      </c>
    </row>
    <row r="417" spans="1:24" x14ac:dyDescent="0.25">
      <c r="A417" s="1">
        <v>4</v>
      </c>
      <c r="B417" s="4">
        <v>45175</v>
      </c>
      <c r="C417" s="3" t="s">
        <v>4</v>
      </c>
      <c r="D417" s="6"/>
      <c r="E417" s="6"/>
      <c r="F417" s="6"/>
      <c r="G417" s="6"/>
      <c r="H417" s="6"/>
      <c r="I417" s="6"/>
      <c r="J417" s="6"/>
      <c r="K417" s="6"/>
      <c r="L417" s="6"/>
      <c r="M417" s="6"/>
      <c r="N417" s="6"/>
      <c r="O417" s="6"/>
      <c r="P417" s="6"/>
      <c r="Q417" s="6"/>
      <c r="R417" s="6"/>
      <c r="S417" s="6"/>
      <c r="T417" s="6"/>
      <c r="U417" s="6"/>
      <c r="V417" s="6"/>
      <c r="W417" s="6"/>
      <c r="X417" s="2" t="str">
        <f t="shared" ca="1" si="30"/>
        <v>Não conforme</v>
      </c>
    </row>
    <row r="418" spans="1:24" x14ac:dyDescent="0.25">
      <c r="A418" s="1">
        <v>5</v>
      </c>
      <c r="B418" s="4">
        <v>45176</v>
      </c>
      <c r="C418" s="3" t="s">
        <v>4</v>
      </c>
      <c r="D418" s="6"/>
      <c r="E418" s="6"/>
      <c r="F418" s="6"/>
      <c r="G418" s="6"/>
      <c r="H418" s="6"/>
      <c r="I418" s="6"/>
      <c r="J418" s="6"/>
      <c r="K418" s="6"/>
      <c r="L418" s="6"/>
      <c r="M418" s="6"/>
      <c r="N418" s="6"/>
      <c r="O418" s="6"/>
      <c r="P418" s="6"/>
      <c r="Q418" s="6"/>
      <c r="R418" s="6"/>
      <c r="S418" s="6"/>
      <c r="T418" s="6"/>
      <c r="U418" s="6"/>
      <c r="V418" s="6"/>
      <c r="W418" s="6"/>
      <c r="X418" s="2" t="str">
        <f t="shared" ca="1" si="30"/>
        <v>Não conforme</v>
      </c>
    </row>
    <row r="419" spans="1:24" x14ac:dyDescent="0.25">
      <c r="A419" s="1">
        <v>6</v>
      </c>
      <c r="B419" s="4">
        <v>45177</v>
      </c>
      <c r="C419" s="3" t="s">
        <v>4</v>
      </c>
      <c r="D419" s="6"/>
      <c r="E419" s="6"/>
      <c r="F419" s="6"/>
      <c r="G419" s="6"/>
      <c r="H419" s="6"/>
      <c r="I419" s="6"/>
      <c r="J419" s="6"/>
      <c r="K419" s="6"/>
      <c r="L419" s="6"/>
      <c r="M419" s="6"/>
      <c r="N419" s="6"/>
      <c r="O419" s="6"/>
      <c r="P419" s="6"/>
      <c r="Q419" s="6"/>
      <c r="R419" s="6"/>
      <c r="S419" s="6"/>
      <c r="T419" s="6"/>
      <c r="U419" s="6"/>
      <c r="V419" s="6"/>
      <c r="W419" s="6"/>
      <c r="X419" s="2" t="str">
        <f t="shared" ca="1" si="30"/>
        <v>Não conforme</v>
      </c>
    </row>
    <row r="420" spans="1:24" x14ac:dyDescent="0.25">
      <c r="A420" s="1">
        <v>2</v>
      </c>
      <c r="B420" s="4">
        <v>45180</v>
      </c>
      <c r="C420" s="3" t="s">
        <v>4</v>
      </c>
      <c r="D420" s="6"/>
      <c r="E420" s="6"/>
      <c r="F420" s="6"/>
      <c r="G420" s="6"/>
      <c r="H420" s="6"/>
      <c r="I420" s="6"/>
      <c r="J420" s="6"/>
      <c r="K420" s="6"/>
      <c r="L420" s="6"/>
      <c r="M420" s="6"/>
      <c r="N420" s="6"/>
      <c r="O420" s="6"/>
      <c r="P420" s="6"/>
      <c r="Q420" s="6"/>
      <c r="R420" s="6"/>
      <c r="S420" s="6"/>
      <c r="T420" s="6"/>
      <c r="U420" s="6"/>
      <c r="V420" s="6"/>
      <c r="W420" s="6"/>
      <c r="X420" s="2" t="str">
        <f t="shared" ca="1" si="30"/>
        <v>Não conforme</v>
      </c>
    </row>
    <row r="421" spans="1:24" x14ac:dyDescent="0.25">
      <c r="A421" s="1">
        <v>3</v>
      </c>
      <c r="B421" s="4">
        <v>45181</v>
      </c>
      <c r="C421" s="3" t="s">
        <v>4</v>
      </c>
      <c r="D421" s="6"/>
      <c r="E421" s="6"/>
      <c r="F421" s="6"/>
      <c r="G421" s="6"/>
      <c r="H421" s="6"/>
      <c r="I421" s="6"/>
      <c r="J421" s="6"/>
      <c r="K421" s="6"/>
      <c r="L421" s="6"/>
      <c r="M421" s="6"/>
      <c r="N421" s="6"/>
      <c r="O421" s="6"/>
      <c r="P421" s="6"/>
      <c r="Q421" s="6"/>
      <c r="R421" s="6"/>
      <c r="S421" s="6"/>
      <c r="T421" s="6"/>
      <c r="U421" s="6"/>
      <c r="V421" s="6"/>
      <c r="W421" s="6"/>
      <c r="X421" s="2" t="str">
        <f t="shared" ca="1" si="30"/>
        <v>Não conforme</v>
      </c>
    </row>
    <row r="422" spans="1:24" x14ac:dyDescent="0.25">
      <c r="A422" s="1">
        <v>4</v>
      </c>
      <c r="B422" s="4">
        <v>45182</v>
      </c>
      <c r="C422" s="3" t="s">
        <v>4</v>
      </c>
      <c r="D422" s="6"/>
      <c r="E422" s="6"/>
      <c r="F422" s="6"/>
      <c r="G422" s="6"/>
      <c r="H422" s="6"/>
      <c r="I422" s="6"/>
      <c r="J422" s="6"/>
      <c r="K422" s="6"/>
      <c r="L422" s="6"/>
      <c r="M422" s="6"/>
      <c r="N422" s="6"/>
      <c r="O422" s="6"/>
      <c r="P422" s="6"/>
      <c r="Q422" s="6"/>
      <c r="R422" s="6"/>
      <c r="S422" s="6"/>
      <c r="T422" s="6"/>
      <c r="U422" s="6"/>
      <c r="V422" s="6"/>
      <c r="W422" s="6"/>
      <c r="X422" s="2" t="str">
        <f t="shared" ca="1" si="30"/>
        <v>Não conforme</v>
      </c>
    </row>
    <row r="423" spans="1:24" x14ac:dyDescent="0.25">
      <c r="A423" s="1">
        <v>5</v>
      </c>
      <c r="B423" s="4">
        <v>45183</v>
      </c>
      <c r="C423" s="3" t="s">
        <v>4</v>
      </c>
      <c r="D423" s="6"/>
      <c r="E423" s="6"/>
      <c r="F423" s="6"/>
      <c r="G423" s="6"/>
      <c r="H423" s="6"/>
      <c r="I423" s="6"/>
      <c r="J423" s="6"/>
      <c r="K423" s="6"/>
      <c r="L423" s="6"/>
      <c r="M423" s="6"/>
      <c r="N423" s="6"/>
      <c r="O423" s="6"/>
      <c r="P423" s="6"/>
      <c r="Q423" s="6"/>
      <c r="R423" s="6"/>
      <c r="S423" s="6"/>
      <c r="T423" s="6"/>
      <c r="U423" s="6"/>
      <c r="V423" s="6"/>
      <c r="W423" s="6"/>
      <c r="X423" s="2" t="str">
        <f t="shared" ca="1" si="30"/>
        <v>Não conforme</v>
      </c>
    </row>
    <row r="424" spans="1:24" x14ac:dyDescent="0.25">
      <c r="A424" s="1">
        <v>6</v>
      </c>
      <c r="B424" s="4">
        <v>45184</v>
      </c>
      <c r="C424" s="3" t="s">
        <v>4</v>
      </c>
      <c r="D424" s="6"/>
      <c r="E424" s="6"/>
      <c r="F424" s="6"/>
      <c r="G424" s="6"/>
      <c r="H424" s="6"/>
      <c r="I424" s="6"/>
      <c r="J424" s="6"/>
      <c r="K424" s="6"/>
      <c r="L424" s="6"/>
      <c r="M424" s="6"/>
      <c r="N424" s="6"/>
      <c r="O424" s="6"/>
      <c r="P424" s="6"/>
      <c r="Q424" s="6"/>
      <c r="R424" s="6"/>
      <c r="S424" s="6"/>
      <c r="T424" s="6"/>
      <c r="U424" s="6"/>
      <c r="V424" s="6"/>
      <c r="W424" s="6"/>
      <c r="X424" s="2" t="str">
        <f t="shared" ca="1" si="30"/>
        <v>Não conforme</v>
      </c>
    </row>
    <row r="425" spans="1:24" x14ac:dyDescent="0.25">
      <c r="A425" s="1">
        <v>2</v>
      </c>
      <c r="B425" s="4">
        <v>45187</v>
      </c>
      <c r="C425" s="3" t="s">
        <v>4</v>
      </c>
      <c r="D425" s="6"/>
      <c r="E425" s="6"/>
      <c r="F425" s="6"/>
      <c r="G425" s="6"/>
      <c r="H425" s="6"/>
      <c r="I425" s="6"/>
      <c r="J425" s="6"/>
      <c r="K425" s="6"/>
      <c r="L425" s="6"/>
      <c r="M425" s="6"/>
      <c r="N425" s="6"/>
      <c r="O425" s="6"/>
      <c r="P425" s="6"/>
      <c r="Q425" s="6"/>
      <c r="R425" s="6"/>
      <c r="S425" s="6"/>
      <c r="T425" s="6"/>
      <c r="U425" s="6"/>
      <c r="V425" s="6"/>
      <c r="W425" s="6"/>
      <c r="X425" s="2" t="str">
        <f t="shared" ca="1" si="30"/>
        <v>Não conforme</v>
      </c>
    </row>
    <row r="426" spans="1:24" x14ac:dyDescent="0.25">
      <c r="A426" s="1">
        <v>3</v>
      </c>
      <c r="B426" s="4">
        <v>45188</v>
      </c>
      <c r="C426" s="3" t="s">
        <v>4</v>
      </c>
      <c r="D426" s="6"/>
      <c r="E426" s="6"/>
      <c r="F426" s="6"/>
      <c r="G426" s="6"/>
      <c r="H426" s="6"/>
      <c r="I426" s="6"/>
      <c r="J426" s="6"/>
      <c r="K426" s="6"/>
      <c r="L426" s="6"/>
      <c r="M426" s="6"/>
      <c r="N426" s="6"/>
      <c r="O426" s="6"/>
      <c r="P426" s="6"/>
      <c r="Q426" s="6"/>
      <c r="R426" s="6"/>
      <c r="S426" s="6"/>
      <c r="T426" s="6"/>
      <c r="U426" s="6"/>
      <c r="V426" s="6"/>
      <c r="W426" s="6"/>
      <c r="X426" s="2" t="str">
        <f t="shared" ca="1" si="30"/>
        <v>Não conforme</v>
      </c>
    </row>
    <row r="427" spans="1:24" x14ac:dyDescent="0.25">
      <c r="A427" s="1">
        <v>4</v>
      </c>
      <c r="B427" s="4">
        <v>45189</v>
      </c>
      <c r="C427" s="3" t="s">
        <v>4</v>
      </c>
      <c r="D427" s="6"/>
      <c r="E427" s="6"/>
      <c r="F427" s="6"/>
      <c r="G427" s="6"/>
      <c r="H427" s="6"/>
      <c r="I427" s="6"/>
      <c r="J427" s="6"/>
      <c r="K427" s="6"/>
      <c r="L427" s="6"/>
      <c r="M427" s="6"/>
      <c r="N427" s="6"/>
      <c r="O427" s="6"/>
      <c r="P427" s="6"/>
      <c r="Q427" s="6"/>
      <c r="R427" s="6"/>
      <c r="S427" s="6"/>
      <c r="T427" s="6"/>
      <c r="U427" s="6"/>
      <c r="V427" s="6"/>
      <c r="W427" s="6"/>
      <c r="X427" s="2" t="str">
        <f t="shared" ca="1" si="30"/>
        <v>Não conforme</v>
      </c>
    </row>
    <row r="428" spans="1:24" x14ac:dyDescent="0.25">
      <c r="A428" s="1">
        <v>5</v>
      </c>
      <c r="B428" s="4">
        <v>45190</v>
      </c>
      <c r="C428" s="3" t="s">
        <v>4</v>
      </c>
      <c r="D428" s="6"/>
      <c r="E428" s="6"/>
      <c r="F428" s="6"/>
      <c r="G428" s="6"/>
      <c r="H428" s="6"/>
      <c r="I428" s="6"/>
      <c r="J428" s="6"/>
      <c r="K428" s="6"/>
      <c r="L428" s="6"/>
      <c r="M428" s="6"/>
      <c r="N428" s="6"/>
      <c r="O428" s="6"/>
      <c r="P428" s="6"/>
      <c r="Q428" s="6"/>
      <c r="R428" s="6"/>
      <c r="S428" s="6"/>
      <c r="T428" s="6"/>
      <c r="U428" s="6"/>
      <c r="V428" s="6"/>
      <c r="W428" s="6"/>
      <c r="X428" s="2" t="str">
        <f t="shared" ca="1" si="30"/>
        <v>Não conforme</v>
      </c>
    </row>
    <row r="429" spans="1:24" x14ac:dyDescent="0.25">
      <c r="A429" s="1">
        <v>6</v>
      </c>
      <c r="B429" s="4">
        <v>45191</v>
      </c>
      <c r="C429" s="3" t="s">
        <v>4</v>
      </c>
      <c r="D429" s="6"/>
      <c r="E429" s="6"/>
      <c r="F429" s="6"/>
      <c r="G429" s="6"/>
      <c r="H429" s="6"/>
      <c r="I429" s="6"/>
      <c r="J429" s="6"/>
      <c r="K429" s="6"/>
      <c r="L429" s="6"/>
      <c r="M429" s="6"/>
      <c r="N429" s="6"/>
      <c r="O429" s="6"/>
      <c r="P429" s="6"/>
      <c r="Q429" s="6"/>
      <c r="R429" s="6"/>
      <c r="S429" s="6"/>
      <c r="T429" s="6"/>
      <c r="U429" s="6"/>
      <c r="V429" s="6"/>
      <c r="W429" s="6"/>
      <c r="X429" s="2" t="str">
        <f t="shared" ca="1" si="30"/>
        <v>Não conforme</v>
      </c>
    </row>
    <row r="430" spans="1:24" x14ac:dyDescent="0.25">
      <c r="A430" s="1">
        <v>2</v>
      </c>
      <c r="B430" s="4">
        <v>45194</v>
      </c>
      <c r="C430" s="3" t="s">
        <v>4</v>
      </c>
      <c r="D430" s="6"/>
      <c r="E430" s="6"/>
      <c r="F430" s="6"/>
      <c r="G430" s="6"/>
      <c r="H430" s="6"/>
      <c r="I430" s="6"/>
      <c r="J430" s="6"/>
      <c r="K430" s="6"/>
      <c r="L430" s="6"/>
      <c r="M430" s="6"/>
      <c r="N430" s="6"/>
      <c r="O430" s="6"/>
      <c r="P430" s="6"/>
      <c r="Q430" s="6"/>
      <c r="R430" s="6"/>
      <c r="S430" s="6"/>
      <c r="T430" s="6"/>
      <c r="U430" s="6"/>
      <c r="V430" s="6"/>
      <c r="W430" s="6"/>
      <c r="X430" s="2" t="str">
        <f t="shared" ca="1" si="30"/>
        <v>Não conforme</v>
      </c>
    </row>
    <row r="431" spans="1:24" x14ac:dyDescent="0.25">
      <c r="A431" s="1">
        <v>3</v>
      </c>
      <c r="B431" s="4">
        <v>45195</v>
      </c>
      <c r="C431" s="3" t="s">
        <v>4</v>
      </c>
      <c r="D431" s="6"/>
      <c r="E431" s="6"/>
      <c r="F431" s="6"/>
      <c r="G431" s="6"/>
      <c r="H431" s="6"/>
      <c r="I431" s="6"/>
      <c r="J431" s="6"/>
      <c r="K431" s="6"/>
      <c r="L431" s="6"/>
      <c r="M431" s="6"/>
      <c r="N431" s="6"/>
      <c r="O431" s="6"/>
      <c r="P431" s="6"/>
      <c r="Q431" s="6"/>
      <c r="R431" s="6"/>
      <c r="S431" s="6"/>
      <c r="T431" s="6"/>
      <c r="U431" s="6"/>
      <c r="V431" s="6"/>
      <c r="W431" s="6"/>
      <c r="X431" s="2" t="str">
        <f t="shared" ca="1" si="30"/>
        <v>Não conforme</v>
      </c>
    </row>
    <row r="432" spans="1:24" x14ac:dyDescent="0.25">
      <c r="A432" s="1">
        <v>4</v>
      </c>
      <c r="B432" s="4">
        <v>45196</v>
      </c>
      <c r="C432" s="3" t="s">
        <v>4</v>
      </c>
      <c r="D432" s="6"/>
      <c r="E432" s="6"/>
      <c r="F432" s="6"/>
      <c r="G432" s="6"/>
      <c r="H432" s="6"/>
      <c r="I432" s="6"/>
      <c r="J432" s="6"/>
      <c r="K432" s="6"/>
      <c r="L432" s="6"/>
      <c r="M432" s="6"/>
      <c r="N432" s="6"/>
      <c r="O432" s="6"/>
      <c r="P432" s="6"/>
      <c r="Q432" s="6"/>
      <c r="R432" s="6"/>
      <c r="S432" s="6"/>
      <c r="T432" s="6"/>
      <c r="U432" s="6"/>
      <c r="V432" s="6"/>
      <c r="W432" s="6"/>
      <c r="X432" s="2" t="str">
        <f t="shared" ca="1" si="30"/>
        <v>Não conforme</v>
      </c>
    </row>
    <row r="433" spans="1:24" x14ac:dyDescent="0.25">
      <c r="A433" s="1">
        <v>5</v>
      </c>
      <c r="B433" s="4">
        <v>45197</v>
      </c>
      <c r="C433" s="3" t="s">
        <v>4</v>
      </c>
      <c r="D433" s="6"/>
      <c r="E433" s="6"/>
      <c r="F433" s="6"/>
      <c r="G433" s="6"/>
      <c r="H433" s="6"/>
      <c r="I433" s="6"/>
      <c r="J433" s="6"/>
      <c r="K433" s="6"/>
      <c r="L433" s="6"/>
      <c r="M433" s="6"/>
      <c r="N433" s="6"/>
      <c r="O433" s="6"/>
      <c r="P433" s="6"/>
      <c r="Q433" s="6"/>
      <c r="R433" s="6"/>
      <c r="S433" s="6"/>
      <c r="T433" s="6"/>
      <c r="U433" s="6"/>
      <c r="V433" s="6"/>
      <c r="W433" s="6"/>
      <c r="X433" s="2" t="str">
        <f t="shared" ref="X433:X443" ca="1" si="31">IF(B433&lt;TODAY(),IF(COUNTBLANK(D433:W433)=0,"Conforme","Não conforme"),"")</f>
        <v>Não conforme</v>
      </c>
    </row>
    <row r="434" spans="1:24" x14ac:dyDescent="0.25">
      <c r="A434" s="1">
        <v>6</v>
      </c>
      <c r="B434" s="4">
        <v>45198</v>
      </c>
      <c r="C434" s="3" t="s">
        <v>4</v>
      </c>
      <c r="D434" s="6"/>
      <c r="E434" s="6"/>
      <c r="F434" s="6"/>
      <c r="G434" s="6"/>
      <c r="H434" s="6"/>
      <c r="I434" s="6"/>
      <c r="J434" s="6"/>
      <c r="K434" s="6"/>
      <c r="L434" s="6"/>
      <c r="M434" s="6"/>
      <c r="N434" s="6"/>
      <c r="O434" s="6"/>
      <c r="P434" s="6"/>
      <c r="Q434" s="6"/>
      <c r="R434" s="6"/>
      <c r="S434" s="6"/>
      <c r="T434" s="6"/>
      <c r="U434" s="6"/>
      <c r="V434" s="6"/>
      <c r="W434" s="6"/>
      <c r="X434" s="2" t="str">
        <f t="shared" ca="1" si="31"/>
        <v>Não conforme</v>
      </c>
    </row>
    <row r="435" spans="1:24" x14ac:dyDescent="0.25">
      <c r="A435" s="1">
        <v>2</v>
      </c>
      <c r="B435" s="4">
        <v>45201</v>
      </c>
      <c r="C435" s="3" t="s">
        <v>4</v>
      </c>
      <c r="D435" s="6"/>
      <c r="E435" s="6"/>
      <c r="F435" s="6"/>
      <c r="G435" s="6"/>
      <c r="H435" s="6"/>
      <c r="I435" s="6"/>
      <c r="J435" s="6"/>
      <c r="K435" s="6"/>
      <c r="L435" s="6"/>
      <c r="M435" s="6"/>
      <c r="N435" s="6"/>
      <c r="O435" s="6"/>
      <c r="P435" s="6"/>
      <c r="Q435" s="6"/>
      <c r="R435" s="6"/>
      <c r="S435" s="6"/>
      <c r="T435" s="6"/>
      <c r="U435" s="6"/>
      <c r="V435" s="6"/>
      <c r="W435" s="6"/>
      <c r="X435" s="2" t="str">
        <f t="shared" ca="1" si="31"/>
        <v>Não conforme</v>
      </c>
    </row>
    <row r="436" spans="1:24" x14ac:dyDescent="0.25">
      <c r="A436" s="1">
        <v>3</v>
      </c>
      <c r="B436" s="4">
        <v>45202</v>
      </c>
      <c r="C436" s="3" t="s">
        <v>4</v>
      </c>
      <c r="D436" s="6"/>
      <c r="E436" s="6"/>
      <c r="F436" s="6"/>
      <c r="G436" s="6"/>
      <c r="H436" s="6"/>
      <c r="I436" s="6"/>
      <c r="J436" s="6"/>
      <c r="K436" s="6"/>
      <c r="L436" s="6"/>
      <c r="M436" s="6"/>
      <c r="N436" s="6"/>
      <c r="O436" s="6"/>
      <c r="P436" s="6"/>
      <c r="Q436" s="6"/>
      <c r="R436" s="6"/>
      <c r="S436" s="6"/>
      <c r="T436" s="6"/>
      <c r="U436" s="6"/>
      <c r="V436" s="6"/>
      <c r="W436" s="6"/>
      <c r="X436" s="2" t="str">
        <f t="shared" ca="1" si="31"/>
        <v>Não conforme</v>
      </c>
    </row>
    <row r="437" spans="1:24" x14ac:dyDescent="0.25">
      <c r="A437" s="1">
        <v>4</v>
      </c>
      <c r="B437" s="4">
        <v>45203</v>
      </c>
      <c r="C437" s="3" t="s">
        <v>4</v>
      </c>
      <c r="D437" s="6"/>
      <c r="E437" s="6"/>
      <c r="F437" s="6"/>
      <c r="G437" s="6"/>
      <c r="H437" s="6"/>
      <c r="I437" s="6"/>
      <c r="J437" s="6"/>
      <c r="K437" s="6"/>
      <c r="L437" s="6"/>
      <c r="M437" s="6"/>
      <c r="N437" s="6"/>
      <c r="O437" s="6"/>
      <c r="P437" s="6"/>
      <c r="Q437" s="6"/>
      <c r="R437" s="6"/>
      <c r="S437" s="6"/>
      <c r="T437" s="6"/>
      <c r="U437" s="6"/>
      <c r="V437" s="6"/>
      <c r="W437" s="6"/>
      <c r="X437" s="2" t="str">
        <f t="shared" ca="1" si="31"/>
        <v>Não conforme</v>
      </c>
    </row>
    <row r="438" spans="1:24" x14ac:dyDescent="0.25">
      <c r="A438" s="1">
        <v>5</v>
      </c>
      <c r="B438" s="4">
        <v>45204</v>
      </c>
      <c r="C438" s="3" t="s">
        <v>4</v>
      </c>
      <c r="D438" s="6"/>
      <c r="E438" s="6"/>
      <c r="F438" s="6"/>
      <c r="G438" s="6"/>
      <c r="H438" s="6"/>
      <c r="I438" s="6"/>
      <c r="J438" s="6"/>
      <c r="K438" s="6"/>
      <c r="L438" s="6"/>
      <c r="M438" s="6"/>
      <c r="N438" s="6"/>
      <c r="O438" s="6"/>
      <c r="P438" s="6"/>
      <c r="Q438" s="6"/>
      <c r="R438" s="6"/>
      <c r="S438" s="6"/>
      <c r="T438" s="6"/>
      <c r="U438" s="6"/>
      <c r="V438" s="6"/>
      <c r="W438" s="6"/>
      <c r="X438" s="2" t="str">
        <f t="shared" ca="1" si="31"/>
        <v>Não conforme</v>
      </c>
    </row>
    <row r="439" spans="1:24" x14ac:dyDescent="0.25">
      <c r="A439" s="1">
        <v>6</v>
      </c>
      <c r="B439" s="4">
        <v>45205</v>
      </c>
      <c r="C439" s="3" t="s">
        <v>4</v>
      </c>
      <c r="D439" s="6"/>
      <c r="E439" s="6"/>
      <c r="F439" s="6"/>
      <c r="G439" s="6"/>
      <c r="H439" s="6"/>
      <c r="I439" s="6"/>
      <c r="J439" s="6"/>
      <c r="K439" s="6"/>
      <c r="L439" s="6"/>
      <c r="M439" s="6"/>
      <c r="N439" s="6"/>
      <c r="O439" s="6"/>
      <c r="P439" s="6"/>
      <c r="Q439" s="6"/>
      <c r="R439" s="6"/>
      <c r="S439" s="6"/>
      <c r="T439" s="6"/>
      <c r="U439" s="6"/>
      <c r="V439" s="6"/>
      <c r="W439" s="6"/>
      <c r="X439" s="2" t="str">
        <f t="shared" ca="1" si="31"/>
        <v>Não conforme</v>
      </c>
    </row>
    <row r="440" spans="1:24" x14ac:dyDescent="0.25">
      <c r="A440" s="1">
        <v>2</v>
      </c>
      <c r="B440" s="4">
        <v>45208</v>
      </c>
      <c r="C440" s="3" t="s">
        <v>4</v>
      </c>
      <c r="D440" s="6"/>
      <c r="E440" s="6"/>
      <c r="F440" s="6"/>
      <c r="G440" s="6"/>
      <c r="H440" s="6"/>
      <c r="I440" s="6"/>
      <c r="J440" s="6"/>
      <c r="K440" s="6"/>
      <c r="L440" s="6"/>
      <c r="M440" s="6"/>
      <c r="N440" s="6"/>
      <c r="O440" s="6"/>
      <c r="P440" s="6"/>
      <c r="Q440" s="6"/>
      <c r="R440" s="6"/>
      <c r="S440" s="6"/>
      <c r="T440" s="6"/>
      <c r="U440" s="6"/>
      <c r="V440" s="6"/>
      <c r="W440" s="6"/>
      <c r="X440" s="2" t="str">
        <f t="shared" ca="1" si="31"/>
        <v>Não conforme</v>
      </c>
    </row>
    <row r="441" spans="1:24" x14ac:dyDescent="0.25">
      <c r="A441" s="1">
        <v>3</v>
      </c>
      <c r="B441" s="4">
        <v>45209</v>
      </c>
      <c r="C441" s="3" t="s">
        <v>4</v>
      </c>
      <c r="D441" s="6"/>
      <c r="E441" s="6"/>
      <c r="F441" s="6"/>
      <c r="G441" s="6"/>
      <c r="H441" s="6"/>
      <c r="I441" s="6"/>
      <c r="J441" s="6"/>
      <c r="K441" s="6"/>
      <c r="L441" s="6"/>
      <c r="M441" s="6"/>
      <c r="N441" s="6"/>
      <c r="O441" s="6"/>
      <c r="P441" s="6"/>
      <c r="Q441" s="6"/>
      <c r="R441" s="6"/>
      <c r="S441" s="6"/>
      <c r="T441" s="6"/>
      <c r="U441" s="6"/>
      <c r="V441" s="6"/>
      <c r="W441" s="6"/>
      <c r="X441" s="2" t="str">
        <f t="shared" ca="1" si="31"/>
        <v>Não conforme</v>
      </c>
    </row>
    <row r="442" spans="1:24" x14ac:dyDescent="0.25">
      <c r="A442" s="1">
        <v>4</v>
      </c>
      <c r="B442" s="4">
        <v>45210</v>
      </c>
      <c r="C442" s="3" t="s">
        <v>4</v>
      </c>
      <c r="D442" s="6"/>
      <c r="E442" s="6"/>
      <c r="F442" s="6"/>
      <c r="G442" s="6"/>
      <c r="H442" s="6"/>
      <c r="I442" s="6"/>
      <c r="J442" s="6"/>
      <c r="K442" s="6"/>
      <c r="L442" s="6"/>
      <c r="M442" s="6"/>
      <c r="N442" s="6"/>
      <c r="O442" s="6"/>
      <c r="P442" s="6"/>
      <c r="Q442" s="6"/>
      <c r="R442" s="6"/>
      <c r="S442" s="6"/>
      <c r="T442" s="6"/>
      <c r="U442" s="6"/>
      <c r="V442" s="6"/>
      <c r="W442" s="6"/>
      <c r="X442" s="2" t="str">
        <f t="shared" ca="1" si="31"/>
        <v>Não conforme</v>
      </c>
    </row>
    <row r="443" spans="1:24" x14ac:dyDescent="0.25">
      <c r="A443" s="1">
        <v>5</v>
      </c>
      <c r="B443" s="4">
        <v>45211</v>
      </c>
      <c r="C443" s="3" t="s">
        <v>4</v>
      </c>
      <c r="D443" s="6"/>
      <c r="E443" s="6"/>
      <c r="F443" s="6"/>
      <c r="G443" s="6"/>
      <c r="H443" s="6"/>
      <c r="I443" s="6"/>
      <c r="J443" s="6"/>
      <c r="K443" s="6"/>
      <c r="L443" s="6"/>
      <c r="M443" s="6"/>
      <c r="N443" s="6"/>
      <c r="O443" s="6"/>
      <c r="P443" s="6"/>
      <c r="Q443" s="6"/>
      <c r="R443" s="6"/>
      <c r="S443" s="6"/>
      <c r="T443" s="6"/>
      <c r="U443" s="6"/>
      <c r="V443" s="6"/>
      <c r="W443" s="6"/>
      <c r="X443" s="2" t="str">
        <f t="shared" ca="1" si="31"/>
        <v>Não conforme</v>
      </c>
    </row>
  </sheetData>
  <autoFilter ref="A1:Y443" xr:uid="{09ABF071-BCC8-4E7A-8606-4F736E872FD8}"/>
  <conditionalFormatting sqref="D2:W443">
    <cfRule type="cellIs" dxfId="16" priority="1" operator="notEqual">
      <formula>0</formula>
    </cfRule>
    <cfRule type="cellIs" dxfId="15" priority="2" operator="equal">
      <formula>0</formula>
    </cfRule>
  </conditionalFormatting>
  <conditionalFormatting sqref="X2:X443">
    <cfRule type="beginsWith" dxfId="14" priority="233" operator="beginsWith" text="Conforme">
      <formula>LEFT(X2,LEN("Conforme"))="Conforme"</formula>
    </cfRule>
    <cfRule type="containsText" dxfId="13" priority="234" operator="containsText" text="Não">
      <formula>NOT(ISERROR(SEARCH("Não",X2)))</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B7D2C-5DE0-4B44-B2C9-6CDB98716C0B}">
  <sheetPr codeName="Sheet5">
    <tabColor theme="8"/>
  </sheetPr>
  <dimension ref="A1:T48"/>
  <sheetViews>
    <sheetView showGridLines="0" topLeftCell="A37" workbookViewId="0">
      <selection activeCell="A48" sqref="A48"/>
    </sheetView>
  </sheetViews>
  <sheetFormatPr defaultRowHeight="15" x14ac:dyDescent="0.25"/>
  <cols>
    <col min="1" max="1" width="23.85546875" bestFit="1" customWidth="1"/>
    <col min="2" max="2" width="33.140625" bestFit="1" customWidth="1"/>
    <col min="3" max="3" width="48.85546875" bestFit="1" customWidth="1"/>
    <col min="4" max="5" width="15.85546875" customWidth="1"/>
    <col min="6" max="6" width="22.7109375" bestFit="1" customWidth="1"/>
    <col min="7" max="7" width="17.7109375" bestFit="1" customWidth="1"/>
    <col min="8" max="8" width="41.7109375" bestFit="1" customWidth="1"/>
    <col min="9" max="9" width="66.5703125" bestFit="1" customWidth="1"/>
    <col min="10" max="10" width="66.5703125" customWidth="1"/>
    <col min="11" max="11" width="61.42578125" bestFit="1" customWidth="1"/>
    <col min="12" max="12" width="88.5703125" bestFit="1" customWidth="1"/>
    <col min="13" max="13" width="20.85546875" bestFit="1" customWidth="1"/>
    <col min="14" max="14" width="8.7109375" customWidth="1"/>
    <col min="15" max="15" width="22.5703125" bestFit="1" customWidth="1"/>
    <col min="16" max="16" width="8.7109375" customWidth="1"/>
    <col min="17" max="17" width="10" bestFit="1" customWidth="1"/>
    <col min="18" max="18" width="23.85546875" bestFit="1" customWidth="1"/>
    <col min="19" max="19" width="6.42578125" bestFit="1" customWidth="1"/>
    <col min="20" max="20" width="43.140625" bestFit="1" customWidth="1"/>
  </cols>
  <sheetData>
    <row r="1" spans="1:20" x14ac:dyDescent="0.25">
      <c r="A1" s="10" t="s">
        <v>43</v>
      </c>
      <c r="B1" s="10" t="s">
        <v>62</v>
      </c>
      <c r="C1" s="10" t="s">
        <v>45</v>
      </c>
      <c r="D1" s="10" t="s">
        <v>44</v>
      </c>
      <c r="E1" s="10" t="s">
        <v>80</v>
      </c>
      <c r="F1" s="10" t="s">
        <v>92</v>
      </c>
      <c r="G1" s="10" t="s">
        <v>82</v>
      </c>
      <c r="H1" s="10" t="s">
        <v>79</v>
      </c>
      <c r="I1" s="10" t="s">
        <v>54</v>
      </c>
      <c r="J1" s="10" t="s">
        <v>98</v>
      </c>
      <c r="K1" s="10" t="s">
        <v>88</v>
      </c>
      <c r="L1" s="10" t="s">
        <v>46</v>
      </c>
      <c r="M1" s="10" t="s">
        <v>41</v>
      </c>
      <c r="N1" s="61" t="s">
        <v>401</v>
      </c>
      <c r="O1" s="61" t="s">
        <v>402</v>
      </c>
      <c r="Q1" s="10" t="s">
        <v>0</v>
      </c>
      <c r="R1" s="10" t="s">
        <v>102</v>
      </c>
      <c r="S1" s="10" t="s">
        <v>103</v>
      </c>
      <c r="T1" s="10" t="s">
        <v>5</v>
      </c>
    </row>
    <row r="2" spans="1:20" x14ac:dyDescent="0.25">
      <c r="A2" s="8" t="s">
        <v>52</v>
      </c>
      <c r="B2" s="8" t="s">
        <v>63</v>
      </c>
      <c r="C2" s="8" t="s">
        <v>64</v>
      </c>
      <c r="D2" s="8" t="s">
        <v>61</v>
      </c>
      <c r="E2" s="2" t="s">
        <v>81</v>
      </c>
      <c r="F2" s="2" t="s">
        <v>85</v>
      </c>
      <c r="G2" s="2" t="s">
        <v>83</v>
      </c>
      <c r="H2" s="8" t="s">
        <v>94</v>
      </c>
      <c r="I2" s="2" t="s">
        <v>91</v>
      </c>
      <c r="J2" s="2" t="s">
        <v>99</v>
      </c>
      <c r="K2" s="2" t="s">
        <v>86</v>
      </c>
      <c r="L2" s="2" t="s">
        <v>90</v>
      </c>
      <c r="M2" s="14">
        <v>44718</v>
      </c>
      <c r="N2" s="2" t="s">
        <v>36</v>
      </c>
      <c r="O2" s="14"/>
      <c r="Q2" s="14">
        <v>44718</v>
      </c>
      <c r="R2" s="8" t="s">
        <v>49</v>
      </c>
      <c r="S2" s="8">
        <f t="shared" ref="S2:S20" si="0">COUNTIFS($A:$A,$R2,$M:$M,$Q2)</f>
        <v>0</v>
      </c>
      <c r="T2" s="8" t="s">
        <v>104</v>
      </c>
    </row>
    <row r="3" spans="1:20" x14ac:dyDescent="0.25">
      <c r="A3" s="8" t="s">
        <v>52</v>
      </c>
      <c r="B3" s="8" t="s">
        <v>63</v>
      </c>
      <c r="C3" s="8" t="s">
        <v>65</v>
      </c>
      <c r="D3" s="8" t="s">
        <v>61</v>
      </c>
      <c r="E3" s="2" t="s">
        <v>81</v>
      </c>
      <c r="F3" s="2" t="s">
        <v>85</v>
      </c>
      <c r="G3" s="2" t="s">
        <v>83</v>
      </c>
      <c r="H3" s="8" t="s">
        <v>94</v>
      </c>
      <c r="I3" s="2" t="s">
        <v>91</v>
      </c>
      <c r="J3" s="2" t="s">
        <v>99</v>
      </c>
      <c r="K3" s="2" t="s">
        <v>86</v>
      </c>
      <c r="L3" s="2" t="s">
        <v>90</v>
      </c>
      <c r="M3" s="14">
        <v>44718</v>
      </c>
      <c r="N3" s="2" t="s">
        <v>36</v>
      </c>
      <c r="O3" s="14"/>
      <c r="Q3" s="14">
        <v>44718</v>
      </c>
      <c r="R3" s="8" t="s">
        <v>55</v>
      </c>
      <c r="S3" s="8">
        <f t="shared" si="0"/>
        <v>0</v>
      </c>
      <c r="T3" s="8" t="s">
        <v>104</v>
      </c>
    </row>
    <row r="4" spans="1:20" x14ac:dyDescent="0.25">
      <c r="A4" s="8" t="s">
        <v>52</v>
      </c>
      <c r="B4" s="8" t="s">
        <v>63</v>
      </c>
      <c r="C4" s="8" t="s">
        <v>66</v>
      </c>
      <c r="D4" s="8" t="s">
        <v>61</v>
      </c>
      <c r="E4" s="2" t="s">
        <v>81</v>
      </c>
      <c r="F4" s="2" t="s">
        <v>85</v>
      </c>
      <c r="G4" s="2" t="s">
        <v>83</v>
      </c>
      <c r="H4" s="8" t="s">
        <v>94</v>
      </c>
      <c r="I4" s="2" t="s">
        <v>91</v>
      </c>
      <c r="J4" s="2" t="s">
        <v>99</v>
      </c>
      <c r="K4" s="2" t="s">
        <v>86</v>
      </c>
      <c r="L4" s="2" t="s">
        <v>90</v>
      </c>
      <c r="M4" s="14">
        <v>44718</v>
      </c>
      <c r="N4" s="2" t="s">
        <v>36</v>
      </c>
      <c r="O4" s="14"/>
      <c r="Q4" s="14">
        <v>44718</v>
      </c>
      <c r="R4" s="8" t="s">
        <v>56</v>
      </c>
      <c r="S4" s="8">
        <f t="shared" si="0"/>
        <v>0</v>
      </c>
      <c r="T4" s="8" t="s">
        <v>104</v>
      </c>
    </row>
    <row r="5" spans="1:20" x14ac:dyDescent="0.25">
      <c r="A5" s="8" t="s">
        <v>52</v>
      </c>
      <c r="B5" s="8" t="s">
        <v>63</v>
      </c>
      <c r="C5" s="8" t="s">
        <v>67</v>
      </c>
      <c r="D5" s="8" t="s">
        <v>61</v>
      </c>
      <c r="E5" s="2" t="s">
        <v>81</v>
      </c>
      <c r="F5" s="2" t="s">
        <v>85</v>
      </c>
      <c r="G5" s="2" t="s">
        <v>83</v>
      </c>
      <c r="H5" s="8" t="s">
        <v>94</v>
      </c>
      <c r="I5" s="2" t="s">
        <v>91</v>
      </c>
      <c r="J5" s="2" t="s">
        <v>99</v>
      </c>
      <c r="K5" s="2" t="s">
        <v>86</v>
      </c>
      <c r="L5" s="2" t="s">
        <v>90</v>
      </c>
      <c r="M5" s="14">
        <v>44718</v>
      </c>
      <c r="N5" s="2" t="s">
        <v>36</v>
      </c>
      <c r="O5" s="14"/>
      <c r="Q5" s="14">
        <v>44718</v>
      </c>
      <c r="R5" s="8" t="s">
        <v>50</v>
      </c>
      <c r="S5" s="8">
        <f t="shared" si="0"/>
        <v>0</v>
      </c>
      <c r="T5" s="8" t="s">
        <v>104</v>
      </c>
    </row>
    <row r="6" spans="1:20" x14ac:dyDescent="0.25">
      <c r="A6" s="8" t="s">
        <v>52</v>
      </c>
      <c r="B6" s="8" t="s">
        <v>63</v>
      </c>
      <c r="C6" s="8" t="s">
        <v>68</v>
      </c>
      <c r="D6" s="8" t="s">
        <v>61</v>
      </c>
      <c r="E6" s="2" t="s">
        <v>81</v>
      </c>
      <c r="F6" s="2" t="s">
        <v>85</v>
      </c>
      <c r="G6" s="2" t="s">
        <v>83</v>
      </c>
      <c r="H6" s="8" t="s">
        <v>94</v>
      </c>
      <c r="I6" s="2" t="s">
        <v>91</v>
      </c>
      <c r="J6" s="2" t="s">
        <v>99</v>
      </c>
      <c r="K6" s="2" t="s">
        <v>86</v>
      </c>
      <c r="L6" s="2" t="s">
        <v>90</v>
      </c>
      <c r="M6" s="14">
        <v>44718</v>
      </c>
      <c r="N6" s="2" t="s">
        <v>36</v>
      </c>
      <c r="O6" s="14"/>
      <c r="Q6" s="14">
        <v>44718</v>
      </c>
      <c r="R6" s="8" t="s">
        <v>51</v>
      </c>
      <c r="S6" s="8">
        <f t="shared" si="0"/>
        <v>0</v>
      </c>
      <c r="T6" s="8" t="s">
        <v>104</v>
      </c>
    </row>
    <row r="7" spans="1:20" x14ac:dyDescent="0.25">
      <c r="A7" s="8" t="s">
        <v>52</v>
      </c>
      <c r="B7" s="8" t="s">
        <v>63</v>
      </c>
      <c r="C7" s="8" t="s">
        <v>69</v>
      </c>
      <c r="D7" s="8" t="s">
        <v>61</v>
      </c>
      <c r="E7" s="2" t="s">
        <v>81</v>
      </c>
      <c r="F7" s="2" t="s">
        <v>85</v>
      </c>
      <c r="G7" s="2" t="s">
        <v>83</v>
      </c>
      <c r="H7" s="8" t="s">
        <v>94</v>
      </c>
      <c r="I7" s="2" t="s">
        <v>91</v>
      </c>
      <c r="J7" s="2" t="s">
        <v>99</v>
      </c>
      <c r="K7" s="2" t="s">
        <v>86</v>
      </c>
      <c r="L7" s="2" t="s">
        <v>90</v>
      </c>
      <c r="M7" s="14">
        <v>44718</v>
      </c>
      <c r="N7" s="2" t="s">
        <v>36</v>
      </c>
      <c r="O7" s="14"/>
      <c r="Q7" s="14">
        <v>44718</v>
      </c>
      <c r="R7" s="8" t="s">
        <v>52</v>
      </c>
      <c r="S7" s="8">
        <f t="shared" si="0"/>
        <v>17</v>
      </c>
      <c r="T7" s="8" t="s">
        <v>105</v>
      </c>
    </row>
    <row r="8" spans="1:20" x14ac:dyDescent="0.25">
      <c r="A8" s="8" t="s">
        <v>52</v>
      </c>
      <c r="B8" s="8" t="s">
        <v>63</v>
      </c>
      <c r="C8" s="8" t="s">
        <v>57</v>
      </c>
      <c r="D8" s="8" t="s">
        <v>61</v>
      </c>
      <c r="E8" s="2" t="s">
        <v>81</v>
      </c>
      <c r="F8" s="2" t="s">
        <v>85</v>
      </c>
      <c r="G8" s="2" t="s">
        <v>83</v>
      </c>
      <c r="H8" s="8" t="s">
        <v>94</v>
      </c>
      <c r="I8" s="2" t="s">
        <v>91</v>
      </c>
      <c r="J8" s="2" t="s">
        <v>99</v>
      </c>
      <c r="K8" s="2" t="s">
        <v>86</v>
      </c>
      <c r="L8" s="2" t="s">
        <v>90</v>
      </c>
      <c r="M8" s="14">
        <v>44718</v>
      </c>
      <c r="N8" s="2" t="s">
        <v>36</v>
      </c>
      <c r="O8" s="14"/>
      <c r="Q8" s="14">
        <v>44718</v>
      </c>
      <c r="R8" s="8" t="s">
        <v>53</v>
      </c>
      <c r="S8" s="8">
        <f t="shared" si="0"/>
        <v>0</v>
      </c>
      <c r="T8" s="8" t="s">
        <v>104</v>
      </c>
    </row>
    <row r="9" spans="1:20" x14ac:dyDescent="0.25">
      <c r="A9" s="8" t="s">
        <v>52</v>
      </c>
      <c r="B9" s="8" t="s">
        <v>63</v>
      </c>
      <c r="C9" s="8" t="s">
        <v>58</v>
      </c>
      <c r="D9" s="8" t="s">
        <v>61</v>
      </c>
      <c r="E9" s="2" t="s">
        <v>81</v>
      </c>
      <c r="F9" s="2" t="s">
        <v>85</v>
      </c>
      <c r="G9" s="2" t="s">
        <v>83</v>
      </c>
      <c r="H9" s="8" t="s">
        <v>94</v>
      </c>
      <c r="I9" s="2" t="s">
        <v>91</v>
      </c>
      <c r="J9" s="2" t="s">
        <v>99</v>
      </c>
      <c r="K9" s="2" t="s">
        <v>86</v>
      </c>
      <c r="L9" s="2" t="s">
        <v>90</v>
      </c>
      <c r="M9" s="14">
        <v>44718</v>
      </c>
      <c r="N9" s="2" t="s">
        <v>36</v>
      </c>
      <c r="O9" s="14"/>
      <c r="Q9" s="14">
        <v>44831</v>
      </c>
      <c r="R9" s="8" t="s">
        <v>49</v>
      </c>
      <c r="S9" s="8">
        <f t="shared" si="0"/>
        <v>0</v>
      </c>
      <c r="T9" s="8" t="s">
        <v>104</v>
      </c>
    </row>
    <row r="10" spans="1:20" x14ac:dyDescent="0.25">
      <c r="A10" s="8" t="s">
        <v>52</v>
      </c>
      <c r="B10" s="8" t="s">
        <v>63</v>
      </c>
      <c r="C10" s="8" t="s">
        <v>70</v>
      </c>
      <c r="D10" s="8" t="s">
        <v>61</v>
      </c>
      <c r="E10" s="2" t="s">
        <v>81</v>
      </c>
      <c r="F10" s="2" t="s">
        <v>85</v>
      </c>
      <c r="G10" s="2" t="s">
        <v>83</v>
      </c>
      <c r="H10" s="8" t="s">
        <v>94</v>
      </c>
      <c r="I10" s="2" t="s">
        <v>91</v>
      </c>
      <c r="J10" s="2" t="s">
        <v>99</v>
      </c>
      <c r="K10" s="2" t="s">
        <v>86</v>
      </c>
      <c r="L10" s="2" t="s">
        <v>90</v>
      </c>
      <c r="M10" s="14">
        <v>44718</v>
      </c>
      <c r="N10" s="2" t="s">
        <v>36</v>
      </c>
      <c r="O10" s="14"/>
      <c r="Q10" s="14">
        <v>44831</v>
      </c>
      <c r="R10" s="8" t="s">
        <v>55</v>
      </c>
      <c r="S10" s="8">
        <f t="shared" si="0"/>
        <v>0</v>
      </c>
      <c r="T10" s="8" t="s">
        <v>104</v>
      </c>
    </row>
    <row r="11" spans="1:20" x14ac:dyDescent="0.25">
      <c r="A11" s="8" t="s">
        <v>52</v>
      </c>
      <c r="B11" s="8" t="s">
        <v>63</v>
      </c>
      <c r="C11" s="8" t="s">
        <v>59</v>
      </c>
      <c r="D11" s="12" t="s">
        <v>78</v>
      </c>
      <c r="E11" s="2" t="s">
        <v>81</v>
      </c>
      <c r="F11" s="2" t="s">
        <v>85</v>
      </c>
      <c r="G11" s="2" t="s">
        <v>83</v>
      </c>
      <c r="H11" s="8" t="s">
        <v>94</v>
      </c>
      <c r="I11" s="2" t="s">
        <v>91</v>
      </c>
      <c r="J11" s="2" t="s">
        <v>99</v>
      </c>
      <c r="K11" s="2" t="s">
        <v>89</v>
      </c>
      <c r="L11" s="2" t="s">
        <v>90</v>
      </c>
      <c r="M11" s="14">
        <v>44718</v>
      </c>
      <c r="N11" s="2" t="s">
        <v>36</v>
      </c>
      <c r="O11" s="14"/>
      <c r="Q11" s="14">
        <v>44831</v>
      </c>
      <c r="R11" s="8" t="s">
        <v>56</v>
      </c>
      <c r="S11" s="8">
        <f t="shared" si="0"/>
        <v>0</v>
      </c>
      <c r="T11" s="8" t="s">
        <v>104</v>
      </c>
    </row>
    <row r="12" spans="1:20" x14ac:dyDescent="0.25">
      <c r="A12" s="8" t="s">
        <v>52</v>
      </c>
      <c r="B12" s="8" t="s">
        <v>63</v>
      </c>
      <c r="C12" s="8" t="s">
        <v>71</v>
      </c>
      <c r="D12" s="12" t="s">
        <v>78</v>
      </c>
      <c r="E12" s="2" t="s">
        <v>81</v>
      </c>
      <c r="F12" s="2" t="s">
        <v>85</v>
      </c>
      <c r="G12" s="2" t="s">
        <v>83</v>
      </c>
      <c r="H12" s="8" t="s">
        <v>94</v>
      </c>
      <c r="I12" s="2" t="s">
        <v>91</v>
      </c>
      <c r="J12" s="2" t="s">
        <v>99</v>
      </c>
      <c r="K12" s="2" t="s">
        <v>97</v>
      </c>
      <c r="L12" s="2" t="s">
        <v>90</v>
      </c>
      <c r="M12" s="14">
        <v>44718</v>
      </c>
      <c r="N12" s="2" t="s">
        <v>36</v>
      </c>
      <c r="O12" s="14"/>
      <c r="Q12" s="14">
        <v>44831</v>
      </c>
      <c r="R12" s="8" t="s">
        <v>50</v>
      </c>
      <c r="S12" s="8">
        <f t="shared" si="0"/>
        <v>0</v>
      </c>
      <c r="T12" s="8" t="s">
        <v>104</v>
      </c>
    </row>
    <row r="13" spans="1:20" x14ac:dyDescent="0.25">
      <c r="A13" s="8" t="s">
        <v>52</v>
      </c>
      <c r="B13" s="8" t="s">
        <v>63</v>
      </c>
      <c r="C13" s="8" t="s">
        <v>72</v>
      </c>
      <c r="D13" s="8" t="s">
        <v>61</v>
      </c>
      <c r="E13" s="2" t="s">
        <v>81</v>
      </c>
      <c r="F13" s="2" t="s">
        <v>85</v>
      </c>
      <c r="G13" s="2" t="s">
        <v>83</v>
      </c>
      <c r="H13" s="8" t="s">
        <v>94</v>
      </c>
      <c r="I13" s="2" t="s">
        <v>91</v>
      </c>
      <c r="J13" s="2" t="s">
        <v>99</v>
      </c>
      <c r="K13" s="2" t="s">
        <v>86</v>
      </c>
      <c r="L13" s="2" t="s">
        <v>90</v>
      </c>
      <c r="M13" s="14">
        <v>44718</v>
      </c>
      <c r="N13" s="2" t="s">
        <v>36</v>
      </c>
      <c r="O13" s="14"/>
      <c r="Q13" s="14">
        <v>44831</v>
      </c>
      <c r="R13" s="8" t="s">
        <v>51</v>
      </c>
      <c r="S13" s="8">
        <f t="shared" si="0"/>
        <v>0</v>
      </c>
      <c r="T13" s="8" t="s">
        <v>104</v>
      </c>
    </row>
    <row r="14" spans="1:20" x14ac:dyDescent="0.25">
      <c r="A14" s="8" t="s">
        <v>52</v>
      </c>
      <c r="B14" s="8" t="s">
        <v>63</v>
      </c>
      <c r="C14" s="8" t="s">
        <v>60</v>
      </c>
      <c r="D14" s="8" t="s">
        <v>61</v>
      </c>
      <c r="E14" s="2" t="s">
        <v>81</v>
      </c>
      <c r="F14" s="2" t="s">
        <v>85</v>
      </c>
      <c r="G14" s="2" t="s">
        <v>83</v>
      </c>
      <c r="H14" s="8" t="s">
        <v>94</v>
      </c>
      <c r="I14" s="2" t="s">
        <v>91</v>
      </c>
      <c r="J14" s="2" t="s">
        <v>99</v>
      </c>
      <c r="K14" s="2" t="s">
        <v>86</v>
      </c>
      <c r="L14" s="2" t="s">
        <v>90</v>
      </c>
      <c r="M14" s="14">
        <v>44718</v>
      </c>
      <c r="N14" s="2" t="s">
        <v>36</v>
      </c>
      <c r="O14" s="14"/>
      <c r="Q14" s="14">
        <v>44831</v>
      </c>
      <c r="R14" s="8" t="s">
        <v>52</v>
      </c>
      <c r="S14" s="8">
        <f t="shared" si="0"/>
        <v>15</v>
      </c>
      <c r="T14" s="8" t="s">
        <v>105</v>
      </c>
    </row>
    <row r="15" spans="1:20" x14ac:dyDescent="0.25">
      <c r="A15" s="8" t="s">
        <v>52</v>
      </c>
      <c r="B15" s="8" t="s">
        <v>63</v>
      </c>
      <c r="C15" s="8" t="s">
        <v>73</v>
      </c>
      <c r="D15" s="8" t="s">
        <v>61</v>
      </c>
      <c r="E15" s="2" t="s">
        <v>81</v>
      </c>
      <c r="F15" s="2" t="s">
        <v>85</v>
      </c>
      <c r="G15" s="2" t="s">
        <v>83</v>
      </c>
      <c r="H15" s="8" t="s">
        <v>94</v>
      </c>
      <c r="I15" s="2" t="s">
        <v>91</v>
      </c>
      <c r="J15" s="2" t="s">
        <v>99</v>
      </c>
      <c r="K15" s="2" t="s">
        <v>86</v>
      </c>
      <c r="L15" s="2" t="s">
        <v>90</v>
      </c>
      <c r="M15" s="14">
        <v>44718</v>
      </c>
      <c r="N15" s="2" t="s">
        <v>36</v>
      </c>
      <c r="O15" s="14"/>
      <c r="Q15" s="14">
        <v>44831</v>
      </c>
      <c r="R15" s="8" t="s">
        <v>53</v>
      </c>
      <c r="S15" s="8">
        <f>COUNTIFS($A:$A,$R15,$M:$M,$Q15)</f>
        <v>0</v>
      </c>
      <c r="T15" s="8" t="s">
        <v>104</v>
      </c>
    </row>
    <row r="16" spans="1:20" x14ac:dyDescent="0.25">
      <c r="A16" s="8" t="s">
        <v>52</v>
      </c>
      <c r="B16" s="8" t="s">
        <v>63</v>
      </c>
      <c r="C16" s="8" t="s">
        <v>74</v>
      </c>
      <c r="D16" s="8" t="s">
        <v>61</v>
      </c>
      <c r="E16" s="2" t="s">
        <v>81</v>
      </c>
      <c r="F16" s="2" t="s">
        <v>85</v>
      </c>
      <c r="G16" s="2" t="s">
        <v>83</v>
      </c>
      <c r="H16" s="8" t="s">
        <v>94</v>
      </c>
      <c r="I16" s="2" t="s">
        <v>91</v>
      </c>
      <c r="J16" s="2" t="s">
        <v>99</v>
      </c>
      <c r="K16" s="2" t="s">
        <v>86</v>
      </c>
      <c r="L16" s="2" t="s">
        <v>90</v>
      </c>
      <c r="M16" s="14">
        <v>44718</v>
      </c>
      <c r="N16" s="2" t="s">
        <v>36</v>
      </c>
      <c r="O16" s="14"/>
      <c r="Q16" s="14">
        <v>45258</v>
      </c>
      <c r="R16" s="8" t="s">
        <v>49</v>
      </c>
      <c r="S16" s="8">
        <f t="shared" si="0"/>
        <v>0</v>
      </c>
      <c r="T16" s="8" t="s">
        <v>104</v>
      </c>
    </row>
    <row r="17" spans="1:20" x14ac:dyDescent="0.25">
      <c r="A17" s="8" t="s">
        <v>52</v>
      </c>
      <c r="B17" s="8" t="s">
        <v>63</v>
      </c>
      <c r="C17" s="8" t="s">
        <v>75</v>
      </c>
      <c r="D17" s="8" t="s">
        <v>61</v>
      </c>
      <c r="E17" s="2" t="s">
        <v>81</v>
      </c>
      <c r="F17" s="2" t="s">
        <v>85</v>
      </c>
      <c r="G17" s="2" t="s">
        <v>83</v>
      </c>
      <c r="H17" s="8" t="s">
        <v>94</v>
      </c>
      <c r="I17" s="2" t="s">
        <v>91</v>
      </c>
      <c r="J17" s="2" t="s">
        <v>99</v>
      </c>
      <c r="K17" s="2" t="s">
        <v>86</v>
      </c>
      <c r="L17" s="2" t="s">
        <v>90</v>
      </c>
      <c r="M17" s="14">
        <v>44718</v>
      </c>
      <c r="N17" s="2" t="s">
        <v>36</v>
      </c>
      <c r="O17" s="14"/>
      <c r="Q17" s="14">
        <v>45258</v>
      </c>
      <c r="R17" s="8" t="s">
        <v>55</v>
      </c>
      <c r="S17" s="8">
        <f t="shared" si="0"/>
        <v>0</v>
      </c>
      <c r="T17" s="8" t="s">
        <v>104</v>
      </c>
    </row>
    <row r="18" spans="1:20" x14ac:dyDescent="0.25">
      <c r="A18" s="15" t="s">
        <v>52</v>
      </c>
      <c r="B18" s="15" t="s">
        <v>77</v>
      </c>
      <c r="C18" s="15" t="s">
        <v>76</v>
      </c>
      <c r="D18" s="16" t="s">
        <v>78</v>
      </c>
      <c r="E18" s="13" t="s">
        <v>81</v>
      </c>
      <c r="F18" s="13" t="s">
        <v>85</v>
      </c>
      <c r="G18" s="13" t="s">
        <v>84</v>
      </c>
      <c r="H18" s="15" t="s">
        <v>95</v>
      </c>
      <c r="I18" s="13" t="s">
        <v>93</v>
      </c>
      <c r="J18" s="13" t="s">
        <v>100</v>
      </c>
      <c r="K18" s="13" t="s">
        <v>87</v>
      </c>
      <c r="L18" s="13" t="s">
        <v>96</v>
      </c>
      <c r="M18" s="17">
        <v>44718</v>
      </c>
      <c r="N18" s="13" t="s">
        <v>36</v>
      </c>
      <c r="O18" s="17"/>
      <c r="Q18" s="14">
        <v>45258</v>
      </c>
      <c r="R18" s="8" t="s">
        <v>56</v>
      </c>
      <c r="S18" s="8">
        <f t="shared" si="0"/>
        <v>0</v>
      </c>
      <c r="T18" s="8" t="s">
        <v>104</v>
      </c>
    </row>
    <row r="19" spans="1:20" x14ac:dyDescent="0.25">
      <c r="A19" s="8" t="s">
        <v>52</v>
      </c>
      <c r="B19" s="8" t="s">
        <v>63</v>
      </c>
      <c r="C19" s="8" t="s">
        <v>64</v>
      </c>
      <c r="D19" s="8" t="s">
        <v>61</v>
      </c>
      <c r="E19" s="2" t="s">
        <v>81</v>
      </c>
      <c r="F19" s="2" t="s">
        <v>85</v>
      </c>
      <c r="G19" s="2" t="s">
        <v>83</v>
      </c>
      <c r="H19" s="8" t="s">
        <v>94</v>
      </c>
      <c r="I19" s="2" t="s">
        <v>91</v>
      </c>
      <c r="J19" s="2" t="s">
        <v>99</v>
      </c>
      <c r="K19" s="2" t="s">
        <v>86</v>
      </c>
      <c r="L19" s="2" t="s">
        <v>90</v>
      </c>
      <c r="M19" s="14">
        <v>44831</v>
      </c>
      <c r="N19" s="2" t="s">
        <v>36</v>
      </c>
      <c r="O19" s="14">
        <f>EOMONTH(M19,12)</f>
        <v>45199</v>
      </c>
      <c r="Q19" s="14">
        <v>45258</v>
      </c>
      <c r="R19" s="8" t="s">
        <v>50</v>
      </c>
      <c r="S19" s="8">
        <f t="shared" si="0"/>
        <v>0</v>
      </c>
      <c r="T19" s="8" t="s">
        <v>104</v>
      </c>
    </row>
    <row r="20" spans="1:20" x14ac:dyDescent="0.25">
      <c r="A20" s="8" t="s">
        <v>52</v>
      </c>
      <c r="B20" s="8" t="s">
        <v>63</v>
      </c>
      <c r="C20" s="8" t="s">
        <v>65</v>
      </c>
      <c r="D20" s="8" t="s">
        <v>61</v>
      </c>
      <c r="E20" s="2" t="s">
        <v>81</v>
      </c>
      <c r="F20" s="2" t="s">
        <v>85</v>
      </c>
      <c r="G20" s="2" t="s">
        <v>83</v>
      </c>
      <c r="H20" s="8" t="s">
        <v>94</v>
      </c>
      <c r="I20" s="2" t="s">
        <v>91</v>
      </c>
      <c r="J20" s="2" t="s">
        <v>99</v>
      </c>
      <c r="K20" s="2" t="s">
        <v>86</v>
      </c>
      <c r="L20" s="2" t="s">
        <v>90</v>
      </c>
      <c r="M20" s="14">
        <v>44831</v>
      </c>
      <c r="N20" s="2" t="s">
        <v>36</v>
      </c>
      <c r="O20" s="14">
        <f t="shared" ref="O20:O33" si="1">EOMONTH(M20,12)</f>
        <v>45199</v>
      </c>
      <c r="Q20" s="14">
        <v>45258</v>
      </c>
      <c r="R20" s="8" t="s">
        <v>51</v>
      </c>
      <c r="S20" s="8">
        <f t="shared" si="0"/>
        <v>0</v>
      </c>
      <c r="T20" s="8" t="s">
        <v>104</v>
      </c>
    </row>
    <row r="21" spans="1:20" x14ac:dyDescent="0.25">
      <c r="A21" s="8" t="s">
        <v>52</v>
      </c>
      <c r="B21" s="8" t="s">
        <v>63</v>
      </c>
      <c r="C21" s="8" t="s">
        <v>66</v>
      </c>
      <c r="D21" s="8" t="s">
        <v>61</v>
      </c>
      <c r="E21" s="2" t="s">
        <v>81</v>
      </c>
      <c r="F21" s="2" t="s">
        <v>85</v>
      </c>
      <c r="G21" s="2" t="s">
        <v>83</v>
      </c>
      <c r="H21" s="8" t="s">
        <v>94</v>
      </c>
      <c r="I21" s="2" t="s">
        <v>91</v>
      </c>
      <c r="J21" s="2" t="s">
        <v>99</v>
      </c>
      <c r="K21" s="2" t="s">
        <v>86</v>
      </c>
      <c r="L21" s="2" t="s">
        <v>90</v>
      </c>
      <c r="M21" s="14">
        <v>44831</v>
      </c>
      <c r="N21" s="2" t="s">
        <v>36</v>
      </c>
      <c r="O21" s="14">
        <f t="shared" si="1"/>
        <v>45199</v>
      </c>
      <c r="Q21" s="14">
        <v>45258</v>
      </c>
      <c r="R21" s="8" t="s">
        <v>52</v>
      </c>
      <c r="S21" s="8">
        <f>COUNTIFS($A:$A,$R21,$M:$M,$Q21)</f>
        <v>15</v>
      </c>
      <c r="T21" s="8" t="s">
        <v>105</v>
      </c>
    </row>
    <row r="22" spans="1:20" x14ac:dyDescent="0.25">
      <c r="A22" s="8" t="s">
        <v>52</v>
      </c>
      <c r="B22" s="8" t="s">
        <v>63</v>
      </c>
      <c r="C22" s="8" t="s">
        <v>67</v>
      </c>
      <c r="D22" s="8" t="s">
        <v>61</v>
      </c>
      <c r="E22" s="2" t="s">
        <v>81</v>
      </c>
      <c r="F22" s="2" t="s">
        <v>85</v>
      </c>
      <c r="G22" s="2" t="s">
        <v>83</v>
      </c>
      <c r="H22" s="8" t="s">
        <v>94</v>
      </c>
      <c r="I22" s="2" t="s">
        <v>91</v>
      </c>
      <c r="J22" s="2" t="s">
        <v>99</v>
      </c>
      <c r="K22" s="2" t="s">
        <v>86</v>
      </c>
      <c r="L22" s="2" t="s">
        <v>90</v>
      </c>
      <c r="M22" s="14">
        <v>44831</v>
      </c>
      <c r="N22" s="2" t="s">
        <v>36</v>
      </c>
      <c r="O22" s="14">
        <f t="shared" si="1"/>
        <v>45199</v>
      </c>
      <c r="Q22" s="14">
        <v>45258</v>
      </c>
      <c r="R22" s="8" t="s">
        <v>53</v>
      </c>
      <c r="S22" s="8">
        <f>COUNTIFS($A:$A,$R22,$M:$M,$Q22)</f>
        <v>0</v>
      </c>
      <c r="T22" s="8" t="s">
        <v>104</v>
      </c>
    </row>
    <row r="23" spans="1:20" x14ac:dyDescent="0.25">
      <c r="A23" s="8" t="s">
        <v>52</v>
      </c>
      <c r="B23" s="8" t="s">
        <v>63</v>
      </c>
      <c r="C23" s="8" t="s">
        <v>68</v>
      </c>
      <c r="D23" s="8" t="s">
        <v>61</v>
      </c>
      <c r="E23" s="2" t="s">
        <v>81</v>
      </c>
      <c r="F23" s="2" t="s">
        <v>85</v>
      </c>
      <c r="G23" s="2" t="s">
        <v>83</v>
      </c>
      <c r="H23" s="8" t="s">
        <v>94</v>
      </c>
      <c r="I23" s="2" t="s">
        <v>91</v>
      </c>
      <c r="J23" s="2" t="s">
        <v>99</v>
      </c>
      <c r="K23" s="2" t="s">
        <v>86</v>
      </c>
      <c r="L23" s="2" t="s">
        <v>90</v>
      </c>
      <c r="M23" s="14">
        <v>44831</v>
      </c>
      <c r="N23" s="2" t="s">
        <v>36</v>
      </c>
      <c r="O23" s="14">
        <f t="shared" si="1"/>
        <v>45199</v>
      </c>
    </row>
    <row r="24" spans="1:20" x14ac:dyDescent="0.25">
      <c r="A24" s="8" t="s">
        <v>52</v>
      </c>
      <c r="B24" s="8" t="s">
        <v>63</v>
      </c>
      <c r="C24" s="8" t="s">
        <v>69</v>
      </c>
      <c r="D24" s="8" t="s">
        <v>61</v>
      </c>
      <c r="E24" s="2" t="s">
        <v>81</v>
      </c>
      <c r="F24" s="2" t="s">
        <v>85</v>
      </c>
      <c r="G24" s="2" t="s">
        <v>83</v>
      </c>
      <c r="H24" s="8" t="s">
        <v>94</v>
      </c>
      <c r="I24" s="2" t="s">
        <v>91</v>
      </c>
      <c r="J24" s="2" t="s">
        <v>99</v>
      </c>
      <c r="K24" s="2" t="s">
        <v>86</v>
      </c>
      <c r="L24" s="2" t="s">
        <v>90</v>
      </c>
      <c r="M24" s="14">
        <v>44831</v>
      </c>
      <c r="N24" s="2" t="s">
        <v>36</v>
      </c>
      <c r="O24" s="14">
        <f t="shared" si="1"/>
        <v>45199</v>
      </c>
    </row>
    <row r="25" spans="1:20" x14ac:dyDescent="0.25">
      <c r="A25" s="8" t="s">
        <v>52</v>
      </c>
      <c r="B25" s="8" t="s">
        <v>63</v>
      </c>
      <c r="C25" s="8" t="s">
        <v>57</v>
      </c>
      <c r="D25" s="8" t="s">
        <v>61</v>
      </c>
      <c r="E25" s="2" t="s">
        <v>81</v>
      </c>
      <c r="F25" s="2" t="s">
        <v>85</v>
      </c>
      <c r="G25" s="2" t="s">
        <v>83</v>
      </c>
      <c r="H25" s="8" t="s">
        <v>94</v>
      </c>
      <c r="I25" s="2" t="s">
        <v>91</v>
      </c>
      <c r="J25" s="2" t="s">
        <v>99</v>
      </c>
      <c r="K25" s="2" t="s">
        <v>86</v>
      </c>
      <c r="L25" s="2" t="s">
        <v>90</v>
      </c>
      <c r="M25" s="14">
        <v>44831</v>
      </c>
      <c r="N25" s="2" t="s">
        <v>36</v>
      </c>
      <c r="O25" s="14">
        <f t="shared" si="1"/>
        <v>45199</v>
      </c>
    </row>
    <row r="26" spans="1:20" x14ac:dyDescent="0.25">
      <c r="A26" s="8" t="s">
        <v>52</v>
      </c>
      <c r="B26" s="8" t="s">
        <v>63</v>
      </c>
      <c r="C26" s="8" t="s">
        <v>58</v>
      </c>
      <c r="D26" s="8" t="s">
        <v>61</v>
      </c>
      <c r="E26" s="2" t="s">
        <v>81</v>
      </c>
      <c r="F26" s="2" t="s">
        <v>85</v>
      </c>
      <c r="G26" s="2" t="s">
        <v>83</v>
      </c>
      <c r="H26" s="8" t="s">
        <v>94</v>
      </c>
      <c r="I26" s="2" t="s">
        <v>91</v>
      </c>
      <c r="J26" s="2" t="s">
        <v>99</v>
      </c>
      <c r="K26" s="2" t="s">
        <v>86</v>
      </c>
      <c r="L26" s="2" t="s">
        <v>90</v>
      </c>
      <c r="M26" s="14">
        <v>44831</v>
      </c>
      <c r="N26" s="2" t="s">
        <v>36</v>
      </c>
      <c r="O26" s="14">
        <f t="shared" si="1"/>
        <v>45199</v>
      </c>
    </row>
    <row r="27" spans="1:20" x14ac:dyDescent="0.25">
      <c r="A27" s="8" t="s">
        <v>52</v>
      </c>
      <c r="B27" s="8" t="s">
        <v>63</v>
      </c>
      <c r="C27" s="8" t="s">
        <v>70</v>
      </c>
      <c r="D27" s="8" t="s">
        <v>61</v>
      </c>
      <c r="E27" s="2" t="s">
        <v>81</v>
      </c>
      <c r="F27" s="2" t="s">
        <v>85</v>
      </c>
      <c r="G27" s="2" t="s">
        <v>83</v>
      </c>
      <c r="H27" s="8" t="s">
        <v>94</v>
      </c>
      <c r="I27" s="2" t="s">
        <v>91</v>
      </c>
      <c r="J27" s="2" t="s">
        <v>99</v>
      </c>
      <c r="K27" s="2" t="s">
        <v>86</v>
      </c>
      <c r="L27" s="2" t="s">
        <v>90</v>
      </c>
      <c r="M27" s="14">
        <v>44831</v>
      </c>
      <c r="N27" s="2" t="s">
        <v>36</v>
      </c>
      <c r="O27" s="14">
        <f t="shared" si="1"/>
        <v>45199</v>
      </c>
    </row>
    <row r="28" spans="1:20" x14ac:dyDescent="0.25">
      <c r="A28" s="8" t="s">
        <v>52</v>
      </c>
      <c r="B28" s="8" t="s">
        <v>63</v>
      </c>
      <c r="C28" s="8" t="s">
        <v>72</v>
      </c>
      <c r="D28" s="8" t="s">
        <v>61</v>
      </c>
      <c r="E28" s="2" t="s">
        <v>81</v>
      </c>
      <c r="F28" s="2" t="s">
        <v>85</v>
      </c>
      <c r="G28" s="2" t="s">
        <v>83</v>
      </c>
      <c r="H28" s="8" t="s">
        <v>94</v>
      </c>
      <c r="I28" s="2" t="s">
        <v>91</v>
      </c>
      <c r="J28" s="2" t="s">
        <v>99</v>
      </c>
      <c r="K28" s="2" t="s">
        <v>86</v>
      </c>
      <c r="L28" s="2" t="s">
        <v>90</v>
      </c>
      <c r="M28" s="14">
        <v>44831</v>
      </c>
      <c r="N28" s="2" t="s">
        <v>36</v>
      </c>
      <c r="O28" s="14">
        <f t="shared" si="1"/>
        <v>45199</v>
      </c>
    </row>
    <row r="29" spans="1:20" x14ac:dyDescent="0.25">
      <c r="A29" s="8" t="s">
        <v>52</v>
      </c>
      <c r="B29" s="8" t="s">
        <v>63</v>
      </c>
      <c r="C29" s="8" t="s">
        <v>60</v>
      </c>
      <c r="D29" s="8" t="s">
        <v>61</v>
      </c>
      <c r="E29" s="2" t="s">
        <v>81</v>
      </c>
      <c r="F29" s="2" t="s">
        <v>85</v>
      </c>
      <c r="G29" s="2" t="s">
        <v>83</v>
      </c>
      <c r="H29" s="8" t="s">
        <v>94</v>
      </c>
      <c r="I29" s="2" t="s">
        <v>91</v>
      </c>
      <c r="J29" s="2" t="s">
        <v>99</v>
      </c>
      <c r="K29" s="2" t="s">
        <v>86</v>
      </c>
      <c r="L29" s="2" t="s">
        <v>90</v>
      </c>
      <c r="M29" s="14">
        <v>44831</v>
      </c>
      <c r="N29" s="2" t="s">
        <v>36</v>
      </c>
      <c r="O29" s="14">
        <f t="shared" si="1"/>
        <v>45199</v>
      </c>
    </row>
    <row r="30" spans="1:20" x14ac:dyDescent="0.25">
      <c r="A30" s="8" t="s">
        <v>52</v>
      </c>
      <c r="B30" s="8" t="s">
        <v>63</v>
      </c>
      <c r="C30" s="8" t="s">
        <v>73</v>
      </c>
      <c r="D30" s="8" t="s">
        <v>61</v>
      </c>
      <c r="E30" s="2" t="s">
        <v>81</v>
      </c>
      <c r="F30" s="2" t="s">
        <v>85</v>
      </c>
      <c r="G30" s="2" t="s">
        <v>83</v>
      </c>
      <c r="H30" s="8" t="s">
        <v>94</v>
      </c>
      <c r="I30" s="2" t="s">
        <v>91</v>
      </c>
      <c r="J30" s="2" t="s">
        <v>99</v>
      </c>
      <c r="K30" s="2" t="s">
        <v>86</v>
      </c>
      <c r="L30" s="2" t="s">
        <v>90</v>
      </c>
      <c r="M30" s="14">
        <v>44831</v>
      </c>
      <c r="N30" s="2" t="s">
        <v>36</v>
      </c>
      <c r="O30" s="14">
        <f t="shared" si="1"/>
        <v>45199</v>
      </c>
    </row>
    <row r="31" spans="1:20" x14ac:dyDescent="0.25">
      <c r="A31" s="8" t="s">
        <v>52</v>
      </c>
      <c r="B31" s="8" t="s">
        <v>63</v>
      </c>
      <c r="C31" s="8" t="s">
        <v>74</v>
      </c>
      <c r="D31" s="8" t="s">
        <v>61</v>
      </c>
      <c r="E31" s="2" t="s">
        <v>81</v>
      </c>
      <c r="F31" s="2" t="s">
        <v>85</v>
      </c>
      <c r="G31" s="2" t="s">
        <v>83</v>
      </c>
      <c r="H31" s="8" t="s">
        <v>94</v>
      </c>
      <c r="I31" s="2" t="s">
        <v>91</v>
      </c>
      <c r="J31" s="2" t="s">
        <v>99</v>
      </c>
      <c r="K31" s="2" t="s">
        <v>86</v>
      </c>
      <c r="L31" s="2" t="s">
        <v>90</v>
      </c>
      <c r="M31" s="14">
        <v>44831</v>
      </c>
      <c r="N31" s="2" t="s">
        <v>36</v>
      </c>
      <c r="O31" s="14">
        <f t="shared" si="1"/>
        <v>45199</v>
      </c>
    </row>
    <row r="32" spans="1:20" x14ac:dyDescent="0.25">
      <c r="A32" s="8" t="s">
        <v>52</v>
      </c>
      <c r="B32" s="8" t="s">
        <v>63</v>
      </c>
      <c r="C32" s="8" t="s">
        <v>75</v>
      </c>
      <c r="D32" s="8" t="s">
        <v>61</v>
      </c>
      <c r="E32" s="2" t="s">
        <v>81</v>
      </c>
      <c r="F32" s="2" t="s">
        <v>85</v>
      </c>
      <c r="G32" s="2" t="s">
        <v>83</v>
      </c>
      <c r="H32" s="8" t="s">
        <v>94</v>
      </c>
      <c r="I32" s="2" t="s">
        <v>91</v>
      </c>
      <c r="J32" s="2" t="s">
        <v>99</v>
      </c>
      <c r="K32" s="2" t="s">
        <v>86</v>
      </c>
      <c r="L32" s="2" t="s">
        <v>90</v>
      </c>
      <c r="M32" s="14">
        <v>44831</v>
      </c>
      <c r="N32" s="2" t="s">
        <v>36</v>
      </c>
      <c r="O32" s="14">
        <f t="shared" si="1"/>
        <v>45199</v>
      </c>
    </row>
    <row r="33" spans="1:15" x14ac:dyDescent="0.25">
      <c r="A33" s="15" t="s">
        <v>52</v>
      </c>
      <c r="B33" s="15" t="s">
        <v>77</v>
      </c>
      <c r="C33" s="15" t="s">
        <v>76</v>
      </c>
      <c r="D33" s="16" t="s">
        <v>78</v>
      </c>
      <c r="E33" s="13" t="s">
        <v>81</v>
      </c>
      <c r="F33" s="13" t="s">
        <v>85</v>
      </c>
      <c r="G33" s="13" t="s">
        <v>84</v>
      </c>
      <c r="H33" s="15" t="s">
        <v>95</v>
      </c>
      <c r="I33" s="13" t="s">
        <v>93</v>
      </c>
      <c r="J33" s="13" t="s">
        <v>100</v>
      </c>
      <c r="K33" s="13" t="s">
        <v>87</v>
      </c>
      <c r="L33" s="13" t="s">
        <v>96</v>
      </c>
      <c r="M33" s="17">
        <v>44831</v>
      </c>
      <c r="N33" s="13" t="s">
        <v>36</v>
      </c>
      <c r="O33" s="17">
        <f t="shared" si="1"/>
        <v>45199</v>
      </c>
    </row>
    <row r="34" spans="1:15" x14ac:dyDescent="0.25">
      <c r="A34" s="8" t="s">
        <v>52</v>
      </c>
      <c r="B34" s="8" t="s">
        <v>63</v>
      </c>
      <c r="C34" s="8" t="s">
        <v>64</v>
      </c>
      <c r="D34" s="8" t="s">
        <v>61</v>
      </c>
      <c r="E34" s="2" t="s">
        <v>81</v>
      </c>
      <c r="F34" s="2" t="s">
        <v>85</v>
      </c>
      <c r="G34" s="2" t="s">
        <v>2495</v>
      </c>
      <c r="H34" s="8" t="s">
        <v>94</v>
      </c>
      <c r="I34" s="2" t="s">
        <v>91</v>
      </c>
      <c r="J34" s="2" t="s">
        <v>99</v>
      </c>
      <c r="K34" s="2" t="s">
        <v>86</v>
      </c>
      <c r="L34" s="2" t="s">
        <v>90</v>
      </c>
      <c r="M34" s="14">
        <v>45258</v>
      </c>
      <c r="N34" s="2" t="s">
        <v>36</v>
      </c>
      <c r="O34" s="14">
        <f>EOMONTH(M34,12)</f>
        <v>45626</v>
      </c>
    </row>
    <row r="35" spans="1:15" x14ac:dyDescent="0.25">
      <c r="A35" s="8" t="s">
        <v>52</v>
      </c>
      <c r="B35" s="8" t="s">
        <v>63</v>
      </c>
      <c r="C35" s="8" t="s">
        <v>65</v>
      </c>
      <c r="D35" s="8" t="s">
        <v>61</v>
      </c>
      <c r="E35" s="2" t="s">
        <v>81</v>
      </c>
      <c r="F35" s="2" t="s">
        <v>85</v>
      </c>
      <c r="G35" s="2" t="s">
        <v>2495</v>
      </c>
      <c r="H35" s="8" t="s">
        <v>94</v>
      </c>
      <c r="I35" s="2" t="s">
        <v>91</v>
      </c>
      <c r="J35" s="2" t="s">
        <v>99</v>
      </c>
      <c r="K35" s="2" t="s">
        <v>86</v>
      </c>
      <c r="L35" s="2" t="s">
        <v>90</v>
      </c>
      <c r="M35" s="14">
        <v>45258</v>
      </c>
      <c r="N35" s="2" t="s">
        <v>36</v>
      </c>
      <c r="O35" s="14">
        <f t="shared" ref="O35:O48" si="2">EOMONTH(M35,12)</f>
        <v>45626</v>
      </c>
    </row>
    <row r="36" spans="1:15" x14ac:dyDescent="0.25">
      <c r="A36" s="8" t="s">
        <v>52</v>
      </c>
      <c r="B36" s="8" t="s">
        <v>63</v>
      </c>
      <c r="C36" s="8" t="s">
        <v>66</v>
      </c>
      <c r="D36" s="8" t="s">
        <v>61</v>
      </c>
      <c r="E36" s="2" t="s">
        <v>81</v>
      </c>
      <c r="F36" s="2" t="s">
        <v>85</v>
      </c>
      <c r="G36" s="2" t="s">
        <v>2495</v>
      </c>
      <c r="H36" s="8" t="s">
        <v>94</v>
      </c>
      <c r="I36" s="2" t="s">
        <v>91</v>
      </c>
      <c r="J36" s="2" t="s">
        <v>99</v>
      </c>
      <c r="K36" s="2" t="s">
        <v>86</v>
      </c>
      <c r="L36" s="2" t="s">
        <v>90</v>
      </c>
      <c r="M36" s="14">
        <v>45258</v>
      </c>
      <c r="N36" s="2" t="s">
        <v>36</v>
      </c>
      <c r="O36" s="14">
        <f t="shared" si="2"/>
        <v>45626</v>
      </c>
    </row>
    <row r="37" spans="1:15" x14ac:dyDescent="0.25">
      <c r="A37" s="8" t="s">
        <v>52</v>
      </c>
      <c r="B37" s="8" t="s">
        <v>63</v>
      </c>
      <c r="C37" s="8" t="s">
        <v>67</v>
      </c>
      <c r="D37" s="8" t="s">
        <v>61</v>
      </c>
      <c r="E37" s="2" t="s">
        <v>81</v>
      </c>
      <c r="F37" s="2" t="s">
        <v>85</v>
      </c>
      <c r="G37" s="2" t="s">
        <v>2495</v>
      </c>
      <c r="H37" s="8" t="s">
        <v>94</v>
      </c>
      <c r="I37" s="2" t="s">
        <v>91</v>
      </c>
      <c r="J37" s="2" t="s">
        <v>99</v>
      </c>
      <c r="K37" s="2" t="s">
        <v>86</v>
      </c>
      <c r="L37" s="2" t="s">
        <v>90</v>
      </c>
      <c r="M37" s="14">
        <v>45258</v>
      </c>
      <c r="N37" s="2" t="s">
        <v>36</v>
      </c>
      <c r="O37" s="14">
        <f t="shared" si="2"/>
        <v>45626</v>
      </c>
    </row>
    <row r="38" spans="1:15" x14ac:dyDescent="0.25">
      <c r="A38" s="8" t="s">
        <v>52</v>
      </c>
      <c r="B38" s="8" t="s">
        <v>63</v>
      </c>
      <c r="C38" s="8" t="s">
        <v>68</v>
      </c>
      <c r="D38" s="8" t="s">
        <v>61</v>
      </c>
      <c r="E38" s="2" t="s">
        <v>81</v>
      </c>
      <c r="F38" s="2" t="s">
        <v>85</v>
      </c>
      <c r="G38" s="2" t="s">
        <v>2495</v>
      </c>
      <c r="H38" s="8" t="s">
        <v>94</v>
      </c>
      <c r="I38" s="2" t="s">
        <v>91</v>
      </c>
      <c r="J38" s="2" t="s">
        <v>99</v>
      </c>
      <c r="K38" s="2" t="s">
        <v>86</v>
      </c>
      <c r="L38" s="2" t="s">
        <v>90</v>
      </c>
      <c r="M38" s="14">
        <v>45258</v>
      </c>
      <c r="N38" s="2" t="s">
        <v>36</v>
      </c>
      <c r="O38" s="14">
        <f t="shared" si="2"/>
        <v>45626</v>
      </c>
    </row>
    <row r="39" spans="1:15" x14ac:dyDescent="0.25">
      <c r="A39" s="8" t="s">
        <v>52</v>
      </c>
      <c r="B39" s="8" t="s">
        <v>63</v>
      </c>
      <c r="C39" s="8" t="s">
        <v>69</v>
      </c>
      <c r="D39" s="8" t="s">
        <v>61</v>
      </c>
      <c r="E39" s="2" t="s">
        <v>81</v>
      </c>
      <c r="F39" s="2" t="s">
        <v>85</v>
      </c>
      <c r="G39" s="2" t="s">
        <v>2495</v>
      </c>
      <c r="H39" s="8" t="s">
        <v>94</v>
      </c>
      <c r="I39" s="2" t="s">
        <v>91</v>
      </c>
      <c r="J39" s="2" t="s">
        <v>99</v>
      </c>
      <c r="K39" s="2" t="s">
        <v>86</v>
      </c>
      <c r="L39" s="2" t="s">
        <v>90</v>
      </c>
      <c r="M39" s="14">
        <v>45258</v>
      </c>
      <c r="N39" s="2" t="s">
        <v>36</v>
      </c>
      <c r="O39" s="14">
        <f t="shared" si="2"/>
        <v>45626</v>
      </c>
    </row>
    <row r="40" spans="1:15" x14ac:dyDescent="0.25">
      <c r="A40" s="8" t="s">
        <v>52</v>
      </c>
      <c r="B40" s="8" t="s">
        <v>63</v>
      </c>
      <c r="C40" s="8" t="s">
        <v>57</v>
      </c>
      <c r="D40" s="8" t="s">
        <v>61</v>
      </c>
      <c r="E40" s="2" t="s">
        <v>81</v>
      </c>
      <c r="F40" s="2" t="s">
        <v>85</v>
      </c>
      <c r="G40" s="2" t="s">
        <v>2495</v>
      </c>
      <c r="H40" s="8" t="s">
        <v>94</v>
      </c>
      <c r="I40" s="2" t="s">
        <v>91</v>
      </c>
      <c r="J40" s="2" t="s">
        <v>99</v>
      </c>
      <c r="K40" s="2" t="s">
        <v>86</v>
      </c>
      <c r="L40" s="2" t="s">
        <v>90</v>
      </c>
      <c r="M40" s="14">
        <v>45258</v>
      </c>
      <c r="N40" s="2" t="s">
        <v>36</v>
      </c>
      <c r="O40" s="14">
        <f t="shared" si="2"/>
        <v>45626</v>
      </c>
    </row>
    <row r="41" spans="1:15" x14ac:dyDescent="0.25">
      <c r="A41" s="8" t="s">
        <v>52</v>
      </c>
      <c r="B41" s="8" t="s">
        <v>63</v>
      </c>
      <c r="C41" s="8" t="s">
        <v>58</v>
      </c>
      <c r="D41" s="8" t="s">
        <v>61</v>
      </c>
      <c r="E41" s="2" t="s">
        <v>81</v>
      </c>
      <c r="F41" s="2" t="s">
        <v>85</v>
      </c>
      <c r="G41" s="2" t="s">
        <v>2495</v>
      </c>
      <c r="H41" s="8" t="s">
        <v>94</v>
      </c>
      <c r="I41" s="2" t="s">
        <v>91</v>
      </c>
      <c r="J41" s="2" t="s">
        <v>99</v>
      </c>
      <c r="K41" s="2" t="s">
        <v>86</v>
      </c>
      <c r="L41" s="2" t="s">
        <v>90</v>
      </c>
      <c r="M41" s="14">
        <v>45258</v>
      </c>
      <c r="N41" s="2" t="s">
        <v>36</v>
      </c>
      <c r="O41" s="14">
        <f t="shared" si="2"/>
        <v>45626</v>
      </c>
    </row>
    <row r="42" spans="1:15" x14ac:dyDescent="0.25">
      <c r="A42" s="8" t="s">
        <v>52</v>
      </c>
      <c r="B42" s="8" t="s">
        <v>63</v>
      </c>
      <c r="C42" s="8" t="s">
        <v>70</v>
      </c>
      <c r="D42" s="8" t="s">
        <v>61</v>
      </c>
      <c r="E42" s="2" t="s">
        <v>81</v>
      </c>
      <c r="F42" s="2" t="s">
        <v>85</v>
      </c>
      <c r="G42" s="2" t="s">
        <v>2495</v>
      </c>
      <c r="H42" s="8" t="s">
        <v>94</v>
      </c>
      <c r="I42" s="2" t="s">
        <v>91</v>
      </c>
      <c r="J42" s="2" t="s">
        <v>99</v>
      </c>
      <c r="K42" s="2" t="s">
        <v>86</v>
      </c>
      <c r="L42" s="2" t="s">
        <v>90</v>
      </c>
      <c r="M42" s="14">
        <v>45258</v>
      </c>
      <c r="N42" s="2" t="s">
        <v>36</v>
      </c>
      <c r="O42" s="14">
        <f t="shared" si="2"/>
        <v>45626</v>
      </c>
    </row>
    <row r="43" spans="1:15" x14ac:dyDescent="0.25">
      <c r="A43" s="8" t="s">
        <v>52</v>
      </c>
      <c r="B43" s="8" t="s">
        <v>63</v>
      </c>
      <c r="C43" s="8" t="s">
        <v>72</v>
      </c>
      <c r="D43" s="8" t="s">
        <v>61</v>
      </c>
      <c r="E43" s="2" t="s">
        <v>81</v>
      </c>
      <c r="F43" s="2" t="s">
        <v>85</v>
      </c>
      <c r="G43" s="2" t="s">
        <v>2495</v>
      </c>
      <c r="H43" s="8" t="s">
        <v>94</v>
      </c>
      <c r="I43" s="2" t="s">
        <v>91</v>
      </c>
      <c r="J43" s="2" t="s">
        <v>99</v>
      </c>
      <c r="K43" s="2" t="s">
        <v>86</v>
      </c>
      <c r="L43" s="2" t="s">
        <v>90</v>
      </c>
      <c r="M43" s="14">
        <v>45258</v>
      </c>
      <c r="N43" s="2" t="s">
        <v>36</v>
      </c>
      <c r="O43" s="14">
        <f t="shared" si="2"/>
        <v>45626</v>
      </c>
    </row>
    <row r="44" spans="1:15" x14ac:dyDescent="0.25">
      <c r="A44" s="8" t="s">
        <v>52</v>
      </c>
      <c r="B44" s="8" t="s">
        <v>63</v>
      </c>
      <c r="C44" s="8" t="s">
        <v>60</v>
      </c>
      <c r="D44" s="8" t="s">
        <v>61</v>
      </c>
      <c r="E44" s="2" t="s">
        <v>81</v>
      </c>
      <c r="F44" s="2" t="s">
        <v>85</v>
      </c>
      <c r="G44" s="2" t="s">
        <v>2495</v>
      </c>
      <c r="H44" s="8" t="s">
        <v>94</v>
      </c>
      <c r="I44" s="2" t="s">
        <v>91</v>
      </c>
      <c r="J44" s="2" t="s">
        <v>99</v>
      </c>
      <c r="K44" s="2" t="s">
        <v>86</v>
      </c>
      <c r="L44" s="2" t="s">
        <v>90</v>
      </c>
      <c r="M44" s="14">
        <v>45258</v>
      </c>
      <c r="N44" s="2" t="s">
        <v>36</v>
      </c>
      <c r="O44" s="14">
        <f t="shared" si="2"/>
        <v>45626</v>
      </c>
    </row>
    <row r="45" spans="1:15" x14ac:dyDescent="0.25">
      <c r="A45" s="8" t="s">
        <v>52</v>
      </c>
      <c r="B45" s="8" t="s">
        <v>63</v>
      </c>
      <c r="C45" s="8" t="s">
        <v>73</v>
      </c>
      <c r="D45" s="8" t="s">
        <v>61</v>
      </c>
      <c r="E45" s="2" t="s">
        <v>81</v>
      </c>
      <c r="F45" s="2" t="s">
        <v>85</v>
      </c>
      <c r="G45" s="2" t="s">
        <v>2495</v>
      </c>
      <c r="H45" s="8" t="s">
        <v>94</v>
      </c>
      <c r="I45" s="2" t="s">
        <v>91</v>
      </c>
      <c r="J45" s="2" t="s">
        <v>99</v>
      </c>
      <c r="K45" s="2" t="s">
        <v>86</v>
      </c>
      <c r="L45" s="2" t="s">
        <v>90</v>
      </c>
      <c r="M45" s="14">
        <v>45258</v>
      </c>
      <c r="N45" s="2" t="s">
        <v>36</v>
      </c>
      <c r="O45" s="14">
        <f t="shared" si="2"/>
        <v>45626</v>
      </c>
    </row>
    <row r="46" spans="1:15" x14ac:dyDescent="0.25">
      <c r="A46" s="8" t="s">
        <v>52</v>
      </c>
      <c r="B46" s="8" t="s">
        <v>63</v>
      </c>
      <c r="C46" s="8" t="s">
        <v>74</v>
      </c>
      <c r="D46" s="8" t="s">
        <v>61</v>
      </c>
      <c r="E46" s="2" t="s">
        <v>81</v>
      </c>
      <c r="F46" s="2" t="s">
        <v>85</v>
      </c>
      <c r="G46" s="2" t="s">
        <v>2495</v>
      </c>
      <c r="H46" s="8" t="s">
        <v>94</v>
      </c>
      <c r="I46" s="2" t="s">
        <v>91</v>
      </c>
      <c r="J46" s="2" t="s">
        <v>99</v>
      </c>
      <c r="K46" s="2" t="s">
        <v>86</v>
      </c>
      <c r="L46" s="2" t="s">
        <v>90</v>
      </c>
      <c r="M46" s="14">
        <v>45258</v>
      </c>
      <c r="N46" s="2" t="s">
        <v>36</v>
      </c>
      <c r="O46" s="14">
        <f t="shared" si="2"/>
        <v>45626</v>
      </c>
    </row>
    <row r="47" spans="1:15" x14ac:dyDescent="0.25">
      <c r="A47" s="8" t="s">
        <v>52</v>
      </c>
      <c r="B47" s="8" t="s">
        <v>63</v>
      </c>
      <c r="C47" s="8" t="s">
        <v>75</v>
      </c>
      <c r="D47" s="8" t="s">
        <v>61</v>
      </c>
      <c r="E47" s="2" t="s">
        <v>81</v>
      </c>
      <c r="F47" s="2" t="s">
        <v>85</v>
      </c>
      <c r="G47" s="2" t="s">
        <v>2495</v>
      </c>
      <c r="H47" s="8" t="s">
        <v>94</v>
      </c>
      <c r="I47" s="2" t="s">
        <v>91</v>
      </c>
      <c r="J47" s="2" t="s">
        <v>99</v>
      </c>
      <c r="K47" s="2" t="s">
        <v>86</v>
      </c>
      <c r="L47" s="2" t="s">
        <v>90</v>
      </c>
      <c r="M47" s="14">
        <v>45258</v>
      </c>
      <c r="N47" s="2" t="s">
        <v>36</v>
      </c>
      <c r="O47" s="14">
        <f t="shared" si="2"/>
        <v>45626</v>
      </c>
    </row>
    <row r="48" spans="1:15" x14ac:dyDescent="0.25">
      <c r="A48" s="15" t="s">
        <v>52</v>
      </c>
      <c r="B48" s="15" t="s">
        <v>77</v>
      </c>
      <c r="C48" s="15" t="s">
        <v>76</v>
      </c>
      <c r="D48" s="16" t="s">
        <v>78</v>
      </c>
      <c r="E48" s="13" t="s">
        <v>81</v>
      </c>
      <c r="F48" s="13" t="s">
        <v>85</v>
      </c>
      <c r="G48" s="13" t="s">
        <v>84</v>
      </c>
      <c r="H48" s="15" t="s">
        <v>95</v>
      </c>
      <c r="I48" s="13" t="s">
        <v>93</v>
      </c>
      <c r="J48" s="13" t="s">
        <v>100</v>
      </c>
      <c r="K48" s="13" t="s">
        <v>87</v>
      </c>
      <c r="L48" s="13" t="s">
        <v>96</v>
      </c>
      <c r="M48" s="17">
        <v>45258</v>
      </c>
      <c r="N48" s="13" t="s">
        <v>36</v>
      </c>
      <c r="O48" s="17">
        <f t="shared" si="2"/>
        <v>45626</v>
      </c>
    </row>
  </sheetData>
  <dataValidations count="2">
    <dataValidation type="list" allowBlank="1" showInputMessage="1" showErrorMessage="1" sqref="D2:D48" xr:uid="{456B9F18-072B-481D-93CC-78C2EF8B561C}">
      <formula1>"Sensível,Comum"</formula1>
    </dataValidation>
    <dataValidation type="list" allowBlank="1" showInputMessage="1" showErrorMessage="1" sqref="A2:A48" xr:uid="{FC6A5742-0C6B-4037-8DE7-6B74A02BC22F}">
      <formula1>nucleo</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949283-C674-415F-88C4-A384ECCB9A60}">
  <sheetPr codeName="Sheet6">
    <tabColor theme="8"/>
  </sheetPr>
  <dimension ref="A1:BA35"/>
  <sheetViews>
    <sheetView showGridLines="0" topLeftCell="AK1" zoomScale="115" zoomScaleNormal="115" workbookViewId="0">
      <selection activeCell="AL9" sqref="AL9"/>
    </sheetView>
  </sheetViews>
  <sheetFormatPr defaultRowHeight="15" x14ac:dyDescent="0.25"/>
  <cols>
    <col min="1" max="1" width="10.5703125" bestFit="1" customWidth="1"/>
    <col min="2" max="2" width="16.28515625" bestFit="1" customWidth="1"/>
    <col min="3" max="3" width="20.5703125" bestFit="1" customWidth="1"/>
    <col min="4" max="4" width="134.140625" bestFit="1" customWidth="1"/>
    <col min="5" max="5" width="12.85546875" bestFit="1" customWidth="1"/>
    <col min="6" max="6" width="84" bestFit="1" customWidth="1"/>
    <col min="7" max="7" width="59.7109375" customWidth="1"/>
    <col min="8" max="8" width="81" bestFit="1" customWidth="1"/>
    <col min="9" max="9" width="25.85546875" bestFit="1" customWidth="1"/>
    <col min="10" max="10" width="27.42578125" bestFit="1" customWidth="1"/>
    <col min="11" max="11" width="28.28515625" customWidth="1"/>
    <col min="12" max="12" width="30.85546875" hidden="1" customWidth="1"/>
    <col min="13" max="13" width="34" bestFit="1" customWidth="1"/>
    <col min="14" max="14" width="50.42578125" hidden="1" customWidth="1"/>
    <col min="15" max="15" width="29.42578125" customWidth="1"/>
    <col min="16" max="16" width="32" hidden="1" customWidth="1"/>
    <col min="17" max="17" width="27.28515625" customWidth="1"/>
    <col min="18" max="18" width="27.28515625" hidden="1" customWidth="1"/>
    <col min="19" max="19" width="19.85546875" customWidth="1"/>
    <col min="20" max="20" width="21.5703125" customWidth="1"/>
    <col min="21" max="21" width="20.28515625" customWidth="1"/>
    <col min="22" max="22" width="27.28515625" bestFit="1" customWidth="1"/>
    <col min="23" max="27" width="16" customWidth="1"/>
    <col min="28" max="28" width="16.5703125" customWidth="1"/>
    <col min="29" max="29" width="13.5703125" customWidth="1"/>
    <col min="30" max="30" width="13.42578125" customWidth="1"/>
    <col min="31" max="31" width="28.5703125" customWidth="1"/>
    <col min="32" max="34" width="27.7109375" customWidth="1"/>
    <col min="35" max="35" width="19.42578125" customWidth="1"/>
    <col min="36" max="36" width="27.7109375" customWidth="1"/>
    <col min="37" max="37" width="32.7109375" customWidth="1"/>
    <col min="38" max="38" width="27.42578125" customWidth="1"/>
    <col min="39" max="39" width="26.140625" customWidth="1"/>
    <col min="40" max="40" width="5.85546875" customWidth="1"/>
    <col min="41" max="41" width="12.140625" customWidth="1"/>
    <col min="42" max="42" width="10.7109375" customWidth="1"/>
    <col min="43" max="43" width="7.7109375" customWidth="1"/>
    <col min="44" max="44" width="10.42578125" customWidth="1"/>
    <col min="45" max="46" width="7.5703125" customWidth="1"/>
    <col min="47" max="48" width="11.5703125" customWidth="1"/>
    <col min="49" max="53" width="9.140625" customWidth="1"/>
  </cols>
  <sheetData>
    <row r="1" spans="1:53" ht="15.75" x14ac:dyDescent="0.25">
      <c r="A1" s="73" t="s">
        <v>434</v>
      </c>
      <c r="B1" s="73" t="s">
        <v>501</v>
      </c>
      <c r="C1" s="73" t="s">
        <v>43</v>
      </c>
      <c r="D1" s="83" t="s">
        <v>418</v>
      </c>
      <c r="E1" s="84" t="s">
        <v>431</v>
      </c>
      <c r="F1" s="84" t="s">
        <v>427</v>
      </c>
      <c r="G1" s="84" t="s">
        <v>432</v>
      </c>
      <c r="H1" s="84" t="s">
        <v>433</v>
      </c>
      <c r="I1" s="84" t="s">
        <v>419</v>
      </c>
      <c r="J1" s="84" t="s">
        <v>420</v>
      </c>
      <c r="K1" s="84" t="s">
        <v>421</v>
      </c>
      <c r="L1" s="84" t="s">
        <v>496</v>
      </c>
      <c r="M1" s="84" t="s">
        <v>422</v>
      </c>
      <c r="N1" s="84" t="s">
        <v>497</v>
      </c>
      <c r="O1" s="84" t="s">
        <v>423</v>
      </c>
      <c r="P1" s="84" t="s">
        <v>498</v>
      </c>
      <c r="Q1" s="85" t="s">
        <v>420</v>
      </c>
      <c r="R1" s="85" t="s">
        <v>500</v>
      </c>
      <c r="S1" s="85" t="s">
        <v>424</v>
      </c>
      <c r="T1" s="85" t="s">
        <v>425</v>
      </c>
      <c r="U1" s="85" t="s">
        <v>426</v>
      </c>
      <c r="V1" s="85" t="s">
        <v>1969</v>
      </c>
      <c r="AB1" s="274" t="s">
        <v>502</v>
      </c>
      <c r="AC1" s="274"/>
      <c r="AD1" s="274"/>
      <c r="AE1" s="274"/>
      <c r="AF1" s="274"/>
      <c r="AG1" s="274"/>
      <c r="AH1" s="274"/>
      <c r="AI1" s="274"/>
      <c r="AJ1" s="274"/>
      <c r="AK1" s="274"/>
      <c r="AL1" s="274"/>
      <c r="AM1" s="274"/>
      <c r="AN1" s="274"/>
      <c r="AO1" s="274"/>
      <c r="AP1" s="274"/>
      <c r="AQ1" s="274"/>
      <c r="AR1" s="274"/>
      <c r="AS1" s="274"/>
      <c r="AT1" s="274"/>
      <c r="AU1" s="274"/>
      <c r="AV1" s="274"/>
      <c r="AW1" s="274"/>
      <c r="AX1" s="274"/>
      <c r="AY1" s="274"/>
      <c r="AZ1" s="274"/>
      <c r="BA1" s="274"/>
    </row>
    <row r="2" spans="1:53" ht="45" x14ac:dyDescent="0.25">
      <c r="A2" s="14">
        <v>44777</v>
      </c>
      <c r="B2" s="14">
        <f>EOMONTH(A2,12)</f>
        <v>45169</v>
      </c>
      <c r="C2" s="8" t="s">
        <v>52</v>
      </c>
      <c r="D2" s="95" t="s">
        <v>436</v>
      </c>
      <c r="E2" s="8" t="s">
        <v>430</v>
      </c>
      <c r="F2" s="95" t="s">
        <v>747</v>
      </c>
      <c r="G2" s="95" t="s">
        <v>505</v>
      </c>
      <c r="H2" s="95"/>
      <c r="I2" s="95" t="s">
        <v>446</v>
      </c>
      <c r="J2" s="95" t="s">
        <v>450</v>
      </c>
      <c r="K2" s="95" t="s">
        <v>485</v>
      </c>
      <c r="L2" s="95">
        <f t="shared" ref="L2:L34" si="0">IF($K2=$AM$3,$AN$3,IF($K2=$AM$4,$AN$4,IF($K2=$AM$5,$AN$5,IF($K2=$AM$6,$AN$6,""))))</f>
        <v>4</v>
      </c>
      <c r="M2" s="95" t="s">
        <v>490</v>
      </c>
      <c r="N2" s="95">
        <f t="shared" ref="N2:N34" si="1">IF($M2=$AK$3,$AN$3,IF($M2=$AK$4,$AN$4,IF($M2=$AK$5,$AN$5,IF($M2=$AK$6,$AN$6,""))))</f>
        <v>4</v>
      </c>
      <c r="O2" s="95" t="s">
        <v>195</v>
      </c>
      <c r="P2" s="95">
        <f t="shared" ref="P2:P34" si="2">IF($O2=$AL$3,$AN$3,IF($O2=$AL$4,$AN$4,IF($O2=$AL$5,$AN$6,"")))</f>
        <v>0</v>
      </c>
      <c r="Q2" s="95" t="str">
        <f t="shared" ref="Q2:Q34" si="3">IF(J2="","",IF(OR($J2=$AE$3,$J2=$AF$3,$J2=$AG$3,$J2=$AH$3,$J2=$AI$3,$J2=$AJ$3),$AC$3,IF(OR($J2=$AE$4,$J2=$AF$4,$J2=$AG$4,$J2=$AH$4,$J2=$AI$4,$J2=$AJ$4),$AC$4,IF(OR($J2=$AE$5,$J2=$AF$5,$J2=$AG$5,$J2=$AH$5,$J2=$AI$5,$J2=$AJ$5),$AC$5,IF(OR($J2=$AE$6,$J2=$AF$6,$J2=$AG$6,$J2=$AH$6,$J2=$AI$6,$J2=$AJ$6),$AC$6)))))</f>
        <v>Baixa</v>
      </c>
      <c r="R2" s="95">
        <f>IFERROR(+P2+N2+L2,"")</f>
        <v>8</v>
      </c>
      <c r="S2" s="95" t="str">
        <f t="shared" ref="S2:S34" si="4">IF(R2="","",IF($R2&lt;=$AQ$3,$AC$3,IF($R2&lt;=$AQ$4,$AC$4,IF($R2&lt;=$AQ$5,$AC$5,IF($R2&gt;$AQ$5,$AC$6)))))</f>
        <v>Baixa</v>
      </c>
      <c r="T2" s="95" t="str">
        <f t="shared" ref="T2:T34" si="5">IF(OR(Q2="",S2=""),"",IF(AND($Q2=$AR$5,$S2=$AS$6),$AS$5,IF(AND($Q2=$AR$4,$S2=$AS$6),$AS$4,IF(AND($Q2=$AR$3,$S2=$AS$6),$AS$3,IF(AND($Q2=$AR$2,$S2=$AS$6),$AS$2,IF(AND($Q2=$AR$5,$S2=$AT$6),$AT$5,IF(AND($Q2=$AR$4,$S2=$AT$6),$AT$4,IF(AND($Q2=$AR$3,$S2=$AT$6),$AT$3,IF(AND($Q2=$AR$2,$S2=$AT$6),$AT$2,IF(AND($Q2=$AR$5,$S2=$AU$6),$AU$5,IF(AND($Q2=$AR$4,$S2=$AU$6),$AU$4,IF(AND($Q2=$AR$3,$S2=$AU$6),$AU$3,IF(AND($Q2=$AR$2,$S2=$AU$6),$AU$2,IF(AND($Q2=$AR$5,$S2=$AV$6),$AV$5,IF(AND($Q2=$AR$4,$S2=$AV$6),$AV$4,IF(AND($Q2=$AR$3,$S2=$AV$6),$AV$3,IF(AND($Q2=$AR$2,$S2=$AV$6),$AV$2)))))))))))))))))</f>
        <v>Baixo</v>
      </c>
      <c r="U2" s="95">
        <f t="shared" ref="U2:U34" si="6">IF(OR(Q2="",S2=""),"",IF(AND($Q2=$AR$5,$S2=$AS$6),$AX$5,IF(AND($Q2=$AR$4,$S2=$AS$6),$AX$4,IF(AND($Q2=$AR$3,$S2=$AS$6),$AX$3,IF(AND($Q2=$AR$2,$S2=$AS$6),$AX$2,IF(AND($Q2=$AR$5,$S2=$AT$6),$AY$5,IF(AND($Q2=$AR$4,$S2=$AT$6),$AY$4,IF(AND($Q2=$AR$3,$S2=$AT$6),$AY$3,IF(AND($Q2=$AR$2,$S2=$AT$6),$AY$2,IF(AND($Q2=$AR$5,$S2=$AU$6),$AZ$5,IF(AND($Q2=$AR$4,$S2=$AU$6),$AZ$4,IF(AND($Q2=$AR$3,$S2=$AU$6),$AZ$3,IF(AND($Q2=$AR$2,$S2=$AU$6),$AZ$2,IF(AND($Q2=$AR$5,$S2=$AV$6),$BA$5,IF(AND($Q2=$AR$4,$S2=$AV$6),$BA$4,IF(AND($Q2=$AR$3,$S2=$AV$6),$BA$3,IF(AND($Q2=$AR$2,$S2=$AV$6),$BA$2)))))))))))))))))</f>
        <v>1</v>
      </c>
      <c r="V2" s="95" t="str">
        <f ca="1">IF(B2&lt;TODAY(),"OK","NOK")</f>
        <v>OK</v>
      </c>
      <c r="AB2" s="74" t="s">
        <v>499</v>
      </c>
      <c r="AC2" s="74" t="s">
        <v>444</v>
      </c>
      <c r="AD2" s="74" t="s">
        <v>445</v>
      </c>
      <c r="AE2" s="75" t="s">
        <v>446</v>
      </c>
      <c r="AF2" s="75" t="s">
        <v>447</v>
      </c>
      <c r="AG2" s="75" t="s">
        <v>448</v>
      </c>
      <c r="AH2" s="75" t="s">
        <v>35</v>
      </c>
      <c r="AI2" s="75" t="s">
        <v>37</v>
      </c>
      <c r="AJ2" s="74" t="s">
        <v>36</v>
      </c>
      <c r="AK2" s="74" t="s">
        <v>477</v>
      </c>
      <c r="AL2" s="86" t="s">
        <v>423</v>
      </c>
      <c r="AM2" s="87" t="s">
        <v>478</v>
      </c>
      <c r="AN2" s="80" t="s">
        <v>479</v>
      </c>
      <c r="AO2" s="80" t="s">
        <v>480</v>
      </c>
      <c r="AP2" s="272" t="s">
        <v>493</v>
      </c>
      <c r="AQ2" s="273"/>
      <c r="AR2" s="88" t="s">
        <v>470</v>
      </c>
      <c r="AS2" s="89" t="s">
        <v>481</v>
      </c>
      <c r="AT2" s="90" t="s">
        <v>226</v>
      </c>
      <c r="AU2" s="91" t="s">
        <v>495</v>
      </c>
      <c r="AV2" s="91" t="s">
        <v>495</v>
      </c>
      <c r="AW2" s="88" t="s">
        <v>470</v>
      </c>
      <c r="AX2" s="89">
        <v>8</v>
      </c>
      <c r="AY2" s="90">
        <v>11</v>
      </c>
      <c r="AZ2" s="91">
        <v>14</v>
      </c>
      <c r="BA2" s="91">
        <v>16</v>
      </c>
    </row>
    <row r="3" spans="1:53" ht="60" x14ac:dyDescent="0.25">
      <c r="A3" s="14">
        <v>44777</v>
      </c>
      <c r="B3" s="14">
        <f t="shared" ref="B3:B10" si="7">EOMONTH(A3,12)</f>
        <v>45169</v>
      </c>
      <c r="C3" s="8" t="s">
        <v>52</v>
      </c>
      <c r="D3" s="95" t="s">
        <v>435</v>
      </c>
      <c r="E3" s="8" t="s">
        <v>437</v>
      </c>
      <c r="F3" s="95" t="s">
        <v>503</v>
      </c>
      <c r="G3" s="95" t="s">
        <v>504</v>
      </c>
      <c r="H3" s="95" t="s">
        <v>506</v>
      </c>
      <c r="I3" s="95" t="s">
        <v>448</v>
      </c>
      <c r="J3" s="95" t="s">
        <v>452</v>
      </c>
      <c r="K3" s="95" t="s">
        <v>485</v>
      </c>
      <c r="L3" s="95">
        <f t="shared" si="0"/>
        <v>4</v>
      </c>
      <c r="M3" s="95" t="s">
        <v>195</v>
      </c>
      <c r="N3" s="95">
        <f t="shared" si="1"/>
        <v>0</v>
      </c>
      <c r="O3" s="95" t="s">
        <v>195</v>
      </c>
      <c r="P3" s="95">
        <f t="shared" si="2"/>
        <v>0</v>
      </c>
      <c r="Q3" s="95" t="str">
        <f t="shared" si="3"/>
        <v>Baixa</v>
      </c>
      <c r="R3" s="95">
        <f t="shared" ref="R3:R34" si="8">IFERROR(+P3+N3+L3,"")</f>
        <v>4</v>
      </c>
      <c r="S3" s="95" t="str">
        <f t="shared" si="4"/>
        <v>Baixa</v>
      </c>
      <c r="T3" s="95" t="str">
        <f t="shared" si="5"/>
        <v>Baixo</v>
      </c>
      <c r="U3" s="95">
        <f t="shared" si="6"/>
        <v>1</v>
      </c>
      <c r="V3" s="95" t="str">
        <f t="shared" ref="V3:V9" ca="1" si="9">IF(B3&lt;TODAY(),"OK","NOK")</f>
        <v>OK</v>
      </c>
      <c r="AB3" s="76" t="s">
        <v>428</v>
      </c>
      <c r="AC3" s="76" t="s">
        <v>449</v>
      </c>
      <c r="AD3" s="76" t="s">
        <v>446</v>
      </c>
      <c r="AE3" s="77" t="s">
        <v>450</v>
      </c>
      <c r="AF3" s="77" t="s">
        <v>451</v>
      </c>
      <c r="AG3" s="77" t="s">
        <v>452</v>
      </c>
      <c r="AH3" s="77" t="s">
        <v>453</v>
      </c>
      <c r="AI3" s="77" t="s">
        <v>454</v>
      </c>
      <c r="AJ3" s="76" t="s">
        <v>455</v>
      </c>
      <c r="AK3" s="76" t="s">
        <v>195</v>
      </c>
      <c r="AL3" s="76" t="s">
        <v>195</v>
      </c>
      <c r="AM3" s="77" t="s">
        <v>195</v>
      </c>
      <c r="AN3" s="2">
        <v>0</v>
      </c>
      <c r="AO3" s="2" t="s">
        <v>225</v>
      </c>
      <c r="AP3" s="2" t="s">
        <v>225</v>
      </c>
      <c r="AQ3" s="82">
        <v>8</v>
      </c>
      <c r="AR3" s="88" t="s">
        <v>463</v>
      </c>
      <c r="AS3" s="92" t="s">
        <v>481</v>
      </c>
      <c r="AT3" s="92" t="s">
        <v>481</v>
      </c>
      <c r="AU3" s="90" t="s">
        <v>226</v>
      </c>
      <c r="AV3" s="91" t="s">
        <v>495</v>
      </c>
      <c r="AW3" s="88" t="s">
        <v>463</v>
      </c>
      <c r="AX3" s="92">
        <v>4</v>
      </c>
      <c r="AY3" s="92">
        <v>7</v>
      </c>
      <c r="AZ3" s="90">
        <v>13</v>
      </c>
      <c r="BA3" s="91">
        <v>15</v>
      </c>
    </row>
    <row r="4" spans="1:53" ht="15.75" x14ac:dyDescent="0.25">
      <c r="A4" s="14">
        <v>44777</v>
      </c>
      <c r="B4" s="14">
        <f t="shared" si="7"/>
        <v>45169</v>
      </c>
      <c r="C4" s="8" t="s">
        <v>49</v>
      </c>
      <c r="D4" s="95" t="s">
        <v>439</v>
      </c>
      <c r="E4" s="8" t="s">
        <v>437</v>
      </c>
      <c r="F4" s="192"/>
      <c r="G4" s="192"/>
      <c r="H4" s="192"/>
      <c r="I4" s="192"/>
      <c r="J4" s="192"/>
      <c r="K4" s="192"/>
      <c r="L4" s="192" t="str">
        <f t="shared" si="0"/>
        <v/>
      </c>
      <c r="M4" s="192"/>
      <c r="N4" s="192" t="str">
        <f t="shared" si="1"/>
        <v/>
      </c>
      <c r="O4" s="192"/>
      <c r="P4" s="192" t="str">
        <f t="shared" si="2"/>
        <v/>
      </c>
      <c r="Q4" s="192" t="str">
        <f t="shared" si="3"/>
        <v/>
      </c>
      <c r="R4" s="192" t="str">
        <f t="shared" si="8"/>
        <v/>
      </c>
      <c r="S4" s="192" t="str">
        <f t="shared" si="4"/>
        <v/>
      </c>
      <c r="T4" s="192" t="str">
        <f t="shared" si="5"/>
        <v/>
      </c>
      <c r="U4" s="192" t="str">
        <f t="shared" si="6"/>
        <v/>
      </c>
      <c r="V4" s="95" t="str">
        <f t="shared" ca="1" si="9"/>
        <v>OK</v>
      </c>
      <c r="AB4" s="76" t="s">
        <v>173</v>
      </c>
      <c r="AC4" s="76" t="s">
        <v>456</v>
      </c>
      <c r="AD4" s="76" t="s">
        <v>447</v>
      </c>
      <c r="AE4" s="77" t="s">
        <v>457</v>
      </c>
      <c r="AF4" s="77" t="s">
        <v>458</v>
      </c>
      <c r="AG4" s="77" t="s">
        <v>459</v>
      </c>
      <c r="AH4" s="77" t="s">
        <v>460</v>
      </c>
      <c r="AI4" s="77" t="s">
        <v>461</v>
      </c>
      <c r="AJ4" s="76" t="s">
        <v>462</v>
      </c>
      <c r="AK4" s="76" t="s">
        <v>490</v>
      </c>
      <c r="AL4" s="2" t="s">
        <v>483</v>
      </c>
      <c r="AM4" s="77" t="s">
        <v>485</v>
      </c>
      <c r="AN4" s="2">
        <v>4</v>
      </c>
      <c r="AO4" s="2" t="s">
        <v>481</v>
      </c>
      <c r="AP4" s="2" t="s">
        <v>481</v>
      </c>
      <c r="AQ4" s="82">
        <v>15</v>
      </c>
      <c r="AR4" s="88" t="s">
        <v>456</v>
      </c>
      <c r="AS4" s="93" t="s">
        <v>225</v>
      </c>
      <c r="AT4" s="92" t="s">
        <v>481</v>
      </c>
      <c r="AU4" s="92" t="s">
        <v>481</v>
      </c>
      <c r="AV4" s="90" t="s">
        <v>226</v>
      </c>
      <c r="AW4" s="88" t="s">
        <v>456</v>
      </c>
      <c r="AX4" s="93">
        <v>2</v>
      </c>
      <c r="AY4" s="92">
        <v>6</v>
      </c>
      <c r="AZ4" s="92">
        <v>9</v>
      </c>
      <c r="BA4" s="90">
        <v>12</v>
      </c>
    </row>
    <row r="5" spans="1:53" ht="15.75" x14ac:dyDescent="0.25">
      <c r="A5" s="14">
        <v>44777</v>
      </c>
      <c r="B5" s="14">
        <f t="shared" si="7"/>
        <v>45169</v>
      </c>
      <c r="C5" s="8" t="s">
        <v>49</v>
      </c>
      <c r="D5" s="95" t="s">
        <v>440</v>
      </c>
      <c r="E5" s="8" t="s">
        <v>428</v>
      </c>
      <c r="F5" s="192"/>
      <c r="G5" s="192"/>
      <c r="H5" s="192"/>
      <c r="I5" s="192"/>
      <c r="J5" s="192"/>
      <c r="K5" s="192"/>
      <c r="L5" s="192" t="str">
        <f t="shared" si="0"/>
        <v/>
      </c>
      <c r="M5" s="192"/>
      <c r="N5" s="192" t="str">
        <f t="shared" si="1"/>
        <v/>
      </c>
      <c r="O5" s="192"/>
      <c r="P5" s="192" t="str">
        <f t="shared" si="2"/>
        <v/>
      </c>
      <c r="Q5" s="192" t="str">
        <f t="shared" si="3"/>
        <v/>
      </c>
      <c r="R5" s="192" t="str">
        <f t="shared" si="8"/>
        <v/>
      </c>
      <c r="S5" s="192" t="str">
        <f t="shared" si="4"/>
        <v/>
      </c>
      <c r="T5" s="192" t="str">
        <f t="shared" si="5"/>
        <v/>
      </c>
      <c r="U5" s="192" t="str">
        <f t="shared" si="6"/>
        <v/>
      </c>
      <c r="V5" s="95" t="str">
        <f t="shared" ca="1" si="9"/>
        <v>OK</v>
      </c>
      <c r="AB5" s="76" t="s">
        <v>429</v>
      </c>
      <c r="AC5" s="76" t="s">
        <v>463</v>
      </c>
      <c r="AD5" s="76" t="s">
        <v>448</v>
      </c>
      <c r="AE5" s="77" t="s">
        <v>464</v>
      </c>
      <c r="AF5" s="77" t="s">
        <v>465</v>
      </c>
      <c r="AG5" s="77" t="s">
        <v>466</v>
      </c>
      <c r="AH5" s="77" t="s">
        <v>467</v>
      </c>
      <c r="AI5" s="77" t="s">
        <v>468</v>
      </c>
      <c r="AJ5" s="76" t="s">
        <v>469</v>
      </c>
      <c r="AK5" s="76" t="s">
        <v>491</v>
      </c>
      <c r="AL5" s="81" t="s">
        <v>484</v>
      </c>
      <c r="AM5" s="77" t="s">
        <v>486</v>
      </c>
      <c r="AN5" s="2">
        <v>7</v>
      </c>
      <c r="AO5" s="2" t="s">
        <v>226</v>
      </c>
      <c r="AP5" s="2" t="s">
        <v>494</v>
      </c>
      <c r="AQ5" s="82">
        <v>21</v>
      </c>
      <c r="AR5" s="88" t="s">
        <v>449</v>
      </c>
      <c r="AS5" s="93" t="s">
        <v>225</v>
      </c>
      <c r="AT5" s="93" t="s">
        <v>225</v>
      </c>
      <c r="AU5" s="92" t="s">
        <v>481</v>
      </c>
      <c r="AV5" s="90" t="s">
        <v>226</v>
      </c>
      <c r="AW5" s="88" t="s">
        <v>449</v>
      </c>
      <c r="AX5" s="93">
        <v>1</v>
      </c>
      <c r="AY5" s="93">
        <v>3</v>
      </c>
      <c r="AZ5" s="92">
        <v>5</v>
      </c>
      <c r="BA5" s="90">
        <v>10</v>
      </c>
    </row>
    <row r="6" spans="1:53" ht="30" x14ac:dyDescent="0.25">
      <c r="A6" s="14">
        <v>44777</v>
      </c>
      <c r="B6" s="14">
        <f t="shared" si="7"/>
        <v>45169</v>
      </c>
      <c r="C6" s="96" t="s">
        <v>49</v>
      </c>
      <c r="D6" s="95" t="s">
        <v>438</v>
      </c>
      <c r="E6" s="8" t="s">
        <v>428</v>
      </c>
      <c r="F6" s="95" t="s">
        <v>443</v>
      </c>
      <c r="G6" s="95"/>
      <c r="H6" s="95"/>
      <c r="I6" s="95"/>
      <c r="J6" s="95"/>
      <c r="K6" s="95"/>
      <c r="L6" s="95" t="str">
        <f t="shared" si="0"/>
        <v/>
      </c>
      <c r="M6" s="95"/>
      <c r="N6" s="95" t="str">
        <f t="shared" si="1"/>
        <v/>
      </c>
      <c r="O6" s="95"/>
      <c r="P6" s="95" t="str">
        <f t="shared" si="2"/>
        <v/>
      </c>
      <c r="Q6" s="95" t="str">
        <f t="shared" si="3"/>
        <v/>
      </c>
      <c r="R6" s="95" t="str">
        <f t="shared" si="8"/>
        <v/>
      </c>
      <c r="S6" s="95" t="str">
        <f t="shared" si="4"/>
        <v/>
      </c>
      <c r="T6" s="95" t="str">
        <f t="shared" si="5"/>
        <v/>
      </c>
      <c r="U6" s="95" t="str">
        <f t="shared" si="6"/>
        <v/>
      </c>
      <c r="V6" s="95" t="str">
        <f t="shared" ca="1" si="9"/>
        <v>OK</v>
      </c>
      <c r="AB6" s="76" t="s">
        <v>430</v>
      </c>
      <c r="AC6" s="2" t="s">
        <v>470</v>
      </c>
      <c r="AD6" s="76" t="s">
        <v>35</v>
      </c>
      <c r="AE6" s="78" t="s">
        <v>471</v>
      </c>
      <c r="AF6" s="79" t="s">
        <v>472</v>
      </c>
      <c r="AG6" s="78" t="s">
        <v>473</v>
      </c>
      <c r="AH6" s="78" t="s">
        <v>474</v>
      </c>
      <c r="AI6" s="78" t="s">
        <v>475</v>
      </c>
      <c r="AJ6" s="2" t="s">
        <v>476</v>
      </c>
      <c r="AK6" s="2" t="s">
        <v>492</v>
      </c>
      <c r="AM6" s="78" t="s">
        <v>487</v>
      </c>
      <c r="AN6" s="2">
        <v>9</v>
      </c>
      <c r="AO6" s="2" t="s">
        <v>482</v>
      </c>
      <c r="AP6" s="2" t="s">
        <v>495</v>
      </c>
      <c r="AQ6" s="2"/>
      <c r="AR6" s="94"/>
      <c r="AS6" s="88" t="s">
        <v>449</v>
      </c>
      <c r="AT6" s="88" t="s">
        <v>456</v>
      </c>
      <c r="AU6" s="88" t="s">
        <v>463</v>
      </c>
      <c r="AV6" s="88" t="s">
        <v>470</v>
      </c>
      <c r="AW6" s="94"/>
      <c r="AX6" s="88" t="s">
        <v>449</v>
      </c>
      <c r="AY6" s="88" t="s">
        <v>456</v>
      </c>
      <c r="AZ6" s="88" t="s">
        <v>463</v>
      </c>
      <c r="BA6" s="88" t="s">
        <v>470</v>
      </c>
    </row>
    <row r="7" spans="1:53" ht="30" x14ac:dyDescent="0.25">
      <c r="A7" s="14">
        <v>44777</v>
      </c>
      <c r="B7" s="14">
        <f t="shared" si="7"/>
        <v>45169</v>
      </c>
      <c r="C7" s="96" t="s">
        <v>51</v>
      </c>
      <c r="D7" s="8" t="s">
        <v>507</v>
      </c>
      <c r="E7" s="8" t="s">
        <v>428</v>
      </c>
      <c r="F7" s="95" t="s">
        <v>509</v>
      </c>
      <c r="G7" s="8"/>
      <c r="H7" s="8"/>
      <c r="I7" s="95" t="s">
        <v>446</v>
      </c>
      <c r="J7" s="95" t="s">
        <v>450</v>
      </c>
      <c r="K7" s="95" t="s">
        <v>195</v>
      </c>
      <c r="L7" s="95">
        <f t="shared" si="0"/>
        <v>0</v>
      </c>
      <c r="M7" s="95" t="s">
        <v>491</v>
      </c>
      <c r="N7" s="95">
        <f t="shared" si="1"/>
        <v>7</v>
      </c>
      <c r="O7" s="95" t="s">
        <v>195</v>
      </c>
      <c r="P7" s="95">
        <f t="shared" si="2"/>
        <v>0</v>
      </c>
      <c r="Q7" s="95" t="str">
        <f t="shared" si="3"/>
        <v>Baixa</v>
      </c>
      <c r="R7" s="95">
        <f t="shared" si="8"/>
        <v>7</v>
      </c>
      <c r="S7" s="95" t="str">
        <f t="shared" si="4"/>
        <v>Baixa</v>
      </c>
      <c r="T7" s="95" t="str">
        <f t="shared" si="5"/>
        <v>Baixo</v>
      </c>
      <c r="U7" s="95">
        <f t="shared" si="6"/>
        <v>1</v>
      </c>
      <c r="V7" s="95" t="str">
        <f t="shared" ca="1" si="9"/>
        <v>OK</v>
      </c>
      <c r="AB7" s="2" t="s">
        <v>437</v>
      </c>
      <c r="AD7" s="76" t="s">
        <v>37</v>
      </c>
    </row>
    <row r="8" spans="1:53" ht="45" x14ac:dyDescent="0.25">
      <c r="A8" s="14">
        <v>44777</v>
      </c>
      <c r="B8" s="14">
        <f t="shared" si="7"/>
        <v>45169</v>
      </c>
      <c r="C8" s="96" t="s">
        <v>51</v>
      </c>
      <c r="D8" s="8" t="s">
        <v>508</v>
      </c>
      <c r="E8" s="8" t="s">
        <v>428</v>
      </c>
      <c r="F8" s="95" t="s">
        <v>510</v>
      </c>
      <c r="G8" s="8" t="s">
        <v>511</v>
      </c>
      <c r="H8" s="8" t="s">
        <v>512</v>
      </c>
      <c r="I8" s="95" t="s">
        <v>446</v>
      </c>
      <c r="J8" s="95" t="s">
        <v>450</v>
      </c>
      <c r="K8" s="95" t="s">
        <v>485</v>
      </c>
      <c r="L8" s="95">
        <f t="shared" si="0"/>
        <v>4</v>
      </c>
      <c r="M8" s="95" t="s">
        <v>195</v>
      </c>
      <c r="N8" s="95">
        <f t="shared" si="1"/>
        <v>0</v>
      </c>
      <c r="O8" s="95" t="s">
        <v>483</v>
      </c>
      <c r="P8" s="95">
        <f t="shared" si="2"/>
        <v>4</v>
      </c>
      <c r="Q8" s="95" t="str">
        <f t="shared" si="3"/>
        <v>Baixa</v>
      </c>
      <c r="R8" s="95">
        <f t="shared" si="8"/>
        <v>8</v>
      </c>
      <c r="S8" s="95" t="str">
        <f t="shared" si="4"/>
        <v>Baixa</v>
      </c>
      <c r="T8" s="95" t="str">
        <f t="shared" si="5"/>
        <v>Baixo</v>
      </c>
      <c r="U8" s="95">
        <f t="shared" si="6"/>
        <v>1</v>
      </c>
      <c r="V8" s="95" t="str">
        <f t="shared" ca="1" si="9"/>
        <v>OK</v>
      </c>
      <c r="AD8" s="2" t="s">
        <v>36</v>
      </c>
    </row>
    <row r="9" spans="1:53" ht="30" x14ac:dyDescent="0.25">
      <c r="A9" s="14">
        <v>44777</v>
      </c>
      <c r="B9" s="14">
        <f t="shared" si="7"/>
        <v>45169</v>
      </c>
      <c r="C9" s="96" t="s">
        <v>51</v>
      </c>
      <c r="D9" s="8" t="s">
        <v>441</v>
      </c>
      <c r="E9" s="8" t="s">
        <v>437</v>
      </c>
      <c r="F9" s="95" t="s">
        <v>513</v>
      </c>
      <c r="G9" s="95" t="s">
        <v>514</v>
      </c>
      <c r="H9" s="8" t="s">
        <v>515</v>
      </c>
      <c r="I9" s="95" t="s">
        <v>446</v>
      </c>
      <c r="J9" s="95" t="s">
        <v>450</v>
      </c>
      <c r="K9" s="95" t="s">
        <v>195</v>
      </c>
      <c r="L9" s="95">
        <f t="shared" si="0"/>
        <v>0</v>
      </c>
      <c r="M9" s="95" t="s">
        <v>491</v>
      </c>
      <c r="N9" s="95">
        <f t="shared" si="1"/>
        <v>7</v>
      </c>
      <c r="O9" s="95" t="s">
        <v>483</v>
      </c>
      <c r="P9" s="95">
        <f t="shared" si="2"/>
        <v>4</v>
      </c>
      <c r="Q9" s="95" t="str">
        <f t="shared" si="3"/>
        <v>Baixa</v>
      </c>
      <c r="R9" s="95">
        <f t="shared" si="8"/>
        <v>11</v>
      </c>
      <c r="S9" s="95" t="str">
        <f t="shared" si="4"/>
        <v>Média</v>
      </c>
      <c r="T9" s="95" t="str">
        <f t="shared" si="5"/>
        <v>Baixo</v>
      </c>
      <c r="U9" s="95">
        <f t="shared" si="6"/>
        <v>3</v>
      </c>
      <c r="V9" s="95" t="str">
        <f t="shared" ca="1" si="9"/>
        <v>OK</v>
      </c>
    </row>
    <row r="10" spans="1:53" ht="45" x14ac:dyDescent="0.25">
      <c r="A10" s="14">
        <v>44777</v>
      </c>
      <c r="B10" s="14">
        <f t="shared" si="7"/>
        <v>45169</v>
      </c>
      <c r="C10" s="8" t="s">
        <v>51</v>
      </c>
      <c r="D10" s="8" t="s">
        <v>442</v>
      </c>
      <c r="E10" s="8" t="s">
        <v>437</v>
      </c>
      <c r="F10" s="95" t="s">
        <v>516</v>
      </c>
      <c r="G10" s="95" t="s">
        <v>517</v>
      </c>
      <c r="H10" s="8" t="s">
        <v>518</v>
      </c>
      <c r="I10" s="95" t="s">
        <v>446</v>
      </c>
      <c r="J10" s="95" t="s">
        <v>450</v>
      </c>
      <c r="K10" s="95" t="s">
        <v>195</v>
      </c>
      <c r="L10" s="95">
        <f t="shared" si="0"/>
        <v>0</v>
      </c>
      <c r="M10" s="95" t="s">
        <v>490</v>
      </c>
      <c r="N10" s="95">
        <f t="shared" si="1"/>
        <v>4</v>
      </c>
      <c r="O10" s="95" t="s">
        <v>195</v>
      </c>
      <c r="P10" s="95">
        <f t="shared" si="2"/>
        <v>0</v>
      </c>
      <c r="Q10" s="95" t="str">
        <f t="shared" si="3"/>
        <v>Baixa</v>
      </c>
      <c r="R10" s="95">
        <f t="shared" si="8"/>
        <v>4</v>
      </c>
      <c r="S10" s="95" t="str">
        <f t="shared" si="4"/>
        <v>Baixa</v>
      </c>
      <c r="T10" s="95" t="str">
        <f t="shared" si="5"/>
        <v>Baixo</v>
      </c>
      <c r="U10" s="95">
        <f t="shared" si="6"/>
        <v>1</v>
      </c>
      <c r="V10" s="95" t="str">
        <f ca="1">IF(B10&lt;TODAY(),"OK","NOK")</f>
        <v>OK</v>
      </c>
    </row>
    <row r="11" spans="1:53" x14ac:dyDescent="0.25">
      <c r="A11" s="14"/>
      <c r="B11" s="8"/>
      <c r="C11" s="8"/>
      <c r="D11" s="8"/>
      <c r="E11" s="8"/>
      <c r="F11" s="8"/>
      <c r="G11" s="95"/>
      <c r="H11" s="95"/>
      <c r="I11" s="95"/>
      <c r="J11" s="95"/>
      <c r="K11" s="95"/>
      <c r="L11" s="95" t="str">
        <f t="shared" si="0"/>
        <v/>
      </c>
      <c r="M11" s="95"/>
      <c r="N11" s="95" t="str">
        <f t="shared" si="1"/>
        <v/>
      </c>
      <c r="O11" s="95"/>
      <c r="P11" s="95" t="str">
        <f t="shared" si="2"/>
        <v/>
      </c>
      <c r="Q11" s="95" t="str">
        <f t="shared" si="3"/>
        <v/>
      </c>
      <c r="R11" s="95" t="str">
        <f t="shared" si="8"/>
        <v/>
      </c>
      <c r="S11" s="95" t="str">
        <f t="shared" si="4"/>
        <v/>
      </c>
      <c r="T11" s="95" t="str">
        <f t="shared" si="5"/>
        <v/>
      </c>
      <c r="U11" s="95" t="str">
        <f t="shared" si="6"/>
        <v/>
      </c>
    </row>
    <row r="12" spans="1:53" x14ac:dyDescent="0.25">
      <c r="A12" s="14"/>
      <c r="B12" s="8"/>
      <c r="C12" s="8"/>
      <c r="D12" s="8"/>
      <c r="E12" s="8"/>
      <c r="F12" s="8"/>
      <c r="G12" s="95"/>
      <c r="H12" s="95"/>
      <c r="I12" s="95"/>
      <c r="J12" s="95"/>
      <c r="K12" s="95"/>
      <c r="L12" s="95" t="str">
        <f t="shared" si="0"/>
        <v/>
      </c>
      <c r="M12" s="95"/>
      <c r="N12" s="95" t="str">
        <f t="shared" si="1"/>
        <v/>
      </c>
      <c r="O12" s="95"/>
      <c r="P12" s="95" t="str">
        <f t="shared" si="2"/>
        <v/>
      </c>
      <c r="Q12" s="95" t="str">
        <f t="shared" si="3"/>
        <v/>
      </c>
      <c r="R12" s="95" t="str">
        <f t="shared" si="8"/>
        <v/>
      </c>
      <c r="S12" s="95" t="str">
        <f t="shared" si="4"/>
        <v/>
      </c>
      <c r="T12" s="95" t="str">
        <f t="shared" si="5"/>
        <v/>
      </c>
      <c r="U12" s="95" t="str">
        <f t="shared" si="6"/>
        <v/>
      </c>
    </row>
    <row r="13" spans="1:53" x14ac:dyDescent="0.25">
      <c r="A13" s="14"/>
      <c r="B13" s="8"/>
      <c r="C13" s="8"/>
      <c r="D13" s="8"/>
      <c r="E13" s="8"/>
      <c r="F13" s="8"/>
      <c r="G13" s="95"/>
      <c r="H13" s="95"/>
      <c r="I13" s="95"/>
      <c r="J13" s="95"/>
      <c r="K13" s="95"/>
      <c r="L13" s="95" t="str">
        <f t="shared" si="0"/>
        <v/>
      </c>
      <c r="M13" s="95"/>
      <c r="N13" s="95" t="str">
        <f t="shared" si="1"/>
        <v/>
      </c>
      <c r="O13" s="95"/>
      <c r="P13" s="95" t="str">
        <f t="shared" si="2"/>
        <v/>
      </c>
      <c r="Q13" s="95" t="str">
        <f t="shared" si="3"/>
        <v/>
      </c>
      <c r="R13" s="95" t="str">
        <f t="shared" si="8"/>
        <v/>
      </c>
      <c r="S13" s="95" t="str">
        <f t="shared" si="4"/>
        <v/>
      </c>
      <c r="T13" s="95" t="str">
        <f t="shared" si="5"/>
        <v/>
      </c>
      <c r="U13" s="95" t="str">
        <f t="shared" si="6"/>
        <v/>
      </c>
    </row>
    <row r="14" spans="1:53" x14ac:dyDescent="0.25">
      <c r="A14" s="14"/>
      <c r="B14" s="8"/>
      <c r="C14" s="8"/>
      <c r="D14" s="8"/>
      <c r="E14" s="8"/>
      <c r="F14" s="8"/>
      <c r="G14" s="95"/>
      <c r="H14" s="95"/>
      <c r="I14" s="95"/>
      <c r="J14" s="95"/>
      <c r="K14" s="95"/>
      <c r="L14" s="95" t="str">
        <f t="shared" si="0"/>
        <v/>
      </c>
      <c r="M14" s="95"/>
      <c r="N14" s="95" t="str">
        <f t="shared" si="1"/>
        <v/>
      </c>
      <c r="O14" s="95"/>
      <c r="P14" s="95" t="str">
        <f t="shared" si="2"/>
        <v/>
      </c>
      <c r="Q14" s="95" t="str">
        <f t="shared" si="3"/>
        <v/>
      </c>
      <c r="R14" s="95" t="str">
        <f t="shared" si="8"/>
        <v/>
      </c>
      <c r="S14" s="95" t="str">
        <f t="shared" si="4"/>
        <v/>
      </c>
      <c r="T14" s="95" t="str">
        <f t="shared" si="5"/>
        <v/>
      </c>
      <c r="U14" s="95" t="str">
        <f t="shared" si="6"/>
        <v/>
      </c>
    </row>
    <row r="15" spans="1:53" x14ac:dyDescent="0.25">
      <c r="A15" s="14"/>
      <c r="B15" s="8"/>
      <c r="C15" s="8"/>
      <c r="D15" s="8"/>
      <c r="E15" s="8"/>
      <c r="F15" s="8"/>
      <c r="G15" s="8"/>
      <c r="H15" s="8"/>
      <c r="I15" s="95"/>
      <c r="J15" s="95"/>
      <c r="K15" s="95"/>
      <c r="L15" s="95" t="str">
        <f t="shared" si="0"/>
        <v/>
      </c>
      <c r="M15" s="95"/>
      <c r="N15" s="95" t="str">
        <f t="shared" si="1"/>
        <v/>
      </c>
      <c r="O15" s="95"/>
      <c r="P15" s="95" t="str">
        <f t="shared" si="2"/>
        <v/>
      </c>
      <c r="Q15" s="95" t="str">
        <f t="shared" si="3"/>
        <v/>
      </c>
      <c r="R15" s="95" t="str">
        <f t="shared" si="8"/>
        <v/>
      </c>
      <c r="S15" s="95" t="str">
        <f t="shared" si="4"/>
        <v/>
      </c>
      <c r="T15" s="95" t="str">
        <f t="shared" si="5"/>
        <v/>
      </c>
      <c r="U15" s="95" t="str">
        <f t="shared" si="6"/>
        <v/>
      </c>
    </row>
    <row r="16" spans="1:53" x14ac:dyDescent="0.25">
      <c r="A16" s="14"/>
      <c r="B16" s="8"/>
      <c r="C16" s="8"/>
      <c r="D16" s="8"/>
      <c r="E16" s="8"/>
      <c r="F16" s="8"/>
      <c r="G16" s="8"/>
      <c r="H16" s="8"/>
      <c r="I16" s="95"/>
      <c r="J16" s="95"/>
      <c r="K16" s="95"/>
      <c r="L16" s="95" t="str">
        <f t="shared" si="0"/>
        <v/>
      </c>
      <c r="M16" s="95"/>
      <c r="N16" s="95" t="str">
        <f t="shared" si="1"/>
        <v/>
      </c>
      <c r="O16" s="95"/>
      <c r="P16" s="95" t="str">
        <f t="shared" si="2"/>
        <v/>
      </c>
      <c r="Q16" s="95" t="str">
        <f t="shared" si="3"/>
        <v/>
      </c>
      <c r="R16" s="95" t="str">
        <f t="shared" si="8"/>
        <v/>
      </c>
      <c r="S16" s="95" t="str">
        <f t="shared" si="4"/>
        <v/>
      </c>
      <c r="T16" s="95" t="str">
        <f t="shared" si="5"/>
        <v/>
      </c>
      <c r="U16" s="95" t="str">
        <f t="shared" si="6"/>
        <v/>
      </c>
    </row>
    <row r="17" spans="1:21" x14ac:dyDescent="0.25">
      <c r="A17" s="14"/>
      <c r="B17" s="8"/>
      <c r="C17" s="8"/>
      <c r="D17" s="8"/>
      <c r="E17" s="8"/>
      <c r="F17" s="8"/>
      <c r="G17" s="8"/>
      <c r="H17" s="8"/>
      <c r="I17" s="95"/>
      <c r="J17" s="95"/>
      <c r="K17" s="95"/>
      <c r="L17" s="95" t="str">
        <f t="shared" si="0"/>
        <v/>
      </c>
      <c r="M17" s="95"/>
      <c r="N17" s="95" t="str">
        <f t="shared" si="1"/>
        <v/>
      </c>
      <c r="O17" s="95"/>
      <c r="P17" s="95" t="str">
        <f t="shared" si="2"/>
        <v/>
      </c>
      <c r="Q17" s="95" t="str">
        <f t="shared" si="3"/>
        <v/>
      </c>
      <c r="R17" s="95" t="str">
        <f t="shared" si="8"/>
        <v/>
      </c>
      <c r="S17" s="95" t="str">
        <f t="shared" si="4"/>
        <v/>
      </c>
      <c r="T17" s="95" t="str">
        <f t="shared" si="5"/>
        <v/>
      </c>
      <c r="U17" s="95" t="str">
        <f t="shared" si="6"/>
        <v/>
      </c>
    </row>
    <row r="18" spans="1:21" x14ac:dyDescent="0.25">
      <c r="A18" s="14"/>
      <c r="B18" s="8"/>
      <c r="C18" s="8"/>
      <c r="D18" s="8"/>
      <c r="E18" s="8"/>
      <c r="F18" s="8"/>
      <c r="G18" s="8"/>
      <c r="H18" s="8"/>
      <c r="I18" s="95"/>
      <c r="J18" s="95"/>
      <c r="K18" s="95"/>
      <c r="L18" s="95" t="str">
        <f t="shared" si="0"/>
        <v/>
      </c>
      <c r="M18" s="95"/>
      <c r="N18" s="95" t="str">
        <f t="shared" si="1"/>
        <v/>
      </c>
      <c r="O18" s="95"/>
      <c r="P18" s="95" t="str">
        <f t="shared" si="2"/>
        <v/>
      </c>
      <c r="Q18" s="95" t="str">
        <f t="shared" si="3"/>
        <v/>
      </c>
      <c r="R18" s="95" t="str">
        <f t="shared" si="8"/>
        <v/>
      </c>
      <c r="S18" s="95" t="str">
        <f t="shared" si="4"/>
        <v/>
      </c>
      <c r="T18" s="95" t="str">
        <f t="shared" si="5"/>
        <v/>
      </c>
      <c r="U18" s="95" t="str">
        <f t="shared" si="6"/>
        <v/>
      </c>
    </row>
    <row r="19" spans="1:21" x14ac:dyDescent="0.25">
      <c r="A19" s="14"/>
      <c r="B19" s="8"/>
      <c r="C19" s="8"/>
      <c r="D19" s="8"/>
      <c r="E19" s="8"/>
      <c r="F19" s="8"/>
      <c r="G19" s="8"/>
      <c r="H19" s="8"/>
      <c r="I19" s="95"/>
      <c r="J19" s="95"/>
      <c r="K19" s="95"/>
      <c r="L19" s="95" t="str">
        <f t="shared" si="0"/>
        <v/>
      </c>
      <c r="M19" s="95"/>
      <c r="N19" s="95" t="str">
        <f t="shared" si="1"/>
        <v/>
      </c>
      <c r="O19" s="95"/>
      <c r="P19" s="95" t="str">
        <f t="shared" si="2"/>
        <v/>
      </c>
      <c r="Q19" s="95" t="str">
        <f t="shared" si="3"/>
        <v/>
      </c>
      <c r="R19" s="95" t="str">
        <f t="shared" si="8"/>
        <v/>
      </c>
      <c r="S19" s="95" t="str">
        <f t="shared" si="4"/>
        <v/>
      </c>
      <c r="T19" s="95" t="str">
        <f t="shared" si="5"/>
        <v/>
      </c>
      <c r="U19" s="95" t="str">
        <f t="shared" si="6"/>
        <v/>
      </c>
    </row>
    <row r="20" spans="1:21" x14ac:dyDescent="0.25">
      <c r="A20" s="14"/>
      <c r="B20" s="8"/>
      <c r="C20" s="8"/>
      <c r="D20" s="8"/>
      <c r="E20" s="8"/>
      <c r="F20" s="8"/>
      <c r="G20" s="8"/>
      <c r="H20" s="8"/>
      <c r="I20" s="95"/>
      <c r="J20" s="95"/>
      <c r="K20" s="95"/>
      <c r="L20" s="95" t="str">
        <f t="shared" si="0"/>
        <v/>
      </c>
      <c r="M20" s="95"/>
      <c r="N20" s="95" t="str">
        <f t="shared" si="1"/>
        <v/>
      </c>
      <c r="O20" s="95"/>
      <c r="P20" s="95" t="str">
        <f t="shared" si="2"/>
        <v/>
      </c>
      <c r="Q20" s="95" t="str">
        <f t="shared" si="3"/>
        <v/>
      </c>
      <c r="R20" s="95" t="str">
        <f t="shared" si="8"/>
        <v/>
      </c>
      <c r="S20" s="95" t="str">
        <f t="shared" si="4"/>
        <v/>
      </c>
      <c r="T20" s="95" t="str">
        <f t="shared" si="5"/>
        <v/>
      </c>
      <c r="U20" s="95" t="str">
        <f t="shared" si="6"/>
        <v/>
      </c>
    </row>
    <row r="21" spans="1:21" x14ac:dyDescent="0.25">
      <c r="A21" s="14"/>
      <c r="B21" s="8"/>
      <c r="C21" s="8"/>
      <c r="D21" s="8"/>
      <c r="E21" s="8"/>
      <c r="F21" s="8"/>
      <c r="G21" s="8"/>
      <c r="H21" s="8"/>
      <c r="I21" s="95"/>
      <c r="J21" s="95"/>
      <c r="K21" s="95"/>
      <c r="L21" s="95" t="str">
        <f t="shared" si="0"/>
        <v/>
      </c>
      <c r="M21" s="95"/>
      <c r="N21" s="95" t="str">
        <f t="shared" si="1"/>
        <v/>
      </c>
      <c r="O21" s="95"/>
      <c r="P21" s="95" t="str">
        <f t="shared" si="2"/>
        <v/>
      </c>
      <c r="Q21" s="95" t="str">
        <f t="shared" si="3"/>
        <v/>
      </c>
      <c r="R21" s="95" t="str">
        <f t="shared" si="8"/>
        <v/>
      </c>
      <c r="S21" s="95" t="str">
        <f t="shared" si="4"/>
        <v/>
      </c>
      <c r="T21" s="95" t="str">
        <f t="shared" si="5"/>
        <v/>
      </c>
      <c r="U21" s="95" t="str">
        <f t="shared" si="6"/>
        <v/>
      </c>
    </row>
    <row r="22" spans="1:21" x14ac:dyDescent="0.25">
      <c r="A22" s="14"/>
      <c r="B22" s="8"/>
      <c r="C22" s="8"/>
      <c r="D22" s="8"/>
      <c r="E22" s="8"/>
      <c r="F22" s="8"/>
      <c r="G22" s="8"/>
      <c r="H22" s="8"/>
      <c r="I22" s="95"/>
      <c r="J22" s="95"/>
      <c r="K22" s="95"/>
      <c r="L22" s="95" t="str">
        <f t="shared" si="0"/>
        <v/>
      </c>
      <c r="M22" s="95"/>
      <c r="N22" s="95" t="str">
        <f t="shared" si="1"/>
        <v/>
      </c>
      <c r="O22" s="95"/>
      <c r="P22" s="95" t="str">
        <f t="shared" si="2"/>
        <v/>
      </c>
      <c r="Q22" s="95" t="str">
        <f t="shared" si="3"/>
        <v/>
      </c>
      <c r="R22" s="95" t="str">
        <f t="shared" si="8"/>
        <v/>
      </c>
      <c r="S22" s="95" t="str">
        <f t="shared" si="4"/>
        <v/>
      </c>
      <c r="T22" s="95" t="str">
        <f t="shared" si="5"/>
        <v/>
      </c>
      <c r="U22" s="95" t="str">
        <f t="shared" si="6"/>
        <v/>
      </c>
    </row>
    <row r="23" spans="1:21" x14ac:dyDescent="0.25">
      <c r="A23" s="14"/>
      <c r="B23" s="8"/>
      <c r="C23" s="8"/>
      <c r="D23" s="8"/>
      <c r="E23" s="8"/>
      <c r="F23" s="8"/>
      <c r="G23" s="8"/>
      <c r="H23" s="8"/>
      <c r="I23" s="95"/>
      <c r="J23" s="95"/>
      <c r="K23" s="95"/>
      <c r="L23" s="95" t="str">
        <f t="shared" si="0"/>
        <v/>
      </c>
      <c r="M23" s="95"/>
      <c r="N23" s="95" t="str">
        <f t="shared" si="1"/>
        <v/>
      </c>
      <c r="O23" s="95"/>
      <c r="P23" s="95" t="str">
        <f t="shared" si="2"/>
        <v/>
      </c>
      <c r="Q23" s="95" t="str">
        <f t="shared" si="3"/>
        <v/>
      </c>
      <c r="R23" s="95" t="str">
        <f t="shared" si="8"/>
        <v/>
      </c>
      <c r="S23" s="95" t="str">
        <f t="shared" si="4"/>
        <v/>
      </c>
      <c r="T23" s="95" t="str">
        <f t="shared" si="5"/>
        <v/>
      </c>
      <c r="U23" s="95" t="str">
        <f t="shared" si="6"/>
        <v/>
      </c>
    </row>
    <row r="24" spans="1:21" x14ac:dyDescent="0.25">
      <c r="A24" s="8"/>
      <c r="B24" s="8"/>
      <c r="C24" s="8"/>
      <c r="D24" s="8"/>
      <c r="E24" s="8"/>
      <c r="F24" s="8"/>
      <c r="G24" s="8"/>
      <c r="H24" s="8"/>
      <c r="I24" s="95"/>
      <c r="J24" s="95"/>
      <c r="K24" s="95"/>
      <c r="L24" s="95" t="str">
        <f t="shared" si="0"/>
        <v/>
      </c>
      <c r="M24" s="95"/>
      <c r="N24" s="95" t="str">
        <f t="shared" si="1"/>
        <v/>
      </c>
      <c r="O24" s="95"/>
      <c r="P24" s="95" t="str">
        <f t="shared" si="2"/>
        <v/>
      </c>
      <c r="Q24" s="95" t="str">
        <f t="shared" si="3"/>
        <v/>
      </c>
      <c r="R24" s="95" t="str">
        <f t="shared" si="8"/>
        <v/>
      </c>
      <c r="S24" s="95" t="str">
        <f t="shared" si="4"/>
        <v/>
      </c>
      <c r="T24" s="95" t="str">
        <f t="shared" si="5"/>
        <v/>
      </c>
      <c r="U24" s="95" t="str">
        <f t="shared" si="6"/>
        <v/>
      </c>
    </row>
    <row r="25" spans="1:21" x14ac:dyDescent="0.25">
      <c r="A25" s="8"/>
      <c r="B25" s="8"/>
      <c r="C25" s="8"/>
      <c r="D25" s="8"/>
      <c r="E25" s="8"/>
      <c r="F25" s="8"/>
      <c r="G25" s="8"/>
      <c r="H25" s="8"/>
      <c r="I25" s="95"/>
      <c r="J25" s="95"/>
      <c r="K25" s="95"/>
      <c r="L25" s="95" t="str">
        <f t="shared" si="0"/>
        <v/>
      </c>
      <c r="M25" s="95"/>
      <c r="N25" s="95" t="str">
        <f t="shared" si="1"/>
        <v/>
      </c>
      <c r="O25" s="95"/>
      <c r="P25" s="95" t="str">
        <f t="shared" si="2"/>
        <v/>
      </c>
      <c r="Q25" s="95" t="str">
        <f t="shared" si="3"/>
        <v/>
      </c>
      <c r="R25" s="95" t="str">
        <f t="shared" si="8"/>
        <v/>
      </c>
      <c r="S25" s="95" t="str">
        <f t="shared" si="4"/>
        <v/>
      </c>
      <c r="T25" s="95" t="str">
        <f t="shared" si="5"/>
        <v/>
      </c>
      <c r="U25" s="95" t="str">
        <f t="shared" si="6"/>
        <v/>
      </c>
    </row>
    <row r="26" spans="1:21" x14ac:dyDescent="0.25">
      <c r="A26" s="8"/>
      <c r="B26" s="8"/>
      <c r="C26" s="8"/>
      <c r="D26" s="8"/>
      <c r="E26" s="8"/>
      <c r="F26" s="8"/>
      <c r="G26" s="8"/>
      <c r="H26" s="8"/>
      <c r="I26" s="95"/>
      <c r="J26" s="95"/>
      <c r="K26" s="95"/>
      <c r="L26" s="95" t="str">
        <f t="shared" si="0"/>
        <v/>
      </c>
      <c r="M26" s="95"/>
      <c r="N26" s="95" t="str">
        <f t="shared" si="1"/>
        <v/>
      </c>
      <c r="O26" s="95"/>
      <c r="P26" s="95" t="str">
        <f t="shared" si="2"/>
        <v/>
      </c>
      <c r="Q26" s="95" t="str">
        <f t="shared" si="3"/>
        <v/>
      </c>
      <c r="R26" s="95" t="str">
        <f t="shared" si="8"/>
        <v/>
      </c>
      <c r="S26" s="95" t="str">
        <f t="shared" si="4"/>
        <v/>
      </c>
      <c r="T26" s="95" t="str">
        <f t="shared" si="5"/>
        <v/>
      </c>
      <c r="U26" s="95" t="str">
        <f t="shared" si="6"/>
        <v/>
      </c>
    </row>
    <row r="27" spans="1:21" x14ac:dyDescent="0.25">
      <c r="A27" s="8"/>
      <c r="B27" s="8"/>
      <c r="C27" s="8"/>
      <c r="D27" s="8"/>
      <c r="E27" s="8"/>
      <c r="F27" s="8"/>
      <c r="G27" s="8"/>
      <c r="H27" s="8"/>
      <c r="I27" s="95"/>
      <c r="J27" s="95"/>
      <c r="K27" s="95"/>
      <c r="L27" s="95" t="str">
        <f t="shared" si="0"/>
        <v/>
      </c>
      <c r="M27" s="95"/>
      <c r="N27" s="95" t="str">
        <f t="shared" si="1"/>
        <v/>
      </c>
      <c r="O27" s="95"/>
      <c r="P27" s="95" t="str">
        <f t="shared" si="2"/>
        <v/>
      </c>
      <c r="Q27" s="95" t="str">
        <f t="shared" si="3"/>
        <v/>
      </c>
      <c r="R27" s="95" t="str">
        <f t="shared" si="8"/>
        <v/>
      </c>
      <c r="S27" s="95" t="str">
        <f t="shared" si="4"/>
        <v/>
      </c>
      <c r="T27" s="95" t="str">
        <f t="shared" si="5"/>
        <v/>
      </c>
      <c r="U27" s="95" t="str">
        <f t="shared" si="6"/>
        <v/>
      </c>
    </row>
    <row r="28" spans="1:21" x14ac:dyDescent="0.25">
      <c r="A28" s="8"/>
      <c r="B28" s="8"/>
      <c r="C28" s="8"/>
      <c r="D28" s="8"/>
      <c r="E28" s="8"/>
      <c r="F28" s="8"/>
      <c r="G28" s="8"/>
      <c r="H28" s="8"/>
      <c r="I28" s="95"/>
      <c r="J28" s="95"/>
      <c r="K28" s="95"/>
      <c r="L28" s="95" t="str">
        <f t="shared" si="0"/>
        <v/>
      </c>
      <c r="M28" s="95"/>
      <c r="N28" s="95" t="str">
        <f t="shared" si="1"/>
        <v/>
      </c>
      <c r="O28" s="95"/>
      <c r="P28" s="95" t="str">
        <f t="shared" si="2"/>
        <v/>
      </c>
      <c r="Q28" s="95" t="str">
        <f t="shared" si="3"/>
        <v/>
      </c>
      <c r="R28" s="95" t="str">
        <f t="shared" si="8"/>
        <v/>
      </c>
      <c r="S28" s="95" t="str">
        <f t="shared" si="4"/>
        <v/>
      </c>
      <c r="T28" s="95" t="str">
        <f t="shared" si="5"/>
        <v/>
      </c>
      <c r="U28" s="95" t="str">
        <f t="shared" si="6"/>
        <v/>
      </c>
    </row>
    <row r="29" spans="1:21" x14ac:dyDescent="0.25">
      <c r="A29" s="8"/>
      <c r="B29" s="8"/>
      <c r="C29" s="8"/>
      <c r="D29" s="8"/>
      <c r="E29" s="8"/>
      <c r="F29" s="8"/>
      <c r="G29" s="8"/>
      <c r="H29" s="8"/>
      <c r="I29" s="95"/>
      <c r="J29" s="95"/>
      <c r="K29" s="95"/>
      <c r="L29" s="95" t="str">
        <f t="shared" si="0"/>
        <v/>
      </c>
      <c r="M29" s="95"/>
      <c r="N29" s="95" t="str">
        <f t="shared" si="1"/>
        <v/>
      </c>
      <c r="O29" s="95"/>
      <c r="P29" s="95" t="str">
        <f t="shared" si="2"/>
        <v/>
      </c>
      <c r="Q29" s="95" t="str">
        <f t="shared" si="3"/>
        <v/>
      </c>
      <c r="R29" s="95" t="str">
        <f t="shared" si="8"/>
        <v/>
      </c>
      <c r="S29" s="95" t="str">
        <f t="shared" si="4"/>
        <v/>
      </c>
      <c r="T29" s="95" t="str">
        <f t="shared" si="5"/>
        <v/>
      </c>
      <c r="U29" s="95" t="str">
        <f t="shared" si="6"/>
        <v/>
      </c>
    </row>
    <row r="30" spans="1:21" x14ac:dyDescent="0.25">
      <c r="A30" s="8"/>
      <c r="B30" s="8"/>
      <c r="C30" s="8"/>
      <c r="D30" s="8"/>
      <c r="E30" s="8"/>
      <c r="F30" s="8"/>
      <c r="G30" s="8"/>
      <c r="H30" s="8"/>
      <c r="I30" s="95"/>
      <c r="J30" s="95"/>
      <c r="K30" s="95"/>
      <c r="L30" s="95" t="str">
        <f t="shared" si="0"/>
        <v/>
      </c>
      <c r="M30" s="95"/>
      <c r="N30" s="95" t="str">
        <f t="shared" si="1"/>
        <v/>
      </c>
      <c r="O30" s="95"/>
      <c r="P30" s="95" t="str">
        <f t="shared" si="2"/>
        <v/>
      </c>
      <c r="Q30" s="95" t="str">
        <f t="shared" si="3"/>
        <v/>
      </c>
      <c r="R30" s="95" t="str">
        <f t="shared" si="8"/>
        <v/>
      </c>
      <c r="S30" s="95" t="str">
        <f t="shared" si="4"/>
        <v/>
      </c>
      <c r="T30" s="95" t="str">
        <f t="shared" si="5"/>
        <v/>
      </c>
      <c r="U30" s="95" t="str">
        <f t="shared" si="6"/>
        <v/>
      </c>
    </row>
    <row r="31" spans="1:21" x14ac:dyDescent="0.25">
      <c r="A31" s="8"/>
      <c r="B31" s="8"/>
      <c r="C31" s="8"/>
      <c r="D31" s="8"/>
      <c r="E31" s="8"/>
      <c r="F31" s="8"/>
      <c r="G31" s="8"/>
      <c r="H31" s="8"/>
      <c r="I31" s="95"/>
      <c r="J31" s="95"/>
      <c r="K31" s="95"/>
      <c r="L31" s="95" t="str">
        <f t="shared" si="0"/>
        <v/>
      </c>
      <c r="M31" s="95"/>
      <c r="N31" s="95" t="str">
        <f t="shared" si="1"/>
        <v/>
      </c>
      <c r="O31" s="95"/>
      <c r="P31" s="95" t="str">
        <f t="shared" si="2"/>
        <v/>
      </c>
      <c r="Q31" s="95" t="str">
        <f t="shared" si="3"/>
        <v/>
      </c>
      <c r="R31" s="95" t="str">
        <f t="shared" si="8"/>
        <v/>
      </c>
      <c r="S31" s="95" t="str">
        <f t="shared" si="4"/>
        <v/>
      </c>
      <c r="T31" s="95" t="str">
        <f t="shared" si="5"/>
        <v/>
      </c>
      <c r="U31" s="95" t="str">
        <f t="shared" si="6"/>
        <v/>
      </c>
    </row>
    <row r="32" spans="1:21" x14ac:dyDescent="0.25">
      <c r="A32" s="8"/>
      <c r="B32" s="8"/>
      <c r="C32" s="8"/>
      <c r="D32" s="8"/>
      <c r="E32" s="8"/>
      <c r="F32" s="8"/>
      <c r="G32" s="8"/>
      <c r="H32" s="8"/>
      <c r="I32" s="95"/>
      <c r="J32" s="95"/>
      <c r="K32" s="95"/>
      <c r="L32" s="95" t="str">
        <f t="shared" si="0"/>
        <v/>
      </c>
      <c r="M32" s="95"/>
      <c r="N32" s="95" t="str">
        <f t="shared" si="1"/>
        <v/>
      </c>
      <c r="O32" s="95"/>
      <c r="P32" s="95" t="str">
        <f t="shared" si="2"/>
        <v/>
      </c>
      <c r="Q32" s="95" t="str">
        <f t="shared" si="3"/>
        <v/>
      </c>
      <c r="R32" s="95" t="str">
        <f t="shared" si="8"/>
        <v/>
      </c>
      <c r="S32" s="95" t="str">
        <f t="shared" si="4"/>
        <v/>
      </c>
      <c r="T32" s="95" t="str">
        <f t="shared" si="5"/>
        <v/>
      </c>
      <c r="U32" s="95" t="str">
        <f t="shared" si="6"/>
        <v/>
      </c>
    </row>
    <row r="33" spans="1:21" x14ac:dyDescent="0.25">
      <c r="A33" s="8"/>
      <c r="B33" s="8"/>
      <c r="C33" s="8"/>
      <c r="D33" s="8"/>
      <c r="E33" s="8"/>
      <c r="F33" s="8"/>
      <c r="G33" s="8"/>
      <c r="H33" s="8"/>
      <c r="I33" s="95"/>
      <c r="J33" s="95"/>
      <c r="K33" s="95"/>
      <c r="L33" s="95" t="str">
        <f t="shared" si="0"/>
        <v/>
      </c>
      <c r="M33" s="95"/>
      <c r="N33" s="95" t="str">
        <f t="shared" si="1"/>
        <v/>
      </c>
      <c r="O33" s="95"/>
      <c r="P33" s="95" t="str">
        <f t="shared" si="2"/>
        <v/>
      </c>
      <c r="Q33" s="95" t="str">
        <f t="shared" si="3"/>
        <v/>
      </c>
      <c r="R33" s="95" t="str">
        <f t="shared" si="8"/>
        <v/>
      </c>
      <c r="S33" s="95" t="str">
        <f t="shared" si="4"/>
        <v/>
      </c>
      <c r="T33" s="95" t="str">
        <f t="shared" si="5"/>
        <v/>
      </c>
      <c r="U33" s="95" t="str">
        <f t="shared" si="6"/>
        <v/>
      </c>
    </row>
    <row r="34" spans="1:21" x14ac:dyDescent="0.25">
      <c r="A34" s="8"/>
      <c r="B34" s="8"/>
      <c r="C34" s="8"/>
      <c r="D34" s="8"/>
      <c r="E34" s="8"/>
      <c r="F34" s="8"/>
      <c r="G34" s="8"/>
      <c r="H34" s="8"/>
      <c r="I34" s="95"/>
      <c r="J34" s="95"/>
      <c r="K34" s="95"/>
      <c r="L34" s="95" t="str">
        <f t="shared" si="0"/>
        <v/>
      </c>
      <c r="M34" s="95"/>
      <c r="N34" s="95" t="str">
        <f t="shared" si="1"/>
        <v/>
      </c>
      <c r="O34" s="95"/>
      <c r="P34" s="95" t="str">
        <f t="shared" si="2"/>
        <v/>
      </c>
      <c r="Q34" s="95" t="str">
        <f t="shared" si="3"/>
        <v/>
      </c>
      <c r="R34" s="95" t="str">
        <f t="shared" si="8"/>
        <v/>
      </c>
      <c r="S34" s="95" t="str">
        <f t="shared" si="4"/>
        <v/>
      </c>
      <c r="T34" s="95" t="str">
        <f t="shared" si="5"/>
        <v/>
      </c>
      <c r="U34" s="95" t="str">
        <f t="shared" si="6"/>
        <v/>
      </c>
    </row>
    <row r="35" spans="1:21" x14ac:dyDescent="0.25">
      <c r="R35" s="50"/>
      <c r="S35" s="50"/>
    </row>
  </sheetData>
  <protectedRanges>
    <protectedRange sqref="F2" name="Intervalo1"/>
  </protectedRanges>
  <autoFilter ref="A1:BA34" xr:uid="{EA949283-C674-415F-88C4-A384ECCB9A60}">
    <filterColumn colId="27" showButton="0"/>
    <filterColumn colId="28" showButton="0"/>
    <filterColumn colId="29" showButton="0"/>
    <filterColumn colId="30" showButton="0"/>
    <filterColumn colId="31" showButton="0"/>
    <filterColumn colId="32" showButton="0"/>
    <filterColumn colId="33" showButton="0"/>
    <filterColumn colId="34" showButton="0"/>
    <filterColumn colId="35" showButton="0"/>
    <filterColumn colId="36" showButton="0"/>
    <filterColumn colId="37" showButton="0"/>
    <filterColumn colId="38" showButton="0"/>
    <filterColumn colId="39" showButton="0"/>
    <filterColumn colId="40" showButton="0"/>
    <filterColumn colId="41" showButton="0"/>
    <filterColumn colId="42" showButton="0"/>
    <filterColumn colId="43" showButton="0"/>
    <filterColumn colId="44" showButton="0"/>
    <filterColumn colId="45" showButton="0"/>
    <filterColumn colId="46" showButton="0"/>
    <filterColumn colId="47" showButton="0"/>
    <filterColumn colId="48" showButton="0"/>
    <filterColumn colId="49" showButton="0"/>
    <filterColumn colId="50" showButton="0"/>
    <filterColumn colId="51" showButton="0"/>
  </autoFilter>
  <mergeCells count="2">
    <mergeCell ref="AP2:AQ2"/>
    <mergeCell ref="AB1:BA1"/>
  </mergeCells>
  <phoneticPr fontId="20" type="noConversion"/>
  <dataValidations count="7">
    <dataValidation type="list" allowBlank="1" showInputMessage="1" showErrorMessage="1" sqref="C2:C34" xr:uid="{31C58262-B9AD-49C9-9183-044EBE45BAA6}">
      <formula1>nucleo</formula1>
    </dataValidation>
    <dataValidation type="list" allowBlank="1" showInputMessage="1" showErrorMessage="1" sqref="E2:E34" xr:uid="{706EBF4D-0237-434B-BF92-B13E3AFCC326}">
      <formula1>Tipo_de_Risco</formula1>
    </dataValidation>
    <dataValidation type="list" allowBlank="1" showInputMessage="1" showErrorMessage="1" sqref="I2:I34" xr:uid="{BF7DF7CF-CF7B-4C9D-A31B-9F15256BCF11}">
      <formula1>periodicidade</formula1>
    </dataValidation>
    <dataValidation type="list" allowBlank="1" showInputMessage="1" showErrorMessage="1" sqref="J2:J34" xr:uid="{4879BDC4-B3F5-4E10-B0DE-22D47786CAD4}">
      <formula1>INDIRECT($I2)</formula1>
    </dataValidation>
    <dataValidation type="list" allowBlank="1" showInputMessage="1" showErrorMessage="1" sqref="K2:K34" xr:uid="{CE759D86-D091-48AB-95B4-487C72EAA225}">
      <formula1>impacto_fin</formula1>
    </dataValidation>
    <dataValidation type="list" allowBlank="1" showInputMessage="1" showErrorMessage="1" sqref="M2:M34" xr:uid="{6C3E47F4-3982-47FE-AFDF-C2EEEE9428D1}">
      <formula1>impacto_imagem</formula1>
    </dataValidation>
    <dataValidation type="list" allowBlank="1" showInputMessage="1" showErrorMessage="1" sqref="O2:O34" xr:uid="{B026AADF-A86B-40B5-9531-2844388450DD}">
      <formula1>impacto_reg</formula1>
    </dataValidation>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DDECA-D952-499F-A7B6-23B408AF5161}">
  <sheetPr codeName="Sheet2">
    <tabColor theme="8"/>
  </sheetPr>
  <dimension ref="A1:AK76"/>
  <sheetViews>
    <sheetView showGridLines="0" zoomScaleNormal="100" workbookViewId="0">
      <pane ySplit="1" topLeftCell="A71" activePane="bottomLeft" state="frozen"/>
      <selection pane="bottomLeft" activeCell="B91" sqref="B91"/>
    </sheetView>
  </sheetViews>
  <sheetFormatPr defaultRowHeight="15" x14ac:dyDescent="0.25"/>
  <cols>
    <col min="1" max="1" width="10" bestFit="1" customWidth="1"/>
    <col min="2" max="2" width="130.28515625" customWidth="1"/>
    <col min="3" max="3" width="18.42578125" bestFit="1" customWidth="1"/>
    <col min="4" max="4" width="26.140625" customWidth="1"/>
    <col min="5" max="5" width="36" bestFit="1" customWidth="1"/>
    <col min="6" max="6" width="16.42578125" bestFit="1" customWidth="1"/>
    <col min="7" max="7" width="18.85546875" bestFit="1" customWidth="1"/>
    <col min="8" max="8" width="47.5703125" customWidth="1"/>
    <col min="9" max="9" width="20.28515625" customWidth="1"/>
    <col min="10" max="10" width="28.28515625" bestFit="1" customWidth="1"/>
    <col min="17" max="17" width="27.42578125" bestFit="1" customWidth="1"/>
    <col min="18" max="18" width="18.42578125" bestFit="1" customWidth="1"/>
    <col min="19" max="19" width="23.5703125" bestFit="1" customWidth="1"/>
    <col min="20" max="20" width="31.42578125" bestFit="1" customWidth="1"/>
    <col min="21" max="21" width="9.7109375" bestFit="1" customWidth="1"/>
    <col min="22" max="22" width="18.85546875" bestFit="1" customWidth="1"/>
    <col min="23" max="23" width="16.140625" bestFit="1" customWidth="1"/>
    <col min="24" max="24" width="14" bestFit="1" customWidth="1"/>
    <col min="25" max="25" width="23.7109375" bestFit="1" customWidth="1"/>
    <col min="26" max="26" width="9.7109375" bestFit="1" customWidth="1"/>
    <col min="28" max="28" width="13.42578125" bestFit="1" customWidth="1"/>
    <col min="29" max="29" width="9.42578125" bestFit="1" customWidth="1"/>
    <col min="30" max="30" width="12.28515625" bestFit="1" customWidth="1"/>
    <col min="31" max="31" width="9.5703125" bestFit="1" customWidth="1"/>
    <col min="32" max="32" width="6.85546875" bestFit="1" customWidth="1"/>
    <col min="33" max="33" width="8.140625" bestFit="1" customWidth="1"/>
    <col min="34" max="34" width="22.85546875" bestFit="1" customWidth="1"/>
    <col min="35" max="35" width="11.5703125" bestFit="1" customWidth="1"/>
    <col min="36" max="36" width="8.85546875" bestFit="1" customWidth="1"/>
    <col min="37" max="37" width="10.85546875" bestFit="1" customWidth="1"/>
    <col min="38" max="38" width="15" bestFit="1" customWidth="1"/>
    <col min="39" max="39" width="12.140625" bestFit="1" customWidth="1"/>
  </cols>
  <sheetData>
    <row r="1" spans="1:26" x14ac:dyDescent="0.25">
      <c r="A1" s="5" t="s">
        <v>42</v>
      </c>
      <c r="B1" s="5" t="s">
        <v>33</v>
      </c>
      <c r="C1" s="5" t="s">
        <v>403</v>
      </c>
      <c r="D1" s="5" t="s">
        <v>34</v>
      </c>
      <c r="E1" s="28" t="s">
        <v>148</v>
      </c>
      <c r="F1" s="5" t="s">
        <v>7</v>
      </c>
      <c r="G1" s="5" t="s">
        <v>152</v>
      </c>
      <c r="H1" s="5" t="s">
        <v>5</v>
      </c>
      <c r="I1" s="61" t="s">
        <v>1154</v>
      </c>
      <c r="J1" s="61" t="s">
        <v>1155</v>
      </c>
      <c r="P1" s="5" t="s">
        <v>42</v>
      </c>
      <c r="Q1" s="5" t="s">
        <v>33</v>
      </c>
      <c r="R1" s="5" t="s">
        <v>403</v>
      </c>
      <c r="S1" s="5" t="s">
        <v>34</v>
      </c>
      <c r="T1" s="5" t="s">
        <v>148</v>
      </c>
      <c r="U1" s="5" t="s">
        <v>7</v>
      </c>
      <c r="V1" s="5" t="s">
        <v>152</v>
      </c>
      <c r="W1" s="5" t="s">
        <v>5</v>
      </c>
      <c r="X1" s="61" t="s">
        <v>1154</v>
      </c>
      <c r="Y1" s="61" t="s">
        <v>1155</v>
      </c>
      <c r="Z1" s="61" t="s">
        <v>3739</v>
      </c>
    </row>
    <row r="2" spans="1:26" x14ac:dyDescent="0.25">
      <c r="A2" s="8">
        <v>1</v>
      </c>
      <c r="B2" s="8" t="s">
        <v>13</v>
      </c>
      <c r="C2" s="2" t="s">
        <v>404</v>
      </c>
      <c r="D2" s="2" t="s">
        <v>35</v>
      </c>
      <c r="E2" s="9">
        <v>45401</v>
      </c>
      <c r="F2" s="9" t="str">
        <f ca="1">IF(C2="Legal",IF(AND(D2="Mensal",INT((YEARFRAC(E2,TODAY()))*12)&lt;1),"OK",IF(AND(D2="Bimestral",INT((YEARFRAC(E2,TODAY()))*12)&lt;2),"OK",IF(AND(D2="Trimestral",INT((YEARFRAC(E2,TODAY()))*12)&lt;3),"OK",IF(AND(D2="Semestral",INT((YEARFRAC(E2,TODAY()))*12)&lt;6),"OK",IF(AND(D2="Anual",INT((YEARFRAC(E2,TODAY()))*12)&lt;12),"OK",IF(AND(D2="5 anos",INT((YEARFRAC(E2,TODAY()))*12)&lt;60),"OK","Pendente")))))),IF(OR(#REF!="Assinado",#REF!="Feito"),"OK","Pendente de ata"))</f>
        <v>Pendente</v>
      </c>
      <c r="G2" s="147">
        <f t="shared" ref="G2:G62" ca="1" si="0">IF(AND(C2="ATA",F2="OK"),"12/31/2500",IF(D2="Mensal",DATE(YEAR(E2),MONTH(E2)+1,DAY(E2)),IF(D2="Bimestral",EOMONTH(E2,2),IF(D2="Trimestral",EOMONTH(E2,3),IF(D2="Semestral",EOMONTH(E2,6),IF(D2="Anual",EOMONTH(E2,12),IF(D2="5 anos",EOMONTH(E2,60),"")))))))</f>
        <v>45504</v>
      </c>
      <c r="H2" s="9"/>
      <c r="I2" s="9" t="s">
        <v>1035</v>
      </c>
      <c r="J2" s="9" t="str">
        <f>IF(I2="Brasil","Onshore","Offshore")</f>
        <v>Onshore</v>
      </c>
      <c r="P2" s="8">
        <v>2</v>
      </c>
      <c r="Q2" s="8" t="s">
        <v>533</v>
      </c>
      <c r="R2" s="2" t="s">
        <v>534</v>
      </c>
      <c r="S2" s="2" t="s">
        <v>35</v>
      </c>
      <c r="T2" s="9">
        <v>44573</v>
      </c>
      <c r="U2" s="9" t="str">
        <f t="shared" ref="U2:U32" ca="1" si="1">IF(W2="Não teve comitê","OK",IF(W2="Ok","OK", IF(R2="Legal",IF(AND(S2="Mensal",INT((YEARFRAC(T2,TODAY()))*12)&lt;1),"OK",IF(AND(S2="Bimestral",INT((YEARFRAC(T2,TODAY()))*12)&lt;2),"OK",IF(AND(S2="Trimestral",INT((YEARFRAC(T2,TODAY()))*12)&lt;3),"OK",IF(AND(S2="Semestral",INT((YEARFRAC(T2,TODAY()))*12)&lt;6),"OK",IF(AND(S2="Anual",INT((YEARFRAC(T2,TODAY()))*12)&lt;12),"OK",IF(AND(S2="5 anos",INT((YEARFRAC(T2,TODAY()))*12)&lt;60),"OK","Pendente")))))))))</f>
        <v>OK</v>
      </c>
      <c r="V2" s="147">
        <f t="shared" ref="V2:V32" si="2">IF(S2="Mensal",EOMONTH(T2,1),IF(S2="Bimestral",EOMONTH(T2,2),IF(S2="Trimestral",EOMONTH(T2,3))))</f>
        <v>44681</v>
      </c>
      <c r="W2" s="9" t="s">
        <v>613</v>
      </c>
      <c r="X2" s="9" t="s">
        <v>1035</v>
      </c>
      <c r="Y2" s="9" t="str">
        <f t="shared" ref="Y2:Y32" si="3">IF(X2="Brasil","Onshore","Offshore")</f>
        <v>Onshore</v>
      </c>
    </row>
    <row r="3" spans="1:26" x14ac:dyDescent="0.25">
      <c r="A3" s="8">
        <v>2</v>
      </c>
      <c r="B3" s="8" t="s">
        <v>14</v>
      </c>
      <c r="C3" s="2" t="s">
        <v>404</v>
      </c>
      <c r="D3" s="2" t="s">
        <v>36</v>
      </c>
      <c r="E3" s="9">
        <v>45343</v>
      </c>
      <c r="F3" s="9" t="str">
        <f ca="1">IF(C3="Legal",IF(AND(D3="Mensal",INT((YEARFRAC(E3,TODAY()))*12)&lt;1),"OK",IF(AND(D3="Bimestral",INT((YEARFRAC(E3,TODAY()))*12)&lt;2),"OK",IF(AND(D3="Trimestral",INT((YEARFRAC(E3,TODAY()))*12)&lt;3),"OK",IF(AND(D3="Semestral",INT((YEARFRAC(E3,TODAY()))*12)&lt;6),"OK",IF(AND(D3="Anual",INT((YEARFRAC(E3,TODAY()))*12)&lt;12),"OK",IF(AND(D3="5 anos",INT((YEARFRAC(E3,TODAY()))*12)&lt;60),"OK","Pendente")))))),IF(OR(#REF!="Assinado",#REF!="Feito"),"OK","Pendente de ata"))</f>
        <v>OK</v>
      </c>
      <c r="G3" s="147">
        <f t="shared" ca="1" si="0"/>
        <v>45716</v>
      </c>
      <c r="H3" s="9" t="s">
        <v>153</v>
      </c>
      <c r="I3" s="9" t="s">
        <v>1035</v>
      </c>
      <c r="J3" s="9" t="str">
        <f t="shared" ref="J3:J66" si="4">IF(I3="Brasil","Onshore","Offshore")</f>
        <v>Onshore</v>
      </c>
      <c r="P3" s="8">
        <v>1</v>
      </c>
      <c r="Q3" s="8" t="s">
        <v>532</v>
      </c>
      <c r="R3" s="2" t="s">
        <v>534</v>
      </c>
      <c r="S3" s="2" t="s">
        <v>448</v>
      </c>
      <c r="T3" s="9">
        <v>44592</v>
      </c>
      <c r="U3" s="9" t="str">
        <f t="shared" ca="1" si="1"/>
        <v>OK</v>
      </c>
      <c r="V3" s="147">
        <f t="shared" si="2"/>
        <v>44620</v>
      </c>
      <c r="W3" s="9" t="s">
        <v>613</v>
      </c>
      <c r="X3" s="9" t="s">
        <v>1035</v>
      </c>
      <c r="Y3" s="9" t="str">
        <f t="shared" si="3"/>
        <v>Onshore</v>
      </c>
    </row>
    <row r="4" spans="1:26" x14ac:dyDescent="0.25">
      <c r="A4" s="8">
        <v>3</v>
      </c>
      <c r="B4" s="8" t="s">
        <v>15</v>
      </c>
      <c r="C4" s="2" t="s">
        <v>404</v>
      </c>
      <c r="D4" s="2" t="s">
        <v>36</v>
      </c>
      <c r="E4" s="9">
        <v>45308</v>
      </c>
      <c r="F4" s="9" t="str">
        <f ca="1">IF(C4="Legal",IF(AND(D4="Mensal",INT((YEARFRAC(E4,TODAY()))*12)&lt;1),"OK",IF(AND(D4="Bimestral",INT((YEARFRAC(E4,TODAY()))*12)&lt;2),"OK",IF(AND(D4="Trimestral",INT((YEARFRAC(E4,TODAY()))*12)&lt;3),"OK",IF(AND(D4="Semestral",INT((YEARFRAC(E4,TODAY()))*12)&lt;6),"OK",IF(AND(D4="Anual",INT((YEARFRAC(E4,TODAY()))*12)&lt;12),"OK",IF(AND(D4="5 anos",INT((YEARFRAC(E4,TODAY()))*12)&lt;60),"OK","Pendente")))))),IF(OR(#REF!="Assinado",#REF!="Feito"),"OK","Pendente de ata"))</f>
        <v>OK</v>
      </c>
      <c r="G4" s="147">
        <f t="shared" ca="1" si="0"/>
        <v>45688</v>
      </c>
      <c r="H4" s="9"/>
      <c r="I4" s="9" t="s">
        <v>1035</v>
      </c>
      <c r="J4" s="9" t="str">
        <f t="shared" si="4"/>
        <v>Onshore</v>
      </c>
      <c r="P4" s="8">
        <v>3</v>
      </c>
      <c r="Q4" s="8" t="s">
        <v>532</v>
      </c>
      <c r="R4" s="2" t="s">
        <v>534</v>
      </c>
      <c r="S4" s="2" t="s">
        <v>448</v>
      </c>
      <c r="T4" s="9">
        <v>44620</v>
      </c>
      <c r="U4" s="9" t="str">
        <f t="shared" ca="1" si="1"/>
        <v>OK</v>
      </c>
      <c r="V4" s="147">
        <f t="shared" si="2"/>
        <v>44651</v>
      </c>
      <c r="W4" s="9" t="s">
        <v>613</v>
      </c>
      <c r="X4" s="9" t="s">
        <v>1035</v>
      </c>
      <c r="Y4" s="9" t="str">
        <f t="shared" si="3"/>
        <v>Onshore</v>
      </c>
    </row>
    <row r="5" spans="1:26" x14ac:dyDescent="0.25">
      <c r="A5" s="8">
        <v>4</v>
      </c>
      <c r="B5" s="8" t="s">
        <v>16</v>
      </c>
      <c r="C5" s="2" t="s">
        <v>404</v>
      </c>
      <c r="D5" s="2" t="s">
        <v>36</v>
      </c>
      <c r="E5" s="9">
        <v>45308</v>
      </c>
      <c r="F5" s="9" t="str">
        <f ca="1">IF(C5="Legal",IF(AND(D5="Mensal",INT((YEARFRAC(E5,TODAY()))*12)&lt;1),"OK",IF(AND(D5="Bimestral",INT((YEARFRAC(E5,TODAY()))*12)&lt;2),"OK",IF(AND(D5="Trimestral",INT((YEARFRAC(E5,TODAY()))*12)&lt;3),"OK",IF(AND(D5="Semestral",INT((YEARFRAC(E5,TODAY()))*12)&lt;6),"OK",IF(AND(D5="Anual",INT((YEARFRAC(E5,TODAY()))*12)&lt;12),"OK",IF(AND(D5="5 anos",INT((YEARFRAC(E5,TODAY()))*12)&lt;60),"OK","Pendente")))))),IF(OR(#REF!="Assinado",#REF!="Feito"),"OK","Pendente de ata"))</f>
        <v>OK</v>
      </c>
      <c r="G5" s="147">
        <f t="shared" ca="1" si="0"/>
        <v>45688</v>
      </c>
      <c r="H5" s="9"/>
      <c r="I5" s="9" t="s">
        <v>1035</v>
      </c>
      <c r="J5" s="9" t="str">
        <f t="shared" si="4"/>
        <v>Onshore</v>
      </c>
      <c r="P5" s="8">
        <v>4</v>
      </c>
      <c r="Q5" s="8" t="s">
        <v>533</v>
      </c>
      <c r="R5" s="2" t="s">
        <v>534</v>
      </c>
      <c r="S5" s="2" t="s">
        <v>35</v>
      </c>
      <c r="T5" s="9">
        <v>44628</v>
      </c>
      <c r="U5" s="9" t="str">
        <f t="shared" ca="1" si="1"/>
        <v>OK</v>
      </c>
      <c r="V5" s="147">
        <f t="shared" si="2"/>
        <v>44742</v>
      </c>
      <c r="W5" s="9" t="s">
        <v>613</v>
      </c>
      <c r="X5" s="9" t="s">
        <v>1035</v>
      </c>
      <c r="Y5" s="9" t="str">
        <f t="shared" si="3"/>
        <v>Onshore</v>
      </c>
    </row>
    <row r="6" spans="1:26" x14ac:dyDescent="0.25">
      <c r="A6" s="8">
        <v>5</v>
      </c>
      <c r="B6" s="8" t="s">
        <v>17</v>
      </c>
      <c r="C6" s="2" t="s">
        <v>404</v>
      </c>
      <c r="D6" s="2" t="s">
        <v>36</v>
      </c>
      <c r="E6" s="9">
        <v>45308</v>
      </c>
      <c r="F6" s="9" t="str">
        <f ca="1">IF(C6="Legal",IF(AND(D6="Mensal",INT((YEARFRAC(E6,TODAY()))*12)&lt;1),"OK",IF(AND(D6="Bimestral",INT((YEARFRAC(E6,TODAY()))*12)&lt;2),"OK",IF(AND(D6="Trimestral",INT((YEARFRAC(E6,TODAY()))*12)&lt;3),"OK",IF(AND(D6="Semestral",INT((YEARFRAC(E6,TODAY()))*12)&lt;6),"OK",IF(AND(D6="Anual",INT((YEARFRAC(E6,TODAY()))*12)&lt;12),"OK",IF(AND(D6="5 anos",INT((YEARFRAC(E6,TODAY()))*12)&lt;60),"OK","Pendente")))))),IF(OR(#REF!="Assinado",#REF!="Feito"),"OK","Pendente de ata"))</f>
        <v>OK</v>
      </c>
      <c r="G6" s="147">
        <f t="shared" ca="1" si="0"/>
        <v>45688</v>
      </c>
      <c r="H6" s="9"/>
      <c r="I6" s="9" t="s">
        <v>1035</v>
      </c>
      <c r="J6" s="9" t="str">
        <f t="shared" si="4"/>
        <v>Onshore</v>
      </c>
      <c r="P6" s="8">
        <v>6</v>
      </c>
      <c r="Q6" s="8" t="s">
        <v>533</v>
      </c>
      <c r="R6" s="2" t="s">
        <v>534</v>
      </c>
      <c r="S6" s="2" t="s">
        <v>35</v>
      </c>
      <c r="T6" s="9">
        <v>44644</v>
      </c>
      <c r="U6" s="9" t="str">
        <f t="shared" ca="1" si="1"/>
        <v>OK</v>
      </c>
      <c r="V6" s="147">
        <f t="shared" si="2"/>
        <v>44742</v>
      </c>
      <c r="W6" s="9" t="s">
        <v>613</v>
      </c>
      <c r="X6" s="9" t="s">
        <v>1035</v>
      </c>
      <c r="Y6" s="9" t="str">
        <f t="shared" si="3"/>
        <v>Onshore</v>
      </c>
    </row>
    <row r="7" spans="1:26" x14ac:dyDescent="0.25">
      <c r="A7" s="8">
        <v>6</v>
      </c>
      <c r="B7" s="8" t="s">
        <v>18</v>
      </c>
      <c r="C7" s="2" t="s">
        <v>404</v>
      </c>
      <c r="D7" s="2" t="s">
        <v>36</v>
      </c>
      <c r="E7" s="9">
        <v>45308</v>
      </c>
      <c r="F7" s="9" t="str">
        <f ca="1">IF(C7="Legal",IF(AND(D7="Mensal",INT((YEARFRAC(E7,TODAY()))*12)&lt;1),"OK",IF(AND(D7="Bimestral",INT((YEARFRAC(E7,TODAY()))*12)&lt;2),"OK",IF(AND(D7="Trimestral",INT((YEARFRAC(E7,TODAY()))*12)&lt;3),"OK",IF(AND(D7="Semestral",INT((YEARFRAC(E7,TODAY()))*12)&lt;6),"OK",IF(AND(D7="Anual",INT((YEARFRAC(E7,TODAY()))*12)&lt;12),"OK",IF(AND(D7="5 anos",INT((YEARFRAC(E7,TODAY()))*12)&lt;60),"OK","Pendente")))))),IF(OR(#REF!="Assinado",#REF!="Feito"),"OK","Pendente de ata"))</f>
        <v>OK</v>
      </c>
      <c r="G7" s="147">
        <f t="shared" ca="1" si="0"/>
        <v>45688</v>
      </c>
      <c r="H7" s="9"/>
      <c r="I7" s="9" t="s">
        <v>1035</v>
      </c>
      <c r="J7" s="9" t="str">
        <f t="shared" si="4"/>
        <v>Onshore</v>
      </c>
      <c r="P7" s="8">
        <v>5</v>
      </c>
      <c r="Q7" s="8" t="s">
        <v>532</v>
      </c>
      <c r="R7" s="2" t="s">
        <v>534</v>
      </c>
      <c r="S7" s="2" t="s">
        <v>448</v>
      </c>
      <c r="T7" s="9">
        <v>44651</v>
      </c>
      <c r="U7" s="9" t="str">
        <f t="shared" ca="1" si="1"/>
        <v>OK</v>
      </c>
      <c r="V7" s="147">
        <f t="shared" si="2"/>
        <v>44681</v>
      </c>
      <c r="W7" s="9" t="s">
        <v>613</v>
      </c>
      <c r="X7" s="9" t="s">
        <v>1035</v>
      </c>
      <c r="Y7" s="9" t="str">
        <f t="shared" si="3"/>
        <v>Onshore</v>
      </c>
    </row>
    <row r="8" spans="1:26" x14ac:dyDescent="0.25">
      <c r="A8" s="8">
        <v>7</v>
      </c>
      <c r="B8" s="8" t="s">
        <v>19</v>
      </c>
      <c r="C8" s="2" t="s">
        <v>404</v>
      </c>
      <c r="D8" s="2" t="s">
        <v>36</v>
      </c>
      <c r="E8" s="9">
        <v>45308</v>
      </c>
      <c r="F8" s="9" t="str">
        <f ca="1">IF(C8="Legal",IF(AND(D8="Mensal",INT((YEARFRAC(E8,TODAY()))*12)&lt;1),"OK",IF(AND(D8="Bimestral",INT((YEARFRAC(E8,TODAY()))*12)&lt;2),"OK",IF(AND(D8="Trimestral",INT((YEARFRAC(E8,TODAY()))*12)&lt;3),"OK",IF(AND(D8="Semestral",INT((YEARFRAC(E8,TODAY()))*12)&lt;6),"OK",IF(AND(D8="Anual",INT((YEARFRAC(E8,TODAY()))*12)&lt;12),"OK",IF(AND(D8="5 anos",INT((YEARFRAC(E8,TODAY()))*12)&lt;60),"OK","Pendente")))))),IF(OR(#REF!="Assinado",#REF!="Feito"),"OK","Pendente de ata"))</f>
        <v>OK</v>
      </c>
      <c r="G8" s="147">
        <f t="shared" ca="1" si="0"/>
        <v>45688</v>
      </c>
      <c r="H8" s="9"/>
      <c r="I8" s="9" t="s">
        <v>1035</v>
      </c>
      <c r="J8" s="9" t="str">
        <f t="shared" si="4"/>
        <v>Onshore</v>
      </c>
      <c r="P8" s="8">
        <v>7</v>
      </c>
      <c r="Q8" s="8" t="s">
        <v>532</v>
      </c>
      <c r="R8" s="2" t="s">
        <v>534</v>
      </c>
      <c r="S8" s="2" t="s">
        <v>448</v>
      </c>
      <c r="T8" s="9">
        <v>44680</v>
      </c>
      <c r="U8" s="9" t="str">
        <f t="shared" ca="1" si="1"/>
        <v>OK</v>
      </c>
      <c r="V8" s="147">
        <f t="shared" si="2"/>
        <v>44712</v>
      </c>
      <c r="W8" s="9" t="s">
        <v>613</v>
      </c>
      <c r="X8" s="9" t="s">
        <v>1035</v>
      </c>
      <c r="Y8" s="9" t="str">
        <f t="shared" si="3"/>
        <v>Onshore</v>
      </c>
    </row>
    <row r="9" spans="1:26" x14ac:dyDescent="0.25">
      <c r="A9" s="8">
        <v>8</v>
      </c>
      <c r="B9" s="8" t="s">
        <v>20</v>
      </c>
      <c r="C9" s="2" t="s">
        <v>404</v>
      </c>
      <c r="D9" s="2" t="s">
        <v>36</v>
      </c>
      <c r="E9" s="9">
        <v>45308</v>
      </c>
      <c r="F9" s="9" t="str">
        <f ca="1">IF(C9="Legal",IF(AND(D9="Mensal",INT((YEARFRAC(E9,TODAY()))*12)&lt;1),"OK",IF(AND(D9="Bimestral",INT((YEARFRAC(E9,TODAY()))*12)&lt;2),"OK",IF(AND(D9="Trimestral",INT((YEARFRAC(E9,TODAY()))*12)&lt;3),"OK",IF(AND(D9="Semestral",INT((YEARFRAC(E9,TODAY()))*12)&lt;6),"OK",IF(AND(D9="Anual",INT((YEARFRAC(E9,TODAY()))*12)&lt;12),"OK",IF(AND(D9="5 anos",INT((YEARFRAC(E9,TODAY()))*12)&lt;60),"OK","Pendente")))))),IF(OR(#REF!="Assinado",#REF!="Feito"),"OK","Pendente de ata"))</f>
        <v>OK</v>
      </c>
      <c r="G9" s="147">
        <f t="shared" ca="1" si="0"/>
        <v>45688</v>
      </c>
      <c r="H9" s="9"/>
      <c r="I9" s="9" t="s">
        <v>1035</v>
      </c>
      <c r="J9" s="9" t="str">
        <f t="shared" si="4"/>
        <v>Onshore</v>
      </c>
      <c r="P9" s="8">
        <v>9</v>
      </c>
      <c r="Q9" s="8" t="s">
        <v>532</v>
      </c>
      <c r="R9" s="2" t="s">
        <v>534</v>
      </c>
      <c r="S9" s="2" t="s">
        <v>448</v>
      </c>
      <c r="T9" s="9">
        <v>44712</v>
      </c>
      <c r="U9" s="9" t="str">
        <f t="shared" ca="1" si="1"/>
        <v>OK</v>
      </c>
      <c r="V9" s="147">
        <f t="shared" si="2"/>
        <v>44742</v>
      </c>
      <c r="W9" s="9" t="s">
        <v>613</v>
      </c>
      <c r="X9" s="9" t="s">
        <v>1035</v>
      </c>
      <c r="Y9" s="9" t="str">
        <f t="shared" si="3"/>
        <v>Onshore</v>
      </c>
    </row>
    <row r="10" spans="1:26" x14ac:dyDescent="0.25">
      <c r="A10" s="8">
        <v>9</v>
      </c>
      <c r="B10" s="8" t="s">
        <v>21</v>
      </c>
      <c r="C10" s="2" t="s">
        <v>404</v>
      </c>
      <c r="D10" s="2" t="s">
        <v>36</v>
      </c>
      <c r="E10" s="9">
        <v>45308</v>
      </c>
      <c r="F10" s="9" t="str">
        <f ca="1">IF(C10="Legal",IF(AND(D10="Mensal",INT((YEARFRAC(E10,TODAY()))*12)&lt;1),"OK",IF(AND(D10="Bimestral",INT((YEARFRAC(E10,TODAY()))*12)&lt;2),"OK",IF(AND(D10="Trimestral",INT((YEARFRAC(E10,TODAY()))*12)&lt;3),"OK",IF(AND(D10="Semestral",INT((YEARFRAC(E10,TODAY()))*12)&lt;6),"OK",IF(AND(D10="Anual",INT((YEARFRAC(E10,TODAY()))*12)&lt;12),"OK",IF(AND(D10="5 anos",INT((YEARFRAC(E10,TODAY()))*12)&lt;60),"OK","Pendente")))))),IF(OR(#REF!="Assinado",#REF!="Feito"),"OK","Pendente de ata"))</f>
        <v>OK</v>
      </c>
      <c r="G10" s="147">
        <f t="shared" ca="1" si="0"/>
        <v>45688</v>
      </c>
      <c r="H10" s="9"/>
      <c r="I10" s="9" t="s">
        <v>1035</v>
      </c>
      <c r="J10" s="9" t="str">
        <f t="shared" si="4"/>
        <v>Onshore</v>
      </c>
      <c r="P10" s="8">
        <v>8</v>
      </c>
      <c r="Q10" s="8" t="s">
        <v>533</v>
      </c>
      <c r="R10" s="2" t="s">
        <v>534</v>
      </c>
      <c r="S10" s="2" t="s">
        <v>35</v>
      </c>
      <c r="T10" s="9">
        <v>44722</v>
      </c>
      <c r="U10" s="9" t="str">
        <f t="shared" ca="1" si="1"/>
        <v>OK</v>
      </c>
      <c r="V10" s="147">
        <f t="shared" si="2"/>
        <v>44834</v>
      </c>
      <c r="W10" s="9" t="s">
        <v>613</v>
      </c>
      <c r="X10" s="9" t="s">
        <v>1035</v>
      </c>
      <c r="Y10" s="9" t="str">
        <f t="shared" si="3"/>
        <v>Onshore</v>
      </c>
    </row>
    <row r="11" spans="1:26" x14ac:dyDescent="0.25">
      <c r="A11" s="8">
        <v>10</v>
      </c>
      <c r="B11" s="8" t="s">
        <v>22</v>
      </c>
      <c r="C11" s="2" t="s">
        <v>404</v>
      </c>
      <c r="D11" s="2" t="s">
        <v>36</v>
      </c>
      <c r="E11" s="9">
        <v>45308</v>
      </c>
      <c r="F11" s="9" t="str">
        <f ca="1">IF(C11="Legal",IF(AND(D11="Mensal",INT((YEARFRAC(E11,TODAY()))*12)&lt;1),"OK",IF(AND(D11="Bimestral",INT((YEARFRAC(E11,TODAY()))*12)&lt;2),"OK",IF(AND(D11="Trimestral",INT((YEARFRAC(E11,TODAY()))*12)&lt;3),"OK",IF(AND(D11="Semestral",INT((YEARFRAC(E11,TODAY()))*12)&lt;6),"OK",IF(AND(D11="Anual",INT((YEARFRAC(E11,TODAY()))*12)&lt;12),"OK",IF(AND(D11="5 anos",INT((YEARFRAC(E11,TODAY()))*12)&lt;60),"OK","Pendente")))))),IF(OR(#REF!="Assinado",#REF!="Feito"),"OK","Pendente de ata"))</f>
        <v>OK</v>
      </c>
      <c r="G11" s="147">
        <f t="shared" ca="1" si="0"/>
        <v>45688</v>
      </c>
      <c r="H11" s="9"/>
      <c r="I11" s="9" t="s">
        <v>1035</v>
      </c>
      <c r="J11" s="9" t="str">
        <f t="shared" si="4"/>
        <v>Onshore</v>
      </c>
      <c r="P11" s="8">
        <v>10</v>
      </c>
      <c r="Q11" s="8" t="s">
        <v>533</v>
      </c>
      <c r="R11" s="2" t="s">
        <v>534</v>
      </c>
      <c r="S11" s="2" t="s">
        <v>35</v>
      </c>
      <c r="T11" s="9">
        <v>44732</v>
      </c>
      <c r="U11" s="9" t="str">
        <f t="shared" ca="1" si="1"/>
        <v>OK</v>
      </c>
      <c r="V11" s="147">
        <f t="shared" si="2"/>
        <v>44834</v>
      </c>
      <c r="W11" s="9" t="s">
        <v>613</v>
      </c>
      <c r="X11" s="9" t="s">
        <v>1035</v>
      </c>
      <c r="Y11" s="9" t="str">
        <f t="shared" si="3"/>
        <v>Onshore</v>
      </c>
    </row>
    <row r="12" spans="1:26" x14ac:dyDescent="0.25">
      <c r="A12" s="8">
        <v>11</v>
      </c>
      <c r="B12" s="8" t="s">
        <v>23</v>
      </c>
      <c r="C12" s="2" t="s">
        <v>404</v>
      </c>
      <c r="D12" s="2" t="s">
        <v>36</v>
      </c>
      <c r="E12" s="9">
        <v>45308</v>
      </c>
      <c r="F12" s="9" t="str">
        <f ca="1">IF(C12="Legal",IF(AND(D12="Mensal",INT((YEARFRAC(E12,TODAY()))*12)&lt;1),"OK",IF(AND(D12="Bimestral",INT((YEARFRAC(E12,TODAY()))*12)&lt;2),"OK",IF(AND(D12="Trimestral",INT((YEARFRAC(E12,TODAY()))*12)&lt;3),"OK",IF(AND(D12="Semestral",INT((YEARFRAC(E12,TODAY()))*12)&lt;6),"OK",IF(AND(D12="Anual",INT((YEARFRAC(E12,TODAY()))*12)&lt;12),"OK",IF(AND(D12="5 anos",INT((YEARFRAC(E12,TODAY()))*12)&lt;60),"OK","Pendente")))))),IF(OR(#REF!="Assinado",#REF!="Feito"),"OK","Pendente de ata"))</f>
        <v>OK</v>
      </c>
      <c r="G12" s="147">
        <f t="shared" ca="1" si="0"/>
        <v>45688</v>
      </c>
      <c r="H12" s="9"/>
      <c r="I12" s="9" t="s">
        <v>1035</v>
      </c>
      <c r="J12" s="9" t="str">
        <f t="shared" si="4"/>
        <v>Onshore</v>
      </c>
      <c r="P12" s="8">
        <v>11</v>
      </c>
      <c r="Q12" s="8" t="s">
        <v>532</v>
      </c>
      <c r="R12" s="2" t="s">
        <v>534</v>
      </c>
      <c r="S12" s="2" t="s">
        <v>448</v>
      </c>
      <c r="T12" s="9">
        <v>44742</v>
      </c>
      <c r="U12" s="9" t="str">
        <f t="shared" ca="1" si="1"/>
        <v>OK</v>
      </c>
      <c r="V12" s="147">
        <f t="shared" si="2"/>
        <v>44773</v>
      </c>
      <c r="W12" s="9" t="s">
        <v>613</v>
      </c>
      <c r="X12" s="9" t="s">
        <v>1035</v>
      </c>
      <c r="Y12" s="9" t="str">
        <f t="shared" si="3"/>
        <v>Onshore</v>
      </c>
    </row>
    <row r="13" spans="1:26" x14ac:dyDescent="0.25">
      <c r="A13" s="8">
        <v>12</v>
      </c>
      <c r="B13" s="8" t="s">
        <v>24</v>
      </c>
      <c r="C13" s="2" t="s">
        <v>404</v>
      </c>
      <c r="D13" s="2" t="s">
        <v>36</v>
      </c>
      <c r="E13" s="9">
        <v>45308</v>
      </c>
      <c r="F13" s="9" t="str">
        <f ca="1">IF(C13="Legal",IF(AND(D13="Mensal",INT((YEARFRAC(E13,TODAY()))*12)&lt;1),"OK",IF(AND(D13="Bimestral",INT((YEARFRAC(E13,TODAY()))*12)&lt;2),"OK",IF(AND(D13="Trimestral",INT((YEARFRAC(E13,TODAY()))*12)&lt;3),"OK",IF(AND(D13="Semestral",INT((YEARFRAC(E13,TODAY()))*12)&lt;6),"OK",IF(AND(D13="Anual",INT((YEARFRAC(E13,TODAY()))*12)&lt;12),"OK",IF(AND(D13="5 anos",INT((YEARFRAC(E13,TODAY()))*12)&lt;60),"OK","Pendente")))))),IF(OR(#REF!="Assinado",#REF!="Feito"),"OK","Pendente de ata"))</f>
        <v>OK</v>
      </c>
      <c r="G13" s="147">
        <f t="shared" ca="1" si="0"/>
        <v>45688</v>
      </c>
      <c r="H13" s="9"/>
      <c r="I13" s="9" t="s">
        <v>1035</v>
      </c>
      <c r="J13" s="9" t="str">
        <f t="shared" si="4"/>
        <v>Onshore</v>
      </c>
      <c r="P13" s="8">
        <v>12</v>
      </c>
      <c r="Q13" s="8" t="s">
        <v>532</v>
      </c>
      <c r="R13" s="2" t="s">
        <v>534</v>
      </c>
      <c r="S13" s="2" t="s">
        <v>448</v>
      </c>
      <c r="T13" s="9">
        <v>44771</v>
      </c>
      <c r="U13" s="9" t="str">
        <f t="shared" ca="1" si="1"/>
        <v>OK</v>
      </c>
      <c r="V13" s="147">
        <f t="shared" si="2"/>
        <v>44804</v>
      </c>
      <c r="W13" s="9" t="s">
        <v>613</v>
      </c>
      <c r="X13" s="9" t="s">
        <v>1035</v>
      </c>
      <c r="Y13" s="9" t="str">
        <f t="shared" si="3"/>
        <v>Onshore</v>
      </c>
    </row>
    <row r="14" spans="1:26" x14ac:dyDescent="0.25">
      <c r="A14" s="8">
        <v>13</v>
      </c>
      <c r="B14" s="8" t="s">
        <v>25</v>
      </c>
      <c r="C14" s="2" t="s">
        <v>404</v>
      </c>
      <c r="D14" s="2" t="s">
        <v>36</v>
      </c>
      <c r="E14" s="9">
        <v>45308</v>
      </c>
      <c r="F14" s="9" t="str">
        <f ca="1">IF(C14="Legal",IF(AND(D14="Mensal",INT((YEARFRAC(E14,TODAY()))*12)&lt;1),"OK",IF(AND(D14="Bimestral",INT((YEARFRAC(E14,TODAY()))*12)&lt;2),"OK",IF(AND(D14="Trimestral",INT((YEARFRAC(E14,TODAY()))*12)&lt;3),"OK",IF(AND(D14="Semestral",INT((YEARFRAC(E14,TODAY()))*12)&lt;6),"OK",IF(AND(D14="Anual",INT((YEARFRAC(E14,TODAY()))*12)&lt;12),"OK",IF(AND(D14="5 anos",INT((YEARFRAC(E14,TODAY()))*12)&lt;60),"OK","Pendente")))))),IF(OR(#REF!="Assinado",#REF!="Feito"),"OK","Pendente de ata"))</f>
        <v>OK</v>
      </c>
      <c r="G14" s="147">
        <f t="shared" ca="1" si="0"/>
        <v>45688</v>
      </c>
      <c r="H14" s="9"/>
      <c r="I14" s="9" t="s">
        <v>1035</v>
      </c>
      <c r="J14" s="9" t="str">
        <f t="shared" si="4"/>
        <v>Onshore</v>
      </c>
      <c r="P14" s="8">
        <v>13</v>
      </c>
      <c r="Q14" s="8" t="s">
        <v>533</v>
      </c>
      <c r="R14" s="2" t="s">
        <v>534</v>
      </c>
      <c r="S14" s="2" t="s">
        <v>35</v>
      </c>
      <c r="T14" s="9">
        <v>44789</v>
      </c>
      <c r="U14" s="9" t="str">
        <f t="shared" ca="1" si="1"/>
        <v>OK</v>
      </c>
      <c r="V14" s="147">
        <f t="shared" si="2"/>
        <v>44895</v>
      </c>
      <c r="W14" s="9" t="s">
        <v>613</v>
      </c>
      <c r="X14" s="9" t="s">
        <v>1035</v>
      </c>
      <c r="Y14" s="9" t="str">
        <f t="shared" si="3"/>
        <v>Onshore</v>
      </c>
    </row>
    <row r="15" spans="1:26" x14ac:dyDescent="0.25">
      <c r="A15" s="8">
        <v>14</v>
      </c>
      <c r="B15" s="8" t="s">
        <v>26</v>
      </c>
      <c r="C15" s="2" t="s">
        <v>404</v>
      </c>
      <c r="D15" s="2" t="s">
        <v>36</v>
      </c>
      <c r="E15" s="9">
        <v>45308</v>
      </c>
      <c r="F15" s="9" t="str">
        <f ca="1">IF(C15="Legal",IF(AND(D15="Mensal",INT((YEARFRAC(E15,TODAY()))*12)&lt;1),"OK",IF(AND(D15="Bimestral",INT((YEARFRAC(E15,TODAY()))*12)&lt;2),"OK",IF(AND(D15="Trimestral",INT((YEARFRAC(E15,TODAY()))*12)&lt;3),"OK",IF(AND(D15="Semestral",INT((YEARFRAC(E15,TODAY()))*12)&lt;6),"OK",IF(AND(D15="Anual",INT((YEARFRAC(E15,TODAY()))*12)&lt;12),"OK",IF(AND(D15="5 anos",INT((YEARFRAC(E15,TODAY()))*12)&lt;60),"OK","Pendente")))))),IF(OR(#REF!="Assinado",#REF!="Feito"),"OK","Pendente de ata"))</f>
        <v>OK</v>
      </c>
      <c r="G15" s="147">
        <f t="shared" ca="1" si="0"/>
        <v>45688</v>
      </c>
      <c r="H15" s="9"/>
      <c r="I15" s="9" t="s">
        <v>1035</v>
      </c>
      <c r="J15" s="9" t="str">
        <f t="shared" si="4"/>
        <v>Onshore</v>
      </c>
      <c r="P15" s="8">
        <v>14</v>
      </c>
      <c r="Q15" s="8" t="s">
        <v>532</v>
      </c>
      <c r="R15" s="2" t="s">
        <v>534</v>
      </c>
      <c r="S15" s="2" t="s">
        <v>448</v>
      </c>
      <c r="T15" s="9">
        <v>44804</v>
      </c>
      <c r="U15" s="9" t="str">
        <f t="shared" ca="1" si="1"/>
        <v>OK</v>
      </c>
      <c r="V15" s="147">
        <f t="shared" si="2"/>
        <v>44834</v>
      </c>
      <c r="W15" s="9" t="s">
        <v>613</v>
      </c>
      <c r="X15" s="9" t="s">
        <v>1035</v>
      </c>
      <c r="Y15" s="9" t="str">
        <f t="shared" si="3"/>
        <v>Onshore</v>
      </c>
    </row>
    <row r="16" spans="1:26" x14ac:dyDescent="0.25">
      <c r="A16" s="8">
        <v>15</v>
      </c>
      <c r="B16" s="8" t="s">
        <v>27</v>
      </c>
      <c r="C16" s="2" t="s">
        <v>404</v>
      </c>
      <c r="D16" s="2" t="s">
        <v>36</v>
      </c>
      <c r="E16" s="9">
        <v>45308</v>
      </c>
      <c r="F16" s="9" t="str">
        <f ca="1">IF(C16="Legal",IF(AND(D16="Mensal",INT((YEARFRAC(E16,TODAY()))*12)&lt;1),"OK",IF(AND(D16="Bimestral",INT((YEARFRAC(E16,TODAY()))*12)&lt;2),"OK",IF(AND(D16="Trimestral",INT((YEARFRAC(E16,TODAY()))*12)&lt;3),"OK",IF(AND(D16="Semestral",INT((YEARFRAC(E16,TODAY()))*12)&lt;6),"OK",IF(AND(D16="Anual",INT((YEARFRAC(E16,TODAY()))*12)&lt;12),"OK",IF(AND(D16="5 anos",INT((YEARFRAC(E16,TODAY()))*12)&lt;60),"OK","Pendente")))))),IF(OR(#REF!="Assinado",#REF!="Feito"),"OK","Pendente de ata"))</f>
        <v>OK</v>
      </c>
      <c r="G16" s="147">
        <f t="shared" ca="1" si="0"/>
        <v>45688</v>
      </c>
      <c r="H16" s="9"/>
      <c r="I16" s="9" t="s">
        <v>1035</v>
      </c>
      <c r="J16" s="9" t="str">
        <f t="shared" si="4"/>
        <v>Onshore</v>
      </c>
      <c r="P16" s="8">
        <v>15</v>
      </c>
      <c r="Q16" s="8" t="s">
        <v>532</v>
      </c>
      <c r="R16" s="2" t="s">
        <v>534</v>
      </c>
      <c r="S16" s="2" t="s">
        <v>448</v>
      </c>
      <c r="T16" s="9">
        <v>44834</v>
      </c>
      <c r="U16" s="9" t="str">
        <f t="shared" ca="1" si="1"/>
        <v>OK</v>
      </c>
      <c r="V16" s="147">
        <f t="shared" si="2"/>
        <v>44865</v>
      </c>
      <c r="W16" s="9" t="s">
        <v>613</v>
      </c>
      <c r="X16" s="9" t="s">
        <v>1035</v>
      </c>
      <c r="Y16" s="9" t="str">
        <f t="shared" si="3"/>
        <v>Onshore</v>
      </c>
    </row>
    <row r="17" spans="1:25" x14ac:dyDescent="0.25">
      <c r="A17" s="8">
        <v>16</v>
      </c>
      <c r="B17" s="8" t="s">
        <v>29</v>
      </c>
      <c r="C17" s="2" t="s">
        <v>404</v>
      </c>
      <c r="D17" s="2" t="s">
        <v>36</v>
      </c>
      <c r="E17" s="9">
        <v>45308</v>
      </c>
      <c r="F17" s="9" t="str">
        <f ca="1">IF(C17="Legal",IF(AND(D17="Mensal",INT((YEARFRAC(E17,TODAY()))*12)&lt;1),"OK",IF(AND(D17="Bimestral",INT((YEARFRAC(E17,TODAY()))*12)&lt;2),"OK",IF(AND(D17="Trimestral",INT((YEARFRAC(E17,TODAY()))*12)&lt;3),"OK",IF(AND(D17="Semestral",INT((YEARFRAC(E17,TODAY()))*12)&lt;6),"OK",IF(AND(D17="Anual",INT((YEARFRAC(E17,TODAY()))*12)&lt;12),"OK",IF(AND(D17="5 anos",INT((YEARFRAC(E17,TODAY()))*12)&lt;60),"OK","Pendente")))))),IF(OR(#REF!="Assinado",#REF!="Feito"),"OK","Pendente de ata"))</f>
        <v>OK</v>
      </c>
      <c r="G17" s="147">
        <f t="shared" ca="1" si="0"/>
        <v>45688</v>
      </c>
      <c r="H17" s="9"/>
      <c r="I17" s="9" t="s">
        <v>1035</v>
      </c>
      <c r="J17" s="9" t="str">
        <f t="shared" si="4"/>
        <v>Onshore</v>
      </c>
      <c r="P17" s="8">
        <v>16</v>
      </c>
      <c r="Q17" s="8" t="s">
        <v>533</v>
      </c>
      <c r="R17" s="2" t="s">
        <v>534</v>
      </c>
      <c r="S17" s="2" t="s">
        <v>35</v>
      </c>
      <c r="T17" s="9">
        <v>44834</v>
      </c>
      <c r="U17" s="9" t="str">
        <f t="shared" ca="1" si="1"/>
        <v>OK</v>
      </c>
      <c r="V17" s="147">
        <f t="shared" si="2"/>
        <v>44926</v>
      </c>
      <c r="W17" s="9" t="s">
        <v>613</v>
      </c>
      <c r="X17" s="9" t="s">
        <v>1035</v>
      </c>
      <c r="Y17" s="9" t="str">
        <f t="shared" si="3"/>
        <v>Onshore</v>
      </c>
    </row>
    <row r="18" spans="1:25" x14ac:dyDescent="0.25">
      <c r="A18" s="8">
        <v>17</v>
      </c>
      <c r="B18" s="8" t="s">
        <v>30</v>
      </c>
      <c r="C18" s="2" t="s">
        <v>404</v>
      </c>
      <c r="D18" s="2" t="s">
        <v>36</v>
      </c>
      <c r="E18" s="9">
        <v>45374</v>
      </c>
      <c r="F18" s="9" t="str">
        <f ca="1">IF(C18="Legal",IF(AND(D18="Mensal",INT((YEARFRAC(E18,TODAY()))*12)&lt;1),"OK",IF(AND(D18="Bimestral",INT((YEARFRAC(E18,TODAY()))*12)&lt;2),"OK",IF(AND(D18="Trimestral",INT((YEARFRAC(E18,TODAY()))*12)&lt;3),"OK",IF(AND(D18="Semestral",INT((YEARFRAC(E18,TODAY()))*12)&lt;6),"OK",IF(AND(D18="Anual",INT((YEARFRAC(E18,TODAY()))*12)&lt;12),"OK",IF(AND(D18="5 anos",INT((YEARFRAC(E18,TODAY()))*12)&lt;60),"OK","Pendente")))))),IF(OR(#REF!="Assinado",#REF!="Feito"),"OK","Pendente de ata"))</f>
        <v>OK</v>
      </c>
      <c r="G18" s="147">
        <f t="shared" ca="1" si="0"/>
        <v>45747</v>
      </c>
      <c r="H18" s="9" t="s">
        <v>154</v>
      </c>
      <c r="I18" s="9" t="s">
        <v>1035</v>
      </c>
      <c r="J18" s="9" t="str">
        <f t="shared" si="4"/>
        <v>Onshore</v>
      </c>
      <c r="P18" s="8">
        <v>17</v>
      </c>
      <c r="Q18" s="8" t="s">
        <v>532</v>
      </c>
      <c r="R18" s="2" t="s">
        <v>534</v>
      </c>
      <c r="S18" s="2" t="s">
        <v>448</v>
      </c>
      <c r="T18" s="9">
        <v>44865</v>
      </c>
      <c r="U18" s="9" t="str">
        <f t="shared" ca="1" si="1"/>
        <v>OK</v>
      </c>
      <c r="V18" s="147">
        <f t="shared" si="2"/>
        <v>44895</v>
      </c>
      <c r="W18" s="9" t="s">
        <v>613</v>
      </c>
      <c r="X18" s="9" t="s">
        <v>1035</v>
      </c>
      <c r="Y18" s="9" t="str">
        <f t="shared" si="3"/>
        <v>Onshore</v>
      </c>
    </row>
    <row r="19" spans="1:25" x14ac:dyDescent="0.25">
      <c r="A19" s="8">
        <v>18</v>
      </c>
      <c r="B19" s="8" t="s">
        <v>31</v>
      </c>
      <c r="C19" s="2" t="s">
        <v>404</v>
      </c>
      <c r="D19" s="2" t="s">
        <v>36</v>
      </c>
      <c r="E19" s="9">
        <v>45077</v>
      </c>
      <c r="F19" s="9" t="str">
        <f ca="1">IF(C19="Legal",IF(AND(D19="Mensal",INT((YEARFRAC(E19,TODAY()))*12)&lt;1),"OK",IF(AND(D19="Bimestral",INT((YEARFRAC(E19,TODAY()))*12)&lt;2),"OK",IF(AND(D19="Trimestral",INT((YEARFRAC(E19,TODAY()))*12)&lt;3),"OK",IF(AND(D19="Semestral",INT((YEARFRAC(E19,TODAY()))*12)&lt;6),"OK",IF(AND(D19="Anual",INT((YEARFRAC(E19,TODAY()))*12)&lt;12),"OK",IF(AND(D19="5 anos",INT((YEARFRAC(E19,TODAY()))*12)&lt;60),"OK","Pendente")))))),IF(OR(#REF!="Assinado",#REF!="Feito"),"OK","Pendente de ata"))</f>
        <v>Pendente</v>
      </c>
      <c r="G19" s="147">
        <f t="shared" ca="1" si="0"/>
        <v>45443</v>
      </c>
      <c r="H19" s="9"/>
      <c r="I19" s="9" t="s">
        <v>1035</v>
      </c>
      <c r="J19" s="9" t="str">
        <f t="shared" si="4"/>
        <v>Onshore</v>
      </c>
      <c r="P19" s="8">
        <v>18</v>
      </c>
      <c r="Q19" s="8" t="s">
        <v>532</v>
      </c>
      <c r="R19" s="2" t="s">
        <v>534</v>
      </c>
      <c r="S19" s="2" t="s">
        <v>448</v>
      </c>
      <c r="T19" s="9">
        <v>44895</v>
      </c>
      <c r="U19" s="9" t="str">
        <f t="shared" ca="1" si="1"/>
        <v>OK</v>
      </c>
      <c r="V19" s="147">
        <f t="shared" si="2"/>
        <v>44926</v>
      </c>
      <c r="W19" s="9" t="s">
        <v>928</v>
      </c>
      <c r="X19" s="9" t="s">
        <v>1035</v>
      </c>
      <c r="Y19" s="9" t="str">
        <f t="shared" si="3"/>
        <v>Onshore</v>
      </c>
    </row>
    <row r="20" spans="1:25" x14ac:dyDescent="0.25">
      <c r="A20" s="8">
        <v>19</v>
      </c>
      <c r="B20" s="8" t="s">
        <v>32</v>
      </c>
      <c r="C20" s="2" t="s">
        <v>404</v>
      </c>
      <c r="D20" s="2" t="s">
        <v>36</v>
      </c>
      <c r="E20" s="9">
        <v>45308</v>
      </c>
      <c r="F20" s="9" t="str">
        <f ca="1">IF(C20="Legal",IF(AND(D20="Mensal",INT((YEARFRAC(E20,TODAY()))*12)&lt;1),"OK",IF(AND(D20="Bimestral",INT((YEARFRAC(E20,TODAY()))*12)&lt;2),"OK",IF(AND(D20="Trimestral",INT((YEARFRAC(E20,TODAY()))*12)&lt;3),"OK",IF(AND(D20="Semestral",INT((YEARFRAC(E20,TODAY()))*12)&lt;6),"OK",IF(AND(D20="Anual",INT((YEARFRAC(E20,TODAY()))*12)&lt;12),"OK",IF(AND(D20="5 anos",INT((YEARFRAC(E20,TODAY()))*12)&lt;60),"OK","Pendente")))))),IF(OR(#REF!="Assinado",#REF!="Feito"),"OK","Pendente de ata"))</f>
        <v>OK</v>
      </c>
      <c r="G20" s="147">
        <f t="shared" ca="1" si="0"/>
        <v>45688</v>
      </c>
      <c r="H20" s="9"/>
      <c r="I20" s="9" t="s">
        <v>1035</v>
      </c>
      <c r="J20" s="9" t="str">
        <f t="shared" si="4"/>
        <v>Onshore</v>
      </c>
      <c r="P20" s="8">
        <v>19</v>
      </c>
      <c r="Q20" s="8" t="s">
        <v>533</v>
      </c>
      <c r="R20" s="2" t="s">
        <v>534</v>
      </c>
      <c r="S20" s="2" t="s">
        <v>35</v>
      </c>
      <c r="T20" s="9">
        <v>44926</v>
      </c>
      <c r="U20" s="9" t="str">
        <f t="shared" ca="1" si="1"/>
        <v>OK</v>
      </c>
      <c r="V20" s="147">
        <f t="shared" si="2"/>
        <v>45016</v>
      </c>
      <c r="W20" s="9" t="s">
        <v>613</v>
      </c>
      <c r="X20" s="9" t="s">
        <v>1035</v>
      </c>
      <c r="Y20" s="9" t="str">
        <f t="shared" si="3"/>
        <v>Onshore</v>
      </c>
    </row>
    <row r="21" spans="1:25" x14ac:dyDescent="0.25">
      <c r="A21" s="8">
        <v>20</v>
      </c>
      <c r="B21" s="8" t="s">
        <v>149</v>
      </c>
      <c r="C21" s="2" t="s">
        <v>404</v>
      </c>
      <c r="D21" s="2" t="s">
        <v>36</v>
      </c>
      <c r="E21" s="9">
        <v>45384</v>
      </c>
      <c r="F21" s="9" t="str">
        <f ca="1">IF(C21="Legal",IF(AND(D21="Mensal",INT((YEARFRAC(E21,TODAY()))*12)&lt;1),"OK",IF(AND(D21="Bimestral",INT((YEARFRAC(E21,TODAY()))*12)&lt;2),"OK",IF(AND(D21="Trimestral",INT((YEARFRAC(E21,TODAY()))*12)&lt;3),"OK",IF(AND(D21="Semestral",INT((YEARFRAC(E21,TODAY()))*12)&lt;6),"OK",IF(AND(D21="Anual",INT((YEARFRAC(E21,TODAY()))*12)&lt;12),"OK",IF(AND(D21="5 anos",INT((YEARFRAC(E21,TODAY()))*12)&lt;60),"OK","Pendente")))))),IF(OR(#REF!="Assinado",#REF!="Feito"),"OK","Pendente de ata"))</f>
        <v>OK</v>
      </c>
      <c r="G21" s="147">
        <f t="shared" ca="1" si="0"/>
        <v>45777</v>
      </c>
      <c r="H21" s="9" t="s">
        <v>154</v>
      </c>
      <c r="I21" s="9" t="s">
        <v>1035</v>
      </c>
      <c r="J21" s="9" t="str">
        <f t="shared" si="4"/>
        <v>Onshore</v>
      </c>
      <c r="P21" s="8">
        <v>20</v>
      </c>
      <c r="Q21" s="8" t="s">
        <v>532</v>
      </c>
      <c r="R21" s="2" t="s">
        <v>534</v>
      </c>
      <c r="S21" s="2" t="s">
        <v>448</v>
      </c>
      <c r="T21" s="9">
        <v>44926</v>
      </c>
      <c r="U21" s="9" t="str">
        <f t="shared" ca="1" si="1"/>
        <v>OK</v>
      </c>
      <c r="V21" s="147">
        <f t="shared" si="2"/>
        <v>44957</v>
      </c>
      <c r="W21" s="9" t="s">
        <v>928</v>
      </c>
      <c r="X21" s="9" t="s">
        <v>1035</v>
      </c>
      <c r="Y21" s="9" t="str">
        <f t="shared" si="3"/>
        <v>Onshore</v>
      </c>
    </row>
    <row r="22" spans="1:25" x14ac:dyDescent="0.25">
      <c r="A22" s="8">
        <v>21</v>
      </c>
      <c r="B22" s="8" t="s">
        <v>150</v>
      </c>
      <c r="C22" s="2" t="s">
        <v>404</v>
      </c>
      <c r="D22" s="2" t="s">
        <v>36</v>
      </c>
      <c r="E22" s="9">
        <v>45308</v>
      </c>
      <c r="F22" s="9" t="str">
        <f ca="1">IF(C22="Legal",IF(AND(D22="Mensal",INT((YEARFRAC(E22,TODAY()))*12)&lt;1),"OK",IF(AND(D22="Bimestral",INT((YEARFRAC(E22,TODAY()))*12)&lt;2),"OK",IF(AND(D22="Trimestral",INT((YEARFRAC(E22,TODAY()))*12)&lt;3),"OK",IF(AND(D22="Semestral",INT((YEARFRAC(E22,TODAY()))*12)&lt;6),"OK",IF(AND(D22="Anual",INT((YEARFRAC(E22,TODAY()))*12)&lt;12),"OK",IF(AND(D22="5 anos",INT((YEARFRAC(E22,TODAY()))*12)&lt;60),"OK","Pendente")))))),IF(OR(#REF!="Assinado",#REF!="Feito"),"OK","Pendente de ata"))</f>
        <v>OK</v>
      </c>
      <c r="G22" s="147">
        <f t="shared" ca="1" si="0"/>
        <v>45688</v>
      </c>
      <c r="H22" s="9"/>
      <c r="I22" s="9" t="s">
        <v>1035</v>
      </c>
      <c r="J22" s="9" t="str">
        <f t="shared" si="4"/>
        <v>Onshore</v>
      </c>
      <c r="P22" s="8">
        <v>21</v>
      </c>
      <c r="Q22" s="8" t="s">
        <v>532</v>
      </c>
      <c r="R22" s="2" t="s">
        <v>534</v>
      </c>
      <c r="S22" s="2" t="s">
        <v>448</v>
      </c>
      <c r="T22" s="9">
        <v>44957</v>
      </c>
      <c r="U22" s="9" t="str">
        <f t="shared" ca="1" si="1"/>
        <v>OK</v>
      </c>
      <c r="V22" s="147">
        <f t="shared" si="2"/>
        <v>44985</v>
      </c>
      <c r="W22" s="9" t="s">
        <v>928</v>
      </c>
      <c r="X22" s="9" t="s">
        <v>1035</v>
      </c>
      <c r="Y22" s="9" t="str">
        <f t="shared" si="3"/>
        <v>Onshore</v>
      </c>
    </row>
    <row r="23" spans="1:25" x14ac:dyDescent="0.25">
      <c r="A23" s="8">
        <v>22</v>
      </c>
      <c r="B23" s="8" t="s">
        <v>151</v>
      </c>
      <c r="C23" s="2" t="s">
        <v>404</v>
      </c>
      <c r="D23" s="2" t="s">
        <v>36</v>
      </c>
      <c r="E23" s="9">
        <v>45308</v>
      </c>
      <c r="F23" s="9" t="str">
        <f ca="1">IF(C23="Legal",IF(AND(D23="Mensal",INT((YEARFRAC(E23,TODAY()))*12)&lt;1),"OK",IF(AND(D23="Bimestral",INT((YEARFRAC(E23,TODAY()))*12)&lt;2),"OK",IF(AND(D23="Trimestral",INT((YEARFRAC(E23,TODAY()))*12)&lt;3),"OK",IF(AND(D23="Semestral",INT((YEARFRAC(E23,TODAY()))*12)&lt;6),"OK",IF(AND(D23="Anual",INT((YEARFRAC(E23,TODAY()))*12)&lt;12),"OK",IF(AND(D23="5 anos",INT((YEARFRAC(E23,TODAY()))*12)&lt;60),"OK","Pendente")))))),IF(OR(#REF!="Assinado",#REF!="Feito"),"OK","Pendente de ata"))</f>
        <v>OK</v>
      </c>
      <c r="G23" s="147">
        <f t="shared" ca="1" si="0"/>
        <v>45688</v>
      </c>
      <c r="H23" s="9"/>
      <c r="I23" s="9" t="s">
        <v>1035</v>
      </c>
      <c r="J23" s="9" t="str">
        <f t="shared" si="4"/>
        <v>Onshore</v>
      </c>
      <c r="P23" s="8">
        <v>22</v>
      </c>
      <c r="Q23" s="8" t="s">
        <v>533</v>
      </c>
      <c r="R23" s="2" t="s">
        <v>534</v>
      </c>
      <c r="S23" s="2" t="s">
        <v>448</v>
      </c>
      <c r="T23" s="9">
        <v>44957</v>
      </c>
      <c r="U23" s="9" t="str">
        <f t="shared" ref="U23" ca="1" si="5">IF(W23="Não teve comitê","OK",IF(W23="Ok","OK", IF(R23="Legal",IF(AND(S23="Mensal",INT((YEARFRAC(T23,TODAY()))*12)&lt;1),"OK",IF(AND(S23="Bimestral",INT((YEARFRAC(T23,TODAY()))*12)&lt;2),"OK",IF(AND(S23="Trimestral",INT((YEARFRAC(T23,TODAY()))*12)&lt;3),"OK",IF(AND(S23="Semestral",INT((YEARFRAC(T23,TODAY()))*12)&lt;6),"OK",IF(AND(S23="Anual",INT((YEARFRAC(T23,TODAY()))*12)&lt;12),"OK",IF(AND(S23="5 anos",INT((YEARFRAC(T23,TODAY()))*12)&lt;60),"OK","Pendente")))))))))</f>
        <v>OK</v>
      </c>
      <c r="V23" s="147">
        <f t="shared" ref="V23" si="6">IF(S23="Mensal",EOMONTH(T23,1),IF(S23="Bimestral",EOMONTH(T23,2),IF(S23="Trimestral",EOMONTH(T23,3))))</f>
        <v>44985</v>
      </c>
      <c r="W23" s="9" t="s">
        <v>613</v>
      </c>
      <c r="X23" s="9" t="s">
        <v>1035</v>
      </c>
      <c r="Y23" s="9" t="str">
        <f t="shared" ref="Y23" si="7">IF(X23="Brasil","Onshore","Offshore")</f>
        <v>Onshore</v>
      </c>
    </row>
    <row r="24" spans="1:25" x14ac:dyDescent="0.25">
      <c r="A24" s="8">
        <v>23</v>
      </c>
      <c r="B24" s="8" t="s">
        <v>1100</v>
      </c>
      <c r="C24" s="2" t="s">
        <v>404</v>
      </c>
      <c r="D24" s="2" t="s">
        <v>35</v>
      </c>
      <c r="E24" s="9">
        <v>45344</v>
      </c>
      <c r="F24" s="9" t="str">
        <f ca="1">IF(H24="Não teve comitê","OK",IF(H24="Ok","OK", IF(C24="Legal",IF(AND(D24="Mensal",INT((YEARFRAC(E24,TODAY()))*12)&lt;1),"OK",IF(AND(D24="Bimestral",INT((YEARFRAC(E24,TODAY()))*12)&lt;2),"OK",IF(AND(D24="Trimestral",INT((YEARFRAC(E24,TODAY()))*12)&lt;3),"OK",IF(AND(D24="Semestral",INT((YEARFRAC(E24,TODAY()))*12)&lt;6),"OK",IF(AND(D24="Anual",INT((YEARFRAC(E24,TODAY()))*12)&lt;12),"OK",IF(AND(D24="5 anos",INT((YEARFRAC(E24,TODAY()))*12)&lt;60),"OK","Pendente")))))))))</f>
        <v>Pendente</v>
      </c>
      <c r="G24" s="147">
        <f t="shared" ca="1" si="0"/>
        <v>45443</v>
      </c>
      <c r="H24" s="9"/>
      <c r="I24" s="9" t="s">
        <v>1035</v>
      </c>
      <c r="J24" s="9" t="str">
        <f t="shared" si="4"/>
        <v>Onshore</v>
      </c>
      <c r="P24" s="8">
        <v>23</v>
      </c>
      <c r="Q24" s="8" t="s">
        <v>532</v>
      </c>
      <c r="R24" s="2" t="s">
        <v>534</v>
      </c>
      <c r="S24" s="2" t="s">
        <v>448</v>
      </c>
      <c r="T24" s="9">
        <v>44985</v>
      </c>
      <c r="U24" s="9" t="str">
        <f t="shared" ca="1" si="1"/>
        <v>OK</v>
      </c>
      <c r="V24" s="147">
        <f t="shared" si="2"/>
        <v>45016</v>
      </c>
      <c r="W24" s="9" t="s">
        <v>928</v>
      </c>
      <c r="X24" s="9" t="s">
        <v>1035</v>
      </c>
      <c r="Y24" s="9" t="str">
        <f t="shared" si="3"/>
        <v>Onshore</v>
      </c>
    </row>
    <row r="25" spans="1:25" s="57" customFormat="1" x14ac:dyDescent="0.25">
      <c r="A25" s="8">
        <v>24</v>
      </c>
      <c r="B25" s="8" t="s">
        <v>1101</v>
      </c>
      <c r="C25" s="2" t="s">
        <v>404</v>
      </c>
      <c r="D25" s="2" t="s">
        <v>35</v>
      </c>
      <c r="E25" s="9">
        <v>45344</v>
      </c>
      <c r="F25" s="9" t="str">
        <f t="shared" ref="F25:F66" ca="1" si="8">IF(C25="Legal",IF(AND(D25="Mensal",INT((YEARFRAC(E25,TODAY()))*12)&lt;1),"OK",IF(AND(D25="Bimestral",INT((YEARFRAC(E25,TODAY()))*12)&lt;2),"OK",IF(AND(D25="Trimestral",INT((YEARFRAC(E25,TODAY()))*12)&lt;3),"OK",IF(AND(D25="Semestral",INT((YEARFRAC(E25,TODAY()))*12)&lt;6),"OK",IF(AND(D25="Anual",INT((YEARFRAC(E25,TODAY()))*12)&lt;12),"OK",IF(AND(D25="5 anos",INT((YEARFRAC(E25,TODAY()))*12)&lt;60),"OK","Pendente")))))))</f>
        <v>Pendente</v>
      </c>
      <c r="G25" s="147">
        <f t="shared" ca="1" si="0"/>
        <v>45443</v>
      </c>
      <c r="H25" s="138"/>
      <c r="I25" s="9" t="s">
        <v>1035</v>
      </c>
      <c r="J25" s="9" t="str">
        <f t="shared" si="4"/>
        <v>Onshore</v>
      </c>
      <c r="L25" s="57" t="s">
        <v>672</v>
      </c>
      <c r="P25" s="8">
        <v>24</v>
      </c>
      <c r="Q25" s="8" t="s">
        <v>532</v>
      </c>
      <c r="R25" s="2" t="s">
        <v>534</v>
      </c>
      <c r="S25" s="2" t="s">
        <v>448</v>
      </c>
      <c r="T25" s="9">
        <v>45016</v>
      </c>
      <c r="U25" s="9" t="str">
        <f t="shared" ca="1" si="1"/>
        <v>OK</v>
      </c>
      <c r="V25" s="147">
        <f t="shared" si="2"/>
        <v>45046</v>
      </c>
      <c r="W25" s="9" t="s">
        <v>928</v>
      </c>
      <c r="X25" s="9" t="s">
        <v>1035</v>
      </c>
      <c r="Y25" s="9" t="str">
        <f t="shared" si="3"/>
        <v>Onshore</v>
      </c>
    </row>
    <row r="26" spans="1:25" s="57" customFormat="1" x14ac:dyDescent="0.25">
      <c r="A26" s="8">
        <v>25</v>
      </c>
      <c r="B26" s="8" t="s">
        <v>1102</v>
      </c>
      <c r="C26" s="2" t="s">
        <v>404</v>
      </c>
      <c r="D26" s="2" t="s">
        <v>37</v>
      </c>
      <c r="E26" s="9">
        <v>45343</v>
      </c>
      <c r="F26" s="9" t="str">
        <f t="shared" ca="1" si="8"/>
        <v>OK</v>
      </c>
      <c r="G26" s="147">
        <f t="shared" ca="1" si="0"/>
        <v>45535</v>
      </c>
      <c r="H26" s="9"/>
      <c r="I26" s="9" t="s">
        <v>1035</v>
      </c>
      <c r="J26" s="9" t="str">
        <f t="shared" si="4"/>
        <v>Onshore</v>
      </c>
      <c r="P26" s="8">
        <v>25</v>
      </c>
      <c r="Q26" s="8" t="s">
        <v>533</v>
      </c>
      <c r="R26" s="2" t="s">
        <v>534</v>
      </c>
      <c r="S26" s="2" t="s">
        <v>35</v>
      </c>
      <c r="T26" s="9">
        <v>45042</v>
      </c>
      <c r="U26" s="9" t="str">
        <f t="shared" ca="1" si="1"/>
        <v>OK</v>
      </c>
      <c r="V26" s="147">
        <f t="shared" si="2"/>
        <v>45138</v>
      </c>
      <c r="W26" s="9" t="s">
        <v>613</v>
      </c>
      <c r="X26" s="9" t="s">
        <v>1035</v>
      </c>
      <c r="Y26" s="9" t="str">
        <f t="shared" si="3"/>
        <v>Onshore</v>
      </c>
    </row>
    <row r="27" spans="1:25" s="57" customFormat="1" x14ac:dyDescent="0.25">
      <c r="A27" s="8">
        <v>26</v>
      </c>
      <c r="B27" s="8" t="s">
        <v>1103</v>
      </c>
      <c r="C27" s="2" t="s">
        <v>404</v>
      </c>
      <c r="D27" s="2" t="s">
        <v>37</v>
      </c>
      <c r="E27" s="9">
        <v>45314</v>
      </c>
      <c r="F27" s="9" t="str">
        <f t="shared" ca="1" si="8"/>
        <v>Pendente</v>
      </c>
      <c r="G27" s="147">
        <f t="shared" ca="1" si="0"/>
        <v>45504</v>
      </c>
      <c r="H27" s="9"/>
      <c r="I27" s="9" t="s">
        <v>1035</v>
      </c>
      <c r="J27" s="9" t="str">
        <f t="shared" si="4"/>
        <v>Onshore</v>
      </c>
      <c r="P27" s="8">
        <v>26</v>
      </c>
      <c r="Q27" s="8" t="s">
        <v>532</v>
      </c>
      <c r="R27" s="2" t="s">
        <v>534</v>
      </c>
      <c r="S27" s="2" t="s">
        <v>448</v>
      </c>
      <c r="T27" s="9">
        <v>45046</v>
      </c>
      <c r="U27" s="9" t="str">
        <f t="shared" ca="1" si="1"/>
        <v>OK</v>
      </c>
      <c r="V27" s="147">
        <f t="shared" si="2"/>
        <v>45077</v>
      </c>
      <c r="W27" s="9" t="s">
        <v>928</v>
      </c>
      <c r="X27" s="9" t="s">
        <v>1035</v>
      </c>
      <c r="Y27" s="9" t="str">
        <f t="shared" si="3"/>
        <v>Onshore</v>
      </c>
    </row>
    <row r="28" spans="1:25" s="57" customFormat="1" x14ac:dyDescent="0.25">
      <c r="A28" s="8">
        <v>27</v>
      </c>
      <c r="B28" s="8" t="s">
        <v>1104</v>
      </c>
      <c r="C28" s="2" t="s">
        <v>404</v>
      </c>
      <c r="D28" s="2" t="s">
        <v>35</v>
      </c>
      <c r="E28" s="9">
        <v>45401</v>
      </c>
      <c r="F28" s="9" t="str">
        <f t="shared" ca="1" si="8"/>
        <v>Pendente</v>
      </c>
      <c r="G28" s="147">
        <f t="shared" ca="1" si="0"/>
        <v>45504</v>
      </c>
      <c r="H28" s="138"/>
      <c r="I28" s="9" t="s">
        <v>1035</v>
      </c>
      <c r="J28" s="9" t="str">
        <f t="shared" si="4"/>
        <v>Onshore</v>
      </c>
      <c r="P28" s="8">
        <v>27</v>
      </c>
      <c r="Q28" s="8" t="s">
        <v>533</v>
      </c>
      <c r="R28" s="2" t="s">
        <v>534</v>
      </c>
      <c r="S28" s="2" t="s">
        <v>35</v>
      </c>
      <c r="T28" s="9">
        <v>45076</v>
      </c>
      <c r="U28" s="9" t="str">
        <f t="shared" ca="1" si="1"/>
        <v>OK</v>
      </c>
      <c r="V28" s="147">
        <f t="shared" si="2"/>
        <v>45169</v>
      </c>
      <c r="W28" s="9" t="s">
        <v>613</v>
      </c>
      <c r="X28" s="9" t="s">
        <v>1035</v>
      </c>
      <c r="Y28" s="9" t="str">
        <f t="shared" si="3"/>
        <v>Onshore</v>
      </c>
    </row>
    <row r="29" spans="1:25" s="57" customFormat="1" x14ac:dyDescent="0.25">
      <c r="A29" s="8">
        <v>28</v>
      </c>
      <c r="B29" s="8" t="s">
        <v>1105</v>
      </c>
      <c r="C29" s="2" t="s">
        <v>404</v>
      </c>
      <c r="D29" s="2" t="s">
        <v>37</v>
      </c>
      <c r="E29" s="9">
        <v>45393</v>
      </c>
      <c r="F29" s="9" t="str">
        <f t="shared" ca="1" si="8"/>
        <v>OK</v>
      </c>
      <c r="G29" s="147">
        <f t="shared" ca="1" si="0"/>
        <v>45596</v>
      </c>
      <c r="H29" s="138"/>
      <c r="I29" s="9" t="s">
        <v>1035</v>
      </c>
      <c r="J29" s="9" t="str">
        <f t="shared" si="4"/>
        <v>Onshore</v>
      </c>
      <c r="P29" s="8">
        <v>28</v>
      </c>
      <c r="Q29" s="8" t="s">
        <v>532</v>
      </c>
      <c r="R29" s="2" t="s">
        <v>534</v>
      </c>
      <c r="S29" s="2" t="s">
        <v>448</v>
      </c>
      <c r="T29" s="9">
        <v>45077</v>
      </c>
      <c r="U29" s="9" t="str">
        <f t="shared" ca="1" si="1"/>
        <v>OK</v>
      </c>
      <c r="V29" s="147">
        <f t="shared" si="2"/>
        <v>45107</v>
      </c>
      <c r="W29" s="9" t="s">
        <v>613</v>
      </c>
      <c r="X29" s="9" t="s">
        <v>1035</v>
      </c>
      <c r="Y29" s="9" t="str">
        <f t="shared" si="3"/>
        <v>Onshore</v>
      </c>
    </row>
    <row r="30" spans="1:25" s="57" customFormat="1" x14ac:dyDescent="0.25">
      <c r="A30" s="8">
        <v>29</v>
      </c>
      <c r="B30" s="8" t="s">
        <v>1106</v>
      </c>
      <c r="C30" s="2" t="s">
        <v>404</v>
      </c>
      <c r="D30" s="2" t="s">
        <v>37</v>
      </c>
      <c r="E30" s="9">
        <v>45401</v>
      </c>
      <c r="F30" s="9" t="str">
        <f t="shared" ca="1" si="8"/>
        <v>OK</v>
      </c>
      <c r="G30" s="147">
        <f t="shared" ca="1" si="0"/>
        <v>45596</v>
      </c>
      <c r="H30" s="138"/>
      <c r="I30" s="9" t="s">
        <v>1035</v>
      </c>
      <c r="J30" s="9" t="str">
        <f t="shared" si="4"/>
        <v>Onshore</v>
      </c>
      <c r="P30" s="8">
        <v>29</v>
      </c>
      <c r="Q30" s="8" t="s">
        <v>532</v>
      </c>
      <c r="R30" s="2" t="s">
        <v>534</v>
      </c>
      <c r="S30" s="2" t="s">
        <v>448</v>
      </c>
      <c r="T30" s="9">
        <v>45107</v>
      </c>
      <c r="U30" s="9" t="str">
        <f t="shared" ca="1" si="1"/>
        <v>OK</v>
      </c>
      <c r="V30" s="147">
        <f t="shared" si="2"/>
        <v>45138</v>
      </c>
      <c r="W30" s="9" t="s">
        <v>928</v>
      </c>
      <c r="X30" s="9" t="s">
        <v>1035</v>
      </c>
      <c r="Y30" s="9" t="str">
        <f t="shared" si="3"/>
        <v>Onshore</v>
      </c>
    </row>
    <row r="31" spans="1:25" s="57" customFormat="1" x14ac:dyDescent="0.25">
      <c r="A31" s="8">
        <v>30</v>
      </c>
      <c r="B31" s="8" t="s">
        <v>1107</v>
      </c>
      <c r="C31" s="2" t="s">
        <v>404</v>
      </c>
      <c r="D31" s="2" t="s">
        <v>37</v>
      </c>
      <c r="E31" s="9">
        <v>45401</v>
      </c>
      <c r="F31" s="9" t="str">
        <f t="shared" ca="1" si="8"/>
        <v>OK</v>
      </c>
      <c r="G31" s="147">
        <f t="shared" ca="1" si="0"/>
        <v>45596</v>
      </c>
      <c r="H31" s="138"/>
      <c r="I31" s="9" t="s">
        <v>1035</v>
      </c>
      <c r="J31" s="9" t="str">
        <f t="shared" si="4"/>
        <v>Onshore</v>
      </c>
      <c r="P31" s="8">
        <v>30</v>
      </c>
      <c r="Q31" s="8" t="s">
        <v>532</v>
      </c>
      <c r="R31" s="2" t="s">
        <v>534</v>
      </c>
      <c r="S31" s="2" t="s">
        <v>448</v>
      </c>
      <c r="T31" s="9">
        <v>45138</v>
      </c>
      <c r="U31" s="9" t="str">
        <f t="shared" ca="1" si="1"/>
        <v>OK</v>
      </c>
      <c r="V31" s="147">
        <f t="shared" si="2"/>
        <v>45169</v>
      </c>
      <c r="W31" s="9" t="s">
        <v>928</v>
      </c>
      <c r="X31" s="9" t="s">
        <v>1035</v>
      </c>
      <c r="Y31" s="9" t="str">
        <f t="shared" si="3"/>
        <v>Onshore</v>
      </c>
    </row>
    <row r="32" spans="1:25" s="57" customFormat="1" x14ac:dyDescent="0.25">
      <c r="A32" s="8">
        <v>31</v>
      </c>
      <c r="B32" s="8" t="s">
        <v>1131</v>
      </c>
      <c r="C32" s="2" t="s">
        <v>404</v>
      </c>
      <c r="D32" s="2" t="s">
        <v>37</v>
      </c>
      <c r="E32" s="9">
        <v>45267</v>
      </c>
      <c r="F32" s="9" t="str">
        <f t="shared" ca="1" si="8"/>
        <v>Pendente</v>
      </c>
      <c r="G32" s="147">
        <f ca="1">IF(AND(C32="ATA",F32="OK"),"12/31/2500",IF(D32="Mensal",DATE(YEAR(E32),MONTH(E32)+1,DAY(E32)),IF(D32="Bimestral",EOMONTH(E32,2),IF(D32="Trimestral",EOMONTH(E32,3),IF(D32="Semestral",EOMONTH(E32,6),IF(D32="Anual",EOMONTH(E32,12),IF(D32="5 anos",EOMONTH(E32,60),"")))))))</f>
        <v>45473</v>
      </c>
      <c r="H32" s="138"/>
      <c r="I32" s="9" t="s">
        <v>1125</v>
      </c>
      <c r="J32" s="9" t="str">
        <f t="shared" si="4"/>
        <v>Offshore</v>
      </c>
      <c r="P32" s="8">
        <v>31</v>
      </c>
      <c r="Q32" s="8" t="s">
        <v>533</v>
      </c>
      <c r="R32" s="2" t="s">
        <v>534</v>
      </c>
      <c r="S32" s="2" t="s">
        <v>448</v>
      </c>
      <c r="T32" s="9">
        <v>45167</v>
      </c>
      <c r="U32" s="9" t="str">
        <f t="shared" ca="1" si="1"/>
        <v>OK</v>
      </c>
      <c r="V32" s="147">
        <f t="shared" si="2"/>
        <v>45199</v>
      </c>
      <c r="W32" s="9" t="s">
        <v>613</v>
      </c>
      <c r="X32" s="9" t="s">
        <v>1035</v>
      </c>
      <c r="Y32" s="9" t="str">
        <f t="shared" si="3"/>
        <v>Onshore</v>
      </c>
    </row>
    <row r="33" spans="1:37" s="57" customFormat="1" x14ac:dyDescent="0.25">
      <c r="A33" s="8">
        <v>32</v>
      </c>
      <c r="B33" s="8" t="s">
        <v>1110</v>
      </c>
      <c r="C33" s="2" t="s">
        <v>404</v>
      </c>
      <c r="D33" s="2" t="s">
        <v>37</v>
      </c>
      <c r="E33" s="9">
        <v>45237</v>
      </c>
      <c r="F33" s="9" t="str">
        <f ca="1">IF(C33="Legal",IF(AND(D33="Mensal",INT((YEARFRAC(E33,TODAY()))*12)&lt;1),"OK",IF(AND(D33="Bimestral",INT((YEARFRAC(E33,TODAY()))*12)&lt;2),"OK",IF(AND(D33="Trimestral",INT((YEARFRAC(E33,TODAY()))*12)&lt;3),"OK",IF(AND(D33="Semestral",INT((YEARFRAC(E33,TODAY()))*12)&lt;6),"OK",IF(AND(D33="Anual",INT((YEARFRAC(E33,TODAY()))*12)&lt;12),"OK",IF(AND(D33="5 anos",INT((YEARFRAC(E33,TODAY()))*12)&lt;60),"OK","Pendente")))))))</f>
        <v>Pendente</v>
      </c>
      <c r="G33" s="147">
        <f t="shared" ca="1" si="0"/>
        <v>45443</v>
      </c>
      <c r="H33" s="138"/>
      <c r="I33" s="9" t="s">
        <v>1035</v>
      </c>
      <c r="J33" s="9" t="str">
        <f t="shared" si="4"/>
        <v>Onshore</v>
      </c>
      <c r="P33" s="8">
        <v>32</v>
      </c>
      <c r="Q33" s="8" t="s">
        <v>2469</v>
      </c>
      <c r="R33" s="2" t="s">
        <v>534</v>
      </c>
      <c r="S33" s="2" t="s">
        <v>448</v>
      </c>
      <c r="T33" s="9">
        <v>45168</v>
      </c>
      <c r="U33" s="9" t="str">
        <f t="shared" ref="U33" ca="1" si="9">IF(W33="Não teve comitê","OK",IF(W33="Ok","OK", IF(R33="Legal",IF(AND(S33="Mensal",INT((YEARFRAC(T33,TODAY()))*12)&lt;1),"OK",IF(AND(S33="Bimestral",INT((YEARFRAC(T33,TODAY()))*12)&lt;2),"OK",IF(AND(S33="Trimestral",INT((YEARFRAC(T33,TODAY()))*12)&lt;3),"OK",IF(AND(S33="Semestral",INT((YEARFRAC(T33,TODAY()))*12)&lt;6),"OK",IF(AND(S33="Anual",INT((YEARFRAC(T33,TODAY()))*12)&lt;12),"OK",IF(AND(S33="5 anos",INT((YEARFRAC(T33,TODAY()))*12)&lt;60),"OK","Pendente")))))))))</f>
        <v>OK</v>
      </c>
      <c r="V33" s="147">
        <f t="shared" ref="V33" si="10">IF(S33="Mensal",EOMONTH(T33,1),IF(S33="Bimestral",EOMONTH(T33,2),IF(S33="Trimestral",EOMONTH(T33,3))))</f>
        <v>45199</v>
      </c>
      <c r="W33" s="9" t="s">
        <v>613</v>
      </c>
      <c r="X33" s="9" t="s">
        <v>1035</v>
      </c>
      <c r="Y33" s="9" t="str">
        <f t="shared" ref="Y33" si="11">IF(X33="Brasil","Onshore","Offshore")</f>
        <v>Onshore</v>
      </c>
    </row>
    <row r="34" spans="1:37" s="57" customFormat="1" x14ac:dyDescent="0.25">
      <c r="A34" s="8">
        <v>33</v>
      </c>
      <c r="B34" s="8" t="s">
        <v>1111</v>
      </c>
      <c r="C34" s="2" t="s">
        <v>404</v>
      </c>
      <c r="D34" s="2" t="s">
        <v>37</v>
      </c>
      <c r="E34" s="9">
        <v>45412</v>
      </c>
      <c r="F34" s="9" t="str">
        <f t="shared" ca="1" si="8"/>
        <v>OK</v>
      </c>
      <c r="G34" s="147">
        <f ca="1">IF(AND(C34="ATA",F34="OK"),"12/31/2500",IF(D34="Mensal",DATE(YEAR(E34),MONTH(E34)+1,DAY(E34)),IF(D34="Bimestral",EOMONTH(E34,2),IF(D34="Trimestral",EOMONTH(E34,3),IF(D34="Semestral",EOMONTH(E34,6),IF(D34="Anual",EOMONTH(E34,12),IF(D34="5 anos",EOMONTH(E34,60),"")))))))</f>
        <v>45596</v>
      </c>
      <c r="H34" s="138"/>
      <c r="I34" s="9" t="s">
        <v>1035</v>
      </c>
      <c r="J34" s="9" t="str">
        <f t="shared" si="4"/>
        <v>Onshore</v>
      </c>
      <c r="P34" s="8">
        <v>33</v>
      </c>
      <c r="Q34" s="8" t="s">
        <v>533</v>
      </c>
      <c r="R34" s="2" t="s">
        <v>534</v>
      </c>
      <c r="S34" s="2" t="s">
        <v>448</v>
      </c>
      <c r="T34" s="9">
        <v>45209</v>
      </c>
      <c r="U34" s="9" t="str">
        <f t="shared" ref="U34" ca="1" si="12">IF(W34="Não teve comitê","OK",IF(W34="Ok","OK", IF(R34="Legal",IF(AND(S34="Mensal",INT((YEARFRAC(T34,TODAY()))*12)&lt;1),"OK",IF(AND(S34="Bimestral",INT((YEARFRAC(T34,TODAY()))*12)&lt;2),"OK",IF(AND(S34="Trimestral",INT((YEARFRAC(T34,TODAY()))*12)&lt;3),"OK",IF(AND(S34="Semestral",INT((YEARFRAC(T34,TODAY()))*12)&lt;6),"OK",IF(AND(S34="Anual",INT((YEARFRAC(T34,TODAY()))*12)&lt;12),"OK",IF(AND(S34="5 anos",INT((YEARFRAC(T34,TODAY()))*12)&lt;60),"OK","Pendente")))))))))</f>
        <v>OK</v>
      </c>
      <c r="V34" s="147">
        <f t="shared" ref="V34" si="13">IF(S34="Mensal",EOMONTH(T34,1),IF(S34="Bimestral",EOMONTH(T34,2),IF(S34="Trimestral",EOMONTH(T34,3))))</f>
        <v>45260</v>
      </c>
      <c r="W34" s="9" t="s">
        <v>613</v>
      </c>
      <c r="X34" s="9" t="s">
        <v>1035</v>
      </c>
      <c r="Y34" s="9" t="str">
        <f t="shared" ref="Y34" si="14">IF(X34="Brasil","Onshore","Offshore")</f>
        <v>Onshore</v>
      </c>
    </row>
    <row r="35" spans="1:37" s="57" customFormat="1" x14ac:dyDescent="0.25">
      <c r="A35" s="8">
        <v>34</v>
      </c>
      <c r="B35" s="8" t="s">
        <v>1112</v>
      </c>
      <c r="C35" s="2" t="s">
        <v>404</v>
      </c>
      <c r="D35" s="2" t="s">
        <v>37</v>
      </c>
      <c r="E35" s="9">
        <v>45401</v>
      </c>
      <c r="F35" s="9" t="str">
        <f t="shared" ca="1" si="8"/>
        <v>OK</v>
      </c>
      <c r="G35" s="147">
        <f t="shared" ca="1" si="0"/>
        <v>45596</v>
      </c>
      <c r="H35" s="138"/>
      <c r="I35" s="9" t="s">
        <v>1035</v>
      </c>
      <c r="J35" s="9" t="str">
        <f t="shared" si="4"/>
        <v>Onshore</v>
      </c>
      <c r="P35" s="8">
        <v>34</v>
      </c>
      <c r="Q35" s="8" t="s">
        <v>2469</v>
      </c>
      <c r="R35" s="2" t="s">
        <v>534</v>
      </c>
      <c r="S35" s="2" t="s">
        <v>448</v>
      </c>
      <c r="T35" s="9">
        <v>45209</v>
      </c>
      <c r="U35" s="9" t="str">
        <f t="shared" ref="U35" ca="1" si="15">IF(W35="Não teve comitê","OK",IF(W35="Ok","OK", IF(R35="Legal",IF(AND(S35="Mensal",INT((YEARFRAC(T35,TODAY()))*12)&lt;1),"OK",IF(AND(S35="Bimestral",INT((YEARFRAC(T35,TODAY()))*12)&lt;2),"OK",IF(AND(S35="Trimestral",INT((YEARFRAC(T35,TODAY()))*12)&lt;3),"OK",IF(AND(S35="Semestral",INT((YEARFRAC(T35,TODAY()))*12)&lt;6),"OK",IF(AND(S35="Anual",INT((YEARFRAC(T35,TODAY()))*12)&lt;12),"OK",IF(AND(S35="5 anos",INT((YEARFRAC(T35,TODAY()))*12)&lt;60),"OK","Pendente")))))))))</f>
        <v>OK</v>
      </c>
      <c r="V35" s="147">
        <f t="shared" ref="V35" si="16">IF(S35="Mensal",EOMONTH(T35,1),IF(S35="Bimestral",EOMONTH(T35,2),IF(S35="Trimestral",EOMONTH(T35,3))))</f>
        <v>45260</v>
      </c>
      <c r="W35" s="9" t="s">
        <v>613</v>
      </c>
      <c r="X35" s="9" t="s">
        <v>1035</v>
      </c>
      <c r="Y35" s="9" t="str">
        <f t="shared" ref="Y35" si="17">IF(X35="Brasil","Onshore","Offshore")</f>
        <v>Onshore</v>
      </c>
    </row>
    <row r="36" spans="1:37" s="57" customFormat="1" x14ac:dyDescent="0.25">
      <c r="A36" s="8">
        <v>35</v>
      </c>
      <c r="B36" s="8" t="s">
        <v>1765</v>
      </c>
      <c r="C36" s="2" t="s">
        <v>404</v>
      </c>
      <c r="D36" s="2" t="s">
        <v>37</v>
      </c>
      <c r="E36" s="9">
        <v>45393</v>
      </c>
      <c r="F36" s="9" t="str">
        <f t="shared" ref="F36" ca="1" si="18">IF(C36="Legal",IF(AND(D36="Mensal",INT((YEARFRAC(E36,TODAY()))*12)&lt;1),"OK",IF(AND(D36="Bimestral",INT((YEARFRAC(E36,TODAY()))*12)&lt;2),"OK",IF(AND(D36="Trimestral",INT((YEARFRAC(E36,TODAY()))*12)&lt;3),"OK",IF(AND(D36="Semestral",INT((YEARFRAC(E36,TODAY()))*12)&lt;6),"OK",IF(AND(D36="Anual",INT((YEARFRAC(E36,TODAY()))*12)&lt;12),"OK",IF(AND(D36="5 anos",INT((YEARFRAC(E36,TODAY()))*12)&lt;60),"OK","Pendente")))))))</f>
        <v>OK</v>
      </c>
      <c r="G36" s="147">
        <f t="shared" ca="1" si="0"/>
        <v>45596</v>
      </c>
      <c r="H36" s="138"/>
      <c r="I36" s="9" t="s">
        <v>1035</v>
      </c>
      <c r="J36" s="9" t="str">
        <f t="shared" si="4"/>
        <v>Onshore</v>
      </c>
      <c r="P36" s="8">
        <v>35</v>
      </c>
      <c r="Q36" s="8" t="s">
        <v>533</v>
      </c>
      <c r="R36" s="2" t="s">
        <v>534</v>
      </c>
      <c r="S36" s="2" t="s">
        <v>448</v>
      </c>
      <c r="T36" s="9">
        <v>45259</v>
      </c>
      <c r="U36" s="9" t="str">
        <f t="shared" ref="U36" ca="1" si="19">IF(W36="Não teve comitê","OK",IF(W36="Ok","OK", IF(R36="Legal",IF(AND(S36="Mensal",INT((YEARFRAC(T36,TODAY()))*12)&lt;1),"OK",IF(AND(S36="Bimestral",INT((YEARFRAC(T36,TODAY()))*12)&lt;2),"OK",IF(AND(S36="Trimestral",INT((YEARFRAC(T36,TODAY()))*12)&lt;3),"OK",IF(AND(S36="Semestral",INT((YEARFRAC(T36,TODAY()))*12)&lt;6),"OK",IF(AND(S36="Anual",INT((YEARFRAC(T36,TODAY()))*12)&lt;12),"OK",IF(AND(S36="5 anos",INT((YEARFRAC(T36,TODAY()))*12)&lt;60),"OK","Pendente")))))))))</f>
        <v>OK</v>
      </c>
      <c r="V36" s="147">
        <f t="shared" ref="V36" si="20">IF(S36="Mensal",EOMONTH(T36,1),IF(S36="Bimestral",EOMONTH(T36,2),IF(S36="Trimestral",EOMONTH(T36,3))))</f>
        <v>45291</v>
      </c>
      <c r="W36" s="9" t="s">
        <v>613</v>
      </c>
      <c r="X36" s="9" t="s">
        <v>1035</v>
      </c>
      <c r="Y36" s="9" t="str">
        <f t="shared" ref="Y36" si="21">IF(X36="Brasil","Onshore","Offshore")</f>
        <v>Onshore</v>
      </c>
    </row>
    <row r="37" spans="1:37" s="57" customFormat="1" x14ac:dyDescent="0.25">
      <c r="A37" s="8">
        <v>36</v>
      </c>
      <c r="B37" s="8" t="s">
        <v>1113</v>
      </c>
      <c r="C37" s="2" t="s">
        <v>404</v>
      </c>
      <c r="D37" s="2" t="s">
        <v>35</v>
      </c>
      <c r="E37" s="9">
        <v>45407</v>
      </c>
      <c r="F37" s="9" t="str">
        <f ca="1">IF(C37="Legal",IF(AND(D37="Mensal",INT((YEARFRAC(E37,TODAY()))*12)&lt;1),"OK",IF(AND(D37="Bimestral",INT((YEARFRAC(E37,TODAY()))*12)&lt;2),"OK",IF(AND(D37="Trimestral",INT((YEARFRAC(E37,TODAY()))*12)&lt;3),"OK",IF(AND(D37="Semestral",INT((YEARFRAC(E37,TODAY()))*12)&lt;6),"OK",IF(AND(D37="Anual",INT((YEARFRAC(E37,TODAY()))*12)&lt;12),"OK",IF(AND(D37="5 anos",INT((YEARFRAC(E37,TODAY()))*12)&lt;60),"OK","Pendente")))))))</f>
        <v>Pendente</v>
      </c>
      <c r="G37" s="147">
        <f ca="1">IF(AND(C37="ATA",F37="OK"),"12/31/2500",IF(D37="Mensal",DATE(YEAR(E37),MONTH(E37)+1,DAY(E37)),IF(D37="Bimestral",EOMONTH(E37,2),IF(D37="Trimestral",EOMONTH(E37,3),IF(D37="Semestral",EOMONTH(E37,6),IF(D37="Anual",EOMONTH(E37,12),IF(D37="5 anos",EOMONTH(E37,60),"")))))))</f>
        <v>45504</v>
      </c>
      <c r="H37" s="138"/>
      <c r="I37" s="9" t="s">
        <v>1035</v>
      </c>
      <c r="J37" s="9" t="str">
        <f t="shared" si="4"/>
        <v>Onshore</v>
      </c>
      <c r="P37" s="8">
        <v>36</v>
      </c>
      <c r="Q37" s="8" t="s">
        <v>533</v>
      </c>
      <c r="R37" s="2" t="s">
        <v>534</v>
      </c>
      <c r="S37" s="2" t="s">
        <v>448</v>
      </c>
      <c r="T37" s="9">
        <v>45343</v>
      </c>
      <c r="U37" s="9" t="str">
        <f t="shared" ref="U37:U39" ca="1" si="22">IF(W37="Não teve comitê","OK",IF(W37="Ok","OK", IF(R37="Legal",IF(AND(S37="Mensal",INT((YEARFRAC(T37,TODAY()))*12)&lt;1),"OK",IF(AND(S37="Bimestral",INT((YEARFRAC(T37,TODAY()))*12)&lt;2),"OK",IF(AND(S37="Trimestral",INT((YEARFRAC(T37,TODAY()))*12)&lt;3),"OK",IF(AND(S37="Semestral",INT((YEARFRAC(T37,TODAY()))*12)&lt;6),"OK",IF(AND(S37="Anual",INT((YEARFRAC(T37,TODAY()))*12)&lt;12),"OK",IF(AND(S37="5 anos",INT((YEARFRAC(T37,TODAY()))*12)&lt;60),"OK","Pendente")))))))))</f>
        <v>OK</v>
      </c>
      <c r="V37" s="147">
        <f>IF(S37="Mensal",EOMONTH(T37,1),IF(S37="Bimestral",EOMONTH(T37,2),IF(S37="Trimestral",EOMONTH(T37,3))))</f>
        <v>45382</v>
      </c>
      <c r="W37" s="9" t="s">
        <v>613</v>
      </c>
      <c r="X37" s="9" t="s">
        <v>1035</v>
      </c>
      <c r="Y37" s="9" t="str">
        <f t="shared" ref="Y37:Y39" si="23">IF(X37="Brasil","Onshore","Offshore")</f>
        <v>Onshore</v>
      </c>
    </row>
    <row r="38" spans="1:37" s="57" customFormat="1" x14ac:dyDescent="0.25">
      <c r="A38" s="8">
        <v>37</v>
      </c>
      <c r="B38" s="8" t="s">
        <v>2176</v>
      </c>
      <c r="C38" s="2" t="s">
        <v>404</v>
      </c>
      <c r="D38" s="2" t="s">
        <v>36</v>
      </c>
      <c r="E38" s="9">
        <v>45107</v>
      </c>
      <c r="F38" s="9" t="str">
        <f t="shared" ca="1" si="8"/>
        <v>Pendente</v>
      </c>
      <c r="G38" s="147">
        <f t="shared" ca="1" si="0"/>
        <v>45473</v>
      </c>
      <c r="H38" s="138"/>
      <c r="I38" s="9"/>
      <c r="J38" s="9" t="str">
        <f t="shared" si="4"/>
        <v>Offshore</v>
      </c>
      <c r="P38" s="8">
        <v>37</v>
      </c>
      <c r="Q38" s="8" t="s">
        <v>533</v>
      </c>
      <c r="R38" s="2" t="s">
        <v>534</v>
      </c>
      <c r="S38" s="2" t="s">
        <v>448</v>
      </c>
      <c r="T38" s="9">
        <v>45403</v>
      </c>
      <c r="U38" s="9" t="str">
        <f t="shared" ca="1" si="22"/>
        <v>OK</v>
      </c>
      <c r="V38" s="147">
        <f t="shared" ref="V38:V39" si="24">IF(S38="Mensal",EOMONTH(T38,1),IF(S38="Bimestral",EOMONTH(T38,2),IF(S38="Trimestral",EOMONTH(T38,3))))</f>
        <v>45443</v>
      </c>
      <c r="W38" s="9" t="s">
        <v>613</v>
      </c>
      <c r="X38" s="9" t="s">
        <v>1035</v>
      </c>
      <c r="Y38" s="9" t="str">
        <f t="shared" si="23"/>
        <v>Onshore</v>
      </c>
    </row>
    <row r="39" spans="1:37" s="57" customFormat="1" x14ac:dyDescent="0.25">
      <c r="A39" s="8">
        <v>38</v>
      </c>
      <c r="B39" s="8" t="s">
        <v>1114</v>
      </c>
      <c r="C39" s="2" t="s">
        <v>404</v>
      </c>
      <c r="D39" s="2" t="s">
        <v>35</v>
      </c>
      <c r="E39" s="9">
        <v>45407</v>
      </c>
      <c r="F39" s="9" t="str">
        <f ca="1">IF(C39="Legal",IF(AND(D39="Mensal",INT((YEARFRAC(E39,TODAY()))*12)&lt;1),"OK",IF(AND(D39="Bimestral",INT((YEARFRAC(E39,TODAY()))*12)&lt;2),"OK",IF(AND(D39="Trimestral",INT((YEARFRAC(E39,TODAY()))*12)&lt;3),"OK",IF(AND(D39="Semestral",INT((YEARFRAC(E39,TODAY()))*12)&lt;6),"OK",IF(AND(D39="Anual",INT((YEARFRAC(E39,TODAY()))*12)&lt;12),"OK",IF(AND(D39="5 anos",INT((YEARFRAC(E39,TODAY()))*12)&lt;60),"OK","Pendente")))))))</f>
        <v>Pendente</v>
      </c>
      <c r="G39" s="147">
        <f t="shared" ca="1" si="0"/>
        <v>45504</v>
      </c>
      <c r="H39" s="138" t="s">
        <v>1153</v>
      </c>
      <c r="I39" s="9" t="s">
        <v>1035</v>
      </c>
      <c r="J39" s="9" t="str">
        <f t="shared" si="4"/>
        <v>Onshore</v>
      </c>
      <c r="P39" s="8">
        <v>38</v>
      </c>
      <c r="Q39" s="8" t="s">
        <v>532</v>
      </c>
      <c r="R39" s="2" t="s">
        <v>534</v>
      </c>
      <c r="S39" s="2" t="s">
        <v>448</v>
      </c>
      <c r="T39" s="9">
        <v>45373</v>
      </c>
      <c r="U39" s="9" t="str">
        <f t="shared" ca="1" si="22"/>
        <v>OK</v>
      </c>
      <c r="V39" s="147">
        <f t="shared" si="24"/>
        <v>45412</v>
      </c>
      <c r="W39" s="9" t="s">
        <v>613</v>
      </c>
      <c r="X39" s="9" t="s">
        <v>1035</v>
      </c>
      <c r="Y39" s="9" t="str">
        <f t="shared" si="23"/>
        <v>Onshore</v>
      </c>
    </row>
    <row r="40" spans="1:37" s="57" customFormat="1" x14ac:dyDescent="0.25">
      <c r="A40" s="8">
        <v>39</v>
      </c>
      <c r="B40" s="8" t="s">
        <v>1115</v>
      </c>
      <c r="C40" s="2" t="s">
        <v>404</v>
      </c>
      <c r="D40" s="2" t="s">
        <v>35</v>
      </c>
      <c r="E40" s="9">
        <v>45349</v>
      </c>
      <c r="F40" s="9" t="str">
        <f t="shared" ca="1" si="8"/>
        <v>Pendente</v>
      </c>
      <c r="G40" s="147">
        <f t="shared" ca="1" si="0"/>
        <v>45443</v>
      </c>
      <c r="H40" s="138"/>
      <c r="I40" s="9" t="s">
        <v>1035</v>
      </c>
      <c r="J40" s="9" t="str">
        <f t="shared" si="4"/>
        <v>Onshore</v>
      </c>
      <c r="P40" s="8">
        <v>39</v>
      </c>
      <c r="Q40" s="8" t="s">
        <v>532</v>
      </c>
      <c r="R40" s="2" t="s">
        <v>534</v>
      </c>
      <c r="S40" s="2" t="s">
        <v>448</v>
      </c>
      <c r="T40" s="9">
        <v>45379</v>
      </c>
      <c r="U40" s="9" t="str">
        <f t="shared" ref="U40" ca="1" si="25">IF(W40="Não teve comitê","OK",IF(W40="Ok","OK", IF(R40="Legal",IF(AND(S40="Mensal",INT((YEARFRAC(T40,TODAY()))*12)&lt;1),"OK",IF(AND(S40="Bimestral",INT((YEARFRAC(T40,TODAY()))*12)&lt;2),"OK",IF(AND(S40="Trimestral",INT((YEARFRAC(T40,TODAY()))*12)&lt;3),"OK",IF(AND(S40="Semestral",INT((YEARFRAC(T40,TODAY()))*12)&lt;6),"OK",IF(AND(S40="Anual",INT((YEARFRAC(T40,TODAY()))*12)&lt;12),"OK",IF(AND(S40="5 anos",INT((YEARFRAC(T40,TODAY()))*12)&lt;60),"OK","Pendente")))))))))</f>
        <v>OK</v>
      </c>
      <c r="V40" s="147">
        <f t="shared" ref="V40" si="26">IF(S40="Mensal",EOMONTH(T40,1),IF(S40="Bimestral",EOMONTH(T40,2),IF(S40="Trimestral",EOMONTH(T40,3))))</f>
        <v>45412</v>
      </c>
      <c r="W40" s="9" t="s">
        <v>613</v>
      </c>
      <c r="X40" s="9" t="s">
        <v>1035</v>
      </c>
      <c r="Y40" s="9" t="str">
        <f t="shared" ref="Y40" si="27">IF(X40="Brasil","Onshore","Offshore")</f>
        <v>Onshore</v>
      </c>
    </row>
    <row r="41" spans="1:37" s="57" customFormat="1" x14ac:dyDescent="0.25">
      <c r="A41" s="8">
        <v>40</v>
      </c>
      <c r="B41" s="8" t="s">
        <v>1116</v>
      </c>
      <c r="C41" s="2" t="s">
        <v>404</v>
      </c>
      <c r="D41" s="2" t="s">
        <v>35</v>
      </c>
      <c r="E41" s="9">
        <v>45401</v>
      </c>
      <c r="F41" s="9" t="str">
        <f t="shared" ca="1" si="8"/>
        <v>Pendente</v>
      </c>
      <c r="G41" s="147">
        <f t="shared" ca="1" si="0"/>
        <v>45504</v>
      </c>
      <c r="H41" s="138"/>
      <c r="I41" s="9" t="s">
        <v>1035</v>
      </c>
      <c r="J41" s="9" t="str">
        <f t="shared" si="4"/>
        <v>Onshore</v>
      </c>
      <c r="P41" s="8">
        <v>40</v>
      </c>
      <c r="Q41" s="8" t="s">
        <v>532</v>
      </c>
      <c r="R41" s="2" t="s">
        <v>534</v>
      </c>
      <c r="S41" s="2" t="s">
        <v>448</v>
      </c>
      <c r="T41" s="9">
        <v>45401</v>
      </c>
      <c r="U41" s="9" t="str">
        <f t="shared" ref="U41" ca="1" si="28">IF(W41="Não teve comitê","OK",IF(W41="Ok","OK", IF(R41="Legal",IF(AND(S41="Mensal",INT((YEARFRAC(T41,TODAY()))*12)&lt;1),"OK",IF(AND(S41="Bimestral",INT((YEARFRAC(T41,TODAY()))*12)&lt;2),"OK",IF(AND(S41="Trimestral",INT((YEARFRAC(T41,TODAY()))*12)&lt;3),"OK",IF(AND(S41="Semestral",INT((YEARFRAC(T41,TODAY()))*12)&lt;6),"OK",IF(AND(S41="Anual",INT((YEARFRAC(T41,TODAY()))*12)&lt;12),"OK",IF(AND(S41="5 anos",INT((YEARFRAC(T41,TODAY()))*12)&lt;60),"OK","Pendente")))))))))</f>
        <v>OK</v>
      </c>
      <c r="V41" s="147">
        <f t="shared" ref="V41" si="29">IF(S41="Mensal",EOMONTH(T41,1),IF(S41="Bimestral",EOMONTH(T41,2),IF(S41="Trimestral",EOMONTH(T41,3))))</f>
        <v>45443</v>
      </c>
      <c r="W41" s="9" t="s">
        <v>613</v>
      </c>
      <c r="X41" s="9" t="s">
        <v>1035</v>
      </c>
      <c r="Y41" s="9" t="str">
        <f t="shared" ref="Y41" si="30">IF(X41="Brasil","Onshore","Offshore")</f>
        <v>Onshore</v>
      </c>
    </row>
    <row r="42" spans="1:37" s="57" customFormat="1" x14ac:dyDescent="0.25">
      <c r="A42" s="8">
        <v>41</v>
      </c>
      <c r="B42" s="8" t="s">
        <v>1117</v>
      </c>
      <c r="C42" s="2" t="s">
        <v>404</v>
      </c>
      <c r="D42" s="2" t="s">
        <v>36</v>
      </c>
      <c r="E42" s="9">
        <v>45302</v>
      </c>
      <c r="F42" s="9" t="str">
        <f t="shared" ca="1" si="8"/>
        <v>OK</v>
      </c>
      <c r="G42" s="147">
        <f t="shared" ca="1" si="0"/>
        <v>45688</v>
      </c>
      <c r="H42" s="138"/>
      <c r="I42" s="9" t="s">
        <v>1035</v>
      </c>
      <c r="J42" s="9" t="str">
        <f t="shared" si="4"/>
        <v>Onshore</v>
      </c>
      <c r="P42" s="8">
        <v>41</v>
      </c>
      <c r="Q42" s="8" t="s">
        <v>532</v>
      </c>
      <c r="R42" s="2" t="s">
        <v>534</v>
      </c>
      <c r="S42" s="2" t="s">
        <v>448</v>
      </c>
      <c r="T42" s="9">
        <v>45408</v>
      </c>
      <c r="U42" s="9" t="str">
        <f t="shared" ref="U42" ca="1" si="31">IF(W42="Não teve comitê","OK",IF(W42="Ok","OK", IF(R42="Legal",IF(AND(S42="Mensal",INT((YEARFRAC(T42,TODAY()))*12)&lt;1),"OK",IF(AND(S42="Bimestral",INT((YEARFRAC(T42,TODAY()))*12)&lt;2),"OK",IF(AND(S42="Trimestral",INT((YEARFRAC(T42,TODAY()))*12)&lt;3),"OK",IF(AND(S42="Semestral",INT((YEARFRAC(T42,TODAY()))*12)&lt;6),"OK",IF(AND(S42="Anual",INT((YEARFRAC(T42,TODAY()))*12)&lt;12),"OK",IF(AND(S42="5 anos",INT((YEARFRAC(T42,TODAY()))*12)&lt;60),"OK","Pendente")))))))))</f>
        <v>OK</v>
      </c>
      <c r="V42" s="147">
        <f>IF(S42="Mensal",EOMONTH(T42,1),IF(S42="Bimestral",EOMONTH(T42,2),IF(S42="Trimestral",EOMONTH(T42,3))))</f>
        <v>45443</v>
      </c>
      <c r="W42" s="9" t="s">
        <v>613</v>
      </c>
      <c r="X42" s="9" t="s">
        <v>1035</v>
      </c>
      <c r="Y42" s="9" t="str">
        <f t="shared" ref="Y42" si="32">IF(X42="Brasil","Onshore","Offshore")</f>
        <v>Onshore</v>
      </c>
    </row>
    <row r="43" spans="1:37" s="57" customFormat="1" x14ac:dyDescent="0.25">
      <c r="A43" s="8">
        <v>42</v>
      </c>
      <c r="B43" s="8" t="s">
        <v>1119</v>
      </c>
      <c r="C43" s="2" t="s">
        <v>404</v>
      </c>
      <c r="D43" s="2" t="s">
        <v>37</v>
      </c>
      <c r="E43" s="9">
        <v>45401</v>
      </c>
      <c r="F43" s="9" t="str">
        <f t="shared" ca="1" si="8"/>
        <v>OK</v>
      </c>
      <c r="G43" s="147">
        <f t="shared" ca="1" si="0"/>
        <v>45596</v>
      </c>
      <c r="H43" s="138"/>
      <c r="I43" s="9" t="s">
        <v>1035</v>
      </c>
      <c r="J43" s="9" t="str">
        <f t="shared" si="4"/>
        <v>Onshore</v>
      </c>
      <c r="P43" s="8">
        <v>42</v>
      </c>
      <c r="Q43" s="8" t="s">
        <v>532</v>
      </c>
      <c r="R43" s="2" t="s">
        <v>534</v>
      </c>
      <c r="S43" s="2" t="s">
        <v>448</v>
      </c>
      <c r="T43" s="147">
        <v>45443</v>
      </c>
      <c r="U43" s="9" t="str">
        <f t="shared" ref="U43" ca="1" si="33">IF(W43="Não teve comitê","OK",IF(W43="Ok","OK", IF(R43="Legal",IF(AND(S43="Mensal",INT((YEARFRAC(T43,TODAY()))*12)&lt;1),"OK",IF(AND(S43="Bimestral",INT((YEARFRAC(T43,TODAY()))*12)&lt;2),"OK",IF(AND(S43="Trimestral",INT((YEARFRAC(T43,TODAY()))*12)&lt;3),"OK",IF(AND(S43="Semestral",INT((YEARFRAC(T43,TODAY()))*12)&lt;6),"OK",IF(AND(S43="Anual",INT((YEARFRAC(T43,TODAY()))*12)&lt;12),"OK",IF(AND(S43="5 anos",INT((YEARFRAC(T43,TODAY()))*12)&lt;60),"OK","Pendente")))))))))</f>
        <v>OK</v>
      </c>
      <c r="V43" s="147">
        <f>IF(S43="Mensal",EOMONTH(T43,1),IF(S43="Bimestral",EOMONTH(T43,2),IF(S43="Trimestral",EOMONTH(T43,3))))</f>
        <v>45473</v>
      </c>
      <c r="W43" s="9" t="s">
        <v>613</v>
      </c>
      <c r="X43" s="9" t="s">
        <v>1035</v>
      </c>
      <c r="Y43" s="9" t="str">
        <f t="shared" ref="Y43" si="34">IF(X43="Brasil","Onshore","Offshore")</f>
        <v>Onshore</v>
      </c>
    </row>
    <row r="44" spans="1:37" s="57" customFormat="1" x14ac:dyDescent="0.25">
      <c r="A44" s="8">
        <v>43</v>
      </c>
      <c r="B44" s="8" t="s">
        <v>3785</v>
      </c>
      <c r="C44" s="2" t="s">
        <v>404</v>
      </c>
      <c r="D44" s="2" t="s">
        <v>36</v>
      </c>
      <c r="E44" s="9">
        <v>45383</v>
      </c>
      <c r="F44" s="9" t="str">
        <f t="shared" ca="1" si="8"/>
        <v>OK</v>
      </c>
      <c r="G44" s="147">
        <f t="shared" ca="1" si="0"/>
        <v>45777</v>
      </c>
      <c r="H44" s="138"/>
      <c r="I44" s="9" t="s">
        <v>1035</v>
      </c>
      <c r="J44" s="9" t="str">
        <f t="shared" si="4"/>
        <v>Onshore</v>
      </c>
      <c r="P44" s="8">
        <v>43</v>
      </c>
      <c r="Q44" s="8" t="s">
        <v>532</v>
      </c>
      <c r="R44" s="2" t="s">
        <v>534</v>
      </c>
      <c r="S44" s="2" t="s">
        <v>448</v>
      </c>
      <c r="T44" s="147">
        <v>45464</v>
      </c>
      <c r="U44" s="9" t="str">
        <f t="shared" ref="U44:U45" ca="1" si="35">IF(W44="Não teve comitê","OK",IF(W44="Ok","OK", IF(R44="Legal",IF(AND(S44="Mensal",INT((YEARFRAC(T44,TODAY()))*12)&lt;1),"OK",IF(AND(S44="Bimestral",INT((YEARFRAC(T44,TODAY()))*12)&lt;2),"OK",IF(AND(S44="Trimestral",INT((YEARFRAC(T44,TODAY()))*12)&lt;3),"OK",IF(AND(S44="Semestral",INT((YEARFRAC(T44,TODAY()))*12)&lt;6),"OK",IF(AND(S44="Anual",INT((YEARFRAC(T44,TODAY()))*12)&lt;12),"OK",IF(AND(S44="5 anos",INT((YEARFRAC(T44,TODAY()))*12)&lt;60),"OK","Pendente")))))))))</f>
        <v>OK</v>
      </c>
      <c r="V44" s="147">
        <f>IF(S44="Mensal",EOMONTH(T44,1),IF(S44="Bimestral",EOMONTH(T44,2),IF(S44="Trimestral",EOMONTH(T44,3))))</f>
        <v>45504</v>
      </c>
      <c r="W44" s="9" t="s">
        <v>613</v>
      </c>
      <c r="X44" s="9" t="s">
        <v>1035</v>
      </c>
      <c r="Y44" s="9" t="str">
        <f t="shared" ref="Y44:Y45" si="36">IF(X44="Brasil","Onshore","Offshore")</f>
        <v>Onshore</v>
      </c>
    </row>
    <row r="45" spans="1:37" s="57" customFormat="1" x14ac:dyDescent="0.25">
      <c r="A45" s="8">
        <v>44</v>
      </c>
      <c r="B45" s="8" t="s">
        <v>1121</v>
      </c>
      <c r="C45" s="2" t="s">
        <v>404</v>
      </c>
      <c r="D45" s="2" t="s">
        <v>36</v>
      </c>
      <c r="E45" s="9">
        <v>45301</v>
      </c>
      <c r="F45" s="9" t="str">
        <f t="shared" ca="1" si="8"/>
        <v>OK</v>
      </c>
      <c r="G45" s="147">
        <f t="shared" ca="1" si="0"/>
        <v>45688</v>
      </c>
      <c r="H45" s="138"/>
      <c r="I45" s="9" t="s">
        <v>1035</v>
      </c>
      <c r="J45" s="9" t="str">
        <f t="shared" si="4"/>
        <v>Onshore</v>
      </c>
      <c r="P45" s="8">
        <v>44</v>
      </c>
      <c r="Q45" s="8" t="s">
        <v>532</v>
      </c>
      <c r="R45" s="2" t="s">
        <v>534</v>
      </c>
      <c r="S45" s="2" t="s">
        <v>448</v>
      </c>
      <c r="T45" s="147">
        <v>45471</v>
      </c>
      <c r="U45" s="9" t="str">
        <f t="shared" ca="1" si="35"/>
        <v>OK</v>
      </c>
      <c r="V45" s="147">
        <f>IF(S45="Mensal",EOMONTH(T45,1),IF(S45="Bimestral",EOMONTH(T45,2),IF(S45="Trimestral",EOMONTH(T45,3))))</f>
        <v>45504</v>
      </c>
      <c r="W45" s="9" t="s">
        <v>613</v>
      </c>
      <c r="X45" s="9" t="s">
        <v>1035</v>
      </c>
      <c r="Y45" s="9" t="str">
        <f t="shared" si="36"/>
        <v>Onshore</v>
      </c>
    </row>
    <row r="46" spans="1:37" s="57" customFormat="1" x14ac:dyDescent="0.25">
      <c r="A46" s="8">
        <v>45</v>
      </c>
      <c r="B46" s="8" t="s">
        <v>1122</v>
      </c>
      <c r="C46" s="2" t="s">
        <v>404</v>
      </c>
      <c r="D46" s="2" t="s">
        <v>36</v>
      </c>
      <c r="E46" s="9">
        <v>45370</v>
      </c>
      <c r="F46" s="9" t="str">
        <f t="shared" ca="1" si="8"/>
        <v>OK</v>
      </c>
      <c r="G46" s="147">
        <f t="shared" ca="1" si="0"/>
        <v>45747</v>
      </c>
      <c r="H46" s="138"/>
      <c r="I46" s="9" t="s">
        <v>1035</v>
      </c>
      <c r="J46" s="9" t="str">
        <f t="shared" si="4"/>
        <v>Onshore</v>
      </c>
      <c r="AA46" s="140"/>
      <c r="AB46" s="140"/>
      <c r="AK46" s="139"/>
    </row>
    <row r="47" spans="1:37" s="57" customFormat="1" x14ac:dyDescent="0.25">
      <c r="A47" s="8">
        <v>46</v>
      </c>
      <c r="B47" s="8" t="s">
        <v>2524</v>
      </c>
      <c r="C47" s="2" t="s">
        <v>404</v>
      </c>
      <c r="D47" s="2" t="s">
        <v>36</v>
      </c>
      <c r="E47" s="9">
        <v>45343</v>
      </c>
      <c r="F47" s="9" t="str">
        <f t="shared" ca="1" si="8"/>
        <v>OK</v>
      </c>
      <c r="G47" s="147">
        <f t="shared" ca="1" si="0"/>
        <v>45716</v>
      </c>
      <c r="H47" s="138"/>
      <c r="I47" s="9" t="s">
        <v>1035</v>
      </c>
      <c r="J47" s="9" t="str">
        <f t="shared" si="4"/>
        <v>Onshore</v>
      </c>
      <c r="AA47" s="140"/>
      <c r="AB47" s="140"/>
      <c r="AK47" s="139"/>
    </row>
    <row r="48" spans="1:37" s="57" customFormat="1" x14ac:dyDescent="0.25">
      <c r="A48" s="8">
        <v>47</v>
      </c>
      <c r="B48" s="8" t="s">
        <v>1124</v>
      </c>
      <c r="C48" s="2" t="s">
        <v>404</v>
      </c>
      <c r="D48" s="2" t="s">
        <v>36</v>
      </c>
      <c r="E48" s="9">
        <v>45306</v>
      </c>
      <c r="F48" s="9" t="str">
        <f t="shared" ca="1" si="8"/>
        <v>OK</v>
      </c>
      <c r="G48" s="147">
        <f t="shared" ca="1" si="0"/>
        <v>45688</v>
      </c>
      <c r="H48" s="138" t="s">
        <v>2525</v>
      </c>
      <c r="I48" s="9" t="s">
        <v>1125</v>
      </c>
      <c r="J48" s="9" t="str">
        <f t="shared" si="4"/>
        <v>Offshore</v>
      </c>
      <c r="AA48" s="140"/>
      <c r="AB48" s="140"/>
      <c r="AK48" s="139"/>
    </row>
    <row r="49" spans="1:37" s="57" customFormat="1" x14ac:dyDescent="0.25">
      <c r="A49" s="8">
        <v>48</v>
      </c>
      <c r="B49" s="8" t="s">
        <v>1126</v>
      </c>
      <c r="C49" s="2" t="s">
        <v>404</v>
      </c>
      <c r="D49" s="2" t="s">
        <v>36</v>
      </c>
      <c r="E49" s="9">
        <v>45306</v>
      </c>
      <c r="F49" s="9" t="str">
        <f ca="1">IF(C49="Legal",IF(AND(D49="Mensal",INT((YEARFRAC(E49,TODAY()))*12)&lt;1),"OK",IF(AND(D49="Bimestral",INT((YEARFRAC(E49,TODAY()))*12)&lt;2),"OK",IF(AND(D49="Trimestral",INT((YEARFRAC(E49,TODAY()))*12)&lt;3),"OK",IF(AND(D49="Semestral",INT((YEARFRAC(E49,TODAY()))*12)&lt;6),"OK",IF(AND(D49="Anual",INT((YEARFRAC(E49,TODAY()))*12)&lt;12),"OK",IF(AND(D49="5 anos",INT((YEARFRAC(E49,TODAY()))*12)&lt;60),"OK","Pendente")))))))</f>
        <v>OK</v>
      </c>
      <c r="G49" s="147">
        <f t="shared" ca="1" si="0"/>
        <v>45688</v>
      </c>
      <c r="H49" s="138" t="s">
        <v>2525</v>
      </c>
      <c r="I49" s="9" t="s">
        <v>1125</v>
      </c>
      <c r="J49" s="9" t="str">
        <f t="shared" si="4"/>
        <v>Offshore</v>
      </c>
      <c r="K49" s="141"/>
      <c r="U49" s="139"/>
      <c r="V49" s="139"/>
      <c r="W49" s="139"/>
      <c r="AA49" s="140"/>
      <c r="AB49" s="140"/>
      <c r="AK49" s="139"/>
    </row>
    <row r="50" spans="1:37" s="57" customFormat="1" x14ac:dyDescent="0.25">
      <c r="A50" s="8">
        <v>49</v>
      </c>
      <c r="B50" s="8" t="s">
        <v>1127</v>
      </c>
      <c r="C50" s="2" t="s">
        <v>404</v>
      </c>
      <c r="D50" s="2" t="s">
        <v>36</v>
      </c>
      <c r="E50" s="9">
        <v>45306</v>
      </c>
      <c r="F50" s="9" t="str">
        <f t="shared" ca="1" si="8"/>
        <v>OK</v>
      </c>
      <c r="G50" s="147">
        <f t="shared" ca="1" si="0"/>
        <v>45688</v>
      </c>
      <c r="H50" s="138" t="s">
        <v>2525</v>
      </c>
      <c r="I50" s="9" t="s">
        <v>1125</v>
      </c>
      <c r="J50" s="9" t="str">
        <f t="shared" si="4"/>
        <v>Offshore</v>
      </c>
      <c r="K50" s="141"/>
      <c r="U50" s="139"/>
      <c r="V50" s="139"/>
      <c r="W50" s="139"/>
      <c r="AA50" s="140"/>
      <c r="AB50" s="140"/>
      <c r="AK50" s="139"/>
    </row>
    <row r="51" spans="1:37" s="57" customFormat="1" x14ac:dyDescent="0.25">
      <c r="A51" s="8">
        <v>50</v>
      </c>
      <c r="B51" s="8" t="s">
        <v>1128</v>
      </c>
      <c r="C51" s="2" t="s">
        <v>404</v>
      </c>
      <c r="D51" s="2" t="s">
        <v>36</v>
      </c>
      <c r="E51" s="9">
        <v>45393</v>
      </c>
      <c r="F51" s="9" t="str">
        <f t="shared" ca="1" si="8"/>
        <v>OK</v>
      </c>
      <c r="G51" s="147">
        <f ca="1">IF(AND(C51="ATA",F51="OK"),"12/31/2500",IF(D51="Mensal",DATE(YEAR(E51),MONTH(E51)+1,DAY(E51)),IF(D51="Bimestral",EOMONTH(E51,2),IF(D51="Trimestral",EOMONTH(E51,3),IF(D51="Semestral",EOMONTH(E51,6),IF(D51="Anual",EOMONTH(E51,12),IF(D51="5 anos",EOMONTH(E51,60),"")))))))</f>
        <v>45777</v>
      </c>
      <c r="H51" s="138" t="s">
        <v>3736</v>
      </c>
      <c r="I51" s="9" t="s">
        <v>1125</v>
      </c>
      <c r="J51" s="9" t="str">
        <f t="shared" si="4"/>
        <v>Offshore</v>
      </c>
      <c r="K51" s="141"/>
      <c r="U51" s="139"/>
      <c r="V51" s="139"/>
      <c r="W51" s="139"/>
      <c r="AA51" s="140"/>
      <c r="AB51" s="140"/>
      <c r="AK51" s="139"/>
    </row>
    <row r="52" spans="1:37" s="57" customFormat="1" x14ac:dyDescent="0.25">
      <c r="A52" s="8">
        <v>51</v>
      </c>
      <c r="B52" s="8" t="s">
        <v>1129</v>
      </c>
      <c r="C52" s="2" t="s">
        <v>404</v>
      </c>
      <c r="D52" s="2" t="s">
        <v>36</v>
      </c>
      <c r="E52" s="9">
        <v>45393</v>
      </c>
      <c r="F52" s="9" t="str">
        <f t="shared" ca="1" si="8"/>
        <v>OK</v>
      </c>
      <c r="G52" s="147">
        <f t="shared" ca="1" si="0"/>
        <v>45777</v>
      </c>
      <c r="H52" s="254" t="s">
        <v>3799</v>
      </c>
      <c r="I52" s="9" t="s">
        <v>1125</v>
      </c>
      <c r="J52" s="9" t="str">
        <f t="shared" si="4"/>
        <v>Offshore</v>
      </c>
      <c r="K52" s="141"/>
      <c r="U52" s="139"/>
      <c r="V52" s="139"/>
      <c r="W52" s="139"/>
      <c r="AA52" s="140"/>
      <c r="AB52" s="140"/>
      <c r="AK52" s="139"/>
    </row>
    <row r="53" spans="1:37" s="57" customFormat="1" x14ac:dyDescent="0.25">
      <c r="A53" s="8">
        <v>52</v>
      </c>
      <c r="B53" s="8" t="s">
        <v>1131</v>
      </c>
      <c r="C53" s="2" t="s">
        <v>404</v>
      </c>
      <c r="D53" s="2" t="s">
        <v>36</v>
      </c>
      <c r="E53" s="9">
        <v>45133</v>
      </c>
      <c r="F53" s="9" t="str">
        <f t="shared" ca="1" si="8"/>
        <v>Pendente</v>
      </c>
      <c r="G53" s="147">
        <f t="shared" ca="1" si="0"/>
        <v>45504</v>
      </c>
      <c r="H53" s="138"/>
      <c r="I53" s="9" t="s">
        <v>1125</v>
      </c>
      <c r="J53" s="9" t="str">
        <f t="shared" si="4"/>
        <v>Offshore</v>
      </c>
      <c r="U53" s="139"/>
      <c r="V53" s="139"/>
      <c r="W53" s="139"/>
    </row>
    <row r="54" spans="1:37" s="57" customFormat="1" x14ac:dyDescent="0.25">
      <c r="A54" s="8">
        <v>53</v>
      </c>
      <c r="B54" s="8" t="s">
        <v>1132</v>
      </c>
      <c r="C54" s="2" t="s">
        <v>404</v>
      </c>
      <c r="D54" s="2" t="s">
        <v>36</v>
      </c>
      <c r="E54" s="9">
        <v>45077</v>
      </c>
      <c r="F54" s="9" t="str">
        <f t="shared" ca="1" si="8"/>
        <v>Pendente</v>
      </c>
      <c r="G54" s="147">
        <f t="shared" ca="1" si="0"/>
        <v>45443</v>
      </c>
      <c r="H54" s="138" t="s">
        <v>2525</v>
      </c>
      <c r="I54" s="9" t="s">
        <v>1125</v>
      </c>
      <c r="J54" s="9" t="str">
        <f t="shared" si="4"/>
        <v>Offshore</v>
      </c>
      <c r="U54" s="139"/>
      <c r="V54" s="139"/>
      <c r="W54" s="139"/>
    </row>
    <row r="55" spans="1:37" x14ac:dyDescent="0.25">
      <c r="A55" s="8">
        <v>54</v>
      </c>
      <c r="B55" s="8" t="s">
        <v>1133</v>
      </c>
      <c r="C55" s="2" t="s">
        <v>404</v>
      </c>
      <c r="D55" s="2" t="s">
        <v>36</v>
      </c>
      <c r="E55" s="9">
        <v>45350</v>
      </c>
      <c r="F55" s="9" t="str">
        <f t="shared" ca="1" si="8"/>
        <v>OK</v>
      </c>
      <c r="G55" s="147">
        <f t="shared" ca="1" si="0"/>
        <v>45716</v>
      </c>
      <c r="H55" s="138"/>
      <c r="I55" s="9" t="s">
        <v>1125</v>
      </c>
      <c r="J55" s="9" t="str">
        <f t="shared" si="4"/>
        <v>Offshore</v>
      </c>
      <c r="P55" s="57"/>
      <c r="Q55" s="57"/>
      <c r="R55" s="57"/>
      <c r="S55" s="57"/>
      <c r="T55" s="57"/>
      <c r="U55" s="139"/>
      <c r="V55" s="139"/>
      <c r="W55" s="139"/>
      <c r="X55" s="57"/>
      <c r="Y55" s="57"/>
      <c r="Z55" s="57"/>
    </row>
    <row r="56" spans="1:37" x14ac:dyDescent="0.25">
      <c r="A56" s="8">
        <v>55</v>
      </c>
      <c r="B56" s="8" t="s">
        <v>1134</v>
      </c>
      <c r="C56" s="2" t="s">
        <v>404</v>
      </c>
      <c r="D56" s="2" t="s">
        <v>35</v>
      </c>
      <c r="E56" s="9">
        <v>45343</v>
      </c>
      <c r="F56" s="9" t="str">
        <f t="shared" ca="1" si="8"/>
        <v>Pendente</v>
      </c>
      <c r="G56" s="147">
        <f t="shared" ca="1" si="0"/>
        <v>45443</v>
      </c>
      <c r="H56" s="138" t="s">
        <v>3594</v>
      </c>
      <c r="I56" s="9" t="s">
        <v>1135</v>
      </c>
      <c r="J56" s="9" t="str">
        <f t="shared" si="4"/>
        <v>Offshore</v>
      </c>
      <c r="P56" s="57"/>
      <c r="Q56" s="57"/>
      <c r="R56" s="57"/>
      <c r="S56" s="57"/>
      <c r="T56" s="57"/>
      <c r="U56" s="57"/>
      <c r="V56" s="57"/>
      <c r="W56" s="57"/>
    </row>
    <row r="57" spans="1:37" x14ac:dyDescent="0.25">
      <c r="A57" s="8">
        <v>56</v>
      </c>
      <c r="B57" s="8" t="s">
        <v>1136</v>
      </c>
      <c r="C57" s="2" t="s">
        <v>404</v>
      </c>
      <c r="D57" s="2" t="s">
        <v>36</v>
      </c>
      <c r="E57" s="9">
        <v>45343</v>
      </c>
      <c r="F57" s="9" t="str">
        <f t="shared" ca="1" si="8"/>
        <v>OK</v>
      </c>
      <c r="G57" s="147">
        <f t="shared" ca="1" si="0"/>
        <v>45716</v>
      </c>
      <c r="H57" s="138" t="s">
        <v>3593</v>
      </c>
      <c r="I57" s="9" t="s">
        <v>1135</v>
      </c>
      <c r="J57" s="9" t="str">
        <f t="shared" si="4"/>
        <v>Offshore</v>
      </c>
    </row>
    <row r="58" spans="1:37" x14ac:dyDescent="0.25">
      <c r="A58" s="8">
        <v>57</v>
      </c>
      <c r="B58" s="8" t="s">
        <v>1137</v>
      </c>
      <c r="C58" s="2" t="s">
        <v>404</v>
      </c>
      <c r="D58" s="2" t="s">
        <v>37</v>
      </c>
      <c r="E58" s="9">
        <v>45267</v>
      </c>
      <c r="F58" s="9" t="str">
        <f ca="1">IF(C58="Legal",IF(AND(D58="Mensal",INT((YEARFRAC(E58,TODAY()))*12)&lt;1),"OK",IF(AND(D58="Bimestral",INT((YEARFRAC(E58,TODAY()))*12)&lt;2),"OK",IF(AND(D58="Trimestral",INT((YEARFRAC(E58,TODAY()))*12)&lt;3),"OK",IF(AND(D58="Semestral",INT((YEARFRAC(E58,TODAY()))*12)&lt;6),"OK",IF(AND(D58="Anual",INT((YEARFRAC(E58,TODAY()))*12)&lt;12),"OK",IF(AND(D58="5 anos",INT((YEARFRAC(E58,TODAY()))*12)&lt;60),"OK","Pendente")))))))</f>
        <v>Pendente</v>
      </c>
      <c r="G58" s="147">
        <f t="shared" ca="1" si="0"/>
        <v>45473</v>
      </c>
      <c r="H58" s="254" t="s">
        <v>3798</v>
      </c>
      <c r="I58" s="9" t="s">
        <v>1035</v>
      </c>
      <c r="J58" s="9" t="str">
        <f t="shared" si="4"/>
        <v>Onshore</v>
      </c>
    </row>
    <row r="59" spans="1:37" x14ac:dyDescent="0.25">
      <c r="A59" s="8">
        <v>58</v>
      </c>
      <c r="B59" s="8" t="s">
        <v>1138</v>
      </c>
      <c r="C59" s="2" t="s">
        <v>404</v>
      </c>
      <c r="D59" s="2" t="s">
        <v>36</v>
      </c>
      <c r="E59" s="9">
        <v>45306</v>
      </c>
      <c r="F59" s="9" t="str">
        <f ca="1">IF(C59="Legal",IF(AND(D59="Mensal",INT((YEARFRAC(E59,TODAY()))*12)&lt;1),"OK",IF(AND(D59="Bimestral",INT((YEARFRAC(E59,TODAY()))*12)&lt;2),"OK",IF(AND(D59="Trimestral",INT((YEARFRAC(E59,TODAY()))*12)&lt;3),"OK",IF(AND(D59="Semestral",INT((YEARFRAC(E59,TODAY()))*12)&lt;6),"OK",IF(AND(D59="Anual",INT((YEARFRAC(E59,TODAY()))*12)&lt;12),"OK",IF(AND(D59="5 anos",INT((YEARFRAC(E59,TODAY()))*12)&lt;60),"OK","Pendente")))))))</f>
        <v>OK</v>
      </c>
      <c r="G59" s="147">
        <f t="shared" ca="1" si="0"/>
        <v>45688</v>
      </c>
      <c r="H59" s="138" t="s">
        <v>2526</v>
      </c>
      <c r="I59" s="9" t="s">
        <v>1125</v>
      </c>
      <c r="J59" s="9" t="str">
        <f t="shared" si="4"/>
        <v>Offshore</v>
      </c>
    </row>
    <row r="60" spans="1:37" x14ac:dyDescent="0.25">
      <c r="A60" s="8">
        <v>59</v>
      </c>
      <c r="B60" s="8" t="s">
        <v>1139</v>
      </c>
      <c r="C60" s="2" t="s">
        <v>404</v>
      </c>
      <c r="D60" s="2" t="s">
        <v>37</v>
      </c>
      <c r="E60" s="9">
        <v>45267</v>
      </c>
      <c r="F60" s="9" t="str">
        <f ca="1">IF(C60="Legal",IF(AND(D60="Mensal",INT((YEARFRAC(E60,TODAY()))*12)&lt;1),"OK",IF(AND(D60="Bimestral",INT((YEARFRAC(E60,TODAY()))*12)&lt;2),"OK",IF(AND(D60="Trimestral",INT((YEARFRAC(E60,TODAY()))*12)&lt;3),"OK",IF(AND(D60="Semestral",INT((YEARFRAC(E60,TODAY()))*12)&lt;6),"OK",IF(AND(D60="Anual",INT((YEARFRAC(E60,TODAY()))*12)&lt;12),"OK",IF(AND(D60="5 anos",INT((YEARFRAC(E60,TODAY()))*12)&lt;60),"OK","Pendente")))))))</f>
        <v>Pendente</v>
      </c>
      <c r="G60" s="147">
        <f t="shared" ca="1" si="0"/>
        <v>45473</v>
      </c>
      <c r="H60" s="254"/>
      <c r="I60" s="9" t="s">
        <v>1035</v>
      </c>
      <c r="J60" s="9" t="str">
        <f t="shared" si="4"/>
        <v>Onshore</v>
      </c>
    </row>
    <row r="61" spans="1:37" x14ac:dyDescent="0.25">
      <c r="A61" s="8">
        <v>60</v>
      </c>
      <c r="B61" s="8" t="s">
        <v>1140</v>
      </c>
      <c r="C61" s="2" t="s">
        <v>404</v>
      </c>
      <c r="D61" s="2" t="s">
        <v>37</v>
      </c>
      <c r="E61" s="9">
        <v>45289</v>
      </c>
      <c r="F61" s="9" t="str">
        <f t="shared" ca="1" si="8"/>
        <v>Pendente</v>
      </c>
      <c r="G61" s="147">
        <f t="shared" ca="1" si="0"/>
        <v>45473</v>
      </c>
      <c r="H61" s="138" t="s">
        <v>939</v>
      </c>
      <c r="I61" s="9" t="s">
        <v>1125</v>
      </c>
      <c r="J61" s="9" t="str">
        <f t="shared" si="4"/>
        <v>Offshore</v>
      </c>
    </row>
    <row r="62" spans="1:37" x14ac:dyDescent="0.25">
      <c r="A62" s="8">
        <v>61</v>
      </c>
      <c r="B62" s="8" t="s">
        <v>2523</v>
      </c>
      <c r="C62" s="2" t="s">
        <v>404</v>
      </c>
      <c r="D62" s="2" t="s">
        <v>36</v>
      </c>
      <c r="E62" s="9">
        <v>45274</v>
      </c>
      <c r="F62" s="9" t="str">
        <f t="shared" ca="1" si="8"/>
        <v>OK</v>
      </c>
      <c r="G62" s="147">
        <f t="shared" ca="1" si="0"/>
        <v>45657</v>
      </c>
      <c r="H62" s="138" t="s">
        <v>2525</v>
      </c>
      <c r="I62" s="146" t="s">
        <v>1125</v>
      </c>
      <c r="J62" s="9" t="str">
        <f t="shared" si="4"/>
        <v>Offshore</v>
      </c>
    </row>
    <row r="63" spans="1:37" x14ac:dyDescent="0.25">
      <c r="A63" s="8">
        <v>62</v>
      </c>
      <c r="B63" s="8" t="s">
        <v>1143</v>
      </c>
      <c r="C63" s="2" t="s">
        <v>404</v>
      </c>
      <c r="D63" s="2" t="s">
        <v>36</v>
      </c>
      <c r="E63" s="9">
        <v>45107</v>
      </c>
      <c r="F63" s="9" t="str">
        <f ca="1">IF(C63="Legal",IF(AND(D63="Mensal",INT((YEARFRAC(E63,TODAY()))*12)&lt;1),"OK",IF(AND(D63="Bimestral",INT((YEARFRAC(E63,TODAY()))*12)&lt;2),"OK",IF(AND(D63="Trimestral",INT((YEARFRAC(E63,TODAY()))*12)&lt;3),"OK",IF(AND(D63="Semestral",INT((YEARFRAC(E63,TODAY()))*12)&lt;6),"OK",IF(AND(D63="Anual",INT((YEARFRAC(E63,TODAY()))*12)&lt;12),"OK",IF(AND(D63="5 anos",INT((YEARFRAC(E63,TODAY()))*12)&lt;60),"OK","Pendente")))))))</f>
        <v>Pendente</v>
      </c>
      <c r="G63" s="147">
        <f ca="1">IF(AND(C63="ATA",F63="OK"),"12/31/2500",IF(D63="Mensal",DATE(YEAR(E63),MONTH(E63)+1,DAY(E63)),IF(D63="Bimestral",EOMONTH(E63,2),IF(D63="Trimestral",EOMONTH(E63,3),IF(D63="Semestral",EOMONTH(E63,6),IF(D63="Anual",EOMONTH(E63,12),IF(D63="5 anos",EOMONTH(E63,60),"")))))))</f>
        <v>45473</v>
      </c>
      <c r="H63" s="138" t="s">
        <v>3735</v>
      </c>
      <c r="I63" s="9" t="s">
        <v>1125</v>
      </c>
      <c r="J63" s="9" t="str">
        <f t="shared" si="4"/>
        <v>Offshore</v>
      </c>
    </row>
    <row r="64" spans="1:37" x14ac:dyDescent="0.25">
      <c r="A64" s="8">
        <v>63</v>
      </c>
      <c r="B64" s="8" t="s">
        <v>1144</v>
      </c>
      <c r="C64" s="2" t="s">
        <v>404</v>
      </c>
      <c r="D64" s="2" t="s">
        <v>36</v>
      </c>
      <c r="E64" s="9">
        <v>45119</v>
      </c>
      <c r="F64" s="9" t="str">
        <f t="shared" ca="1" si="8"/>
        <v>Pendente</v>
      </c>
      <c r="G64" s="147">
        <f t="shared" ref="G64:G68" ca="1" si="37">IF(AND(C64="ATA",F64="OK"),"12/31/2500",IF(D64="Mensal",DATE(YEAR(E64),MONTH(E64)+1,DAY(E64)),IF(D64="Bimestral",EOMONTH(E64,2),IF(D64="Trimestral",EOMONTH(E64,3),IF(D64="Semestral",EOMONTH(E64,6),IF(D64="Anual",EOMONTH(E64,12),IF(D64="5 anos",EOMONTH(E64,60),"")))))))</f>
        <v>45504</v>
      </c>
      <c r="H64" s="138"/>
      <c r="I64" s="9" t="s">
        <v>1125</v>
      </c>
      <c r="J64" s="9" t="str">
        <f t="shared" si="4"/>
        <v>Offshore</v>
      </c>
    </row>
    <row r="65" spans="1:10" x14ac:dyDescent="0.25">
      <c r="A65" s="8">
        <v>64</v>
      </c>
      <c r="B65" s="8" t="s">
        <v>1145</v>
      </c>
      <c r="C65" s="2" t="s">
        <v>404</v>
      </c>
      <c r="D65" s="2" t="s">
        <v>37</v>
      </c>
      <c r="E65" s="9">
        <v>45313</v>
      </c>
      <c r="F65" s="9" t="str">
        <f t="shared" ca="1" si="8"/>
        <v>Pendente</v>
      </c>
      <c r="G65" s="147">
        <f t="shared" ca="1" si="37"/>
        <v>45504</v>
      </c>
      <c r="H65" s="138" t="s">
        <v>2548</v>
      </c>
      <c r="I65" s="9" t="s">
        <v>1035</v>
      </c>
      <c r="J65" s="9" t="str">
        <f t="shared" si="4"/>
        <v>Onshore</v>
      </c>
    </row>
    <row r="66" spans="1:10" x14ac:dyDescent="0.25">
      <c r="A66" s="8">
        <v>65</v>
      </c>
      <c r="B66" s="8" t="s">
        <v>2011</v>
      </c>
      <c r="C66" s="2" t="s">
        <v>404</v>
      </c>
      <c r="D66" s="2" t="s">
        <v>36</v>
      </c>
      <c r="E66" s="9">
        <v>45169</v>
      </c>
      <c r="F66" s="9" t="str">
        <f t="shared" ca="1" si="8"/>
        <v>OK</v>
      </c>
      <c r="G66" s="147">
        <f t="shared" ca="1" si="37"/>
        <v>45535</v>
      </c>
      <c r="H66" s="138"/>
      <c r="I66" s="9" t="s">
        <v>1035</v>
      </c>
      <c r="J66" s="9" t="str">
        <f t="shared" si="4"/>
        <v>Onshore</v>
      </c>
    </row>
    <row r="67" spans="1:10" x14ac:dyDescent="0.25">
      <c r="A67" s="8">
        <v>66</v>
      </c>
      <c r="B67" s="8" t="s">
        <v>3592</v>
      </c>
      <c r="C67" s="2" t="s">
        <v>404</v>
      </c>
      <c r="D67" s="2" t="s">
        <v>448</v>
      </c>
      <c r="E67" s="9">
        <v>45402</v>
      </c>
      <c r="F67" s="9" t="str">
        <f ca="1">IF(C67="Legal",IF(AND(D67="Mensal",INT((YEARFRAC(E67,TODAY()))*12)&lt;1),"OK",IF(AND(D67="Bimestral",INT((YEARFRAC(E67,TODAY()))*12)&lt;2),"OK",IF(AND(D67="Trimestral",INT((YEARFRAC(E67,TODAY()))*12)&lt;3),"OK",IF(AND(D67="Semestral",INT((YEARFRAC(E67,TODAY()))*12)&lt;6),"OK",IF(AND(D67="Anual",INT((YEARFRAC(E67,TODAY()))*12)&lt;12),"OK",IF(AND(D67="5 anos",INT((YEARFRAC(E67,TODAY()))*12)&lt;60),"OK","Pendente")))))))</f>
        <v>Pendente</v>
      </c>
      <c r="G67" s="147">
        <f ca="1">IF(AND(C67="ATA",F67="OK"),"12/31/2500",IF(D67="Mensal",DATE(YEAR(E67),MONTH(E67)+1,DAY(E67)),IF(D67="Bimestral",EOMONTH(E67,2),IF(D67="Trimestral",EOMONTH(E67,3),IF(D67="Semestral",EOMONTH(E67,6),IF(D67="Anual",EOMONTH(E67,12),IF(D67="5 anos",EOMONTH(E67,60),"")))))))</f>
        <v>45432</v>
      </c>
      <c r="H67" s="138"/>
      <c r="I67" s="9" t="s">
        <v>1035</v>
      </c>
      <c r="J67" s="9" t="str">
        <f t="shared" ref="J67:J76" si="38">IF(I67="Brasil","Onshore","Offshore")</f>
        <v>Onshore</v>
      </c>
    </row>
    <row r="68" spans="1:10" x14ac:dyDescent="0.25">
      <c r="A68" s="8">
        <v>67</v>
      </c>
      <c r="B68" s="8" t="s">
        <v>3865</v>
      </c>
      <c r="C68" s="2" t="s">
        <v>404</v>
      </c>
      <c r="D68" s="2" t="s">
        <v>448</v>
      </c>
      <c r="E68" s="9">
        <v>45417</v>
      </c>
      <c r="F68" s="9" t="str">
        <f ca="1">IF(C68="Legal",IF(AND(D68="Mensal",INT((YEARFRAC(E68,TODAY()))*12)&lt;1),"OK",IF(AND(D68="Bimestral",INT((YEARFRAC(E68,TODAY()))*12)&lt;2),"OK",IF(AND(D68="Trimestral",INT((YEARFRAC(E68,TODAY()))*12)&lt;3),"OK",IF(AND(D68="Semestral",INT((YEARFRAC(E68,TODAY()))*12)&lt;6),"OK",IF(AND(D68="Anual",INT((YEARFRAC(E68,TODAY()))*12)&lt;12),"OK",IF(AND(D68="5 anos",INT((YEARFRAC(E68,TODAY()))*12)&lt;60),"OK","Pendente")))))))</f>
        <v>Pendente</v>
      </c>
      <c r="G68" s="147">
        <f t="shared" ca="1" si="37"/>
        <v>45448</v>
      </c>
      <c r="H68" s="138"/>
      <c r="I68" s="9" t="s">
        <v>1035</v>
      </c>
      <c r="J68" s="9" t="str">
        <f t="shared" si="38"/>
        <v>Onshore</v>
      </c>
    </row>
    <row r="69" spans="1:10" x14ac:dyDescent="0.25">
      <c r="A69" s="8">
        <v>68</v>
      </c>
      <c r="B69" s="8" t="s">
        <v>3728</v>
      </c>
      <c r="C69" s="2" t="s">
        <v>404</v>
      </c>
      <c r="D69" s="2" t="s">
        <v>448</v>
      </c>
      <c r="E69" s="9">
        <v>45417</v>
      </c>
      <c r="F69" s="9" t="str">
        <f ca="1">IF(C69="Legal",IF(AND(D69="Mensal",INT((YEARFRAC(E69,TODAY()))*12)&lt;1),"OK",IF(AND(D69="Bimestral",INT((YEARFRAC(E69,TODAY()))*12)&lt;2),"OK",IF(AND(D69="Trimestral",INT((YEARFRAC(E69,TODAY()))*12)&lt;3),"OK",IF(AND(D69="Semestral",INT((YEARFRAC(E69,TODAY()))*12)&lt;6),"OK",IF(AND(D69="Anual",INT((YEARFRAC(E69,TODAY()))*12)&lt;12),"OK",IF(AND(D69="5 anos",INT((YEARFRAC(E69,TODAY()))*12)&lt;60),"OK","Pendente")))))))</f>
        <v>Pendente</v>
      </c>
      <c r="G69" s="147">
        <f ca="1">IF(AND(C69="ATA",F69="OK"),"12/31/2500",IF(D69="Mensal",DATE(YEAR(E69),MONTH(E69)+1,DAY(E69)),IF(D69="Bimestral",EOMONTH(E69,2),IF(D69="Trimestral",EOMONTH(E69,3),IF(D69="Semestral",EOMONTH(E69,6),IF(D69="Anual",EOMONTH(E69,12),IF(D69="5 anos",EOMONTH(E69,60),"")))))))</f>
        <v>45448</v>
      </c>
      <c r="H69" s="138"/>
      <c r="I69" s="9" t="s">
        <v>1035</v>
      </c>
      <c r="J69" s="9" t="str">
        <f t="shared" si="38"/>
        <v>Onshore</v>
      </c>
    </row>
    <row r="70" spans="1:10" x14ac:dyDescent="0.25">
      <c r="A70" s="8">
        <v>69</v>
      </c>
      <c r="B70" s="8" t="s">
        <v>3729</v>
      </c>
      <c r="C70" s="2" t="s">
        <v>404</v>
      </c>
      <c r="D70" s="2" t="s">
        <v>36</v>
      </c>
      <c r="E70" s="9">
        <v>45387</v>
      </c>
      <c r="F70" s="9" t="str">
        <f ca="1">IF(C70="Legal",IF(AND(D70="Mensal",INT((YEARFRAC(E70,TODAY()))*12)&lt;1),"OK",IF(AND(D70="Bimestral",INT((YEARFRAC(E70,TODAY()))*12)&lt;2),"OK",IF(AND(D70="Trimestral",INT((YEARFRAC(E70,TODAY()))*12)&lt;3),"OK",IF(AND(D70="Semestral",INT((YEARFRAC(E70,TODAY()))*12)&lt;6),"OK",IF(AND(D70="Anual",INT((YEARFRAC(E70,TODAY()))*12)&lt;12),"OK",IF(AND(D70="5 anos",INT((YEARFRAC(E70,TODAY()))*12)&lt;60),"OK","Pendente")))))))</f>
        <v>OK</v>
      </c>
      <c r="G70" s="147">
        <f ca="1">IF(AND(C70="ATA",F70="OK"),"12/31/2500",IF(D70="Mensal",DATE(YEAR(E70),MONTH(E70)+1,DAY(E70)),IF(D70="Bimestral",EOMONTH(E70,2),IF(D70="Trimestral",EOMONTH(E70,3),IF(D70="Semestral",EOMONTH(E70,6),IF(D70="Anual",EOMONTH(E70,12),IF(D70="5 anos",EOMONTH(E70,60),"")))))))</f>
        <v>45777</v>
      </c>
      <c r="H70" s="138" t="s">
        <v>3734</v>
      </c>
      <c r="I70" s="9" t="s">
        <v>1035</v>
      </c>
      <c r="J70" s="9" t="str">
        <f t="shared" si="38"/>
        <v>Onshore</v>
      </c>
    </row>
    <row r="71" spans="1:10" x14ac:dyDescent="0.25">
      <c r="A71" s="8">
        <v>70</v>
      </c>
      <c r="B71" s="8" t="s">
        <v>3733</v>
      </c>
      <c r="C71" s="2" t="s">
        <v>404</v>
      </c>
      <c r="D71" s="2" t="s">
        <v>36</v>
      </c>
      <c r="E71" s="9">
        <v>45372</v>
      </c>
      <c r="F71" s="9" t="str">
        <f ca="1">IF(C71="Legal",IF(AND(D71="Mensal",INT((YEARFRAC(E71,TODAY()))*12)&lt;1),"OK",IF(AND(D71="Bimestral",INT((YEARFRAC(E71,TODAY()))*12)&lt;2),"OK",IF(AND(D71="Trimestral",INT((YEARFRAC(E71,TODAY()))*12)&lt;3),"OK",IF(AND(D71="Semestral",INT((YEARFRAC(E71,TODAY()))*12)&lt;6),"OK",IF(AND(D71="Anual",INT((YEARFRAC(E71,TODAY()))*12)&lt;12),"OK",IF(AND(D71="5 anos",INT((YEARFRAC(E71,TODAY()))*12)&lt;60),"OK","Pendente")))))))</f>
        <v>OK</v>
      </c>
      <c r="G71" s="147">
        <f ca="1">IF(AND(C71="ATA",F71="OK"),"12/31/2500",IF(D71="Mensal",DATE(YEAR(E71),MONTH(E71)+1,DAY(E71)),IF(D71="Bimestral",EOMONTH(E71,2),IF(D71="Trimestral",EOMONTH(E71,3),IF(D71="Semestral",EOMONTH(E71,6),IF(D71="Anual",EOMONTH(E71,12),IF(D71="5 anos",EOMONTH(E71,60),"")))))))</f>
        <v>45747</v>
      </c>
      <c r="H71" s="138"/>
      <c r="I71" s="9" t="s">
        <v>1035</v>
      </c>
      <c r="J71" s="9" t="str">
        <f t="shared" si="38"/>
        <v>Onshore</v>
      </c>
    </row>
    <row r="72" spans="1:10" x14ac:dyDescent="0.25">
      <c r="A72" s="8">
        <v>71</v>
      </c>
      <c r="B72" s="8" t="s">
        <v>3737</v>
      </c>
      <c r="C72" s="2" t="s">
        <v>404</v>
      </c>
      <c r="D72" s="2" t="s">
        <v>37</v>
      </c>
      <c r="E72" s="9">
        <v>45292</v>
      </c>
      <c r="F72" s="9" t="str">
        <f t="shared" ref="F72:F75" ca="1" si="39">IF(C72="Legal",IF(AND(D72="Mensal",INT((YEARFRAC(E72,TODAY()))*12)&lt;1),"OK",IF(AND(D72="Bimestral",INT((YEARFRAC(E72,TODAY()))*12)&lt;2),"OK",IF(AND(D72="Trimestral",INT((YEARFRAC(E72,TODAY()))*12)&lt;3),"OK",IF(AND(D72="Semestral",INT((YEARFRAC(E72,TODAY()))*12)&lt;6),"OK",IF(AND(D72="Anual",INT((YEARFRAC(E72,TODAY()))*12)&lt;12),"OK",IF(AND(D72="5 anos",INT((YEARFRAC(E72,TODAY()))*12)&lt;60),"OK","Pendente")))))))</f>
        <v>Pendente</v>
      </c>
      <c r="G72" s="147">
        <f t="shared" ref="G72:G75" ca="1" si="40">IF(AND(C72="ATA",F72="OK"),"12/31/2500",IF(D72="Mensal",DATE(YEAR(E72),MONTH(E72)+1,DAY(E72)),IF(D72="Bimestral",EOMONTH(E72,2),IF(D72="Trimestral",EOMONTH(E72,3),IF(D72="Semestral",EOMONTH(E72,6),IF(D72="Anual",EOMONTH(E72,12),IF(D72="5 anos",EOMONTH(E72,60),"")))))))</f>
        <v>45504</v>
      </c>
      <c r="H72" s="138"/>
      <c r="I72" s="9" t="s">
        <v>1035</v>
      </c>
      <c r="J72" s="9" t="str">
        <f t="shared" si="38"/>
        <v>Onshore</v>
      </c>
    </row>
    <row r="73" spans="1:10" x14ac:dyDescent="0.25">
      <c r="A73" s="8">
        <v>72</v>
      </c>
      <c r="B73" s="8" t="s">
        <v>3783</v>
      </c>
      <c r="C73" s="2" t="s">
        <v>404</v>
      </c>
      <c r="D73" s="2" t="s">
        <v>35</v>
      </c>
      <c r="E73" s="9">
        <v>45382</v>
      </c>
      <c r="F73" s="9" t="str">
        <f t="shared" ca="1" si="39"/>
        <v>Pendente</v>
      </c>
      <c r="G73" s="147">
        <f t="shared" ca="1" si="40"/>
        <v>45473</v>
      </c>
      <c r="H73" s="254" t="s">
        <v>3784</v>
      </c>
      <c r="I73" s="9" t="s">
        <v>1035</v>
      </c>
      <c r="J73" s="9" t="str">
        <f t="shared" si="38"/>
        <v>Onshore</v>
      </c>
    </row>
    <row r="74" spans="1:10" x14ac:dyDescent="0.25">
      <c r="A74" s="8">
        <v>73</v>
      </c>
      <c r="B74" s="8" t="s">
        <v>3794</v>
      </c>
      <c r="C74" s="2" t="s">
        <v>404</v>
      </c>
      <c r="D74" s="2" t="s">
        <v>35</v>
      </c>
      <c r="E74" s="9">
        <v>45393</v>
      </c>
      <c r="F74" s="9" t="str">
        <f t="shared" ca="1" si="39"/>
        <v>Pendente</v>
      </c>
      <c r="G74" s="147">
        <f t="shared" ca="1" si="40"/>
        <v>45504</v>
      </c>
      <c r="H74" s="254" t="s">
        <v>3795</v>
      </c>
      <c r="I74" s="9" t="s">
        <v>1035</v>
      </c>
      <c r="J74" s="9" t="str">
        <f t="shared" si="38"/>
        <v>Onshore</v>
      </c>
    </row>
    <row r="75" spans="1:10" x14ac:dyDescent="0.25">
      <c r="A75" s="8">
        <v>74</v>
      </c>
      <c r="B75" s="8" t="s">
        <v>3796</v>
      </c>
      <c r="C75" s="2" t="s">
        <v>404</v>
      </c>
      <c r="D75" s="2" t="s">
        <v>36</v>
      </c>
      <c r="E75" s="9">
        <v>45393</v>
      </c>
      <c r="F75" s="9" t="str">
        <f t="shared" ca="1" si="39"/>
        <v>OK</v>
      </c>
      <c r="G75" s="147">
        <f t="shared" ca="1" si="40"/>
        <v>45777</v>
      </c>
      <c r="H75" s="254" t="s">
        <v>3797</v>
      </c>
      <c r="I75" s="9" t="s">
        <v>1035</v>
      </c>
      <c r="J75" s="9" t="str">
        <f t="shared" si="38"/>
        <v>Onshore</v>
      </c>
    </row>
    <row r="76" spans="1:10" x14ac:dyDescent="0.25">
      <c r="A76" s="8">
        <v>75</v>
      </c>
      <c r="B76" s="8" t="s">
        <v>3866</v>
      </c>
      <c r="C76" s="2" t="s">
        <v>404</v>
      </c>
      <c r="D76" s="2" t="s">
        <v>448</v>
      </c>
      <c r="E76" s="9">
        <v>45417</v>
      </c>
      <c r="F76" s="9" t="str">
        <f ca="1">IF(C76="Legal",IF(AND(D76="Mensal",INT((YEARFRAC(E76,TODAY()))*12)&lt;1),"OK",IF(AND(D76="Bimestral",INT((YEARFRAC(E76,TODAY()))*12)&lt;2),"OK",IF(AND(D76="Trimestral",INT((YEARFRAC(E76,TODAY()))*12)&lt;3),"OK",IF(AND(D76="Semestral",INT((YEARFRAC(E76,TODAY()))*12)&lt;6),"OK",IF(AND(D76="Anual",INT((YEARFRAC(E76,TODAY()))*12)&lt;12),"OK",IF(AND(D76="5 anos",INT((YEARFRAC(E76,TODAY()))*12)&lt;60),"OK","Pendente")))))))</f>
        <v>Pendente</v>
      </c>
      <c r="G76" s="147">
        <f ca="1">IF(AND(C76="ATA",F76="OK"),"12/31/2500",IF(D76="Mensal",DATE(YEAR(E76),MONTH(E76)+1,DAY(E76)),IF(D76="Bimestral",EOMONTH(E76,2),IF(D76="Trimestral",EOMONTH(E76,3),IF(D76="Semestral",EOMONTH(E76,6),IF(D76="Anual",EOMONTH(E76,12),IF(D76="5 anos",EOMONTH(E76,60),"")))))))</f>
        <v>45448</v>
      </c>
      <c r="H76" s="138"/>
      <c r="I76" s="9" t="s">
        <v>1035</v>
      </c>
      <c r="J76" s="9" t="str">
        <f t="shared" si="38"/>
        <v>Onshore</v>
      </c>
    </row>
  </sheetData>
  <autoFilter ref="A1:J76" xr:uid="{A04DDECA-D952-499F-A7B6-23B408AF5161}"/>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798CC-5AD6-40FF-BDA9-E24B59701435}">
  <sheetPr codeName="Sheet16">
    <tabColor theme="8"/>
  </sheetPr>
  <dimension ref="A1:AL97"/>
  <sheetViews>
    <sheetView showGridLines="0" topLeftCell="A43" zoomScale="85" zoomScaleNormal="85" workbookViewId="0">
      <selection activeCell="F68" sqref="F68"/>
    </sheetView>
  </sheetViews>
  <sheetFormatPr defaultRowHeight="15" x14ac:dyDescent="0.25"/>
  <cols>
    <col min="1" max="1" width="10" bestFit="1" customWidth="1"/>
    <col min="2" max="2" width="120.85546875" bestFit="1" customWidth="1"/>
    <col min="3" max="3" width="18.42578125" bestFit="1" customWidth="1"/>
    <col min="4" max="4" width="26.140625" customWidth="1"/>
    <col min="5" max="5" width="22.42578125" bestFit="1" customWidth="1"/>
    <col min="6" max="6" width="36" bestFit="1" customWidth="1"/>
    <col min="7" max="7" width="16.42578125" bestFit="1" customWidth="1"/>
    <col min="8" max="8" width="18.85546875" bestFit="1" customWidth="1"/>
    <col min="9" max="9" width="27.42578125" bestFit="1" customWidth="1"/>
    <col min="10" max="10" width="20.28515625" customWidth="1"/>
    <col min="11" max="11" width="13.5703125" bestFit="1" customWidth="1"/>
    <col min="19" max="19" width="10" bestFit="1" customWidth="1"/>
    <col min="20" max="20" width="15.140625" bestFit="1" customWidth="1"/>
    <col min="21" max="21" width="24" bestFit="1" customWidth="1"/>
    <col min="22" max="22" width="9.7109375" bestFit="1" customWidth="1"/>
    <col min="23" max="23" width="11" bestFit="1" customWidth="1"/>
    <col min="24" max="24" width="9.7109375" bestFit="1" customWidth="1"/>
    <col min="25" max="25" width="10.5703125" bestFit="1" customWidth="1"/>
    <col min="26" max="26" width="7.85546875" bestFit="1" customWidth="1"/>
    <col min="27" max="27" width="9.7109375" bestFit="1" customWidth="1"/>
    <col min="29" max="29" width="13.42578125" bestFit="1" customWidth="1"/>
    <col min="30" max="30" width="9.42578125" bestFit="1" customWidth="1"/>
    <col min="31" max="31" width="12.28515625" bestFit="1" customWidth="1"/>
    <col min="32" max="32" width="9.5703125" bestFit="1" customWidth="1"/>
    <col min="33" max="33" width="6.85546875" bestFit="1" customWidth="1"/>
    <col min="34" max="34" width="8.140625" bestFit="1" customWidth="1"/>
    <col min="35" max="35" width="22.85546875" bestFit="1" customWidth="1"/>
    <col min="36" max="36" width="11.5703125" bestFit="1" customWidth="1"/>
    <col min="37" max="37" width="8.85546875" bestFit="1" customWidth="1"/>
    <col min="38" max="38" width="10.85546875" bestFit="1" customWidth="1"/>
    <col min="39" max="39" width="15" bestFit="1" customWidth="1"/>
    <col min="40" max="40" width="12.140625" bestFit="1" customWidth="1"/>
  </cols>
  <sheetData>
    <row r="1" spans="1:9" x14ac:dyDescent="0.25">
      <c r="A1" s="5" t="s">
        <v>42</v>
      </c>
      <c r="B1" s="5" t="s">
        <v>33</v>
      </c>
      <c r="C1" s="5" t="s">
        <v>403</v>
      </c>
      <c r="D1" s="5" t="s">
        <v>34</v>
      </c>
      <c r="E1" s="5" t="s">
        <v>38</v>
      </c>
      <c r="F1" s="28" t="s">
        <v>148</v>
      </c>
      <c r="G1" s="5" t="s">
        <v>7</v>
      </c>
      <c r="H1" s="5" t="s">
        <v>152</v>
      </c>
      <c r="I1" s="5" t="s">
        <v>5</v>
      </c>
    </row>
    <row r="2" spans="1:9" x14ac:dyDescent="0.25">
      <c r="A2" s="8">
        <v>1</v>
      </c>
      <c r="B2" s="8" t="s">
        <v>13</v>
      </c>
      <c r="C2" s="2" t="s">
        <v>404</v>
      </c>
      <c r="D2" s="2" t="s">
        <v>35</v>
      </c>
      <c r="E2" s="9" t="s">
        <v>39</v>
      </c>
      <c r="F2" s="9">
        <v>45119</v>
      </c>
      <c r="G2" s="9" t="str">
        <f t="shared" ref="G2:G24" ca="1" si="0">IF(C2="Legal",IF(AND(D2="Mensal",INT((YEARFRAC(F2,TODAY()))*12)&lt;1),"OK",IF(AND(D2="Bimestral",INT((YEARFRAC(F2,TODAY()))*12)&lt;2),"OK",IF(AND(D2="Trimestral",INT((YEARFRAC(F2,TODAY()))*12)&lt;3),"OK",IF(AND(D2="Semestral",INT((YEARFRAC(F2,TODAY()))*12)&lt;6),"OK",IF(AND(D2="Anual",INT((YEARFRAC(F2,TODAY()))*12)&lt;12),"OK",IF(AND(D2="5 anos",INT((YEARFRAC(F2,TODAY()))*12)&lt;60),"OK","Pendente")))))),IF(OR(E2="Assinado",E2="Feito"),"OK","Pendente de ata"))</f>
        <v>Pendente</v>
      </c>
      <c r="H2" s="9">
        <f t="shared" ref="H2:H53" ca="1" si="1">IF(AND(C2="ATA",G2="OK"),"",IF(D2="Mensal",EOMONTH(F2,1),IF(D2="Bimestral",EOMONTH(F2,2),IF(D2="Trimestral",EOMONTH(F2,3),IF(D2="Semestral",EOMONTH(F2,6),IF(D2="Anual",EOMONTH(F2,12),IF(D2="5 anos",EOMONTH(F2,60),"")))))))</f>
        <v>45230</v>
      </c>
      <c r="I2" s="9"/>
    </row>
    <row r="3" spans="1:9" x14ac:dyDescent="0.25">
      <c r="A3" s="8">
        <v>2</v>
      </c>
      <c r="B3" s="8" t="s">
        <v>14</v>
      </c>
      <c r="C3" s="2" t="s">
        <v>404</v>
      </c>
      <c r="D3" s="2" t="s">
        <v>36</v>
      </c>
      <c r="E3" s="9">
        <v>43100</v>
      </c>
      <c r="F3" s="9">
        <v>45007</v>
      </c>
      <c r="G3" s="9" t="str">
        <f t="shared" ca="1" si="0"/>
        <v>Pendente</v>
      </c>
      <c r="H3" s="9">
        <f t="shared" ca="1" si="1"/>
        <v>45382</v>
      </c>
      <c r="I3" s="9" t="s">
        <v>153</v>
      </c>
    </row>
    <row r="4" spans="1:9" x14ac:dyDescent="0.25">
      <c r="A4" s="8">
        <v>3</v>
      </c>
      <c r="B4" s="8" t="s">
        <v>15</v>
      </c>
      <c r="C4" s="2" t="s">
        <v>404</v>
      </c>
      <c r="D4" s="2" t="s">
        <v>36</v>
      </c>
      <c r="E4" s="9">
        <v>43440</v>
      </c>
      <c r="F4" s="9">
        <v>44937</v>
      </c>
      <c r="G4" s="9" t="str">
        <f t="shared" ca="1" si="0"/>
        <v>Pendente</v>
      </c>
      <c r="H4" s="9">
        <f t="shared" ca="1" si="1"/>
        <v>45322</v>
      </c>
      <c r="I4" s="9"/>
    </row>
    <row r="5" spans="1:9" x14ac:dyDescent="0.25">
      <c r="A5" s="8">
        <v>4</v>
      </c>
      <c r="B5" s="8" t="s">
        <v>16</v>
      </c>
      <c r="C5" s="2" t="s">
        <v>404</v>
      </c>
      <c r="D5" s="2" t="s">
        <v>36</v>
      </c>
      <c r="E5" s="9">
        <v>43440</v>
      </c>
      <c r="F5" s="9">
        <v>44937</v>
      </c>
      <c r="G5" s="9" t="str">
        <f t="shared" ca="1" si="0"/>
        <v>Pendente</v>
      </c>
      <c r="H5" s="9">
        <f t="shared" ca="1" si="1"/>
        <v>45322</v>
      </c>
      <c r="I5" s="9"/>
    </row>
    <row r="6" spans="1:9" x14ac:dyDescent="0.25">
      <c r="A6" s="8">
        <v>5</v>
      </c>
      <c r="B6" s="8" t="s">
        <v>17</v>
      </c>
      <c r="C6" s="2" t="s">
        <v>404</v>
      </c>
      <c r="D6" s="2" t="s">
        <v>36</v>
      </c>
      <c r="E6" s="9">
        <v>43440</v>
      </c>
      <c r="F6" s="9">
        <v>44937</v>
      </c>
      <c r="G6" s="9" t="str">
        <f t="shared" ca="1" si="0"/>
        <v>Pendente</v>
      </c>
      <c r="H6" s="9">
        <f t="shared" ca="1" si="1"/>
        <v>45322</v>
      </c>
      <c r="I6" s="9"/>
    </row>
    <row r="7" spans="1:9" x14ac:dyDescent="0.25">
      <c r="A7" s="8">
        <v>6</v>
      </c>
      <c r="B7" s="8" t="s">
        <v>18</v>
      </c>
      <c r="C7" s="2" t="s">
        <v>404</v>
      </c>
      <c r="D7" s="2" t="s">
        <v>36</v>
      </c>
      <c r="E7" s="9">
        <v>43440</v>
      </c>
      <c r="F7" s="9">
        <v>44937</v>
      </c>
      <c r="G7" s="9" t="str">
        <f t="shared" ca="1" si="0"/>
        <v>Pendente</v>
      </c>
      <c r="H7" s="9">
        <f t="shared" ca="1" si="1"/>
        <v>45322</v>
      </c>
      <c r="I7" s="9"/>
    </row>
    <row r="8" spans="1:9" x14ac:dyDescent="0.25">
      <c r="A8" s="8">
        <v>7</v>
      </c>
      <c r="B8" s="8" t="s">
        <v>19</v>
      </c>
      <c r="C8" s="2" t="s">
        <v>404</v>
      </c>
      <c r="D8" s="2" t="s">
        <v>36</v>
      </c>
      <c r="E8" s="9">
        <v>43440</v>
      </c>
      <c r="F8" s="9">
        <v>44937</v>
      </c>
      <c r="G8" s="9" t="str">
        <f t="shared" ca="1" si="0"/>
        <v>Pendente</v>
      </c>
      <c r="H8" s="9">
        <f t="shared" ca="1" si="1"/>
        <v>45322</v>
      </c>
      <c r="I8" s="9"/>
    </row>
    <row r="9" spans="1:9" x14ac:dyDescent="0.25">
      <c r="A9" s="8">
        <v>8</v>
      </c>
      <c r="B9" s="8" t="s">
        <v>20</v>
      </c>
      <c r="C9" s="2" t="s">
        <v>404</v>
      </c>
      <c r="D9" s="2" t="s">
        <v>36</v>
      </c>
      <c r="E9" s="9">
        <v>43440</v>
      </c>
      <c r="F9" s="9">
        <v>44937</v>
      </c>
      <c r="G9" s="9" t="str">
        <f t="shared" ca="1" si="0"/>
        <v>Pendente</v>
      </c>
      <c r="H9" s="9">
        <f t="shared" ca="1" si="1"/>
        <v>45322</v>
      </c>
      <c r="I9" s="9"/>
    </row>
    <row r="10" spans="1:9" x14ac:dyDescent="0.25">
      <c r="A10" s="8">
        <v>9</v>
      </c>
      <c r="B10" s="8" t="s">
        <v>21</v>
      </c>
      <c r="C10" s="2" t="s">
        <v>404</v>
      </c>
      <c r="D10" s="2" t="s">
        <v>36</v>
      </c>
      <c r="E10" s="9">
        <v>43440</v>
      </c>
      <c r="F10" s="9">
        <v>44937</v>
      </c>
      <c r="G10" s="9" t="str">
        <f t="shared" ca="1" si="0"/>
        <v>Pendente</v>
      </c>
      <c r="H10" s="9">
        <f t="shared" ca="1" si="1"/>
        <v>45322</v>
      </c>
      <c r="I10" s="9"/>
    </row>
    <row r="11" spans="1:9" x14ac:dyDescent="0.25">
      <c r="A11" s="8">
        <v>10</v>
      </c>
      <c r="B11" s="8" t="s">
        <v>22</v>
      </c>
      <c r="C11" s="2" t="s">
        <v>404</v>
      </c>
      <c r="D11" s="2" t="s">
        <v>36</v>
      </c>
      <c r="E11" s="9">
        <v>43699</v>
      </c>
      <c r="F11" s="9">
        <v>44937</v>
      </c>
      <c r="G11" s="9" t="str">
        <f t="shared" ca="1" si="0"/>
        <v>Pendente</v>
      </c>
      <c r="H11" s="9">
        <f t="shared" ca="1" si="1"/>
        <v>45322</v>
      </c>
      <c r="I11" s="9"/>
    </row>
    <row r="12" spans="1:9" x14ac:dyDescent="0.25">
      <c r="A12" s="8">
        <v>11</v>
      </c>
      <c r="B12" s="8" t="s">
        <v>23</v>
      </c>
      <c r="C12" s="2" t="s">
        <v>404</v>
      </c>
      <c r="D12" s="2" t="s">
        <v>36</v>
      </c>
      <c r="E12" s="9">
        <v>43440</v>
      </c>
      <c r="F12" s="9">
        <v>44937</v>
      </c>
      <c r="G12" s="9" t="str">
        <f t="shared" ca="1" si="0"/>
        <v>Pendente</v>
      </c>
      <c r="H12" s="9">
        <f t="shared" ca="1" si="1"/>
        <v>45322</v>
      </c>
      <c r="I12" s="9"/>
    </row>
    <row r="13" spans="1:9" x14ac:dyDescent="0.25">
      <c r="A13" s="8">
        <v>12</v>
      </c>
      <c r="B13" s="8" t="s">
        <v>24</v>
      </c>
      <c r="C13" s="2" t="s">
        <v>404</v>
      </c>
      <c r="D13" s="2" t="s">
        <v>36</v>
      </c>
      <c r="E13" s="9">
        <v>43440</v>
      </c>
      <c r="F13" s="9">
        <v>44937</v>
      </c>
      <c r="G13" s="9" t="str">
        <f t="shared" ca="1" si="0"/>
        <v>Pendente</v>
      </c>
      <c r="H13" s="9">
        <f t="shared" ca="1" si="1"/>
        <v>45322</v>
      </c>
      <c r="I13" s="9"/>
    </row>
    <row r="14" spans="1:9" x14ac:dyDescent="0.25">
      <c r="A14" s="8">
        <v>13</v>
      </c>
      <c r="B14" s="8" t="s">
        <v>25</v>
      </c>
      <c r="C14" s="2" t="s">
        <v>404</v>
      </c>
      <c r="D14" s="2" t="s">
        <v>36</v>
      </c>
      <c r="E14" s="9">
        <v>43440</v>
      </c>
      <c r="F14" s="9">
        <v>44937</v>
      </c>
      <c r="G14" s="9" t="str">
        <f t="shared" ca="1" si="0"/>
        <v>Pendente</v>
      </c>
      <c r="H14" s="9">
        <f t="shared" ca="1" si="1"/>
        <v>45322</v>
      </c>
      <c r="I14" s="9"/>
    </row>
    <row r="15" spans="1:9" x14ac:dyDescent="0.25">
      <c r="A15" s="8">
        <v>14</v>
      </c>
      <c r="B15" s="8" t="s">
        <v>26</v>
      </c>
      <c r="C15" s="2" t="s">
        <v>404</v>
      </c>
      <c r="D15" s="2" t="s">
        <v>36</v>
      </c>
      <c r="E15" s="9">
        <v>43440</v>
      </c>
      <c r="F15" s="9">
        <v>44937</v>
      </c>
      <c r="G15" s="9" t="str">
        <f t="shared" ca="1" si="0"/>
        <v>Pendente</v>
      </c>
      <c r="H15" s="9">
        <f t="shared" ca="1" si="1"/>
        <v>45322</v>
      </c>
      <c r="I15" s="9"/>
    </row>
    <row r="16" spans="1:9" x14ac:dyDescent="0.25">
      <c r="A16" s="8">
        <v>15</v>
      </c>
      <c r="B16" s="8" t="s">
        <v>27</v>
      </c>
      <c r="C16" s="2" t="s">
        <v>404</v>
      </c>
      <c r="D16" s="2" t="s">
        <v>36</v>
      </c>
      <c r="E16" s="9">
        <v>43440</v>
      </c>
      <c r="F16" s="9">
        <v>44937</v>
      </c>
      <c r="G16" s="9" t="str">
        <f t="shared" ca="1" si="0"/>
        <v>Pendente</v>
      </c>
      <c r="H16" s="9">
        <f t="shared" ca="1" si="1"/>
        <v>45322</v>
      </c>
      <c r="I16" s="9"/>
    </row>
    <row r="17" spans="1:9" x14ac:dyDescent="0.25">
      <c r="A17" s="8">
        <v>16</v>
      </c>
      <c r="B17" s="8" t="s">
        <v>28</v>
      </c>
      <c r="C17" s="2" t="s">
        <v>404</v>
      </c>
      <c r="D17" s="2" t="s">
        <v>36</v>
      </c>
      <c r="E17" s="9">
        <v>43699</v>
      </c>
      <c r="F17" s="9">
        <v>44937</v>
      </c>
      <c r="G17" s="9" t="str">
        <f t="shared" ca="1" si="0"/>
        <v>Pendente</v>
      </c>
      <c r="H17" s="9">
        <f t="shared" ca="1" si="1"/>
        <v>45322</v>
      </c>
      <c r="I17" s="9"/>
    </row>
    <row r="18" spans="1:9" x14ac:dyDescent="0.25">
      <c r="A18" s="8">
        <v>17</v>
      </c>
      <c r="B18" s="8" t="s">
        <v>29</v>
      </c>
      <c r="C18" s="2" t="s">
        <v>404</v>
      </c>
      <c r="D18" s="2" t="s">
        <v>36</v>
      </c>
      <c r="E18" s="9">
        <v>43440</v>
      </c>
      <c r="F18" s="9">
        <v>44937</v>
      </c>
      <c r="G18" s="9" t="str">
        <f t="shared" ca="1" si="0"/>
        <v>Pendente</v>
      </c>
      <c r="H18" s="9">
        <f t="shared" ca="1" si="1"/>
        <v>45322</v>
      </c>
      <c r="I18" s="9"/>
    </row>
    <row r="19" spans="1:9" x14ac:dyDescent="0.25">
      <c r="A19" s="8">
        <v>18</v>
      </c>
      <c r="B19" s="8" t="s">
        <v>30</v>
      </c>
      <c r="C19" s="2" t="s">
        <v>404</v>
      </c>
      <c r="D19" s="2" t="s">
        <v>36</v>
      </c>
      <c r="E19" s="9">
        <v>43495</v>
      </c>
      <c r="F19" s="9">
        <v>45008</v>
      </c>
      <c r="G19" s="9" t="str">
        <f t="shared" ca="1" si="0"/>
        <v>Pendente</v>
      </c>
      <c r="H19" s="9">
        <f t="shared" ca="1" si="1"/>
        <v>45382</v>
      </c>
      <c r="I19" s="9" t="s">
        <v>154</v>
      </c>
    </row>
    <row r="20" spans="1:9" x14ac:dyDescent="0.25">
      <c r="A20" s="8">
        <v>19</v>
      </c>
      <c r="B20" s="8" t="s">
        <v>31</v>
      </c>
      <c r="C20" s="2" t="s">
        <v>404</v>
      </c>
      <c r="D20" s="2" t="s">
        <v>36</v>
      </c>
      <c r="E20" s="9">
        <v>43440</v>
      </c>
      <c r="F20" s="9">
        <v>44937</v>
      </c>
      <c r="G20" s="9" t="str">
        <f t="shared" ca="1" si="0"/>
        <v>Pendente</v>
      </c>
      <c r="H20" s="9">
        <f t="shared" ca="1" si="1"/>
        <v>45322</v>
      </c>
      <c r="I20" s="9"/>
    </row>
    <row r="21" spans="1:9" x14ac:dyDescent="0.25">
      <c r="A21" s="8">
        <v>20</v>
      </c>
      <c r="B21" s="8" t="s">
        <v>32</v>
      </c>
      <c r="C21" s="2" t="s">
        <v>404</v>
      </c>
      <c r="D21" s="2" t="s">
        <v>36</v>
      </c>
      <c r="E21" s="9" t="s">
        <v>40</v>
      </c>
      <c r="F21" s="9">
        <v>44937</v>
      </c>
      <c r="G21" s="9" t="str">
        <f t="shared" ca="1" si="0"/>
        <v>Pendente</v>
      </c>
      <c r="H21" s="9">
        <f t="shared" ca="1" si="1"/>
        <v>45322</v>
      </c>
      <c r="I21" s="9"/>
    </row>
    <row r="22" spans="1:9" x14ac:dyDescent="0.25">
      <c r="A22" s="8">
        <v>21</v>
      </c>
      <c r="B22" s="8" t="s">
        <v>149</v>
      </c>
      <c r="C22" s="2" t="s">
        <v>404</v>
      </c>
      <c r="D22" s="2" t="s">
        <v>36</v>
      </c>
      <c r="E22" s="9" t="s">
        <v>40</v>
      </c>
      <c r="F22" s="9">
        <v>45007</v>
      </c>
      <c r="G22" s="9" t="str">
        <f t="shared" ca="1" si="0"/>
        <v>Pendente</v>
      </c>
      <c r="H22" s="9">
        <f t="shared" ca="1" si="1"/>
        <v>45382</v>
      </c>
      <c r="I22" s="9" t="s">
        <v>154</v>
      </c>
    </row>
    <row r="23" spans="1:9" x14ac:dyDescent="0.25">
      <c r="A23" s="8">
        <v>22</v>
      </c>
      <c r="B23" s="8" t="s">
        <v>150</v>
      </c>
      <c r="C23" s="2" t="s">
        <v>404</v>
      </c>
      <c r="D23" s="2" t="s">
        <v>36</v>
      </c>
      <c r="E23" s="9" t="s">
        <v>40</v>
      </c>
      <c r="F23" s="9">
        <v>44937</v>
      </c>
      <c r="G23" s="9" t="str">
        <f t="shared" ca="1" si="0"/>
        <v>Pendente</v>
      </c>
      <c r="H23" s="9">
        <f t="shared" ca="1" si="1"/>
        <v>45322</v>
      </c>
      <c r="I23" s="9"/>
    </row>
    <row r="24" spans="1:9" x14ac:dyDescent="0.25">
      <c r="A24" s="8">
        <v>23</v>
      </c>
      <c r="B24" s="8" t="s">
        <v>151</v>
      </c>
      <c r="C24" s="2" t="s">
        <v>404</v>
      </c>
      <c r="D24" s="2" t="s">
        <v>36</v>
      </c>
      <c r="E24" s="9" t="s">
        <v>40</v>
      </c>
      <c r="F24" s="9">
        <v>44937</v>
      </c>
      <c r="G24" s="9" t="str">
        <f t="shared" ca="1" si="0"/>
        <v>Pendente</v>
      </c>
      <c r="H24" s="9">
        <f t="shared" ca="1" si="1"/>
        <v>45322</v>
      </c>
      <c r="I24" s="9"/>
    </row>
    <row r="25" spans="1:9" s="57" customFormat="1" x14ac:dyDescent="0.25">
      <c r="A25" s="12">
        <v>24</v>
      </c>
      <c r="B25" s="12" t="s">
        <v>532</v>
      </c>
      <c r="C25" s="137" t="s">
        <v>534</v>
      </c>
      <c r="D25" s="137" t="s">
        <v>448</v>
      </c>
      <c r="E25" s="138" t="s">
        <v>536</v>
      </c>
      <c r="F25" s="138">
        <v>44592</v>
      </c>
      <c r="G25" s="138" t="str">
        <f ca="1">IF(I25="Não teve comitê","OK",IF(C25="Legal",IF(AND(D25="Mensal",INT((YEARFRAC(F25,TODAY()))*12)&lt;1),"OK",IF(AND(D25="Bimestral",INT((YEARFRAC(F25,TODAY()))*12)&lt;2),"OK",IF(AND(D25="Trimestral",INT((YEARFRAC(F25,TODAY()))*12)&lt;3),"OK",IF(AND(D25="Semestral",INT((YEARFRAC(F25,TODAY()))*12)&lt;6),"OK",IF(AND(D25="Anual",INT((YEARFRAC(F25,TODAY()))*12)&lt;12),"OK",IF(AND(D25="5 anos",INT((YEARFRAC(F25,TODAY()))*12)&lt;60),"OK","Pendente")))))),IF(OR(E25="Assinado",E25="Feito"),"OK","Pendente de ata")))</f>
        <v>OK</v>
      </c>
      <c r="H25" s="138" t="str">
        <f t="shared" ca="1" si="1"/>
        <v/>
      </c>
      <c r="I25" s="138"/>
    </row>
    <row r="26" spans="1:9" s="57" customFormat="1" x14ac:dyDescent="0.25">
      <c r="A26" s="12">
        <v>25</v>
      </c>
      <c r="B26" s="12" t="s">
        <v>533</v>
      </c>
      <c r="C26" s="137" t="s">
        <v>534</v>
      </c>
      <c r="D26" s="137" t="s">
        <v>35</v>
      </c>
      <c r="E26" s="138" t="s">
        <v>535</v>
      </c>
      <c r="F26" s="138">
        <v>44573</v>
      </c>
      <c r="G26" s="138" t="str">
        <f t="shared" ref="G26:G53" ca="1" si="2">IF(I26="Não teve comitê","OK",IF(C26="Legal",IF(AND(D26="Mensal",INT((YEARFRAC(F26,TODAY()))*12)&lt;1),"OK",IF(AND(D26="Bimestral",INT((YEARFRAC(F26,TODAY()))*12)&lt;2),"OK",IF(AND(D26="Trimestral",INT((YEARFRAC(F26,TODAY()))*12)&lt;3),"OK",IF(AND(D26="Semestral",INT((YEARFRAC(F26,TODAY()))*12)&lt;6),"OK",IF(AND(D26="Anual",INT((YEARFRAC(F26,TODAY()))*12)&lt;12),"OK",IF(AND(D26="5 anos",INT((YEARFRAC(F26,TODAY()))*12)&lt;60),"OK","Pendente")))))),IF(OR(E26="Assinado",E26="Feito"),"OK","Pendente de ata")))</f>
        <v>OK</v>
      </c>
      <c r="H26" s="138" t="str">
        <f t="shared" ca="1" si="1"/>
        <v/>
      </c>
      <c r="I26" s="138"/>
    </row>
    <row r="27" spans="1:9" s="57" customFormat="1" x14ac:dyDescent="0.25">
      <c r="A27" s="12">
        <v>24</v>
      </c>
      <c r="B27" s="12" t="s">
        <v>532</v>
      </c>
      <c r="C27" s="137" t="s">
        <v>534</v>
      </c>
      <c r="D27" s="137" t="s">
        <v>448</v>
      </c>
      <c r="E27" s="138" t="s">
        <v>536</v>
      </c>
      <c r="F27" s="138">
        <v>44620</v>
      </c>
      <c r="G27" s="138" t="str">
        <f ca="1">IF(I27="Não teve comitê","OK",IF(C27="Legal",IF(AND(D27="Mensal",INT((YEARFRAC(F27,TODAY()))*12)&lt;1),"OK",IF(AND(D27="Bimestral",INT((YEARFRAC(F27,TODAY()))*12)&lt;2),"OK",IF(AND(D27="Trimestral",INT((YEARFRAC(F27,TODAY()))*12)&lt;3),"OK",IF(AND(D27="Semestral",INT((YEARFRAC(F27,TODAY()))*12)&lt;6),"OK",IF(AND(D27="Anual",INT((YEARFRAC(F27,TODAY()))*12)&lt;12),"OK",IF(AND(D27="5 anos",INT((YEARFRAC(F27,TODAY()))*12)&lt;60),"OK","Pendente")))))),IF(OR(E27="Assinado",E27="Feito"),"OK","Pendente de ata")))</f>
        <v>OK</v>
      </c>
      <c r="H27" s="138" t="str">
        <f t="shared" ca="1" si="1"/>
        <v/>
      </c>
      <c r="I27" s="138"/>
    </row>
    <row r="28" spans="1:9" s="57" customFormat="1" x14ac:dyDescent="0.25">
      <c r="A28" s="12">
        <v>25</v>
      </c>
      <c r="B28" s="12" t="s">
        <v>533</v>
      </c>
      <c r="C28" s="137" t="s">
        <v>534</v>
      </c>
      <c r="D28" s="137" t="s">
        <v>35</v>
      </c>
      <c r="E28" s="138" t="s">
        <v>535</v>
      </c>
      <c r="F28" s="138">
        <v>44628</v>
      </c>
      <c r="G28" s="138" t="str">
        <f ca="1">IF(I28="Não teve comitê","OK",IF(C28="Legal",IF(AND(D28="Mensal",INT((YEARFRAC(F28,TODAY()))*12)&lt;1),"OK",IF(AND(D28="Bimestral",INT((YEARFRAC(F28,TODAY()))*12)&lt;2),"OK",IF(AND(D28="Trimestral",INT((YEARFRAC(F28,TODAY()))*12)&lt;3),"OK",IF(AND(D28="Semestral",INT((YEARFRAC(F28,TODAY()))*12)&lt;6),"OK",IF(AND(D28="Anual",INT((YEARFRAC(F28,TODAY()))*12)&lt;12),"OK",IF(AND(D28="5 anos",INT((YEARFRAC(F28,TODAY()))*12)&lt;60),"OK","Pendente")))))),IF(OR(E28="Assinado",E28="Feito"),"OK","Pendente de ata")))</f>
        <v>OK</v>
      </c>
      <c r="H28" s="138" t="str">
        <f t="shared" ca="1" si="1"/>
        <v/>
      </c>
      <c r="I28" s="138"/>
    </row>
    <row r="29" spans="1:9" s="57" customFormat="1" x14ac:dyDescent="0.25">
      <c r="A29" s="12">
        <v>24</v>
      </c>
      <c r="B29" s="12" t="s">
        <v>532</v>
      </c>
      <c r="C29" s="137" t="s">
        <v>534</v>
      </c>
      <c r="D29" s="137" t="s">
        <v>448</v>
      </c>
      <c r="E29" s="138" t="s">
        <v>536</v>
      </c>
      <c r="F29" s="138">
        <v>44651</v>
      </c>
      <c r="G29" s="138" t="str">
        <f ca="1">IF(I29="Não teve comitê","OK",IF(C29="Legal",IF(AND(D29="Mensal",INT((YEARFRAC(F29,TODAY()))*12)&lt;1),"OK",IF(AND(D29="Bimestral",INT((YEARFRAC(F29,TODAY()))*12)&lt;2),"OK",IF(AND(D29="Trimestral",INT((YEARFRAC(F29,TODAY()))*12)&lt;3),"OK",IF(AND(D29="Semestral",INT((YEARFRAC(F29,TODAY()))*12)&lt;6),"OK",IF(AND(D29="Anual",INT((YEARFRAC(F29,TODAY()))*12)&lt;12),"OK",IF(AND(D29="5 anos",INT((YEARFRAC(F29,TODAY()))*12)&lt;60),"OK","Pendente")))))),IF(OR(E29="Assinado",E29="Feito"),"OK","Pendente de ata")))</f>
        <v>OK</v>
      </c>
      <c r="H29" s="138" t="str">
        <f t="shared" ca="1" si="1"/>
        <v/>
      </c>
      <c r="I29" s="138"/>
    </row>
    <row r="30" spans="1:9" s="57" customFormat="1" x14ac:dyDescent="0.25">
      <c r="A30" s="12">
        <v>25</v>
      </c>
      <c r="B30" s="12" t="s">
        <v>533</v>
      </c>
      <c r="C30" s="137" t="s">
        <v>534</v>
      </c>
      <c r="D30" s="137" t="s">
        <v>35</v>
      </c>
      <c r="E30" s="138" t="s">
        <v>535</v>
      </c>
      <c r="F30" s="138">
        <v>44644</v>
      </c>
      <c r="G30" s="138" t="str">
        <f t="shared" ca="1" si="2"/>
        <v>OK</v>
      </c>
      <c r="H30" s="138" t="str">
        <f t="shared" ca="1" si="1"/>
        <v/>
      </c>
      <c r="I30" s="138"/>
    </row>
    <row r="31" spans="1:9" s="57" customFormat="1" x14ac:dyDescent="0.25">
      <c r="A31" s="12">
        <v>24</v>
      </c>
      <c r="B31" s="12" t="s">
        <v>532</v>
      </c>
      <c r="C31" s="137" t="s">
        <v>534</v>
      </c>
      <c r="D31" s="137" t="s">
        <v>448</v>
      </c>
      <c r="E31" s="138" t="s">
        <v>536</v>
      </c>
      <c r="F31" s="138">
        <v>44680</v>
      </c>
      <c r="G31" s="138" t="str">
        <f t="shared" ca="1" si="2"/>
        <v>OK</v>
      </c>
      <c r="H31" s="138" t="str">
        <f t="shared" ca="1" si="1"/>
        <v/>
      </c>
      <c r="I31" s="138"/>
    </row>
    <row r="32" spans="1:9" s="57" customFormat="1" x14ac:dyDescent="0.25">
      <c r="A32" s="12">
        <v>25</v>
      </c>
      <c r="B32" s="12" t="s">
        <v>533</v>
      </c>
      <c r="C32" s="137" t="s">
        <v>534</v>
      </c>
      <c r="D32" s="137" t="s">
        <v>35</v>
      </c>
      <c r="E32" s="138" t="s">
        <v>535</v>
      </c>
      <c r="F32" s="138">
        <v>44722</v>
      </c>
      <c r="G32" s="138" t="str">
        <f t="shared" ca="1" si="2"/>
        <v>OK</v>
      </c>
      <c r="H32" s="138" t="str">
        <f t="shared" ca="1" si="1"/>
        <v/>
      </c>
      <c r="I32" s="138"/>
    </row>
    <row r="33" spans="1:38" s="57" customFormat="1" x14ac:dyDescent="0.25">
      <c r="A33" s="12">
        <v>24</v>
      </c>
      <c r="B33" s="12" t="s">
        <v>532</v>
      </c>
      <c r="C33" s="137" t="s">
        <v>534</v>
      </c>
      <c r="D33" s="137" t="s">
        <v>448</v>
      </c>
      <c r="E33" s="138" t="s">
        <v>536</v>
      </c>
      <c r="F33" s="138">
        <v>44712</v>
      </c>
      <c r="G33" s="138" t="str">
        <f t="shared" ca="1" si="2"/>
        <v>OK</v>
      </c>
      <c r="H33" s="138" t="str">
        <f t="shared" ca="1" si="1"/>
        <v/>
      </c>
      <c r="I33" s="138"/>
    </row>
    <row r="34" spans="1:38" s="57" customFormat="1" x14ac:dyDescent="0.25">
      <c r="A34" s="12">
        <v>25</v>
      </c>
      <c r="B34" s="12" t="s">
        <v>533</v>
      </c>
      <c r="C34" s="137" t="s">
        <v>534</v>
      </c>
      <c r="D34" s="137" t="s">
        <v>35</v>
      </c>
      <c r="E34" s="138" t="s">
        <v>535</v>
      </c>
      <c r="F34" s="138">
        <v>44732</v>
      </c>
      <c r="G34" s="138" t="str">
        <f t="shared" ca="1" si="2"/>
        <v>OK</v>
      </c>
      <c r="H34" s="138" t="str">
        <f t="shared" ca="1" si="1"/>
        <v/>
      </c>
      <c r="I34" s="138"/>
    </row>
    <row r="35" spans="1:38" s="57" customFormat="1" x14ac:dyDescent="0.25">
      <c r="A35" s="12">
        <v>24</v>
      </c>
      <c r="B35" s="12" t="s">
        <v>532</v>
      </c>
      <c r="C35" s="137" t="s">
        <v>534</v>
      </c>
      <c r="D35" s="137" t="s">
        <v>448</v>
      </c>
      <c r="E35" s="138" t="s">
        <v>536</v>
      </c>
      <c r="F35" s="138">
        <v>44742</v>
      </c>
      <c r="G35" s="138" t="str">
        <f t="shared" ca="1" si="2"/>
        <v>OK</v>
      </c>
      <c r="H35" s="138" t="str">
        <f t="shared" ca="1" si="1"/>
        <v/>
      </c>
      <c r="I35" s="138"/>
    </row>
    <row r="36" spans="1:38" s="57" customFormat="1" x14ac:dyDescent="0.25">
      <c r="A36" s="12">
        <v>24</v>
      </c>
      <c r="B36" s="12" t="s">
        <v>532</v>
      </c>
      <c r="C36" s="137" t="s">
        <v>534</v>
      </c>
      <c r="D36" s="137" t="s">
        <v>448</v>
      </c>
      <c r="E36" s="138" t="s">
        <v>536</v>
      </c>
      <c r="F36" s="138">
        <v>44771</v>
      </c>
      <c r="G36" s="138" t="str">
        <f t="shared" ca="1" si="2"/>
        <v>OK</v>
      </c>
      <c r="H36" s="138" t="str">
        <f t="shared" ca="1" si="1"/>
        <v/>
      </c>
      <c r="I36" s="138"/>
    </row>
    <row r="37" spans="1:38" s="57" customFormat="1" x14ac:dyDescent="0.25">
      <c r="A37" s="12">
        <v>25</v>
      </c>
      <c r="B37" s="12" t="s">
        <v>533</v>
      </c>
      <c r="C37" s="137" t="s">
        <v>534</v>
      </c>
      <c r="D37" s="137" t="s">
        <v>35</v>
      </c>
      <c r="E37" s="138" t="s">
        <v>535</v>
      </c>
      <c r="F37" s="138">
        <v>44789</v>
      </c>
      <c r="G37" s="138" t="str">
        <f t="shared" ca="1" si="2"/>
        <v>OK</v>
      </c>
      <c r="H37" s="138" t="str">
        <f t="shared" ca="1" si="1"/>
        <v/>
      </c>
      <c r="I37" s="138"/>
    </row>
    <row r="38" spans="1:38" s="57" customFormat="1" x14ac:dyDescent="0.25">
      <c r="A38" s="12">
        <v>24</v>
      </c>
      <c r="B38" s="12" t="s">
        <v>532</v>
      </c>
      <c r="C38" s="137" t="s">
        <v>534</v>
      </c>
      <c r="D38" s="137" t="s">
        <v>448</v>
      </c>
      <c r="E38" s="138" t="s">
        <v>536</v>
      </c>
      <c r="F38" s="138">
        <v>44804</v>
      </c>
      <c r="G38" s="138" t="str">
        <f t="shared" ca="1" si="2"/>
        <v>OK</v>
      </c>
      <c r="H38" s="138" t="str">
        <f t="shared" ca="1" si="1"/>
        <v/>
      </c>
      <c r="I38" s="138"/>
    </row>
    <row r="39" spans="1:38" s="57" customFormat="1" x14ac:dyDescent="0.25">
      <c r="A39" s="12">
        <v>24</v>
      </c>
      <c r="B39" s="12" t="s">
        <v>532</v>
      </c>
      <c r="C39" s="137" t="s">
        <v>534</v>
      </c>
      <c r="D39" s="137" t="s">
        <v>448</v>
      </c>
      <c r="E39" s="138" t="s">
        <v>536</v>
      </c>
      <c r="F39" s="138">
        <v>44834</v>
      </c>
      <c r="G39" s="138" t="str">
        <f t="shared" ca="1" si="2"/>
        <v>OK</v>
      </c>
      <c r="H39" s="138" t="str">
        <f t="shared" ca="1" si="1"/>
        <v/>
      </c>
      <c r="I39" s="138"/>
    </row>
    <row r="40" spans="1:38" s="57" customFormat="1" x14ac:dyDescent="0.25">
      <c r="A40" s="12">
        <v>25</v>
      </c>
      <c r="B40" s="12" t="s">
        <v>533</v>
      </c>
      <c r="C40" s="137" t="s">
        <v>534</v>
      </c>
      <c r="D40" s="137" t="s">
        <v>35</v>
      </c>
      <c r="E40" s="138" t="s">
        <v>536</v>
      </c>
      <c r="F40" s="138">
        <v>44834</v>
      </c>
      <c r="G40" s="138" t="str">
        <f t="shared" ca="1" si="2"/>
        <v>OK</v>
      </c>
      <c r="H40" s="138" t="str">
        <f t="shared" ca="1" si="1"/>
        <v/>
      </c>
      <c r="I40" s="138"/>
    </row>
    <row r="41" spans="1:38" s="57" customFormat="1" x14ac:dyDescent="0.25">
      <c r="A41" s="12">
        <v>24</v>
      </c>
      <c r="B41" s="12" t="s">
        <v>532</v>
      </c>
      <c r="C41" s="137" t="s">
        <v>534</v>
      </c>
      <c r="D41" s="137" t="s">
        <v>448</v>
      </c>
      <c r="E41" s="138" t="s">
        <v>536</v>
      </c>
      <c r="F41" s="138">
        <v>44865</v>
      </c>
      <c r="G41" s="138" t="str">
        <f t="shared" ca="1" si="2"/>
        <v>OK</v>
      </c>
      <c r="H41" s="138" t="str">
        <f t="shared" ca="1" si="1"/>
        <v/>
      </c>
      <c r="I41" s="138"/>
    </row>
    <row r="42" spans="1:38" s="57" customFormat="1" x14ac:dyDescent="0.25">
      <c r="A42" s="12">
        <v>24</v>
      </c>
      <c r="B42" s="12" t="s">
        <v>532</v>
      </c>
      <c r="C42" s="137" t="s">
        <v>534</v>
      </c>
      <c r="D42" s="137" t="s">
        <v>448</v>
      </c>
      <c r="E42" s="138" t="s">
        <v>536</v>
      </c>
      <c r="F42" s="138">
        <v>44895</v>
      </c>
      <c r="G42" s="138" t="str">
        <f t="shared" ca="1" si="2"/>
        <v>OK</v>
      </c>
      <c r="H42" s="138" t="str">
        <f t="shared" ca="1" si="1"/>
        <v/>
      </c>
      <c r="I42" s="138" t="s">
        <v>928</v>
      </c>
    </row>
    <row r="43" spans="1:38" s="57" customFormat="1" x14ac:dyDescent="0.25">
      <c r="A43" s="12">
        <v>25</v>
      </c>
      <c r="B43" s="12" t="s">
        <v>533</v>
      </c>
      <c r="C43" s="137" t="s">
        <v>534</v>
      </c>
      <c r="D43" s="137" t="s">
        <v>35</v>
      </c>
      <c r="E43" s="138" t="s">
        <v>535</v>
      </c>
      <c r="F43" s="138">
        <v>44926</v>
      </c>
      <c r="G43" s="138" t="str">
        <f t="shared" ca="1" si="2"/>
        <v>OK</v>
      </c>
      <c r="H43" s="138" t="str">
        <f t="shared" ca="1" si="1"/>
        <v/>
      </c>
      <c r="I43" s="138"/>
    </row>
    <row r="44" spans="1:38" s="57" customFormat="1" x14ac:dyDescent="0.25">
      <c r="A44" s="12">
        <v>24</v>
      </c>
      <c r="B44" s="12" t="s">
        <v>532</v>
      </c>
      <c r="C44" s="137" t="s">
        <v>534</v>
      </c>
      <c r="D44" s="137" t="s">
        <v>448</v>
      </c>
      <c r="E44" s="138" t="s">
        <v>408</v>
      </c>
      <c r="F44" s="138">
        <v>44926</v>
      </c>
      <c r="G44" s="138" t="str">
        <f t="shared" ca="1" si="2"/>
        <v>OK</v>
      </c>
      <c r="H44" s="138" t="str">
        <f t="shared" ca="1" si="1"/>
        <v/>
      </c>
      <c r="I44" s="138" t="s">
        <v>928</v>
      </c>
    </row>
    <row r="45" spans="1:38" s="57" customFormat="1" x14ac:dyDescent="0.25">
      <c r="A45" s="12">
        <v>24</v>
      </c>
      <c r="B45" s="12" t="s">
        <v>532</v>
      </c>
      <c r="C45" s="137" t="s">
        <v>534</v>
      </c>
      <c r="D45" s="137" t="s">
        <v>448</v>
      </c>
      <c r="E45" s="138" t="s">
        <v>408</v>
      </c>
      <c r="F45" s="138">
        <v>44957</v>
      </c>
      <c r="G45" s="138" t="str">
        <f t="shared" ca="1" si="2"/>
        <v>OK</v>
      </c>
      <c r="H45" s="138" t="str">
        <f t="shared" ca="1" si="1"/>
        <v/>
      </c>
      <c r="I45" s="138" t="s">
        <v>928</v>
      </c>
      <c r="V45" s="139"/>
      <c r="W45" s="139"/>
      <c r="X45" s="139"/>
      <c r="AB45" s="140"/>
      <c r="AC45" s="140"/>
      <c r="AL45" s="139"/>
    </row>
    <row r="46" spans="1:38" s="57" customFormat="1" x14ac:dyDescent="0.25">
      <c r="A46" s="12">
        <v>24</v>
      </c>
      <c r="B46" s="12" t="s">
        <v>532</v>
      </c>
      <c r="C46" s="137" t="s">
        <v>534</v>
      </c>
      <c r="D46" s="137" t="s">
        <v>448</v>
      </c>
      <c r="E46" s="138" t="s">
        <v>408</v>
      </c>
      <c r="F46" s="138">
        <v>44985</v>
      </c>
      <c r="G46" s="138" t="str">
        <f t="shared" ca="1" si="2"/>
        <v>OK</v>
      </c>
      <c r="H46" s="138" t="str">
        <f t="shared" ca="1" si="1"/>
        <v/>
      </c>
      <c r="I46" s="138" t="s">
        <v>928</v>
      </c>
      <c r="V46" s="139"/>
      <c r="W46" s="139"/>
      <c r="X46" s="139"/>
      <c r="AB46" s="140"/>
      <c r="AC46" s="140"/>
      <c r="AL46" s="139"/>
    </row>
    <row r="47" spans="1:38" s="57" customFormat="1" x14ac:dyDescent="0.25">
      <c r="A47" s="12">
        <v>24</v>
      </c>
      <c r="B47" s="12" t="s">
        <v>532</v>
      </c>
      <c r="C47" s="137" t="s">
        <v>534</v>
      </c>
      <c r="D47" s="137" t="s">
        <v>448</v>
      </c>
      <c r="E47" s="138" t="s">
        <v>408</v>
      </c>
      <c r="F47" s="138">
        <v>45016</v>
      </c>
      <c r="G47" s="138" t="str">
        <f t="shared" ca="1" si="2"/>
        <v>OK</v>
      </c>
      <c r="H47" s="138" t="str">
        <f t="shared" ca="1" si="1"/>
        <v/>
      </c>
      <c r="I47" s="138" t="s">
        <v>928</v>
      </c>
      <c r="V47" s="139"/>
      <c r="W47" s="139"/>
      <c r="X47" s="139"/>
      <c r="AB47" s="140"/>
      <c r="AC47" s="140"/>
      <c r="AL47" s="139"/>
    </row>
    <row r="48" spans="1:38" s="57" customFormat="1" x14ac:dyDescent="0.25">
      <c r="A48" s="12">
        <v>24</v>
      </c>
      <c r="B48" s="12" t="s">
        <v>532</v>
      </c>
      <c r="C48" s="137" t="s">
        <v>534</v>
      </c>
      <c r="D48" s="137" t="s">
        <v>448</v>
      </c>
      <c r="E48" s="138" t="s">
        <v>408</v>
      </c>
      <c r="F48" s="138">
        <v>45046</v>
      </c>
      <c r="G48" s="138" t="str">
        <f t="shared" ca="1" si="2"/>
        <v>OK</v>
      </c>
      <c r="H48" s="138" t="str">
        <f t="shared" ca="1" si="1"/>
        <v/>
      </c>
      <c r="I48" s="138" t="s">
        <v>928</v>
      </c>
      <c r="L48" s="141"/>
      <c r="V48" s="139"/>
      <c r="W48" s="139"/>
      <c r="X48" s="139"/>
      <c r="AB48" s="140"/>
      <c r="AC48" s="140"/>
      <c r="AL48" s="139"/>
    </row>
    <row r="49" spans="1:38" s="57" customFormat="1" x14ac:dyDescent="0.25">
      <c r="A49" s="12">
        <v>24</v>
      </c>
      <c r="B49" s="12" t="s">
        <v>532</v>
      </c>
      <c r="C49" s="137" t="s">
        <v>534</v>
      </c>
      <c r="D49" s="137" t="s">
        <v>448</v>
      </c>
      <c r="E49" s="138" t="s">
        <v>536</v>
      </c>
      <c r="F49" s="138">
        <v>45077</v>
      </c>
      <c r="G49" s="138" t="str">
        <f t="shared" ca="1" si="2"/>
        <v>OK</v>
      </c>
      <c r="H49" s="138" t="str">
        <f t="shared" ca="1" si="1"/>
        <v/>
      </c>
      <c r="I49" s="138"/>
      <c r="L49" s="141"/>
      <c r="V49" s="139"/>
      <c r="W49" s="139"/>
      <c r="X49" s="139"/>
      <c r="AB49" s="140"/>
      <c r="AC49" s="140"/>
      <c r="AL49" s="139"/>
    </row>
    <row r="50" spans="1:38" s="57" customFormat="1" x14ac:dyDescent="0.25">
      <c r="A50" s="12">
        <v>24</v>
      </c>
      <c r="B50" s="12" t="s">
        <v>532</v>
      </c>
      <c r="C50" s="137" t="s">
        <v>534</v>
      </c>
      <c r="D50" s="137" t="s">
        <v>448</v>
      </c>
      <c r="E50" s="138" t="s">
        <v>408</v>
      </c>
      <c r="F50" s="138">
        <v>45107</v>
      </c>
      <c r="G50" s="138" t="str">
        <f t="shared" ca="1" si="2"/>
        <v>OK</v>
      </c>
      <c r="H50" s="138" t="str">
        <f t="shared" ca="1" si="1"/>
        <v/>
      </c>
      <c r="I50" s="138" t="s">
        <v>928</v>
      </c>
      <c r="L50" s="141"/>
      <c r="V50" s="139"/>
      <c r="W50" s="139"/>
      <c r="X50" s="139"/>
      <c r="AB50" s="140"/>
      <c r="AC50" s="140"/>
      <c r="AL50" s="139"/>
    </row>
    <row r="51" spans="1:38" s="57" customFormat="1" x14ac:dyDescent="0.25">
      <c r="A51" s="12">
        <v>24</v>
      </c>
      <c r="B51" s="12" t="s">
        <v>532</v>
      </c>
      <c r="C51" s="137" t="s">
        <v>534</v>
      </c>
      <c r="D51" s="137" t="s">
        <v>448</v>
      </c>
      <c r="E51" s="138" t="s">
        <v>408</v>
      </c>
      <c r="F51" s="138">
        <v>45138</v>
      </c>
      <c r="G51" s="138" t="str">
        <f t="shared" ca="1" si="2"/>
        <v>OK</v>
      </c>
      <c r="H51" s="138" t="str">
        <f t="shared" ca="1" si="1"/>
        <v/>
      </c>
      <c r="I51" s="138" t="s">
        <v>928</v>
      </c>
      <c r="L51" s="141"/>
      <c r="V51" s="139"/>
      <c r="W51" s="139"/>
      <c r="X51" s="139"/>
      <c r="AB51" s="140"/>
      <c r="AC51" s="140"/>
      <c r="AL51" s="139"/>
    </row>
    <row r="52" spans="1:38" s="57" customFormat="1" x14ac:dyDescent="0.25">
      <c r="A52" s="12">
        <v>25</v>
      </c>
      <c r="B52" s="12" t="s">
        <v>533</v>
      </c>
      <c r="C52" s="137" t="s">
        <v>534</v>
      </c>
      <c r="D52" s="137" t="s">
        <v>35</v>
      </c>
      <c r="E52" s="138" t="s">
        <v>536</v>
      </c>
      <c r="F52" s="138">
        <v>45042</v>
      </c>
      <c r="G52" s="138" t="str">
        <f t="shared" ca="1" si="2"/>
        <v>OK</v>
      </c>
      <c r="H52" s="138" t="str">
        <f t="shared" ca="1" si="1"/>
        <v/>
      </c>
      <c r="I52" s="138"/>
    </row>
    <row r="53" spans="1:38" s="57" customFormat="1" x14ac:dyDescent="0.25">
      <c r="A53" s="12">
        <v>25</v>
      </c>
      <c r="B53" s="12" t="s">
        <v>533</v>
      </c>
      <c r="C53" s="137" t="s">
        <v>534</v>
      </c>
      <c r="D53" s="137" t="s">
        <v>35</v>
      </c>
      <c r="E53" s="138" t="s">
        <v>536</v>
      </c>
      <c r="F53" s="138">
        <v>45076</v>
      </c>
      <c r="G53" s="138" t="str">
        <f t="shared" ca="1" si="2"/>
        <v>OK</v>
      </c>
      <c r="H53" s="138" t="str">
        <f t="shared" ca="1" si="1"/>
        <v/>
      </c>
      <c r="I53" s="138"/>
    </row>
    <row r="54" spans="1:38" x14ac:dyDescent="0.25">
      <c r="A54" s="8">
        <v>24</v>
      </c>
      <c r="B54" s="8" t="s">
        <v>1100</v>
      </c>
      <c r="C54" s="2" t="s">
        <v>404</v>
      </c>
      <c r="D54" s="2" t="s">
        <v>35</v>
      </c>
      <c r="E54" s="9">
        <v>43440</v>
      </c>
      <c r="G54" s="9" t="str">
        <f ca="1">IF(C54="Legal",IF(AND(D54="Mensal",INT((YEARFRAC(F54,TODAY()))*12)&lt;1),"OK",IF(AND(D54="Bimestral",INT((YEARFRAC(F54,TODAY()))*12)&lt;2),"OK",IF(AND(D54="Trimestral",INT((YEARFRAC(F54,TODAY()))*12)&lt;3),"OK",IF(AND(D54="Semestral",INT((YEARFRAC(F54,TODAY()))*12)&lt;6),"OK",IF(AND(D54="Anual",INT((YEARFRAC(F54,TODAY()))*12)&lt;12),"OK",IF(AND(D54="5 anos",INT((YEARFRAC(F54,TODAY()))*12)&lt;60),"OK","Pendente")))))),IF(OR(E54="Assinado",E54="Feito"),"OK","Pendente de ata"))</f>
        <v>Pendente</v>
      </c>
      <c r="H54" s="9">
        <f ca="1">IF(AND(C54="ATA",G54="OK"),"",IF(D54="Mensal",EOMONTH(F54,1),IF(D54="Bimestral",EOMONTH(F54,2),IF(D54="Trimestral",EOMONTH(F54,3),IF(D54="Semestral",EOMONTH(F54,6),IF(D54="Anual",EOMONTH(F54,12),IF(D54="5 anos",EOMONTH(F54,60),"")))))))</f>
        <v>121</v>
      </c>
      <c r="I54" s="9"/>
    </row>
    <row r="55" spans="1:38" x14ac:dyDescent="0.25">
      <c r="A55" s="8">
        <v>26</v>
      </c>
      <c r="B55" s="8" t="s">
        <v>1101</v>
      </c>
      <c r="C55" s="2" t="s">
        <v>404</v>
      </c>
      <c r="D55" s="2" t="s">
        <v>35</v>
      </c>
    </row>
    <row r="56" spans="1:38" x14ac:dyDescent="0.25">
      <c r="A56" s="8">
        <v>28</v>
      </c>
      <c r="B56" s="8" t="s">
        <v>1102</v>
      </c>
      <c r="C56" s="2" t="s">
        <v>404</v>
      </c>
      <c r="D56" s="2" t="s">
        <v>37</v>
      </c>
    </row>
    <row r="57" spans="1:38" x14ac:dyDescent="0.25">
      <c r="A57" s="8">
        <v>30</v>
      </c>
      <c r="B57" s="8" t="s">
        <v>1103</v>
      </c>
      <c r="C57" s="2" t="s">
        <v>404</v>
      </c>
      <c r="D57" s="2" t="s">
        <v>37</v>
      </c>
    </row>
    <row r="58" spans="1:38" x14ac:dyDescent="0.25">
      <c r="A58" s="8">
        <v>32</v>
      </c>
      <c r="B58" s="8" t="s">
        <v>1104</v>
      </c>
      <c r="C58" s="2" t="s">
        <v>404</v>
      </c>
      <c r="D58" s="2" t="s">
        <v>1146</v>
      </c>
    </row>
    <row r="59" spans="1:38" x14ac:dyDescent="0.25">
      <c r="A59" s="8">
        <v>34</v>
      </c>
      <c r="B59" s="8" t="s">
        <v>1105</v>
      </c>
      <c r="C59" s="2" t="s">
        <v>404</v>
      </c>
      <c r="D59" s="2" t="s">
        <v>37</v>
      </c>
    </row>
    <row r="60" spans="1:38" x14ac:dyDescent="0.25">
      <c r="A60" s="8">
        <v>36</v>
      </c>
      <c r="B60" s="8" t="s">
        <v>1106</v>
      </c>
      <c r="C60" s="2" t="s">
        <v>404</v>
      </c>
      <c r="D60" s="2" t="s">
        <v>37</v>
      </c>
    </row>
    <row r="61" spans="1:38" x14ac:dyDescent="0.25">
      <c r="A61" s="8">
        <v>38</v>
      </c>
      <c r="B61" s="8" t="s">
        <v>1107</v>
      </c>
      <c r="C61" s="2" t="s">
        <v>404</v>
      </c>
      <c r="D61" s="2" t="s">
        <v>37</v>
      </c>
    </row>
    <row r="62" spans="1:38" x14ac:dyDescent="0.25">
      <c r="A62" s="8">
        <v>40</v>
      </c>
      <c r="B62" s="8" t="s">
        <v>1108</v>
      </c>
      <c r="C62" s="2" t="s">
        <v>404</v>
      </c>
      <c r="D62" s="2" t="s">
        <v>37</v>
      </c>
    </row>
    <row r="63" spans="1:38" x14ac:dyDescent="0.25">
      <c r="A63" s="8">
        <v>42</v>
      </c>
      <c r="B63" s="8" t="s">
        <v>1109</v>
      </c>
      <c r="C63" s="2" t="s">
        <v>404</v>
      </c>
      <c r="D63" s="2" t="s">
        <v>37</v>
      </c>
    </row>
    <row r="64" spans="1:38" x14ac:dyDescent="0.25">
      <c r="A64" s="8">
        <v>44</v>
      </c>
      <c r="B64" s="8" t="s">
        <v>1110</v>
      </c>
      <c r="C64" s="2" t="s">
        <v>404</v>
      </c>
      <c r="D64" s="2" t="s">
        <v>37</v>
      </c>
    </row>
    <row r="65" spans="1:5" x14ac:dyDescent="0.25">
      <c r="A65" s="8">
        <v>46</v>
      </c>
      <c r="B65" s="8" t="s">
        <v>1111</v>
      </c>
      <c r="C65" s="2" t="s">
        <v>404</v>
      </c>
      <c r="D65" s="2" t="s">
        <v>37</v>
      </c>
    </row>
    <row r="66" spans="1:5" x14ac:dyDescent="0.25">
      <c r="A66" s="8">
        <v>48</v>
      </c>
      <c r="B66" s="8" t="s">
        <v>1112</v>
      </c>
      <c r="C66" s="2" t="s">
        <v>404</v>
      </c>
      <c r="D66" s="2" t="s">
        <v>37</v>
      </c>
    </row>
    <row r="67" spans="1:5" x14ac:dyDescent="0.25">
      <c r="A67" s="8">
        <v>50</v>
      </c>
      <c r="B67" s="8" t="s">
        <v>1113</v>
      </c>
      <c r="C67" s="2" t="s">
        <v>404</v>
      </c>
      <c r="D67" s="2" t="s">
        <v>35</v>
      </c>
    </row>
    <row r="68" spans="1:5" x14ac:dyDescent="0.25">
      <c r="A68" s="8">
        <v>52</v>
      </c>
      <c r="B68" s="8" t="s">
        <v>1114</v>
      </c>
      <c r="C68" s="2" t="s">
        <v>404</v>
      </c>
      <c r="D68" s="2" t="s">
        <v>446</v>
      </c>
    </row>
    <row r="69" spans="1:5" x14ac:dyDescent="0.25">
      <c r="A69" s="8">
        <v>54</v>
      </c>
      <c r="B69" s="8" t="s">
        <v>1115</v>
      </c>
      <c r="C69" s="2" t="s">
        <v>404</v>
      </c>
      <c r="D69" s="2" t="s">
        <v>35</v>
      </c>
    </row>
    <row r="70" spans="1:5" x14ac:dyDescent="0.25">
      <c r="A70" s="8">
        <v>56</v>
      </c>
      <c r="B70" s="8" t="s">
        <v>1116</v>
      </c>
      <c r="C70" s="2" t="s">
        <v>404</v>
      </c>
      <c r="D70" s="2" t="s">
        <v>35</v>
      </c>
    </row>
    <row r="71" spans="1:5" x14ac:dyDescent="0.25">
      <c r="A71" s="8">
        <v>58</v>
      </c>
      <c r="B71" s="8" t="s">
        <v>1117</v>
      </c>
      <c r="C71" s="2" t="s">
        <v>404</v>
      </c>
      <c r="D71" s="2" t="s">
        <v>36</v>
      </c>
    </row>
    <row r="72" spans="1:5" x14ac:dyDescent="0.25">
      <c r="A72" s="8">
        <v>60</v>
      </c>
      <c r="B72" s="8" t="s">
        <v>1118</v>
      </c>
      <c r="C72" s="2" t="s">
        <v>404</v>
      </c>
      <c r="D72" s="2" t="s">
        <v>447</v>
      </c>
    </row>
    <row r="73" spans="1:5" x14ac:dyDescent="0.25">
      <c r="A73" s="8">
        <v>62</v>
      </c>
      <c r="B73" s="8" t="s">
        <v>1119</v>
      </c>
      <c r="C73" s="2" t="s">
        <v>404</v>
      </c>
      <c r="D73" s="2" t="s">
        <v>37</v>
      </c>
    </row>
    <row r="74" spans="1:5" x14ac:dyDescent="0.25">
      <c r="A74" s="8">
        <v>64</v>
      </c>
      <c r="B74" s="8" t="s">
        <v>1120</v>
      </c>
      <c r="C74" s="2" t="s">
        <v>404</v>
      </c>
      <c r="D74" s="2" t="s">
        <v>36</v>
      </c>
      <c r="E74" s="11"/>
    </row>
    <row r="75" spans="1:5" x14ac:dyDescent="0.25">
      <c r="A75" s="8">
        <v>66</v>
      </c>
      <c r="B75" s="8" t="s">
        <v>1121</v>
      </c>
      <c r="C75" s="2" t="s">
        <v>404</v>
      </c>
      <c r="D75" s="2" t="s">
        <v>36</v>
      </c>
      <c r="E75" s="11"/>
    </row>
    <row r="76" spans="1:5" x14ac:dyDescent="0.25">
      <c r="A76" s="8">
        <v>68</v>
      </c>
      <c r="B76" s="8" t="s">
        <v>1122</v>
      </c>
      <c r="C76" s="2" t="s">
        <v>404</v>
      </c>
      <c r="D76" s="2" t="s">
        <v>36</v>
      </c>
      <c r="E76" s="11"/>
    </row>
    <row r="77" spans="1:5" x14ac:dyDescent="0.25">
      <c r="A77" s="8">
        <v>70</v>
      </c>
      <c r="B77" s="8" t="s">
        <v>1123</v>
      </c>
      <c r="C77" s="2" t="s">
        <v>404</v>
      </c>
      <c r="D77" s="2" t="s">
        <v>36</v>
      </c>
      <c r="E77" s="11"/>
    </row>
    <row r="78" spans="1:5" x14ac:dyDescent="0.25">
      <c r="A78" s="8">
        <v>72</v>
      </c>
      <c r="B78" s="8" t="s">
        <v>1124</v>
      </c>
      <c r="C78" s="2" t="s">
        <v>404</v>
      </c>
      <c r="D78" s="2" t="s">
        <v>36</v>
      </c>
      <c r="E78" s="11"/>
    </row>
    <row r="79" spans="1:5" x14ac:dyDescent="0.25">
      <c r="A79" s="8">
        <v>74</v>
      </c>
      <c r="B79" s="8" t="s">
        <v>1126</v>
      </c>
      <c r="C79" s="2" t="s">
        <v>404</v>
      </c>
      <c r="D79" s="2" t="s">
        <v>36</v>
      </c>
      <c r="E79" s="11"/>
    </row>
    <row r="80" spans="1:5" x14ac:dyDescent="0.25">
      <c r="A80" s="8">
        <v>76</v>
      </c>
      <c r="B80" s="8" t="s">
        <v>1127</v>
      </c>
      <c r="C80" s="2" t="s">
        <v>404</v>
      </c>
      <c r="D80" s="2" t="s">
        <v>36</v>
      </c>
      <c r="E80" s="11"/>
    </row>
    <row r="81" spans="1:5" x14ac:dyDescent="0.25">
      <c r="A81" s="8">
        <v>78</v>
      </c>
      <c r="B81" s="8" t="s">
        <v>1128</v>
      </c>
      <c r="C81" s="2" t="s">
        <v>404</v>
      </c>
      <c r="D81" s="2" t="s">
        <v>36</v>
      </c>
      <c r="E81" s="11"/>
    </row>
    <row r="82" spans="1:5" x14ac:dyDescent="0.25">
      <c r="A82" s="8">
        <v>80</v>
      </c>
      <c r="B82" s="8" t="s">
        <v>1129</v>
      </c>
      <c r="C82" s="2" t="s">
        <v>404</v>
      </c>
      <c r="D82" s="2" t="s">
        <v>36</v>
      </c>
      <c r="E82" s="11"/>
    </row>
    <row r="83" spans="1:5" x14ac:dyDescent="0.25">
      <c r="A83" s="8">
        <v>82</v>
      </c>
      <c r="B83" s="8" t="s">
        <v>1130</v>
      </c>
      <c r="C83" s="2" t="s">
        <v>404</v>
      </c>
      <c r="D83" s="2" t="s">
        <v>36</v>
      </c>
      <c r="E83" s="11"/>
    </row>
    <row r="84" spans="1:5" x14ac:dyDescent="0.25">
      <c r="A84" s="8">
        <v>84</v>
      </c>
      <c r="B84" s="8" t="s">
        <v>1131</v>
      </c>
      <c r="C84" s="2" t="s">
        <v>404</v>
      </c>
      <c r="D84" s="2" t="s">
        <v>36</v>
      </c>
      <c r="E84" s="11"/>
    </row>
    <row r="85" spans="1:5" x14ac:dyDescent="0.25">
      <c r="A85" s="8">
        <v>86</v>
      </c>
      <c r="B85" s="8" t="s">
        <v>1132</v>
      </c>
      <c r="C85" s="2" t="s">
        <v>404</v>
      </c>
      <c r="D85" s="2" t="s">
        <v>36</v>
      </c>
      <c r="E85" s="11"/>
    </row>
    <row r="86" spans="1:5" x14ac:dyDescent="0.25">
      <c r="A86" s="8">
        <v>88</v>
      </c>
      <c r="B86" s="8" t="s">
        <v>1133</v>
      </c>
      <c r="C86" s="2" t="s">
        <v>404</v>
      </c>
      <c r="D86" s="2" t="s">
        <v>36</v>
      </c>
      <c r="E86" s="11"/>
    </row>
    <row r="87" spans="1:5" x14ac:dyDescent="0.25">
      <c r="A87" s="8">
        <v>90</v>
      </c>
      <c r="B87" s="8" t="s">
        <v>1134</v>
      </c>
      <c r="C87" s="2" t="s">
        <v>404</v>
      </c>
      <c r="D87" s="2" t="s">
        <v>35</v>
      </c>
      <c r="E87" s="11"/>
    </row>
    <row r="88" spans="1:5" x14ac:dyDescent="0.25">
      <c r="A88" s="8">
        <v>92</v>
      </c>
      <c r="B88" s="8" t="s">
        <v>1136</v>
      </c>
      <c r="C88" s="2" t="s">
        <v>404</v>
      </c>
      <c r="D88" s="2" t="s">
        <v>35</v>
      </c>
      <c r="E88" s="11"/>
    </row>
    <row r="89" spans="1:5" x14ac:dyDescent="0.25">
      <c r="A89" s="8">
        <v>94</v>
      </c>
      <c r="B89" s="8" t="s">
        <v>1137</v>
      </c>
      <c r="C89" s="2" t="s">
        <v>404</v>
      </c>
      <c r="D89" s="2" t="s">
        <v>37</v>
      </c>
      <c r="E89" s="11"/>
    </row>
    <row r="90" spans="1:5" x14ac:dyDescent="0.25">
      <c r="A90" s="8">
        <v>96</v>
      </c>
      <c r="B90" s="8" t="s">
        <v>1138</v>
      </c>
      <c r="C90" s="2" t="s">
        <v>404</v>
      </c>
      <c r="D90" s="2" t="s">
        <v>36</v>
      </c>
      <c r="E90" s="11"/>
    </row>
    <row r="91" spans="1:5" x14ac:dyDescent="0.25">
      <c r="A91" s="8">
        <v>98</v>
      </c>
      <c r="B91" s="8" t="s">
        <v>1139</v>
      </c>
      <c r="C91" s="2" t="s">
        <v>404</v>
      </c>
      <c r="D91" s="2" t="s">
        <v>37</v>
      </c>
      <c r="E91" s="11"/>
    </row>
    <row r="92" spans="1:5" x14ac:dyDescent="0.25">
      <c r="A92" s="8">
        <v>100</v>
      </c>
      <c r="B92" s="8" t="s">
        <v>1140</v>
      </c>
      <c r="C92" s="2" t="s">
        <v>404</v>
      </c>
      <c r="D92" s="2" t="s">
        <v>1147</v>
      </c>
      <c r="E92" s="11"/>
    </row>
    <row r="93" spans="1:5" x14ac:dyDescent="0.25">
      <c r="A93" s="8">
        <v>102</v>
      </c>
      <c r="B93" s="8" t="s">
        <v>1141</v>
      </c>
      <c r="C93" s="2" t="s">
        <v>404</v>
      </c>
      <c r="D93" s="2" t="s">
        <v>36</v>
      </c>
      <c r="E93" s="11"/>
    </row>
    <row r="94" spans="1:5" x14ac:dyDescent="0.25">
      <c r="A94" s="8">
        <v>106</v>
      </c>
      <c r="B94" s="8" t="s">
        <v>1142</v>
      </c>
      <c r="C94" s="2" t="s">
        <v>404</v>
      </c>
      <c r="D94" s="2" t="s">
        <v>36</v>
      </c>
      <c r="E94" s="11"/>
    </row>
    <row r="95" spans="1:5" x14ac:dyDescent="0.25">
      <c r="A95" s="8">
        <v>108</v>
      </c>
      <c r="B95" s="8" t="s">
        <v>1143</v>
      </c>
      <c r="C95" s="2" t="s">
        <v>404</v>
      </c>
      <c r="D95" s="2" t="s">
        <v>36</v>
      </c>
      <c r="E95" s="11"/>
    </row>
    <row r="96" spans="1:5" x14ac:dyDescent="0.25">
      <c r="A96" s="8">
        <v>110</v>
      </c>
      <c r="B96" s="8" t="s">
        <v>1144</v>
      </c>
      <c r="C96" s="2" t="s">
        <v>404</v>
      </c>
      <c r="D96" s="2" t="s">
        <v>36</v>
      </c>
      <c r="E96" s="11"/>
    </row>
    <row r="97" spans="1:4" x14ac:dyDescent="0.25">
      <c r="A97" s="8">
        <v>112</v>
      </c>
      <c r="B97" s="8" t="s">
        <v>1145</v>
      </c>
      <c r="C97" s="2" t="s">
        <v>404</v>
      </c>
      <c r="D97" s="2" t="s">
        <v>37</v>
      </c>
    </row>
  </sheetData>
  <autoFilter ref="A1:L44" xr:uid="{A04DDECA-D952-499F-A7B6-23B408AF5161}"/>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597B3-9E6B-44CC-8430-8E5FD7FBDA61}">
  <sheetPr codeName="Sheet10">
    <tabColor theme="8"/>
  </sheetPr>
  <dimension ref="B1:CY197"/>
  <sheetViews>
    <sheetView showGridLines="0" topLeftCell="B2" zoomScale="85" zoomScaleNormal="85" workbookViewId="0">
      <pane xSplit="2" ySplit="2" topLeftCell="AD37" activePane="bottomRight" state="frozen"/>
      <selection activeCell="F31" sqref="A29:F31"/>
      <selection pane="topRight" activeCell="F31" sqref="A29:F31"/>
      <selection pane="bottomLeft" activeCell="F31" sqref="A29:F31"/>
      <selection pane="bottomRight" activeCell="B28" sqref="B28"/>
    </sheetView>
  </sheetViews>
  <sheetFormatPr defaultRowHeight="15" x14ac:dyDescent="0.25"/>
  <cols>
    <col min="2" max="2" width="95.7109375" bestFit="1" customWidth="1"/>
    <col min="3" max="3" width="22.42578125" bestFit="1" customWidth="1"/>
    <col min="4" max="77" width="34.42578125" style="7" customWidth="1"/>
    <col min="85" max="85" width="64" bestFit="1" customWidth="1"/>
    <col min="86" max="86" width="55.42578125" bestFit="1" customWidth="1"/>
    <col min="87" max="87" width="22" customWidth="1"/>
    <col min="88" max="88" width="18.85546875" customWidth="1"/>
    <col min="89" max="89" width="18.42578125" customWidth="1"/>
    <col min="90" max="90" width="16.7109375" customWidth="1"/>
    <col min="91" max="91" width="29.7109375" customWidth="1"/>
    <col min="92" max="92" width="14.140625" customWidth="1"/>
    <col min="93" max="93" width="23.28515625" customWidth="1"/>
    <col min="94" max="94" width="23.28515625" style="7" customWidth="1"/>
    <col min="95" max="95" width="23.28515625" customWidth="1"/>
    <col min="96" max="96" width="27.5703125" customWidth="1"/>
    <col min="97" max="97" width="29.28515625" bestFit="1" customWidth="1"/>
    <col min="98" max="99" width="29.28515625" customWidth="1"/>
    <col min="100" max="100" width="13.85546875" customWidth="1"/>
    <col min="101" max="101" width="19.140625" bestFit="1" customWidth="1"/>
    <col min="102" max="102" width="56.28515625" bestFit="1" customWidth="1"/>
    <col min="103" max="103" width="13.140625" bestFit="1" customWidth="1"/>
  </cols>
  <sheetData>
    <row r="1" spans="2:103" x14ac:dyDescent="0.25">
      <c r="D1" s="51"/>
      <c r="E1" s="51"/>
      <c r="F1" s="51"/>
      <c r="G1" s="5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row>
    <row r="2" spans="2:103" s="50" customFormat="1" ht="30.75" thickBot="1" x14ac:dyDescent="0.3">
      <c r="B2" s="65" t="s">
        <v>369</v>
      </c>
      <c r="C2" s="52"/>
      <c r="D2" s="52" t="s">
        <v>221</v>
      </c>
      <c r="E2" s="52" t="s">
        <v>274</v>
      </c>
      <c r="F2" s="52" t="s">
        <v>222</v>
      </c>
      <c r="G2" s="52" t="s">
        <v>221</v>
      </c>
      <c r="H2" s="52" t="s">
        <v>370</v>
      </c>
      <c r="I2" s="52" t="s">
        <v>370</v>
      </c>
      <c r="J2" s="52" t="s">
        <v>370</v>
      </c>
      <c r="K2" s="52" t="s">
        <v>370</v>
      </c>
      <c r="L2" s="52" t="s">
        <v>370</v>
      </c>
      <c r="M2" s="52" t="s">
        <v>370</v>
      </c>
      <c r="N2" s="52" t="s">
        <v>370</v>
      </c>
      <c r="O2" s="52" t="s">
        <v>370</v>
      </c>
      <c r="P2" s="52" t="s">
        <v>370</v>
      </c>
      <c r="Q2" s="52" t="s">
        <v>370</v>
      </c>
      <c r="R2" s="52" t="s">
        <v>370</v>
      </c>
      <c r="S2" s="52" t="s">
        <v>370</v>
      </c>
      <c r="T2" s="52" t="s">
        <v>370</v>
      </c>
      <c r="U2" s="52" t="s">
        <v>370</v>
      </c>
      <c r="V2" s="52" t="s">
        <v>370</v>
      </c>
      <c r="W2" s="52" t="s">
        <v>370</v>
      </c>
      <c r="X2" s="52" t="s">
        <v>370</v>
      </c>
      <c r="Y2" s="52" t="s">
        <v>370</v>
      </c>
      <c r="Z2" s="52" t="s">
        <v>370</v>
      </c>
      <c r="AA2" s="52" t="s">
        <v>370</v>
      </c>
      <c r="AB2" s="52" t="s">
        <v>161</v>
      </c>
      <c r="AC2" s="52" t="s">
        <v>161</v>
      </c>
      <c r="AD2" s="52" t="s">
        <v>161</v>
      </c>
      <c r="AE2" s="52" t="s">
        <v>161</v>
      </c>
      <c r="AF2" s="52" t="s">
        <v>1098</v>
      </c>
      <c r="AG2" s="52" t="s">
        <v>274</v>
      </c>
      <c r="AH2" s="52" t="s">
        <v>221</v>
      </c>
      <c r="AI2" s="52"/>
      <c r="AJ2" s="52"/>
      <c r="AK2" s="52"/>
      <c r="AL2" s="52"/>
      <c r="AM2" s="52"/>
      <c r="AN2" s="52"/>
      <c r="AO2" s="52"/>
      <c r="AP2" s="52"/>
      <c r="AQ2" s="52"/>
      <c r="AR2" s="52"/>
      <c r="AS2" s="52"/>
      <c r="AT2" s="52"/>
      <c r="AU2" s="52"/>
      <c r="AV2" s="52"/>
      <c r="AW2" s="52"/>
      <c r="AX2" s="52"/>
      <c r="AY2" s="52"/>
      <c r="AZ2" s="52"/>
      <c r="BA2" s="52"/>
      <c r="BB2" s="52"/>
      <c r="BC2" s="52"/>
      <c r="BD2" s="52"/>
      <c r="BE2" s="52"/>
      <c r="BF2" s="52"/>
      <c r="BG2" s="52"/>
      <c r="BH2" s="52"/>
      <c r="BI2" s="52"/>
      <c r="BJ2" s="52"/>
      <c r="BK2" s="52"/>
      <c r="BL2" s="52"/>
      <c r="BM2" s="52"/>
      <c r="BN2" s="52"/>
      <c r="BO2" s="52"/>
      <c r="BP2" s="52"/>
      <c r="BQ2" s="52"/>
      <c r="BR2" s="52"/>
      <c r="BS2" s="52"/>
      <c r="BT2" s="52"/>
      <c r="BU2" s="52"/>
      <c r="BV2" s="52"/>
      <c r="BW2" s="52"/>
      <c r="BX2" s="52"/>
      <c r="BY2" s="52"/>
      <c r="CG2" s="50">
        <f>MATCH(CG3,$B:$B,0)</f>
        <v>2</v>
      </c>
      <c r="CH2" s="50">
        <f>MATCH(CH3,$B:$B,0)</f>
        <v>3</v>
      </c>
      <c r="CI2" s="97">
        <f>MATCH(CI3,$B:$B,0)-2</f>
        <v>10</v>
      </c>
      <c r="CJ2" s="97">
        <f>MATCH(CJ3,$B:$B,0)-2</f>
        <v>21</v>
      </c>
      <c r="CK2" s="97">
        <f>MATCH(CK3,$B:$B,0)-2</f>
        <v>30</v>
      </c>
      <c r="CL2" s="97">
        <f t="shared" ref="CL2:CM2" si="0">MATCH(CL3,$B:$B,0)-2</f>
        <v>37</v>
      </c>
      <c r="CM2" s="97">
        <f t="shared" si="0"/>
        <v>43</v>
      </c>
      <c r="CN2" s="97">
        <f>MATCH(CN3,$B:$B,0)-2</f>
        <v>62</v>
      </c>
      <c r="CO2" s="97">
        <f t="shared" ref="CO2" si="1">MATCH(CO3,$B:$B,0)-2</f>
        <v>63</v>
      </c>
      <c r="CP2" s="97">
        <f>MATCH(CP3,$B:$B,0)-2</f>
        <v>64</v>
      </c>
      <c r="CQ2" s="97">
        <f t="shared" ref="CQ2" si="2">MATCH(CQ3,$B:$B,0)-2</f>
        <v>65</v>
      </c>
      <c r="CR2" s="97">
        <f t="shared" ref="CR2" si="3">MATCH(CR3,$B:$B,0)-2</f>
        <v>66</v>
      </c>
      <c r="CS2" s="97">
        <f t="shared" ref="CS2" si="4">MATCH(CS3,$B:$B,0)-2</f>
        <v>71</v>
      </c>
      <c r="CT2" s="97">
        <f t="shared" ref="CT2" si="5">MATCH(CT3,$B:$B,0)-2</f>
        <v>67</v>
      </c>
      <c r="CU2" s="97">
        <f t="shared" ref="CU2" si="6">MATCH(CU3,$B:$B,0)-2</f>
        <v>72</v>
      </c>
      <c r="CV2" s="97">
        <f>MATCH(CV3,$B:$B,0)-2</f>
        <v>68</v>
      </c>
      <c r="CW2" s="97">
        <f t="shared" ref="CW2" si="7">MATCH(CW3,$B:$B,0)-2</f>
        <v>69</v>
      </c>
      <c r="CX2" s="97">
        <f>MATCH(CX3,$B:$B,0)-2</f>
        <v>73</v>
      </c>
      <c r="CY2" s="97">
        <f>MATCH(CY3,$B:$B,0)+1</f>
        <v>58</v>
      </c>
    </row>
    <row r="3" spans="2:103" ht="15.75" thickTop="1" x14ac:dyDescent="0.25">
      <c r="B3" s="66" t="s">
        <v>223</v>
      </c>
      <c r="D3" s="7" t="s">
        <v>278</v>
      </c>
      <c r="E3" s="7" t="s">
        <v>224</v>
      </c>
      <c r="F3" s="7" t="s">
        <v>84</v>
      </c>
      <c r="G3" s="7" t="s">
        <v>405</v>
      </c>
      <c r="H3" s="7" t="s">
        <v>527</v>
      </c>
      <c r="I3" s="7" t="s">
        <v>519</v>
      </c>
      <c r="J3" s="7" t="s">
        <v>520</v>
      </c>
      <c r="K3" s="7" t="s">
        <v>240</v>
      </c>
      <c r="L3" s="7" t="s">
        <v>521</v>
      </c>
      <c r="M3" s="7" t="s">
        <v>528</v>
      </c>
      <c r="N3" s="7" t="s">
        <v>237</v>
      </c>
      <c r="O3" s="7" t="s">
        <v>522</v>
      </c>
      <c r="P3" s="7" t="s">
        <v>523</v>
      </c>
      <c r="Q3" s="7" t="s">
        <v>279</v>
      </c>
      <c r="R3" s="7" t="s">
        <v>530</v>
      </c>
      <c r="S3" s="7" t="s">
        <v>524</v>
      </c>
      <c r="T3" s="7" t="s">
        <v>525</v>
      </c>
      <c r="U3" s="7" t="s">
        <v>526</v>
      </c>
      <c r="V3" s="7" t="s">
        <v>113</v>
      </c>
      <c r="W3" s="7" t="s">
        <v>147</v>
      </c>
      <c r="X3" s="7" t="s">
        <v>529</v>
      </c>
      <c r="Y3" s="7" t="s">
        <v>239</v>
      </c>
      <c r="Z3" s="7" t="s">
        <v>238</v>
      </c>
      <c r="AA3" s="7" t="s">
        <v>236</v>
      </c>
      <c r="AB3" s="7" t="s">
        <v>371</v>
      </c>
      <c r="AC3" s="7" t="s">
        <v>273</v>
      </c>
      <c r="AD3" s="7" t="s">
        <v>271</v>
      </c>
      <c r="AE3" s="7" t="s">
        <v>272</v>
      </c>
      <c r="AF3" s="7" t="s">
        <v>1097</v>
      </c>
      <c r="AG3" s="7" t="s">
        <v>2446</v>
      </c>
      <c r="AH3" s="7" t="s">
        <v>2470</v>
      </c>
      <c r="CF3">
        <v>1</v>
      </c>
      <c r="CG3" s="49" t="s">
        <v>369</v>
      </c>
      <c r="CH3" s="49" t="s">
        <v>223</v>
      </c>
      <c r="CI3" s="55" t="s">
        <v>227</v>
      </c>
      <c r="CJ3" s="55" t="s">
        <v>228</v>
      </c>
      <c r="CK3" s="55" t="s">
        <v>229</v>
      </c>
      <c r="CL3" s="55" t="s">
        <v>232</v>
      </c>
      <c r="CM3" s="49" t="s">
        <v>231</v>
      </c>
      <c r="CN3" s="49" t="s">
        <v>11</v>
      </c>
      <c r="CO3" s="49" t="s">
        <v>372</v>
      </c>
      <c r="CP3" s="49" t="s">
        <v>410</v>
      </c>
      <c r="CQ3" s="49" t="s">
        <v>411</v>
      </c>
      <c r="CR3" s="49" t="s">
        <v>275</v>
      </c>
      <c r="CS3" s="49" t="s">
        <v>589</v>
      </c>
      <c r="CT3" s="49" t="s">
        <v>384</v>
      </c>
      <c r="CU3" s="49" t="s">
        <v>501</v>
      </c>
      <c r="CV3" s="49" t="s">
        <v>241</v>
      </c>
      <c r="CW3" s="49" t="s">
        <v>242</v>
      </c>
      <c r="CX3" s="49" t="s">
        <v>235</v>
      </c>
      <c r="CY3" s="49" t="s">
        <v>848</v>
      </c>
    </row>
    <row r="4" spans="2:103" x14ac:dyDescent="0.25">
      <c r="CF4">
        <v>2</v>
      </c>
      <c r="CG4" s="3" t="str">
        <f t="array" ref="CG4:CG77">TRANSPOSE(D2:BY2)</f>
        <v>Fornecedores de Software para Gestão de Riscos e de Compliance</v>
      </c>
      <c r="CH4" s="3" t="str">
        <f t="array" ref="CH4:CH77">TRANSPOSE(D3:BY3)</f>
        <v>LOTE45</v>
      </c>
      <c r="CI4" s="56">
        <f t="shared" ref="CI4:CX13" si="8">IFERROR(IF(HLOOKUP($CH4,$B$3:$BY$86,CI$2,FALSE)="","",HLOOKUP($CH4,$B$3:$BY$86,CI$2,FALSE)),"")</f>
        <v>8.75</v>
      </c>
      <c r="CJ4" s="56">
        <f t="shared" si="8"/>
        <v>7.25</v>
      </c>
      <c r="CK4" s="56">
        <f t="shared" si="8"/>
        <v>9.25</v>
      </c>
      <c r="CL4" s="56">
        <f t="shared" si="8"/>
        <v>8.4250000000000007</v>
      </c>
      <c r="CM4" s="56" t="str">
        <f>IFERROR(IF(HLOOKUP($CH4,$B$3:$BY$86,CM$2,FALSE)="","",HLOOKUP($CH4,$B$3:$BY$86,CM$2,FALSE)),"")</f>
        <v>Alta</v>
      </c>
      <c r="CN4" s="56" t="str">
        <f t="shared" si="8"/>
        <v>Ativo</v>
      </c>
      <c r="CO4" s="56" t="str">
        <f t="shared" si="8"/>
        <v>SIM</v>
      </c>
      <c r="CP4" s="56" t="str">
        <f t="shared" si="8"/>
        <v>Padrão do terceiro</v>
      </c>
      <c r="CQ4" s="56" t="str">
        <f t="shared" si="8"/>
        <v/>
      </c>
      <c r="CR4" s="32">
        <f t="shared" si="8"/>
        <v>42550</v>
      </c>
      <c r="CS4" s="32">
        <f t="shared" si="8"/>
        <v>44994</v>
      </c>
      <c r="CT4" s="32" t="str">
        <f t="shared" si="8"/>
        <v>Anual</v>
      </c>
      <c r="CU4" s="32" t="str">
        <f t="shared" ca="1" si="8"/>
        <v>Atrasado</v>
      </c>
      <c r="CV4" s="9" t="str">
        <f t="shared" si="8"/>
        <v/>
      </c>
      <c r="CW4" s="9" t="str">
        <f t="shared" si="8"/>
        <v/>
      </c>
      <c r="CX4" s="9" t="str">
        <f t="shared" si="8"/>
        <v>Contrato permanete com correção anual pelo  IGPM</v>
      </c>
      <c r="CY4" s="56" t="str">
        <f t="shared" ref="CY4:CY22" si="9">IFERROR(IF(HLOOKUP($CH4,$B$3:$BY$86,CY$2,FALSE)="","",HLOOKUP($CH4,$B$3:$BY$86,CY$2,FALSE)),"")</f>
        <v>Alta</v>
      </c>
    </row>
    <row r="5" spans="2:103" ht="15.75" x14ac:dyDescent="0.25">
      <c r="B5" s="33" t="s">
        <v>198</v>
      </c>
      <c r="C5" s="34" t="s">
        <v>199</v>
      </c>
      <c r="D5" s="34" t="s">
        <v>206</v>
      </c>
      <c r="E5" s="34" t="s">
        <v>206</v>
      </c>
      <c r="F5" s="34" t="s">
        <v>206</v>
      </c>
      <c r="G5" s="34" t="s">
        <v>206</v>
      </c>
      <c r="H5" s="34" t="s">
        <v>206</v>
      </c>
      <c r="I5" s="34" t="s">
        <v>206</v>
      </c>
      <c r="J5" s="34" t="s">
        <v>206</v>
      </c>
      <c r="K5" s="34" t="s">
        <v>206</v>
      </c>
      <c r="L5" s="34" t="s">
        <v>206</v>
      </c>
      <c r="M5" s="34" t="s">
        <v>206</v>
      </c>
      <c r="N5" s="34" t="s">
        <v>206</v>
      </c>
      <c r="O5" s="34" t="s">
        <v>206</v>
      </c>
      <c r="P5" s="34" t="s">
        <v>206</v>
      </c>
      <c r="Q5" s="34" t="s">
        <v>206</v>
      </c>
      <c r="R5" s="34" t="s">
        <v>206</v>
      </c>
      <c r="S5" s="34" t="s">
        <v>206</v>
      </c>
      <c r="T5" s="34" t="s">
        <v>206</v>
      </c>
      <c r="U5" s="34" t="s">
        <v>206</v>
      </c>
      <c r="V5" s="34" t="s">
        <v>206</v>
      </c>
      <c r="W5" s="34" t="s">
        <v>206</v>
      </c>
      <c r="X5" s="34" t="s">
        <v>206</v>
      </c>
      <c r="Y5" s="34" t="s">
        <v>206</v>
      </c>
      <c r="Z5" s="34" t="s">
        <v>206</v>
      </c>
      <c r="AA5" s="34" t="s">
        <v>206</v>
      </c>
      <c r="AB5" s="34" t="s">
        <v>206</v>
      </c>
      <c r="AC5" s="34" t="s">
        <v>206</v>
      </c>
      <c r="AD5" s="34" t="s">
        <v>206</v>
      </c>
      <c r="AE5" s="34" t="s">
        <v>206</v>
      </c>
      <c r="AF5" s="34" t="s">
        <v>206</v>
      </c>
      <c r="AG5" s="34" t="s">
        <v>206</v>
      </c>
      <c r="AH5" s="34" t="s">
        <v>206</v>
      </c>
      <c r="AI5" s="34" t="s">
        <v>206</v>
      </c>
      <c r="AJ5" s="34" t="s">
        <v>206</v>
      </c>
      <c r="AK5" s="34" t="s">
        <v>206</v>
      </c>
      <c r="AL5" s="34" t="s">
        <v>206</v>
      </c>
      <c r="AM5" s="34" t="s">
        <v>206</v>
      </c>
      <c r="AN5" s="34" t="s">
        <v>206</v>
      </c>
      <c r="AO5" s="34" t="s">
        <v>206</v>
      </c>
      <c r="AP5" s="34" t="s">
        <v>206</v>
      </c>
      <c r="AQ5" s="34" t="s">
        <v>206</v>
      </c>
      <c r="AR5" s="34" t="s">
        <v>206</v>
      </c>
      <c r="AS5" s="34" t="s">
        <v>206</v>
      </c>
      <c r="AT5" s="34" t="s">
        <v>206</v>
      </c>
      <c r="AU5" s="34" t="s">
        <v>206</v>
      </c>
      <c r="AV5" s="34" t="s">
        <v>206</v>
      </c>
      <c r="AW5" s="34" t="s">
        <v>206</v>
      </c>
      <c r="AX5" s="34" t="s">
        <v>206</v>
      </c>
      <c r="AY5" s="34" t="s">
        <v>206</v>
      </c>
      <c r="AZ5" s="34" t="s">
        <v>206</v>
      </c>
      <c r="BA5" s="34" t="s">
        <v>206</v>
      </c>
      <c r="BB5" s="34" t="s">
        <v>206</v>
      </c>
      <c r="BC5" s="34" t="s">
        <v>206</v>
      </c>
      <c r="BD5" s="34" t="s">
        <v>206</v>
      </c>
      <c r="BE5" s="34" t="s">
        <v>206</v>
      </c>
      <c r="BF5" s="34" t="s">
        <v>206</v>
      </c>
      <c r="BG5" s="34" t="s">
        <v>206</v>
      </c>
      <c r="BH5" s="34" t="s">
        <v>206</v>
      </c>
      <c r="BI5" s="34" t="s">
        <v>206</v>
      </c>
      <c r="BJ5" s="34" t="s">
        <v>206</v>
      </c>
      <c r="BK5" s="34" t="s">
        <v>206</v>
      </c>
      <c r="BL5" s="34" t="s">
        <v>206</v>
      </c>
      <c r="BM5" s="34" t="s">
        <v>206</v>
      </c>
      <c r="BN5" s="34" t="s">
        <v>206</v>
      </c>
      <c r="BO5" s="34" t="s">
        <v>206</v>
      </c>
      <c r="BP5" s="34" t="s">
        <v>206</v>
      </c>
      <c r="BQ5" s="34" t="s">
        <v>206</v>
      </c>
      <c r="BR5" s="34" t="s">
        <v>206</v>
      </c>
      <c r="BS5" s="34" t="s">
        <v>206</v>
      </c>
      <c r="BT5" s="34" t="s">
        <v>206</v>
      </c>
      <c r="BU5" s="34" t="s">
        <v>206</v>
      </c>
      <c r="BV5" s="34" t="s">
        <v>206</v>
      </c>
      <c r="BW5" s="34" t="s">
        <v>206</v>
      </c>
      <c r="BX5" s="34" t="s">
        <v>206</v>
      </c>
      <c r="BY5" s="34" t="s">
        <v>206</v>
      </c>
      <c r="CD5">
        <f t="array" ref="CD5">TRANSPOSE(BW2:BY2)</f>
        <v>0</v>
      </c>
      <c r="CF5">
        <v>3</v>
      </c>
      <c r="CG5" s="3" t="str">
        <v>Software - Investimento/Notícia</v>
      </c>
      <c r="CH5" s="3" t="str">
        <v>Bloomberg</v>
      </c>
      <c r="CI5" s="56">
        <f t="shared" si="8"/>
        <v>6.75</v>
      </c>
      <c r="CJ5" s="56">
        <f t="shared" si="8"/>
        <v>7.25</v>
      </c>
      <c r="CK5" s="56">
        <f t="shared" si="8"/>
        <v>8.5</v>
      </c>
      <c r="CL5" s="56">
        <f t="shared" si="8"/>
        <v>7.625</v>
      </c>
      <c r="CM5" s="56" t="str">
        <f t="shared" si="8"/>
        <v>Alta</v>
      </c>
      <c r="CN5" s="56" t="str">
        <f t="shared" si="8"/>
        <v>Ativo</v>
      </c>
      <c r="CO5" s="56" t="str">
        <f t="shared" si="8"/>
        <v>SIM</v>
      </c>
      <c r="CP5" s="56" t="str">
        <f t="shared" si="8"/>
        <v>Padrão do terceiro</v>
      </c>
      <c r="CQ5" s="56" t="str">
        <f t="shared" si="8"/>
        <v/>
      </c>
      <c r="CR5" s="32">
        <f t="shared" si="8"/>
        <v>42444</v>
      </c>
      <c r="CS5" s="32">
        <f t="shared" si="8"/>
        <v>45117</v>
      </c>
      <c r="CT5" s="32" t="str">
        <f t="shared" si="8"/>
        <v>2 anos</v>
      </c>
      <c r="CU5" s="32" t="str">
        <f t="shared" ca="1" si="8"/>
        <v>Atrasado</v>
      </c>
      <c r="CV5" s="9" t="str">
        <f t="shared" si="8"/>
        <v/>
      </c>
      <c r="CW5" s="9" t="str">
        <f t="shared" si="8"/>
        <v/>
      </c>
      <c r="CX5" s="9" t="str">
        <f t="shared" si="8"/>
        <v/>
      </c>
      <c r="CY5" s="56" t="str">
        <f t="shared" si="9"/>
        <v>Alta</v>
      </c>
    </row>
    <row r="6" spans="2:103" ht="15.75" x14ac:dyDescent="0.25">
      <c r="B6" s="35" t="s">
        <v>200</v>
      </c>
      <c r="C6" s="36">
        <v>0.15</v>
      </c>
      <c r="D6" s="7">
        <v>10</v>
      </c>
      <c r="E6" s="7">
        <v>10</v>
      </c>
      <c r="F6" s="7">
        <v>5</v>
      </c>
      <c r="G6" s="7">
        <v>0</v>
      </c>
      <c r="H6" s="7">
        <v>0</v>
      </c>
      <c r="I6" s="7">
        <v>0</v>
      </c>
      <c r="J6" s="7">
        <v>0</v>
      </c>
      <c r="K6" s="7">
        <v>0</v>
      </c>
      <c r="L6" s="7">
        <v>0</v>
      </c>
      <c r="M6" s="7">
        <v>0</v>
      </c>
      <c r="N6" s="7">
        <v>0</v>
      </c>
      <c r="O6" s="7">
        <v>0</v>
      </c>
      <c r="P6" s="7">
        <v>0</v>
      </c>
      <c r="Q6" s="7">
        <v>0</v>
      </c>
      <c r="R6" s="7">
        <v>0</v>
      </c>
      <c r="S6" s="7">
        <v>0</v>
      </c>
      <c r="T6" s="7">
        <v>0</v>
      </c>
      <c r="U6" s="7">
        <v>0</v>
      </c>
      <c r="V6" s="7">
        <v>0</v>
      </c>
      <c r="W6" s="7">
        <v>0</v>
      </c>
      <c r="X6" s="7">
        <v>0</v>
      </c>
      <c r="Y6" s="7">
        <v>0</v>
      </c>
      <c r="Z6" s="7">
        <v>0</v>
      </c>
      <c r="AA6" s="7">
        <v>0</v>
      </c>
      <c r="AB6" s="7">
        <v>5</v>
      </c>
      <c r="AC6" s="7">
        <v>5</v>
      </c>
      <c r="AD6" s="7">
        <v>5</v>
      </c>
      <c r="AE6" s="7">
        <v>5</v>
      </c>
      <c r="AF6" s="7">
        <v>0</v>
      </c>
      <c r="AG6" s="7">
        <v>10</v>
      </c>
      <c r="AH6" s="7">
        <v>5</v>
      </c>
      <c r="CF6">
        <v>4</v>
      </c>
      <c r="CG6" s="3" t="str">
        <v>Tecnologia da Informação</v>
      </c>
      <c r="CH6" s="3" t="str">
        <v>ENDEV</v>
      </c>
      <c r="CI6" s="56">
        <f t="shared" si="8"/>
        <v>6.25</v>
      </c>
      <c r="CJ6" s="56">
        <f t="shared" si="8"/>
        <v>7.05</v>
      </c>
      <c r="CK6" s="56">
        <f t="shared" si="8"/>
        <v>8</v>
      </c>
      <c r="CL6" s="56">
        <f t="shared" si="8"/>
        <v>7.2299999999999995</v>
      </c>
      <c r="CM6" s="56" t="str">
        <f t="shared" si="8"/>
        <v>Alta</v>
      </c>
      <c r="CN6" s="56" t="str">
        <f t="shared" si="8"/>
        <v>Ativo</v>
      </c>
      <c r="CO6" s="56" t="str">
        <f t="shared" si="8"/>
        <v>SIM</v>
      </c>
      <c r="CP6" s="56" t="str">
        <f t="shared" si="8"/>
        <v>Padrão do terceiro</v>
      </c>
      <c r="CQ6" s="56" t="str">
        <f t="shared" si="8"/>
        <v/>
      </c>
      <c r="CR6" s="32">
        <f t="shared" si="8"/>
        <v>42430</v>
      </c>
      <c r="CS6" s="32">
        <f t="shared" si="8"/>
        <v>45117</v>
      </c>
      <c r="CT6" s="32" t="str">
        <f t="shared" si="8"/>
        <v>Permanente</v>
      </c>
      <c r="CU6" s="32" t="str">
        <f t="shared" ca="1" si="8"/>
        <v>Atrasado</v>
      </c>
      <c r="CV6" s="9" t="str">
        <f t="shared" si="8"/>
        <v/>
      </c>
      <c r="CW6" s="9" t="str">
        <f>IFERROR(IF(HLOOKUP($CH6,$B$3:$BY$86,CW$2,FALSE)="","",HLOOKUP($CH6,$B$3:$BY$86,CW$2,FALSE)),"")</f>
        <v/>
      </c>
      <c r="CX6" s="9" t="str">
        <f t="shared" si="8"/>
        <v>Contrato permanete com variação de valor por serviço.</v>
      </c>
      <c r="CY6" s="56" t="str">
        <f t="shared" si="9"/>
        <v>Alta</v>
      </c>
    </row>
    <row r="7" spans="2:103" ht="15.75" x14ac:dyDescent="0.25">
      <c r="B7" s="35" t="s">
        <v>201</v>
      </c>
      <c r="C7" s="36">
        <v>0.25</v>
      </c>
      <c r="D7" s="7">
        <v>10</v>
      </c>
      <c r="E7" s="7">
        <v>10</v>
      </c>
      <c r="F7" s="7">
        <v>5</v>
      </c>
      <c r="G7" s="7">
        <v>0</v>
      </c>
      <c r="H7" s="7">
        <v>0</v>
      </c>
      <c r="I7" s="7">
        <v>0</v>
      </c>
      <c r="J7" s="7">
        <v>0</v>
      </c>
      <c r="K7" s="7">
        <v>0</v>
      </c>
      <c r="L7" s="7">
        <v>0</v>
      </c>
      <c r="M7" s="7">
        <v>0</v>
      </c>
      <c r="N7" s="7">
        <v>0</v>
      </c>
      <c r="O7" s="7">
        <v>0</v>
      </c>
      <c r="P7" s="7">
        <v>0</v>
      </c>
      <c r="Q7" s="7">
        <v>0</v>
      </c>
      <c r="R7" s="7">
        <v>0</v>
      </c>
      <c r="S7" s="7">
        <v>0</v>
      </c>
      <c r="T7" s="7">
        <v>0</v>
      </c>
      <c r="U7" s="7">
        <v>0</v>
      </c>
      <c r="V7" s="7">
        <v>0</v>
      </c>
      <c r="W7" s="7">
        <v>0</v>
      </c>
      <c r="X7" s="7">
        <v>0</v>
      </c>
      <c r="Y7" s="7">
        <v>0</v>
      </c>
      <c r="Z7" s="7">
        <v>0</v>
      </c>
      <c r="AA7" s="7">
        <v>0</v>
      </c>
      <c r="AB7" s="7">
        <v>10</v>
      </c>
      <c r="AC7" s="7">
        <v>10</v>
      </c>
      <c r="AD7" s="7">
        <v>10</v>
      </c>
      <c r="AE7" s="7">
        <v>10</v>
      </c>
      <c r="AF7" s="7">
        <v>0</v>
      </c>
      <c r="AG7" s="7">
        <v>10</v>
      </c>
      <c r="AH7" s="7">
        <v>5</v>
      </c>
      <c r="CF7">
        <v>5</v>
      </c>
      <c r="CG7" s="3" t="str">
        <v>Fornecedores de Software para Gestão de Riscos e de Compliance</v>
      </c>
      <c r="CH7" s="3" t="str">
        <v>COMPLIASSET</v>
      </c>
      <c r="CI7" s="56">
        <f t="shared" si="8"/>
        <v>0.5</v>
      </c>
      <c r="CJ7" s="56">
        <f t="shared" si="8"/>
        <v>3.25</v>
      </c>
      <c r="CK7" s="56">
        <f t="shared" si="8"/>
        <v>0</v>
      </c>
      <c r="CL7" s="56">
        <f t="shared" si="8"/>
        <v>1.2625</v>
      </c>
      <c r="CM7" s="56" t="str">
        <f t="shared" si="8"/>
        <v>Baixa</v>
      </c>
      <c r="CN7" s="56" t="str">
        <f t="shared" si="8"/>
        <v>Ativo</v>
      </c>
      <c r="CO7" s="56" t="str">
        <f t="shared" si="8"/>
        <v>SIM</v>
      </c>
      <c r="CP7" s="56" t="str">
        <f t="shared" si="8"/>
        <v>Padrão do terceiro</v>
      </c>
      <c r="CQ7" s="56" t="str">
        <f t="shared" si="8"/>
        <v/>
      </c>
      <c r="CR7" s="32">
        <f t="shared" si="8"/>
        <v>44673</v>
      </c>
      <c r="CS7" s="32">
        <f t="shared" si="8"/>
        <v>45117</v>
      </c>
      <c r="CT7" s="32" t="str">
        <f t="shared" si="8"/>
        <v>Anual</v>
      </c>
      <c r="CU7" s="32" t="str">
        <f t="shared" ca="1" si="8"/>
        <v>Atrasado</v>
      </c>
      <c r="CV7" s="9" t="str">
        <f t="shared" si="8"/>
        <v/>
      </c>
      <c r="CW7" s="9" t="str">
        <f t="shared" si="8"/>
        <v/>
      </c>
      <c r="CX7" s="9" t="str">
        <f t="shared" si="8"/>
        <v/>
      </c>
      <c r="CY7" s="56" t="str">
        <f t="shared" si="9"/>
        <v>Médio</v>
      </c>
    </row>
    <row r="8" spans="2:103" ht="15.75" x14ac:dyDescent="0.25">
      <c r="B8" s="35" t="s">
        <v>202</v>
      </c>
      <c r="C8" s="36">
        <v>0.25</v>
      </c>
      <c r="D8" s="7">
        <v>10</v>
      </c>
      <c r="E8" s="7">
        <v>0</v>
      </c>
      <c r="F8" s="7">
        <v>8</v>
      </c>
      <c r="G8" s="7">
        <v>0</v>
      </c>
      <c r="H8" s="7">
        <v>0</v>
      </c>
      <c r="I8" s="7">
        <v>0</v>
      </c>
      <c r="J8" s="7">
        <v>0</v>
      </c>
      <c r="K8" s="7">
        <v>0</v>
      </c>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0</v>
      </c>
      <c r="AE8" s="7">
        <v>0</v>
      </c>
      <c r="AF8" s="7">
        <v>0</v>
      </c>
      <c r="AG8" s="7">
        <v>0</v>
      </c>
      <c r="AH8" s="7">
        <v>5</v>
      </c>
      <c r="CF8">
        <v>6</v>
      </c>
      <c r="CG8" s="3" t="str">
        <v>Corretoras</v>
      </c>
      <c r="CH8" s="3" t="str">
        <v>Bernstein</v>
      </c>
      <c r="CI8" s="56">
        <f t="shared" si="8"/>
        <v>0</v>
      </c>
      <c r="CJ8" s="56">
        <f t="shared" si="8"/>
        <v>0</v>
      </c>
      <c r="CK8" s="56">
        <f t="shared" si="8"/>
        <v>2.5</v>
      </c>
      <c r="CL8" s="56">
        <f t="shared" si="8"/>
        <v>1</v>
      </c>
      <c r="CM8" s="56" t="str">
        <f t="shared" si="8"/>
        <v>Baixa</v>
      </c>
      <c r="CN8" s="56" t="str">
        <f t="shared" si="8"/>
        <v>Ativo</v>
      </c>
      <c r="CO8" s="56" t="str">
        <f t="shared" si="8"/>
        <v>SIM</v>
      </c>
      <c r="CP8" s="56" t="str">
        <f t="shared" si="8"/>
        <v>Padrão do terceiro</v>
      </c>
      <c r="CQ8" s="56" t="str">
        <f t="shared" si="8"/>
        <v/>
      </c>
      <c r="CR8" s="32" t="str">
        <f t="shared" si="8"/>
        <v/>
      </c>
      <c r="CS8" s="32">
        <f t="shared" si="8"/>
        <v>45117</v>
      </c>
      <c r="CT8" s="32" t="str">
        <f t="shared" si="8"/>
        <v>Anual</v>
      </c>
      <c r="CU8" s="32" t="str">
        <f t="shared" ca="1" si="8"/>
        <v>Atrasado</v>
      </c>
      <c r="CV8" s="9" t="str">
        <f t="shared" si="8"/>
        <v/>
      </c>
      <c r="CW8" s="9" t="str">
        <f t="shared" si="8"/>
        <v/>
      </c>
      <c r="CX8" s="9" t="str">
        <f t="shared" si="8"/>
        <v/>
      </c>
      <c r="CY8" s="56" t="str">
        <f t="shared" si="9"/>
        <v>Baixo</v>
      </c>
    </row>
    <row r="9" spans="2:103" ht="15.75" x14ac:dyDescent="0.25">
      <c r="B9" s="35" t="s">
        <v>203</v>
      </c>
      <c r="C9" s="36">
        <v>0.1</v>
      </c>
      <c r="D9" s="7">
        <v>10</v>
      </c>
      <c r="E9" s="7">
        <v>10</v>
      </c>
      <c r="F9" s="7">
        <v>10</v>
      </c>
      <c r="G9" s="7">
        <v>5</v>
      </c>
      <c r="H9" s="7">
        <v>0</v>
      </c>
      <c r="I9" s="7">
        <v>0</v>
      </c>
      <c r="J9" s="7">
        <v>0</v>
      </c>
      <c r="K9" s="7">
        <v>0</v>
      </c>
      <c r="L9" s="7">
        <v>0</v>
      </c>
      <c r="M9" s="7">
        <v>0</v>
      </c>
      <c r="N9" s="7">
        <v>0</v>
      </c>
      <c r="O9" s="7">
        <v>0</v>
      </c>
      <c r="P9" s="7">
        <v>0</v>
      </c>
      <c r="Q9" s="7">
        <v>0</v>
      </c>
      <c r="R9" s="7">
        <v>0</v>
      </c>
      <c r="S9" s="7">
        <v>0</v>
      </c>
      <c r="T9" s="7">
        <v>0</v>
      </c>
      <c r="U9" s="7">
        <v>0</v>
      </c>
      <c r="V9" s="7">
        <v>0</v>
      </c>
      <c r="W9" s="7">
        <v>0</v>
      </c>
      <c r="X9" s="7">
        <v>0</v>
      </c>
      <c r="Y9" s="7">
        <v>0</v>
      </c>
      <c r="Z9" s="7">
        <v>0</v>
      </c>
      <c r="AA9" s="7">
        <v>0</v>
      </c>
      <c r="AB9" s="7">
        <v>10</v>
      </c>
      <c r="AC9" s="7">
        <v>10</v>
      </c>
      <c r="AD9" s="7">
        <v>10</v>
      </c>
      <c r="AE9" s="7">
        <v>10</v>
      </c>
      <c r="AF9" s="7">
        <v>0</v>
      </c>
      <c r="AG9" s="7">
        <v>10</v>
      </c>
      <c r="AH9" s="7">
        <v>5</v>
      </c>
      <c r="CF9">
        <v>7</v>
      </c>
      <c r="CG9" s="3" t="str">
        <v>Corretoras</v>
      </c>
      <c r="CH9" s="3" t="str">
        <v>BGC</v>
      </c>
      <c r="CI9" s="56">
        <f t="shared" si="8"/>
        <v>0</v>
      </c>
      <c r="CJ9" s="56">
        <f t="shared" si="8"/>
        <v>0</v>
      </c>
      <c r="CK9" s="56">
        <f t="shared" si="8"/>
        <v>2.5</v>
      </c>
      <c r="CL9" s="56">
        <f t="shared" si="8"/>
        <v>1</v>
      </c>
      <c r="CM9" s="56" t="str">
        <f t="shared" si="8"/>
        <v>Baixa</v>
      </c>
      <c r="CN9" s="56" t="str">
        <f t="shared" si="8"/>
        <v>Ativo</v>
      </c>
      <c r="CO9" s="56" t="str">
        <f t="shared" si="8"/>
        <v>SIM</v>
      </c>
      <c r="CP9" s="56" t="str">
        <f t="shared" si="8"/>
        <v>Padrão do terceiro</v>
      </c>
      <c r="CQ9" s="56" t="str">
        <f t="shared" si="8"/>
        <v/>
      </c>
      <c r="CR9" s="32" t="str">
        <f t="shared" si="8"/>
        <v/>
      </c>
      <c r="CS9" s="32">
        <f t="shared" si="8"/>
        <v>45117</v>
      </c>
      <c r="CT9" s="32" t="str">
        <f t="shared" si="8"/>
        <v>Anual</v>
      </c>
      <c r="CU9" s="32" t="str">
        <f t="shared" ca="1" si="8"/>
        <v>Atrasado</v>
      </c>
      <c r="CV9" s="9" t="str">
        <f t="shared" si="8"/>
        <v/>
      </c>
      <c r="CW9" s="9" t="str">
        <f t="shared" si="8"/>
        <v/>
      </c>
      <c r="CX9" s="9" t="str">
        <f t="shared" si="8"/>
        <v/>
      </c>
      <c r="CY9" s="56" t="str">
        <f t="shared" si="9"/>
        <v>Baixo</v>
      </c>
    </row>
    <row r="10" spans="2:103" ht="15.75" x14ac:dyDescent="0.25">
      <c r="B10" s="35" t="s">
        <v>204</v>
      </c>
      <c r="C10" s="36">
        <v>0.15</v>
      </c>
      <c r="D10" s="7">
        <v>5</v>
      </c>
      <c r="E10" s="7">
        <v>5</v>
      </c>
      <c r="F10" s="7">
        <v>5</v>
      </c>
      <c r="G10" s="7">
        <v>0</v>
      </c>
      <c r="H10" s="7">
        <v>0</v>
      </c>
      <c r="I10" s="7">
        <v>0</v>
      </c>
      <c r="J10" s="7">
        <v>0</v>
      </c>
      <c r="K10" s="7">
        <v>0</v>
      </c>
      <c r="L10" s="7">
        <v>0</v>
      </c>
      <c r="M10" s="7">
        <v>0</v>
      </c>
      <c r="N10" s="7">
        <v>0</v>
      </c>
      <c r="O10" s="7">
        <v>0</v>
      </c>
      <c r="P10" s="7">
        <v>0</v>
      </c>
      <c r="Q10" s="7">
        <v>0</v>
      </c>
      <c r="R10" s="7">
        <v>0</v>
      </c>
      <c r="S10" s="7">
        <v>0</v>
      </c>
      <c r="T10" s="7">
        <v>0</v>
      </c>
      <c r="U10" s="7">
        <v>0</v>
      </c>
      <c r="V10" s="7">
        <v>0</v>
      </c>
      <c r="W10" s="7">
        <v>0</v>
      </c>
      <c r="X10" s="7">
        <v>0</v>
      </c>
      <c r="Y10" s="7">
        <v>0</v>
      </c>
      <c r="Z10" s="7">
        <v>0</v>
      </c>
      <c r="AA10" s="7">
        <v>0</v>
      </c>
      <c r="AB10" s="7">
        <v>5</v>
      </c>
      <c r="AC10" s="7">
        <v>5</v>
      </c>
      <c r="AD10" s="7">
        <v>5</v>
      </c>
      <c r="AE10" s="7">
        <v>5</v>
      </c>
      <c r="AF10" s="7">
        <v>0</v>
      </c>
      <c r="AG10" s="7">
        <v>5</v>
      </c>
      <c r="AH10" s="7">
        <v>5</v>
      </c>
      <c r="CF10">
        <v>8</v>
      </c>
      <c r="CG10" s="3" t="str">
        <v>Corretoras</v>
      </c>
      <c r="CH10" s="3" t="str">
        <v>BNP Paribas</v>
      </c>
      <c r="CI10" s="56">
        <f t="shared" si="8"/>
        <v>0</v>
      </c>
      <c r="CJ10" s="56">
        <f t="shared" si="8"/>
        <v>0</v>
      </c>
      <c r="CK10" s="56">
        <f t="shared" si="8"/>
        <v>2.5</v>
      </c>
      <c r="CL10" s="56">
        <f t="shared" si="8"/>
        <v>1</v>
      </c>
      <c r="CM10" s="56" t="str">
        <f t="shared" si="8"/>
        <v>Baixa</v>
      </c>
      <c r="CN10" s="56" t="str">
        <f t="shared" si="8"/>
        <v>Ativo</v>
      </c>
      <c r="CO10" s="56" t="str">
        <f t="shared" si="8"/>
        <v>SIM</v>
      </c>
      <c r="CP10" s="56" t="str">
        <f t="shared" si="8"/>
        <v>Padrão do terceiro</v>
      </c>
      <c r="CQ10" s="56" t="str">
        <f t="shared" si="8"/>
        <v/>
      </c>
      <c r="CR10" s="32" t="str">
        <f t="shared" si="8"/>
        <v/>
      </c>
      <c r="CS10" s="32">
        <f t="shared" si="8"/>
        <v>45117</v>
      </c>
      <c r="CT10" s="32" t="str">
        <f t="shared" si="8"/>
        <v>Anual</v>
      </c>
      <c r="CU10" s="32" t="str">
        <f t="shared" ca="1" si="8"/>
        <v>Atrasado</v>
      </c>
      <c r="CV10" s="9" t="str">
        <f t="shared" si="8"/>
        <v/>
      </c>
      <c r="CW10" s="9" t="str">
        <f t="shared" si="8"/>
        <v/>
      </c>
      <c r="CX10" s="9" t="str">
        <f t="shared" si="8"/>
        <v/>
      </c>
      <c r="CY10" s="56" t="str">
        <f t="shared" si="9"/>
        <v>Baixo</v>
      </c>
    </row>
    <row r="11" spans="2:103" ht="15.75" x14ac:dyDescent="0.25">
      <c r="B11" s="37" t="s">
        <v>205</v>
      </c>
      <c r="C11" s="38">
        <v>0.1</v>
      </c>
      <c r="D11" s="7">
        <v>5</v>
      </c>
      <c r="E11" s="7">
        <v>10</v>
      </c>
      <c r="F11" s="7">
        <v>5</v>
      </c>
      <c r="G11" s="7">
        <v>0</v>
      </c>
      <c r="H11" s="7">
        <v>0</v>
      </c>
      <c r="I11" s="7">
        <v>0</v>
      </c>
      <c r="J11" s="7">
        <v>0</v>
      </c>
      <c r="K11" s="7">
        <v>0</v>
      </c>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0</v>
      </c>
      <c r="AE11" s="7">
        <v>0</v>
      </c>
      <c r="AF11" s="7">
        <v>0</v>
      </c>
      <c r="AG11" s="7">
        <v>10</v>
      </c>
      <c r="AH11" s="7">
        <v>5</v>
      </c>
      <c r="CF11">
        <v>9</v>
      </c>
      <c r="CG11" s="3" t="str">
        <v>Corretoras</v>
      </c>
      <c r="CH11" s="3" t="str">
        <v>Bradesco</v>
      </c>
      <c r="CI11" s="56">
        <f t="shared" si="8"/>
        <v>0</v>
      </c>
      <c r="CJ11" s="56">
        <f t="shared" si="8"/>
        <v>0</v>
      </c>
      <c r="CK11" s="56">
        <f t="shared" si="8"/>
        <v>2.5</v>
      </c>
      <c r="CL11" s="56">
        <f t="shared" si="8"/>
        <v>1</v>
      </c>
      <c r="CM11" s="56" t="str">
        <f t="shared" si="8"/>
        <v>Baixa</v>
      </c>
      <c r="CN11" s="56" t="str">
        <f t="shared" si="8"/>
        <v>Ativo</v>
      </c>
      <c r="CO11" s="56" t="str">
        <f t="shared" si="8"/>
        <v>SIM</v>
      </c>
      <c r="CP11" s="56" t="str">
        <f t="shared" si="8"/>
        <v>Padrão do terceiro</v>
      </c>
      <c r="CQ11" s="56" t="str">
        <f t="shared" si="8"/>
        <v/>
      </c>
      <c r="CR11" s="32" t="str">
        <f t="shared" si="8"/>
        <v/>
      </c>
      <c r="CS11" s="32">
        <f t="shared" si="8"/>
        <v>45117</v>
      </c>
      <c r="CT11" s="32" t="str">
        <f t="shared" si="8"/>
        <v>Anual</v>
      </c>
      <c r="CU11" s="32" t="str">
        <f t="shared" ca="1" si="8"/>
        <v>Atrasado</v>
      </c>
      <c r="CV11" s="9" t="str">
        <f t="shared" si="8"/>
        <v/>
      </c>
      <c r="CW11" s="9" t="str">
        <f t="shared" si="8"/>
        <v/>
      </c>
      <c r="CX11" s="9" t="str">
        <f t="shared" si="8"/>
        <v/>
      </c>
      <c r="CY11" s="56" t="str">
        <f t="shared" si="9"/>
        <v>Baixo</v>
      </c>
    </row>
    <row r="12" spans="2:103" ht="15.75" x14ac:dyDescent="0.25">
      <c r="B12" s="67" t="s">
        <v>227</v>
      </c>
      <c r="C12" s="68">
        <f>SUM(C6:C11)</f>
        <v>1</v>
      </c>
      <c r="D12" s="69">
        <f t="shared" ref="D12:AE12" si="10">SUMPRODUCT($C$6:$C$11,D6:D11)</f>
        <v>8.75</v>
      </c>
      <c r="E12" s="69">
        <f t="shared" si="10"/>
        <v>6.75</v>
      </c>
      <c r="F12" s="69">
        <f t="shared" si="10"/>
        <v>6.25</v>
      </c>
      <c r="G12" s="69">
        <f t="shared" si="10"/>
        <v>0.5</v>
      </c>
      <c r="H12" s="69">
        <f t="shared" si="10"/>
        <v>0</v>
      </c>
      <c r="I12" s="69">
        <f t="shared" si="10"/>
        <v>0</v>
      </c>
      <c r="J12" s="69">
        <f t="shared" si="10"/>
        <v>0</v>
      </c>
      <c r="K12" s="69">
        <f t="shared" si="10"/>
        <v>0</v>
      </c>
      <c r="L12" s="69">
        <f t="shared" si="10"/>
        <v>0</v>
      </c>
      <c r="M12" s="69">
        <f t="shared" si="10"/>
        <v>0</v>
      </c>
      <c r="N12" s="69">
        <f t="shared" si="10"/>
        <v>0</v>
      </c>
      <c r="O12" s="69">
        <f t="shared" si="10"/>
        <v>0</v>
      </c>
      <c r="P12" s="69">
        <f t="shared" si="10"/>
        <v>0</v>
      </c>
      <c r="Q12" s="69">
        <f t="shared" si="10"/>
        <v>0</v>
      </c>
      <c r="R12" s="69">
        <f t="shared" si="10"/>
        <v>0</v>
      </c>
      <c r="S12" s="69">
        <f t="shared" si="10"/>
        <v>0</v>
      </c>
      <c r="T12" s="69">
        <f t="shared" si="10"/>
        <v>0</v>
      </c>
      <c r="U12" s="69">
        <f t="shared" ref="U12:AA12" si="11">SUMPRODUCT($C$6:$C$11,U6:U11)</f>
        <v>0</v>
      </c>
      <c r="V12" s="69">
        <f t="shared" si="11"/>
        <v>0</v>
      </c>
      <c r="W12" s="69">
        <f t="shared" si="11"/>
        <v>0</v>
      </c>
      <c r="X12" s="69">
        <f t="shared" si="11"/>
        <v>0</v>
      </c>
      <c r="Y12" s="69">
        <f t="shared" si="11"/>
        <v>0</v>
      </c>
      <c r="Z12" s="69">
        <f t="shared" si="11"/>
        <v>0</v>
      </c>
      <c r="AA12" s="69">
        <f t="shared" si="11"/>
        <v>0</v>
      </c>
      <c r="AB12" s="69">
        <f t="shared" si="10"/>
        <v>5</v>
      </c>
      <c r="AC12" s="69">
        <f t="shared" si="10"/>
        <v>5</v>
      </c>
      <c r="AD12" s="69">
        <f t="shared" si="10"/>
        <v>5</v>
      </c>
      <c r="AE12" s="69">
        <f t="shared" si="10"/>
        <v>5</v>
      </c>
      <c r="AF12" s="69">
        <f t="shared" ref="AF12:AG12" si="12">SUMPRODUCT($C$6:$C$11,AF6:AF11)</f>
        <v>0</v>
      </c>
      <c r="AG12" s="69">
        <f t="shared" si="12"/>
        <v>6.75</v>
      </c>
      <c r="AH12" s="69">
        <f>SUMPRODUCT($C$6:$C$11,AH6:AH11)</f>
        <v>5</v>
      </c>
      <c r="AI12" s="69"/>
      <c r="AJ12" s="69"/>
      <c r="AK12" s="69"/>
      <c r="AL12" s="69"/>
      <c r="AM12" s="69"/>
      <c r="AN12" s="69"/>
      <c r="AO12" s="69"/>
      <c r="AP12" s="69"/>
      <c r="AQ12" s="69"/>
      <c r="AR12" s="69"/>
      <c r="AS12" s="69"/>
      <c r="AT12" s="69"/>
      <c r="AU12" s="69"/>
      <c r="AV12" s="69"/>
      <c r="AW12" s="69"/>
      <c r="AX12" s="69"/>
      <c r="AY12" s="69"/>
      <c r="AZ12" s="69"/>
      <c r="BA12" s="69"/>
      <c r="BB12" s="69"/>
      <c r="BC12" s="69"/>
      <c r="BD12" s="69"/>
      <c r="BE12" s="69"/>
      <c r="BF12" s="69"/>
      <c r="BG12" s="69"/>
      <c r="BH12" s="69"/>
      <c r="BI12" s="69"/>
      <c r="BJ12" s="69"/>
      <c r="BK12" s="69"/>
      <c r="BL12" s="69"/>
      <c r="BM12" s="69"/>
      <c r="BN12" s="69"/>
      <c r="BO12" s="69"/>
      <c r="BP12" s="69"/>
      <c r="BQ12" s="69"/>
      <c r="BR12" s="69"/>
      <c r="BS12" s="69"/>
      <c r="BT12" s="69"/>
      <c r="BU12" s="69"/>
      <c r="BV12" s="69"/>
      <c r="BW12" s="69"/>
      <c r="BX12" s="69"/>
      <c r="BY12" s="69"/>
      <c r="CF12">
        <v>10</v>
      </c>
      <c r="CG12" s="3" t="str">
        <v>Corretoras</v>
      </c>
      <c r="CH12" s="3" t="str">
        <v>Brasil Plural</v>
      </c>
      <c r="CI12" s="56">
        <f t="shared" si="8"/>
        <v>0</v>
      </c>
      <c r="CJ12" s="56">
        <f t="shared" si="8"/>
        <v>0</v>
      </c>
      <c r="CK12" s="56">
        <f t="shared" si="8"/>
        <v>2.5</v>
      </c>
      <c r="CL12" s="56">
        <f t="shared" si="8"/>
        <v>1</v>
      </c>
      <c r="CM12" s="56" t="str">
        <f t="shared" si="8"/>
        <v>Baixa</v>
      </c>
      <c r="CN12" s="56" t="str">
        <f t="shared" si="8"/>
        <v>Ativo</v>
      </c>
      <c r="CO12" s="56" t="str">
        <f t="shared" si="8"/>
        <v>SIM</v>
      </c>
      <c r="CP12" s="56" t="str">
        <f t="shared" si="8"/>
        <v>Padrão do terceiro</v>
      </c>
      <c r="CQ12" s="56" t="str">
        <f t="shared" si="8"/>
        <v/>
      </c>
      <c r="CR12" s="32" t="str">
        <f t="shared" si="8"/>
        <v/>
      </c>
      <c r="CS12" s="32">
        <f t="shared" si="8"/>
        <v>45117</v>
      </c>
      <c r="CT12" s="32" t="str">
        <f t="shared" si="8"/>
        <v>Anual</v>
      </c>
      <c r="CU12" s="32" t="str">
        <f t="shared" ca="1" si="8"/>
        <v>Atrasado</v>
      </c>
      <c r="CV12" s="9" t="str">
        <f t="shared" si="8"/>
        <v/>
      </c>
      <c r="CW12" s="9" t="str">
        <f t="shared" si="8"/>
        <v/>
      </c>
      <c r="CX12" s="9" t="str">
        <f t="shared" si="8"/>
        <v/>
      </c>
      <c r="CY12" s="56" t="str">
        <f t="shared" si="9"/>
        <v>Baixo</v>
      </c>
    </row>
    <row r="13" spans="2:103" ht="15.75" x14ac:dyDescent="0.25">
      <c r="B13" s="42"/>
      <c r="C13" s="42"/>
      <c r="CF13">
        <v>11</v>
      </c>
      <c r="CG13" s="3" t="str">
        <v>Corretoras</v>
      </c>
      <c r="CH13" s="3" t="str">
        <v>BTG Pactual</v>
      </c>
      <c r="CI13" s="56">
        <f t="shared" si="8"/>
        <v>0</v>
      </c>
      <c r="CJ13" s="56">
        <f t="shared" si="8"/>
        <v>0</v>
      </c>
      <c r="CK13" s="56">
        <f t="shared" si="8"/>
        <v>2.5</v>
      </c>
      <c r="CL13" s="56">
        <f t="shared" si="8"/>
        <v>1</v>
      </c>
      <c r="CM13" s="56" t="str">
        <f t="shared" si="8"/>
        <v>Baixa</v>
      </c>
      <c r="CN13" s="56" t="str">
        <f t="shared" si="8"/>
        <v>Ativo</v>
      </c>
      <c r="CO13" s="56" t="str">
        <f t="shared" si="8"/>
        <v>SIM</v>
      </c>
      <c r="CP13" s="56" t="str">
        <f t="shared" si="8"/>
        <v>Padrão do terceiro</v>
      </c>
      <c r="CQ13" s="56" t="str">
        <f t="shared" si="8"/>
        <v/>
      </c>
      <c r="CR13" s="32" t="str">
        <f t="shared" si="8"/>
        <v/>
      </c>
      <c r="CS13" s="32">
        <f t="shared" si="8"/>
        <v>45117</v>
      </c>
      <c r="CT13" s="32" t="str">
        <f t="shared" si="8"/>
        <v>Anual</v>
      </c>
      <c r="CU13" s="32" t="str">
        <f t="shared" ca="1" si="8"/>
        <v>Atrasado</v>
      </c>
      <c r="CV13" s="9" t="str">
        <f t="shared" si="8"/>
        <v/>
      </c>
      <c r="CW13" s="9" t="str">
        <f t="shared" si="8"/>
        <v/>
      </c>
      <c r="CX13" s="9" t="str">
        <f t="shared" si="8"/>
        <v/>
      </c>
      <c r="CY13" s="56" t="str">
        <f t="shared" si="9"/>
        <v>Baixo</v>
      </c>
    </row>
    <row r="14" spans="2:103" ht="15.75" x14ac:dyDescent="0.25">
      <c r="B14" s="42"/>
      <c r="C14" s="42"/>
      <c r="CF14">
        <v>12</v>
      </c>
      <c r="CG14" s="3" t="str">
        <v>Corretoras</v>
      </c>
      <c r="CH14" s="3" t="str">
        <v>C6</v>
      </c>
      <c r="CI14" s="56">
        <f t="shared" ref="CI14:CX23" si="13">IFERROR(IF(HLOOKUP($CH14,$B$3:$BY$86,CI$2,FALSE)="","",HLOOKUP($CH14,$B$3:$BY$86,CI$2,FALSE)),"")</f>
        <v>0</v>
      </c>
      <c r="CJ14" s="56">
        <f t="shared" si="13"/>
        <v>0</v>
      </c>
      <c r="CK14" s="56">
        <f t="shared" si="13"/>
        <v>2.5</v>
      </c>
      <c r="CL14" s="56">
        <f t="shared" si="13"/>
        <v>1</v>
      </c>
      <c r="CM14" s="56" t="str">
        <f t="shared" si="13"/>
        <v>Baixa</v>
      </c>
      <c r="CN14" s="56" t="str">
        <f t="shared" si="13"/>
        <v>Ativo</v>
      </c>
      <c r="CO14" s="56" t="str">
        <f t="shared" si="13"/>
        <v>SIM</v>
      </c>
      <c r="CP14" s="56" t="str">
        <f t="shared" si="13"/>
        <v>Padrão do terceiro</v>
      </c>
      <c r="CQ14" s="56" t="str">
        <f t="shared" si="13"/>
        <v/>
      </c>
      <c r="CR14" s="32" t="str">
        <f t="shared" si="13"/>
        <v/>
      </c>
      <c r="CS14" s="32">
        <f t="shared" si="13"/>
        <v>45117</v>
      </c>
      <c r="CT14" s="32" t="str">
        <f t="shared" si="13"/>
        <v>Anual</v>
      </c>
      <c r="CU14" s="32" t="str">
        <f t="shared" ca="1" si="13"/>
        <v>Atrasado</v>
      </c>
      <c r="CV14" s="9" t="str">
        <f t="shared" si="13"/>
        <v/>
      </c>
      <c r="CW14" s="9" t="str">
        <f t="shared" si="13"/>
        <v/>
      </c>
      <c r="CX14" s="9" t="str">
        <f t="shared" si="13"/>
        <v/>
      </c>
      <c r="CY14" s="56" t="str">
        <f t="shared" si="9"/>
        <v>Baixo</v>
      </c>
    </row>
    <row r="15" spans="2:103" ht="15.75" x14ac:dyDescent="0.25">
      <c r="B15" s="33" t="s">
        <v>207</v>
      </c>
      <c r="C15" s="34" t="s">
        <v>199</v>
      </c>
      <c r="D15" s="34" t="s">
        <v>206</v>
      </c>
      <c r="E15" s="34" t="s">
        <v>206</v>
      </c>
      <c r="F15" s="34" t="s">
        <v>206</v>
      </c>
      <c r="G15" s="34" t="s">
        <v>206</v>
      </c>
      <c r="H15" s="34" t="s">
        <v>206</v>
      </c>
      <c r="I15" s="34" t="s">
        <v>206</v>
      </c>
      <c r="J15" s="34" t="s">
        <v>206</v>
      </c>
      <c r="K15" s="34" t="s">
        <v>206</v>
      </c>
      <c r="L15" s="34" t="s">
        <v>206</v>
      </c>
      <c r="M15" s="34" t="s">
        <v>206</v>
      </c>
      <c r="N15" s="34" t="s">
        <v>206</v>
      </c>
      <c r="O15" s="34" t="s">
        <v>206</v>
      </c>
      <c r="P15" s="34" t="s">
        <v>206</v>
      </c>
      <c r="Q15" s="34" t="s">
        <v>206</v>
      </c>
      <c r="R15" s="34" t="s">
        <v>206</v>
      </c>
      <c r="S15" s="34" t="s">
        <v>206</v>
      </c>
      <c r="T15" s="34" t="s">
        <v>206</v>
      </c>
      <c r="U15" s="34" t="s">
        <v>206</v>
      </c>
      <c r="V15" s="34" t="s">
        <v>206</v>
      </c>
      <c r="W15" s="34" t="s">
        <v>206</v>
      </c>
      <c r="X15" s="34" t="s">
        <v>206</v>
      </c>
      <c r="Y15" s="34" t="s">
        <v>206</v>
      </c>
      <c r="Z15" s="34" t="s">
        <v>206</v>
      </c>
      <c r="AA15" s="34" t="s">
        <v>206</v>
      </c>
      <c r="AB15" s="34" t="s">
        <v>206</v>
      </c>
      <c r="AC15" s="34" t="s">
        <v>206</v>
      </c>
      <c r="AD15" s="34" t="s">
        <v>206</v>
      </c>
      <c r="AE15" s="34" t="s">
        <v>206</v>
      </c>
      <c r="AF15" s="34" t="s">
        <v>206</v>
      </c>
      <c r="AG15" s="34" t="s">
        <v>206</v>
      </c>
      <c r="AH15" s="34" t="s">
        <v>206</v>
      </c>
      <c r="AI15" s="34" t="s">
        <v>206</v>
      </c>
      <c r="AJ15" s="34" t="s">
        <v>206</v>
      </c>
      <c r="AK15" s="34" t="s">
        <v>206</v>
      </c>
      <c r="AL15" s="34" t="s">
        <v>206</v>
      </c>
      <c r="AM15" s="34" t="s">
        <v>206</v>
      </c>
      <c r="AN15" s="34" t="s">
        <v>206</v>
      </c>
      <c r="AO15" s="34" t="s">
        <v>206</v>
      </c>
      <c r="AP15" s="34" t="s">
        <v>206</v>
      </c>
      <c r="AQ15" s="34" t="s">
        <v>206</v>
      </c>
      <c r="AR15" s="34" t="s">
        <v>206</v>
      </c>
      <c r="AS15" s="34" t="s">
        <v>206</v>
      </c>
      <c r="AT15" s="34" t="s">
        <v>206</v>
      </c>
      <c r="AU15" s="34" t="s">
        <v>206</v>
      </c>
      <c r="AV15" s="34" t="s">
        <v>206</v>
      </c>
      <c r="AW15" s="34" t="s">
        <v>206</v>
      </c>
      <c r="AX15" s="34" t="s">
        <v>206</v>
      </c>
      <c r="AY15" s="34" t="s">
        <v>206</v>
      </c>
      <c r="AZ15" s="34" t="s">
        <v>206</v>
      </c>
      <c r="BA15" s="34" t="s">
        <v>206</v>
      </c>
      <c r="BB15" s="34" t="s">
        <v>206</v>
      </c>
      <c r="BC15" s="34" t="s">
        <v>206</v>
      </c>
      <c r="BD15" s="34" t="s">
        <v>206</v>
      </c>
      <c r="BE15" s="34" t="s">
        <v>206</v>
      </c>
      <c r="BF15" s="34" t="s">
        <v>206</v>
      </c>
      <c r="BG15" s="34" t="s">
        <v>206</v>
      </c>
      <c r="BH15" s="34" t="s">
        <v>206</v>
      </c>
      <c r="BI15" s="34" t="s">
        <v>206</v>
      </c>
      <c r="BJ15" s="34" t="s">
        <v>206</v>
      </c>
      <c r="BK15" s="34" t="s">
        <v>206</v>
      </c>
      <c r="BL15" s="34" t="s">
        <v>206</v>
      </c>
      <c r="BM15" s="34" t="s">
        <v>206</v>
      </c>
      <c r="BN15" s="34" t="s">
        <v>206</v>
      </c>
      <c r="BO15" s="34" t="s">
        <v>206</v>
      </c>
      <c r="BP15" s="34" t="s">
        <v>206</v>
      </c>
      <c r="BQ15" s="34" t="s">
        <v>206</v>
      </c>
      <c r="BR15" s="34" t="s">
        <v>206</v>
      </c>
      <c r="BS15" s="34" t="s">
        <v>206</v>
      </c>
      <c r="BT15" s="34" t="s">
        <v>206</v>
      </c>
      <c r="BU15" s="34" t="s">
        <v>206</v>
      </c>
      <c r="BV15" s="34" t="s">
        <v>206</v>
      </c>
      <c r="BW15" s="34" t="s">
        <v>206</v>
      </c>
      <c r="BX15" s="34" t="s">
        <v>206</v>
      </c>
      <c r="BY15" s="34" t="s">
        <v>206</v>
      </c>
      <c r="CF15">
        <v>13</v>
      </c>
      <c r="CG15" s="3" t="str">
        <v>Corretoras</v>
      </c>
      <c r="CH15" s="3" t="str">
        <v>CM Capital</v>
      </c>
      <c r="CI15" s="56">
        <f t="shared" si="13"/>
        <v>0</v>
      </c>
      <c r="CJ15" s="56">
        <f t="shared" si="13"/>
        <v>0</v>
      </c>
      <c r="CK15" s="56">
        <f t="shared" si="13"/>
        <v>2.5</v>
      </c>
      <c r="CL15" s="56">
        <f t="shared" si="13"/>
        <v>1</v>
      </c>
      <c r="CM15" s="56" t="str">
        <f t="shared" si="13"/>
        <v>Baixa</v>
      </c>
      <c r="CN15" s="56" t="str">
        <f t="shared" si="13"/>
        <v>Ativo</v>
      </c>
      <c r="CO15" s="56" t="str">
        <f t="shared" si="13"/>
        <v>SIM</v>
      </c>
      <c r="CP15" s="56" t="str">
        <f t="shared" si="13"/>
        <v>Padrão do terceiro</v>
      </c>
      <c r="CQ15" s="56" t="str">
        <f t="shared" si="13"/>
        <v/>
      </c>
      <c r="CR15" s="32" t="str">
        <f t="shared" si="13"/>
        <v/>
      </c>
      <c r="CS15" s="32">
        <f t="shared" si="13"/>
        <v>45117</v>
      </c>
      <c r="CT15" s="32" t="str">
        <f t="shared" si="13"/>
        <v>Anual</v>
      </c>
      <c r="CU15" s="32" t="str">
        <f t="shared" ca="1" si="13"/>
        <v>Atrasado</v>
      </c>
      <c r="CV15" s="9" t="str">
        <f t="shared" si="13"/>
        <v/>
      </c>
      <c r="CW15" s="9" t="str">
        <f t="shared" si="13"/>
        <v/>
      </c>
      <c r="CX15" s="9" t="str">
        <f t="shared" si="13"/>
        <v/>
      </c>
      <c r="CY15" s="56" t="str">
        <f t="shared" si="9"/>
        <v>Baixo</v>
      </c>
    </row>
    <row r="16" spans="2:103" ht="15.75" x14ac:dyDescent="0.25">
      <c r="B16" s="35" t="s">
        <v>208</v>
      </c>
      <c r="C16" s="36">
        <v>0.15</v>
      </c>
      <c r="D16" s="7">
        <v>10</v>
      </c>
      <c r="E16" s="7">
        <v>10</v>
      </c>
      <c r="F16" s="7">
        <v>10</v>
      </c>
      <c r="G16" s="7">
        <v>10</v>
      </c>
      <c r="H16" s="7">
        <v>0</v>
      </c>
      <c r="I16" s="7">
        <v>0</v>
      </c>
      <c r="J16" s="7">
        <v>0</v>
      </c>
      <c r="K16" s="7">
        <v>0</v>
      </c>
      <c r="L16" s="7">
        <v>0</v>
      </c>
      <c r="M16" s="7">
        <v>0</v>
      </c>
      <c r="N16" s="7">
        <v>0</v>
      </c>
      <c r="O16" s="7">
        <v>0</v>
      </c>
      <c r="P16" s="7">
        <v>0</v>
      </c>
      <c r="Q16" s="7">
        <v>0</v>
      </c>
      <c r="R16" s="7">
        <v>0</v>
      </c>
      <c r="S16" s="7">
        <v>0</v>
      </c>
      <c r="T16" s="7">
        <v>0</v>
      </c>
      <c r="U16" s="7">
        <v>0</v>
      </c>
      <c r="V16" s="7">
        <v>0</v>
      </c>
      <c r="W16" s="7">
        <v>0</v>
      </c>
      <c r="X16" s="7">
        <v>0</v>
      </c>
      <c r="Y16" s="7">
        <v>0</v>
      </c>
      <c r="Z16" s="7">
        <v>0</v>
      </c>
      <c r="AA16" s="7">
        <v>0</v>
      </c>
      <c r="AB16" s="7">
        <v>10</v>
      </c>
      <c r="AC16" s="7">
        <v>10</v>
      </c>
      <c r="AD16" s="7">
        <v>10</v>
      </c>
      <c r="AE16" s="7">
        <v>10</v>
      </c>
      <c r="AF16" s="7">
        <v>0</v>
      </c>
      <c r="AG16" s="7">
        <v>10</v>
      </c>
      <c r="AH16" s="7">
        <v>10</v>
      </c>
      <c r="CF16">
        <v>14</v>
      </c>
      <c r="CG16" s="3" t="str">
        <v>Corretoras</v>
      </c>
      <c r="CH16" s="3" t="str">
        <v>Credit Suisse</v>
      </c>
      <c r="CI16" s="56">
        <f t="shared" si="13"/>
        <v>0</v>
      </c>
      <c r="CJ16" s="56">
        <f t="shared" si="13"/>
        <v>0</v>
      </c>
      <c r="CK16" s="56">
        <f t="shared" si="13"/>
        <v>2.5</v>
      </c>
      <c r="CL16" s="56">
        <f t="shared" si="13"/>
        <v>1</v>
      </c>
      <c r="CM16" s="56" t="str">
        <f t="shared" si="13"/>
        <v>Baixa</v>
      </c>
      <c r="CN16" s="56" t="str">
        <f t="shared" si="13"/>
        <v>Ativo</v>
      </c>
      <c r="CO16" s="56" t="str">
        <f t="shared" si="13"/>
        <v>SIM</v>
      </c>
      <c r="CP16" s="56" t="str">
        <f t="shared" si="13"/>
        <v>Padrão do terceiro</v>
      </c>
      <c r="CQ16" s="56" t="str">
        <f t="shared" si="13"/>
        <v/>
      </c>
      <c r="CR16" s="32" t="str">
        <f t="shared" si="13"/>
        <v/>
      </c>
      <c r="CS16" s="32">
        <f t="shared" si="13"/>
        <v>45117</v>
      </c>
      <c r="CT16" s="32" t="str">
        <f t="shared" si="13"/>
        <v>Anual</v>
      </c>
      <c r="CU16" s="32" t="str">
        <f t="shared" ca="1" si="13"/>
        <v>Atrasado</v>
      </c>
      <c r="CV16" s="9" t="str">
        <f t="shared" si="13"/>
        <v/>
      </c>
      <c r="CW16" s="9" t="str">
        <f t="shared" si="13"/>
        <v/>
      </c>
      <c r="CX16" s="9" t="str">
        <f t="shared" si="13"/>
        <v/>
      </c>
      <c r="CY16" s="56" t="str">
        <f t="shared" si="9"/>
        <v>Baixo</v>
      </c>
    </row>
    <row r="17" spans="2:103" ht="15.75" x14ac:dyDescent="0.25">
      <c r="B17" s="35" t="s">
        <v>209</v>
      </c>
      <c r="C17" s="36">
        <v>0.125</v>
      </c>
      <c r="D17" s="7">
        <v>0</v>
      </c>
      <c r="E17" s="7">
        <v>0</v>
      </c>
      <c r="F17" s="7">
        <v>10</v>
      </c>
      <c r="G17" s="7">
        <v>0</v>
      </c>
      <c r="H17" s="7">
        <v>0</v>
      </c>
      <c r="I17" s="7">
        <v>0</v>
      </c>
      <c r="J17" s="7">
        <v>0</v>
      </c>
      <c r="K17" s="7">
        <v>0</v>
      </c>
      <c r="L17" s="7">
        <v>0</v>
      </c>
      <c r="M17" s="7">
        <v>0</v>
      </c>
      <c r="N17" s="7">
        <v>0</v>
      </c>
      <c r="O17" s="7">
        <v>0</v>
      </c>
      <c r="P17" s="7">
        <v>0</v>
      </c>
      <c r="Q17" s="7">
        <v>0</v>
      </c>
      <c r="R17" s="7">
        <v>0</v>
      </c>
      <c r="S17" s="7">
        <v>0</v>
      </c>
      <c r="T17" s="7">
        <v>0</v>
      </c>
      <c r="U17" s="7">
        <v>0</v>
      </c>
      <c r="V17" s="7">
        <v>0</v>
      </c>
      <c r="W17" s="7">
        <v>0</v>
      </c>
      <c r="X17" s="7">
        <v>0</v>
      </c>
      <c r="Y17" s="7">
        <v>0</v>
      </c>
      <c r="Z17" s="7">
        <v>0</v>
      </c>
      <c r="AA17" s="7">
        <v>0</v>
      </c>
      <c r="AB17" s="7">
        <v>0</v>
      </c>
      <c r="AC17" s="7">
        <v>0</v>
      </c>
      <c r="AD17" s="7">
        <v>0</v>
      </c>
      <c r="AE17" s="7">
        <v>0</v>
      </c>
      <c r="AF17" s="7">
        <v>0</v>
      </c>
      <c r="AG17" s="7">
        <v>0</v>
      </c>
      <c r="AH17" s="7">
        <v>0</v>
      </c>
      <c r="CF17">
        <v>15</v>
      </c>
      <c r="CG17" s="3" t="str">
        <v>Corretoras</v>
      </c>
      <c r="CH17" s="3" t="str">
        <v>Goldman Sachs</v>
      </c>
      <c r="CI17" s="56">
        <f t="shared" si="13"/>
        <v>0</v>
      </c>
      <c r="CJ17" s="56">
        <f t="shared" si="13"/>
        <v>0</v>
      </c>
      <c r="CK17" s="56">
        <f t="shared" si="13"/>
        <v>2.5</v>
      </c>
      <c r="CL17" s="56">
        <f t="shared" si="13"/>
        <v>1</v>
      </c>
      <c r="CM17" s="56" t="str">
        <f t="shared" si="13"/>
        <v>Baixa</v>
      </c>
      <c r="CN17" s="56" t="str">
        <f t="shared" si="13"/>
        <v>Ativo</v>
      </c>
      <c r="CO17" s="56" t="str">
        <f t="shared" si="13"/>
        <v>SIM</v>
      </c>
      <c r="CP17" s="56" t="str">
        <f t="shared" si="13"/>
        <v>Padrão do terceiro</v>
      </c>
      <c r="CQ17" s="56" t="str">
        <f t="shared" si="13"/>
        <v/>
      </c>
      <c r="CR17" s="32" t="str">
        <f t="shared" si="13"/>
        <v/>
      </c>
      <c r="CS17" s="32">
        <f t="shared" si="13"/>
        <v>45117</v>
      </c>
      <c r="CT17" s="32" t="str">
        <f t="shared" si="13"/>
        <v>Anual</v>
      </c>
      <c r="CU17" s="32" t="str">
        <f t="shared" ca="1" si="13"/>
        <v>Atrasado</v>
      </c>
      <c r="CV17" s="9" t="str">
        <f t="shared" si="13"/>
        <v/>
      </c>
      <c r="CW17" s="9" t="str">
        <f t="shared" si="13"/>
        <v/>
      </c>
      <c r="CX17" s="9" t="str">
        <f t="shared" si="13"/>
        <v/>
      </c>
      <c r="CY17" s="56" t="str">
        <f t="shared" si="9"/>
        <v>Baixo</v>
      </c>
    </row>
    <row r="18" spans="2:103" ht="15.75" x14ac:dyDescent="0.25">
      <c r="B18" s="35" t="s">
        <v>210</v>
      </c>
      <c r="C18" s="36">
        <v>0.1</v>
      </c>
      <c r="D18" s="7">
        <v>10</v>
      </c>
      <c r="E18" s="7">
        <v>10</v>
      </c>
      <c r="F18" s="7">
        <v>5</v>
      </c>
      <c r="G18" s="7">
        <v>0</v>
      </c>
      <c r="H18" s="7">
        <v>0</v>
      </c>
      <c r="I18" s="7">
        <v>0</v>
      </c>
      <c r="J18" s="7">
        <v>0</v>
      </c>
      <c r="K18" s="7">
        <v>0</v>
      </c>
      <c r="L18" s="7">
        <v>0</v>
      </c>
      <c r="M18" s="7">
        <v>0</v>
      </c>
      <c r="N18" s="7">
        <v>0</v>
      </c>
      <c r="O18" s="7">
        <v>0</v>
      </c>
      <c r="P18" s="7">
        <v>0</v>
      </c>
      <c r="Q18" s="7">
        <v>0</v>
      </c>
      <c r="R18" s="7">
        <v>0</v>
      </c>
      <c r="S18" s="7">
        <v>0</v>
      </c>
      <c r="T18" s="7">
        <v>0</v>
      </c>
      <c r="U18" s="7">
        <v>0</v>
      </c>
      <c r="V18" s="7">
        <v>0</v>
      </c>
      <c r="W18" s="7">
        <v>0</v>
      </c>
      <c r="X18" s="7">
        <v>0</v>
      </c>
      <c r="Y18" s="7">
        <v>0</v>
      </c>
      <c r="Z18" s="7">
        <v>0</v>
      </c>
      <c r="AA18" s="7">
        <v>0</v>
      </c>
      <c r="AB18" s="7">
        <v>10</v>
      </c>
      <c r="AC18" s="7">
        <v>10</v>
      </c>
      <c r="AD18" s="7">
        <v>10</v>
      </c>
      <c r="AE18" s="7">
        <v>10</v>
      </c>
      <c r="AF18" s="7">
        <v>0</v>
      </c>
      <c r="AG18" s="7">
        <v>10</v>
      </c>
      <c r="AH18" s="7">
        <v>5</v>
      </c>
      <c r="CF18">
        <v>16</v>
      </c>
      <c r="CG18" s="3" t="str">
        <v>Corretoras</v>
      </c>
      <c r="CH18" s="3" t="str">
        <v>Itaú corretora</v>
      </c>
      <c r="CI18" s="56">
        <f t="shared" si="13"/>
        <v>0</v>
      </c>
      <c r="CJ18" s="56">
        <f t="shared" si="13"/>
        <v>0</v>
      </c>
      <c r="CK18" s="56">
        <f t="shared" si="13"/>
        <v>2.5</v>
      </c>
      <c r="CL18" s="56">
        <f t="shared" si="13"/>
        <v>1</v>
      </c>
      <c r="CM18" s="56" t="str">
        <f t="shared" si="13"/>
        <v>Baixa</v>
      </c>
      <c r="CN18" s="56" t="str">
        <f t="shared" si="13"/>
        <v>Ativo</v>
      </c>
      <c r="CO18" s="56" t="str">
        <f t="shared" si="13"/>
        <v>SIM</v>
      </c>
      <c r="CP18" s="56" t="str">
        <f t="shared" si="13"/>
        <v>Padrão do terceiro</v>
      </c>
      <c r="CQ18" s="56" t="str">
        <f t="shared" si="13"/>
        <v/>
      </c>
      <c r="CR18" s="32" t="str">
        <f t="shared" si="13"/>
        <v/>
      </c>
      <c r="CS18" s="32">
        <f t="shared" si="13"/>
        <v>45117</v>
      </c>
      <c r="CT18" s="32" t="str">
        <f t="shared" si="13"/>
        <v>Anual</v>
      </c>
      <c r="CU18" s="32" t="str">
        <f t="shared" ca="1" si="13"/>
        <v>Atrasado</v>
      </c>
      <c r="CV18" s="9" t="str">
        <f t="shared" si="13"/>
        <v/>
      </c>
      <c r="CW18" s="9" t="str">
        <f t="shared" si="13"/>
        <v/>
      </c>
      <c r="CX18" s="9" t="str">
        <f t="shared" si="13"/>
        <v/>
      </c>
      <c r="CY18" s="56" t="str">
        <f t="shared" si="9"/>
        <v>Baixo</v>
      </c>
    </row>
    <row r="19" spans="2:103" ht="15.75" x14ac:dyDescent="0.25">
      <c r="B19" s="35" t="s">
        <v>211</v>
      </c>
      <c r="C19" s="36">
        <v>0.15</v>
      </c>
      <c r="D19" s="7">
        <v>0</v>
      </c>
      <c r="E19" s="7">
        <v>0</v>
      </c>
      <c r="F19" s="7">
        <v>0</v>
      </c>
      <c r="G19" s="7">
        <v>0</v>
      </c>
      <c r="H19" s="7">
        <v>0</v>
      </c>
      <c r="I19" s="7">
        <v>0</v>
      </c>
      <c r="J19" s="7">
        <v>0</v>
      </c>
      <c r="K19" s="7">
        <v>0</v>
      </c>
      <c r="L19" s="7">
        <v>0</v>
      </c>
      <c r="M19" s="7">
        <v>0</v>
      </c>
      <c r="N19" s="7">
        <v>0</v>
      </c>
      <c r="O19" s="7">
        <v>0</v>
      </c>
      <c r="P19" s="7">
        <v>0</v>
      </c>
      <c r="Q19" s="7">
        <v>0</v>
      </c>
      <c r="R19" s="7">
        <v>0</v>
      </c>
      <c r="S19" s="7">
        <v>0</v>
      </c>
      <c r="T19" s="7">
        <v>0</v>
      </c>
      <c r="U19" s="7">
        <v>0</v>
      </c>
      <c r="V19" s="7">
        <v>0</v>
      </c>
      <c r="W19" s="7">
        <v>0</v>
      </c>
      <c r="X19" s="7">
        <v>0</v>
      </c>
      <c r="Y19" s="7">
        <v>0</v>
      </c>
      <c r="Z19" s="7">
        <v>0</v>
      </c>
      <c r="AA19" s="7">
        <v>0</v>
      </c>
      <c r="AB19" s="7">
        <v>10</v>
      </c>
      <c r="AC19" s="7">
        <v>10</v>
      </c>
      <c r="AD19" s="7">
        <v>10</v>
      </c>
      <c r="AE19" s="7">
        <v>10</v>
      </c>
      <c r="AF19" s="7">
        <v>0</v>
      </c>
      <c r="AG19" s="7">
        <v>0</v>
      </c>
      <c r="AH19" s="7">
        <v>0</v>
      </c>
      <c r="CF19">
        <v>17</v>
      </c>
      <c r="CG19" s="3" t="str">
        <v>Corretoras</v>
      </c>
      <c r="CH19" s="3" t="str">
        <v>JP Morgan</v>
      </c>
      <c r="CI19" s="56">
        <f t="shared" si="13"/>
        <v>0</v>
      </c>
      <c r="CJ19" s="56">
        <f t="shared" si="13"/>
        <v>0</v>
      </c>
      <c r="CK19" s="56">
        <f t="shared" si="13"/>
        <v>2.5</v>
      </c>
      <c r="CL19" s="56">
        <f t="shared" si="13"/>
        <v>1</v>
      </c>
      <c r="CM19" s="56" t="str">
        <f t="shared" si="13"/>
        <v>Baixa</v>
      </c>
      <c r="CN19" s="56" t="str">
        <f t="shared" si="13"/>
        <v>Ativo</v>
      </c>
      <c r="CO19" s="56" t="str">
        <f t="shared" si="13"/>
        <v>SIM</v>
      </c>
      <c r="CP19" s="56" t="str">
        <f t="shared" si="13"/>
        <v>Padrão do terceiro</v>
      </c>
      <c r="CQ19" s="56" t="str">
        <f t="shared" si="13"/>
        <v/>
      </c>
      <c r="CR19" s="32" t="str">
        <f t="shared" si="13"/>
        <v/>
      </c>
      <c r="CS19" s="32">
        <f t="shared" si="13"/>
        <v>45117</v>
      </c>
      <c r="CT19" s="32" t="str">
        <f t="shared" si="13"/>
        <v>Anual</v>
      </c>
      <c r="CU19" s="32" t="str">
        <f t="shared" ca="1" si="13"/>
        <v>Atrasado</v>
      </c>
      <c r="CV19" s="9" t="str">
        <f t="shared" si="13"/>
        <v/>
      </c>
      <c r="CW19" s="9" t="str">
        <f t="shared" si="13"/>
        <v/>
      </c>
      <c r="CX19" s="9" t="str">
        <f t="shared" si="13"/>
        <v/>
      </c>
      <c r="CY19" s="56" t="str">
        <f t="shared" si="9"/>
        <v>Baixo</v>
      </c>
    </row>
    <row r="20" spans="2:103" ht="15.75" x14ac:dyDescent="0.25">
      <c r="B20" s="35" t="s">
        <v>212</v>
      </c>
      <c r="C20" s="36">
        <v>0.125</v>
      </c>
      <c r="D20" s="7">
        <v>10</v>
      </c>
      <c r="E20" s="7">
        <v>10</v>
      </c>
      <c r="F20" s="7">
        <v>8</v>
      </c>
      <c r="G20" s="7">
        <v>0</v>
      </c>
      <c r="H20" s="7">
        <v>0</v>
      </c>
      <c r="I20" s="7">
        <v>0</v>
      </c>
      <c r="J20" s="7">
        <v>0</v>
      </c>
      <c r="K20" s="7">
        <v>0</v>
      </c>
      <c r="L20" s="7">
        <v>0</v>
      </c>
      <c r="M20" s="7">
        <v>0</v>
      </c>
      <c r="N20" s="7">
        <v>0</v>
      </c>
      <c r="O20" s="7">
        <v>0</v>
      </c>
      <c r="P20" s="7">
        <v>0</v>
      </c>
      <c r="Q20" s="7">
        <v>0</v>
      </c>
      <c r="R20" s="7">
        <v>0</v>
      </c>
      <c r="S20" s="7">
        <v>0</v>
      </c>
      <c r="T20" s="7">
        <v>0</v>
      </c>
      <c r="U20" s="7">
        <v>0</v>
      </c>
      <c r="V20" s="7">
        <v>0</v>
      </c>
      <c r="W20" s="7">
        <v>0</v>
      </c>
      <c r="X20" s="7">
        <v>0</v>
      </c>
      <c r="Y20" s="7">
        <v>0</v>
      </c>
      <c r="Z20" s="7">
        <v>0</v>
      </c>
      <c r="AA20" s="7">
        <v>0</v>
      </c>
      <c r="AB20" s="7">
        <v>5</v>
      </c>
      <c r="AC20" s="7">
        <v>5</v>
      </c>
      <c r="AD20" s="7">
        <v>5</v>
      </c>
      <c r="AE20" s="7">
        <v>5</v>
      </c>
      <c r="AF20" s="7">
        <v>0</v>
      </c>
      <c r="AG20" s="7">
        <v>8</v>
      </c>
      <c r="AH20" s="7">
        <v>0</v>
      </c>
      <c r="CF20">
        <v>18</v>
      </c>
      <c r="CG20" s="3" t="str">
        <v>Corretoras</v>
      </c>
      <c r="CH20" s="3" t="str">
        <v>Merrill Lynch</v>
      </c>
      <c r="CI20" s="56">
        <f t="shared" si="13"/>
        <v>0</v>
      </c>
      <c r="CJ20" s="56">
        <f t="shared" si="13"/>
        <v>0</v>
      </c>
      <c r="CK20" s="56">
        <f t="shared" si="13"/>
        <v>2.5</v>
      </c>
      <c r="CL20" s="56">
        <f t="shared" si="13"/>
        <v>1</v>
      </c>
      <c r="CM20" s="56" t="str">
        <f t="shared" si="13"/>
        <v>Baixa</v>
      </c>
      <c r="CN20" s="56" t="str">
        <f t="shared" si="13"/>
        <v>Ativo</v>
      </c>
      <c r="CO20" s="56" t="str">
        <f t="shared" si="13"/>
        <v>SIM</v>
      </c>
      <c r="CP20" s="56" t="str">
        <f t="shared" si="13"/>
        <v>Padrão do terceiro</v>
      </c>
      <c r="CQ20" s="56" t="str">
        <f t="shared" si="13"/>
        <v/>
      </c>
      <c r="CR20" s="32" t="str">
        <f t="shared" si="13"/>
        <v/>
      </c>
      <c r="CS20" s="32">
        <f t="shared" si="13"/>
        <v>45117</v>
      </c>
      <c r="CT20" s="32" t="str">
        <f t="shared" si="13"/>
        <v>Anual</v>
      </c>
      <c r="CU20" s="32" t="str">
        <f t="shared" ca="1" si="13"/>
        <v>Atrasado</v>
      </c>
      <c r="CV20" s="9" t="str">
        <f t="shared" si="13"/>
        <v/>
      </c>
      <c r="CW20" s="9" t="str">
        <f t="shared" si="13"/>
        <v/>
      </c>
      <c r="CX20" s="9" t="str">
        <f t="shared" si="13"/>
        <v/>
      </c>
      <c r="CY20" s="56" t="str">
        <f t="shared" si="9"/>
        <v>Baixo</v>
      </c>
    </row>
    <row r="21" spans="2:103" ht="15.75" x14ac:dyDescent="0.25">
      <c r="B21" s="35" t="s">
        <v>213</v>
      </c>
      <c r="C21" s="36">
        <v>0.2</v>
      </c>
      <c r="D21" s="7">
        <v>10</v>
      </c>
      <c r="E21" s="7">
        <v>10</v>
      </c>
      <c r="F21" s="7">
        <v>8</v>
      </c>
      <c r="G21" s="7">
        <v>5</v>
      </c>
      <c r="H21" s="7">
        <v>0</v>
      </c>
      <c r="I21" s="7">
        <v>0</v>
      </c>
      <c r="J21" s="7">
        <v>0</v>
      </c>
      <c r="K21" s="7">
        <v>0</v>
      </c>
      <c r="L21" s="7">
        <v>0</v>
      </c>
      <c r="M21" s="7">
        <v>0</v>
      </c>
      <c r="N21" s="7">
        <v>0</v>
      </c>
      <c r="O21" s="7">
        <v>0</v>
      </c>
      <c r="P21" s="7">
        <v>0</v>
      </c>
      <c r="Q21" s="7">
        <v>0</v>
      </c>
      <c r="R21" s="7">
        <v>0</v>
      </c>
      <c r="S21" s="7">
        <v>0</v>
      </c>
      <c r="T21" s="7">
        <v>0</v>
      </c>
      <c r="U21" s="7">
        <v>0</v>
      </c>
      <c r="V21" s="7">
        <v>0</v>
      </c>
      <c r="W21" s="7">
        <v>0</v>
      </c>
      <c r="X21" s="7">
        <v>0</v>
      </c>
      <c r="Y21" s="7">
        <v>0</v>
      </c>
      <c r="Z21" s="7">
        <v>0</v>
      </c>
      <c r="AA21" s="7">
        <v>0</v>
      </c>
      <c r="AB21" s="7">
        <v>10</v>
      </c>
      <c r="AC21" s="7">
        <v>10</v>
      </c>
      <c r="AD21" s="7">
        <v>10</v>
      </c>
      <c r="AE21" s="7">
        <v>10</v>
      </c>
      <c r="AF21" s="7">
        <v>0</v>
      </c>
      <c r="AG21" s="7">
        <v>8</v>
      </c>
      <c r="AH21" s="7">
        <v>5</v>
      </c>
      <c r="CF21">
        <v>19</v>
      </c>
      <c r="CG21" s="3" t="str">
        <v>Corretoras</v>
      </c>
      <c r="CH21" s="3" t="str">
        <v>Morgan Stanley</v>
      </c>
      <c r="CI21" s="56">
        <f t="shared" si="13"/>
        <v>0</v>
      </c>
      <c r="CJ21" s="56">
        <f t="shared" si="13"/>
        <v>0</v>
      </c>
      <c r="CK21" s="56">
        <f t="shared" si="13"/>
        <v>2.5</v>
      </c>
      <c r="CL21" s="56">
        <f t="shared" si="13"/>
        <v>1</v>
      </c>
      <c r="CM21" s="56" t="str">
        <f t="shared" si="13"/>
        <v>Baixa</v>
      </c>
      <c r="CN21" s="56" t="str">
        <f t="shared" si="13"/>
        <v>Ativo</v>
      </c>
      <c r="CO21" s="56" t="str">
        <f t="shared" si="13"/>
        <v>SIM</v>
      </c>
      <c r="CP21" s="56" t="str">
        <f t="shared" si="13"/>
        <v>Padrão do terceiro</v>
      </c>
      <c r="CQ21" s="56" t="str">
        <f t="shared" si="13"/>
        <v/>
      </c>
      <c r="CR21" s="32" t="str">
        <f t="shared" si="13"/>
        <v/>
      </c>
      <c r="CS21" s="32">
        <f t="shared" si="13"/>
        <v>45117</v>
      </c>
      <c r="CT21" s="32" t="str">
        <f t="shared" si="13"/>
        <v>Anual</v>
      </c>
      <c r="CU21" s="32" t="str">
        <f t="shared" ca="1" si="13"/>
        <v>Atrasado</v>
      </c>
      <c r="CV21" s="9" t="str">
        <f t="shared" si="13"/>
        <v/>
      </c>
      <c r="CW21" s="9" t="str">
        <f t="shared" si="13"/>
        <v/>
      </c>
      <c r="CX21" s="9" t="str">
        <f t="shared" si="13"/>
        <v/>
      </c>
      <c r="CY21" s="56" t="str">
        <f t="shared" si="9"/>
        <v>Baixo</v>
      </c>
    </row>
    <row r="22" spans="2:103" ht="15.75" x14ac:dyDescent="0.25">
      <c r="B22" s="39" t="s">
        <v>214</v>
      </c>
      <c r="C22" s="38">
        <v>0.15</v>
      </c>
      <c r="D22" s="7">
        <v>10</v>
      </c>
      <c r="E22" s="7">
        <v>10</v>
      </c>
      <c r="F22" s="7">
        <v>8</v>
      </c>
      <c r="G22" s="7">
        <v>5</v>
      </c>
      <c r="H22" s="7">
        <v>0</v>
      </c>
      <c r="I22" s="7">
        <v>0</v>
      </c>
      <c r="J22" s="7">
        <v>0</v>
      </c>
      <c r="K22" s="7">
        <v>0</v>
      </c>
      <c r="L22" s="7">
        <v>0</v>
      </c>
      <c r="M22" s="7">
        <v>0</v>
      </c>
      <c r="N22" s="7">
        <v>0</v>
      </c>
      <c r="O22" s="7">
        <v>0</v>
      </c>
      <c r="P22" s="7">
        <v>0</v>
      </c>
      <c r="Q22" s="7">
        <v>0</v>
      </c>
      <c r="R22" s="7">
        <v>0</v>
      </c>
      <c r="S22" s="7">
        <v>0</v>
      </c>
      <c r="T22" s="7">
        <v>0</v>
      </c>
      <c r="U22" s="7">
        <v>0</v>
      </c>
      <c r="V22" s="7">
        <v>0</v>
      </c>
      <c r="W22" s="7">
        <v>0</v>
      </c>
      <c r="X22" s="7">
        <v>0</v>
      </c>
      <c r="Y22" s="7">
        <v>0</v>
      </c>
      <c r="Z22" s="7">
        <v>0</v>
      </c>
      <c r="AA22" s="7">
        <v>0</v>
      </c>
      <c r="AB22" s="7">
        <v>10</v>
      </c>
      <c r="AC22" s="7">
        <v>10</v>
      </c>
      <c r="AD22" s="7">
        <v>10</v>
      </c>
      <c r="AE22" s="7">
        <v>10</v>
      </c>
      <c r="AF22" s="7">
        <v>0</v>
      </c>
      <c r="AG22" s="7">
        <v>8</v>
      </c>
      <c r="AH22" s="7">
        <v>5</v>
      </c>
      <c r="CF22">
        <v>20</v>
      </c>
      <c r="CG22" s="3" t="str">
        <v>Corretoras</v>
      </c>
      <c r="CH22" s="3" t="str">
        <v>Necton</v>
      </c>
      <c r="CI22" s="56">
        <f t="shared" si="13"/>
        <v>0</v>
      </c>
      <c r="CJ22" s="56">
        <f t="shared" si="13"/>
        <v>0</v>
      </c>
      <c r="CK22" s="56">
        <f t="shared" si="13"/>
        <v>2.5</v>
      </c>
      <c r="CL22" s="56">
        <f t="shared" si="13"/>
        <v>1</v>
      </c>
      <c r="CM22" s="56" t="str">
        <f t="shared" si="13"/>
        <v>Baixa</v>
      </c>
      <c r="CN22" s="56" t="str">
        <f t="shared" si="13"/>
        <v>Ativo</v>
      </c>
      <c r="CO22" s="56" t="str">
        <f t="shared" si="13"/>
        <v>SIM</v>
      </c>
      <c r="CP22" s="56" t="str">
        <f t="shared" si="13"/>
        <v>Padrão do terceiro</v>
      </c>
      <c r="CQ22" s="56" t="str">
        <f t="shared" si="13"/>
        <v/>
      </c>
      <c r="CR22" s="32" t="str">
        <f t="shared" si="13"/>
        <v/>
      </c>
      <c r="CS22" s="32">
        <f t="shared" si="13"/>
        <v>45117</v>
      </c>
      <c r="CT22" s="32" t="str">
        <f t="shared" si="13"/>
        <v>Anual</v>
      </c>
      <c r="CU22" s="32" t="str">
        <f t="shared" ca="1" si="13"/>
        <v>Atrasado</v>
      </c>
      <c r="CV22" s="9" t="str">
        <f t="shared" si="13"/>
        <v/>
      </c>
      <c r="CW22" s="9" t="str">
        <f t="shared" si="13"/>
        <v/>
      </c>
      <c r="CX22" s="9" t="str">
        <f t="shared" si="13"/>
        <v/>
      </c>
      <c r="CY22" s="56" t="str">
        <f t="shared" si="9"/>
        <v>Baixo</v>
      </c>
    </row>
    <row r="23" spans="2:103" ht="15.75" x14ac:dyDescent="0.25">
      <c r="B23" s="67" t="s">
        <v>228</v>
      </c>
      <c r="C23" s="68">
        <f>SUM(C16:C22)</f>
        <v>1</v>
      </c>
      <c r="D23" s="69">
        <f t="shared" ref="D23:AE23" si="14">SUMPRODUCT($C$16:$C$22,D16:D22)</f>
        <v>7.25</v>
      </c>
      <c r="E23" s="69">
        <f t="shared" si="14"/>
        <v>7.25</v>
      </c>
      <c r="F23" s="69">
        <f>SUMPRODUCT($C$16:$C$22,F16:F22)</f>
        <v>7.05</v>
      </c>
      <c r="G23" s="69">
        <f t="shared" si="14"/>
        <v>3.25</v>
      </c>
      <c r="H23" s="69">
        <f t="shared" si="14"/>
        <v>0</v>
      </c>
      <c r="I23" s="69">
        <f t="shared" si="14"/>
        <v>0</v>
      </c>
      <c r="J23" s="69">
        <f t="shared" si="14"/>
        <v>0</v>
      </c>
      <c r="K23" s="69">
        <f t="shared" si="14"/>
        <v>0</v>
      </c>
      <c r="L23" s="69">
        <f t="shared" si="14"/>
        <v>0</v>
      </c>
      <c r="M23" s="69">
        <f t="shared" si="14"/>
        <v>0</v>
      </c>
      <c r="N23" s="69">
        <f t="shared" si="14"/>
        <v>0</v>
      </c>
      <c r="O23" s="69">
        <f t="shared" si="14"/>
        <v>0</v>
      </c>
      <c r="P23" s="69">
        <f t="shared" si="14"/>
        <v>0</v>
      </c>
      <c r="Q23" s="69">
        <f t="shared" si="14"/>
        <v>0</v>
      </c>
      <c r="R23" s="69">
        <f t="shared" si="14"/>
        <v>0</v>
      </c>
      <c r="S23" s="69">
        <f t="shared" si="14"/>
        <v>0</v>
      </c>
      <c r="T23" s="69">
        <f t="shared" si="14"/>
        <v>0</v>
      </c>
      <c r="U23" s="69">
        <f t="shared" ref="U23:AA23" si="15">SUMPRODUCT($C$16:$C$22,U16:U22)</f>
        <v>0</v>
      </c>
      <c r="V23" s="69">
        <f t="shared" si="15"/>
        <v>0</v>
      </c>
      <c r="W23" s="69">
        <f t="shared" si="15"/>
        <v>0</v>
      </c>
      <c r="X23" s="69">
        <f t="shared" si="15"/>
        <v>0</v>
      </c>
      <c r="Y23" s="69">
        <f t="shared" si="15"/>
        <v>0</v>
      </c>
      <c r="Z23" s="69">
        <f t="shared" si="15"/>
        <v>0</v>
      </c>
      <c r="AA23" s="69">
        <f t="shared" si="15"/>
        <v>0</v>
      </c>
      <c r="AB23" s="69">
        <f t="shared" si="14"/>
        <v>8.125</v>
      </c>
      <c r="AC23" s="69">
        <f t="shared" si="14"/>
        <v>8.125</v>
      </c>
      <c r="AD23" s="69">
        <f t="shared" si="14"/>
        <v>8.125</v>
      </c>
      <c r="AE23" s="69">
        <f t="shared" si="14"/>
        <v>8.125</v>
      </c>
      <c r="AF23" s="69">
        <f t="shared" ref="AF23:AH23" si="16">SUMPRODUCT($C$16:$C$22,AF16:AF22)</f>
        <v>0</v>
      </c>
      <c r="AG23" s="69">
        <f t="shared" si="16"/>
        <v>6.3</v>
      </c>
      <c r="AH23" s="69">
        <f t="shared" si="16"/>
        <v>3.75</v>
      </c>
      <c r="AI23" s="69"/>
      <c r="AJ23" s="69"/>
      <c r="AK23" s="69"/>
      <c r="AL23" s="69"/>
      <c r="AM23" s="69"/>
      <c r="AN23" s="69"/>
      <c r="AO23" s="69"/>
      <c r="AP23" s="69"/>
      <c r="AQ23" s="69"/>
      <c r="AR23" s="69"/>
      <c r="AS23" s="69"/>
      <c r="AT23" s="69"/>
      <c r="AU23" s="69"/>
      <c r="AV23" s="69"/>
      <c r="AW23" s="69"/>
      <c r="AX23" s="69"/>
      <c r="AY23" s="69"/>
      <c r="AZ23" s="69"/>
      <c r="BA23" s="69"/>
      <c r="BB23" s="69"/>
      <c r="BC23" s="69"/>
      <c r="BD23" s="69"/>
      <c r="BE23" s="69"/>
      <c r="BF23" s="69"/>
      <c r="BG23" s="69"/>
      <c r="BH23" s="69"/>
      <c r="BI23" s="69"/>
      <c r="BJ23" s="69"/>
      <c r="BK23" s="69"/>
      <c r="BL23" s="69"/>
      <c r="BM23" s="69"/>
      <c r="BN23" s="69"/>
      <c r="BO23" s="69"/>
      <c r="BP23" s="69"/>
      <c r="BQ23" s="69"/>
      <c r="BR23" s="69"/>
      <c r="BS23" s="69"/>
      <c r="BT23" s="69"/>
      <c r="BU23" s="69"/>
      <c r="BV23" s="69"/>
      <c r="BW23" s="69"/>
      <c r="BX23" s="69"/>
      <c r="BY23" s="69"/>
      <c r="CF23">
        <v>21</v>
      </c>
      <c r="CG23" s="3" t="str">
        <v>Corretoras</v>
      </c>
      <c r="CH23" s="3" t="str">
        <v>Renascença</v>
      </c>
      <c r="CI23" s="56">
        <f t="shared" si="13"/>
        <v>0</v>
      </c>
      <c r="CJ23" s="56">
        <f t="shared" si="13"/>
        <v>0</v>
      </c>
      <c r="CK23" s="56">
        <f t="shared" si="13"/>
        <v>2.5</v>
      </c>
      <c r="CL23" s="56">
        <f t="shared" si="13"/>
        <v>1</v>
      </c>
      <c r="CM23" s="56" t="str">
        <f t="shared" si="13"/>
        <v>Baixa</v>
      </c>
      <c r="CN23" s="56" t="str">
        <f t="shared" si="13"/>
        <v>Ativo</v>
      </c>
      <c r="CO23" s="56" t="str">
        <f t="shared" si="13"/>
        <v>SIM</v>
      </c>
      <c r="CP23" s="56" t="str">
        <f t="shared" si="13"/>
        <v>Padrão do terceiro</v>
      </c>
      <c r="CQ23" s="56" t="str">
        <f t="shared" si="13"/>
        <v/>
      </c>
      <c r="CR23" s="32" t="str">
        <f t="shared" si="13"/>
        <v/>
      </c>
      <c r="CS23" s="32">
        <f t="shared" si="13"/>
        <v>45117</v>
      </c>
      <c r="CT23" s="32" t="str">
        <f t="shared" si="13"/>
        <v>Anual</v>
      </c>
      <c r="CU23" s="32" t="str">
        <f t="shared" ca="1" si="13"/>
        <v>Atrasado</v>
      </c>
      <c r="CV23" s="9" t="str">
        <f t="shared" si="13"/>
        <v/>
      </c>
      <c r="CW23" s="9" t="str">
        <f t="shared" si="13"/>
        <v/>
      </c>
      <c r="CX23" s="9" t="str">
        <f t="shared" si="13"/>
        <v/>
      </c>
      <c r="CY23" s="56" t="str">
        <f t="shared" ref="CY23:CY27" si="17">IFERROR(IF(HLOOKUP($CH23,$B$3:$BY$86,CY$2,FALSE)="","",HLOOKUP($CH23,$B$3:$BY$86,CY$2,FALSE)),"")</f>
        <v>Baixo</v>
      </c>
    </row>
    <row r="24" spans="2:103" ht="15.75" x14ac:dyDescent="0.25">
      <c r="B24" s="42"/>
      <c r="C24" s="41"/>
      <c r="CF24">
        <v>22</v>
      </c>
      <c r="CG24" s="3" t="str">
        <v>Corretoras</v>
      </c>
      <c r="CH24" s="3" t="str">
        <v>Santander Corretora</v>
      </c>
      <c r="CI24" s="56">
        <f t="shared" ref="CI24:CX33" si="18">IFERROR(IF(HLOOKUP($CH24,$B$3:$BY$86,CI$2,FALSE)="","",HLOOKUP($CH24,$B$3:$BY$86,CI$2,FALSE)),"")</f>
        <v>0</v>
      </c>
      <c r="CJ24" s="56">
        <f t="shared" si="18"/>
        <v>0</v>
      </c>
      <c r="CK24" s="56">
        <f t="shared" si="18"/>
        <v>2.5</v>
      </c>
      <c r="CL24" s="56">
        <f t="shared" si="18"/>
        <v>1</v>
      </c>
      <c r="CM24" s="56" t="str">
        <f t="shared" si="18"/>
        <v>Baixa</v>
      </c>
      <c r="CN24" s="56" t="str">
        <f t="shared" si="18"/>
        <v>Ativo</v>
      </c>
      <c r="CO24" s="56" t="str">
        <f t="shared" si="18"/>
        <v>SIM</v>
      </c>
      <c r="CP24" s="56" t="str">
        <f t="shared" si="18"/>
        <v>Padrão do terceiro</v>
      </c>
      <c r="CQ24" s="56" t="str">
        <f t="shared" si="18"/>
        <v/>
      </c>
      <c r="CR24" s="32" t="str">
        <f t="shared" si="18"/>
        <v/>
      </c>
      <c r="CS24" s="32">
        <f t="shared" si="18"/>
        <v>45117</v>
      </c>
      <c r="CT24" s="32" t="str">
        <f t="shared" si="18"/>
        <v>Anual</v>
      </c>
      <c r="CU24" s="32" t="str">
        <f t="shared" ca="1" si="18"/>
        <v>Atrasado</v>
      </c>
      <c r="CV24" s="9" t="str">
        <f t="shared" si="18"/>
        <v/>
      </c>
      <c r="CW24" s="9" t="str">
        <f t="shared" si="18"/>
        <v/>
      </c>
      <c r="CX24" s="9" t="str">
        <f t="shared" si="18"/>
        <v/>
      </c>
      <c r="CY24" s="56" t="str">
        <f t="shared" si="17"/>
        <v>Baixo</v>
      </c>
    </row>
    <row r="25" spans="2:103" ht="15.75" x14ac:dyDescent="0.25">
      <c r="B25" s="42"/>
      <c r="C25" s="42"/>
      <c r="CF25">
        <v>23</v>
      </c>
      <c r="CG25" s="3" t="str">
        <v>Corretoras</v>
      </c>
      <c r="CH25" s="3" t="str">
        <v>TULLET</v>
      </c>
      <c r="CI25" s="56">
        <f t="shared" si="18"/>
        <v>0</v>
      </c>
      <c r="CJ25" s="56">
        <f t="shared" si="18"/>
        <v>0</v>
      </c>
      <c r="CK25" s="56">
        <f t="shared" si="18"/>
        <v>2.5</v>
      </c>
      <c r="CL25" s="56">
        <f t="shared" si="18"/>
        <v>1</v>
      </c>
      <c r="CM25" s="56" t="str">
        <f t="shared" si="18"/>
        <v>Baixa</v>
      </c>
      <c r="CN25" s="56" t="str">
        <f t="shared" si="18"/>
        <v>Ativo</v>
      </c>
      <c r="CO25" s="56" t="str">
        <f t="shared" si="18"/>
        <v>SIM</v>
      </c>
      <c r="CP25" s="56" t="str">
        <f t="shared" si="18"/>
        <v>Padrão do terceiro</v>
      </c>
      <c r="CQ25" s="56" t="str">
        <f t="shared" si="18"/>
        <v/>
      </c>
      <c r="CR25" s="32" t="str">
        <f t="shared" si="18"/>
        <v/>
      </c>
      <c r="CS25" s="32">
        <f t="shared" si="18"/>
        <v>45117</v>
      </c>
      <c r="CT25" s="32" t="str">
        <f t="shared" si="18"/>
        <v>Anual</v>
      </c>
      <c r="CU25" s="32" t="str">
        <f t="shared" ca="1" si="18"/>
        <v>Atrasado</v>
      </c>
      <c r="CV25" s="9" t="str">
        <f t="shared" si="18"/>
        <v/>
      </c>
      <c r="CW25" s="9" t="str">
        <f t="shared" si="18"/>
        <v/>
      </c>
      <c r="CX25" s="9" t="str">
        <f t="shared" si="18"/>
        <v/>
      </c>
      <c r="CY25" s="56" t="str">
        <f>IFERROR(IF(HLOOKUP($CH25,$B$3:$BY$86,CY$2,FALSE)="","",HLOOKUP($CH25,$B$3:$BY$86,CY$2,FALSE)),"")</f>
        <v>Baixo</v>
      </c>
    </row>
    <row r="26" spans="2:103" ht="15.75" x14ac:dyDescent="0.25">
      <c r="B26" s="33" t="s">
        <v>215</v>
      </c>
      <c r="C26" s="34" t="s">
        <v>199</v>
      </c>
      <c r="D26" s="34" t="s">
        <v>206</v>
      </c>
      <c r="E26" s="34" t="s">
        <v>206</v>
      </c>
      <c r="F26" s="34" t="s">
        <v>206</v>
      </c>
      <c r="G26" s="34" t="s">
        <v>206</v>
      </c>
      <c r="H26" s="34" t="s">
        <v>206</v>
      </c>
      <c r="I26" s="34" t="s">
        <v>206</v>
      </c>
      <c r="J26" s="34" t="s">
        <v>206</v>
      </c>
      <c r="K26" s="34" t="s">
        <v>206</v>
      </c>
      <c r="L26" s="34" t="s">
        <v>206</v>
      </c>
      <c r="M26" s="34" t="s">
        <v>206</v>
      </c>
      <c r="N26" s="34" t="s">
        <v>206</v>
      </c>
      <c r="O26" s="34" t="s">
        <v>206</v>
      </c>
      <c r="P26" s="34" t="s">
        <v>206</v>
      </c>
      <c r="Q26" s="34" t="s">
        <v>206</v>
      </c>
      <c r="R26" s="34" t="s">
        <v>206</v>
      </c>
      <c r="S26" s="34" t="s">
        <v>206</v>
      </c>
      <c r="T26" s="34" t="s">
        <v>206</v>
      </c>
      <c r="U26" s="34" t="s">
        <v>206</v>
      </c>
      <c r="V26" s="34" t="s">
        <v>206</v>
      </c>
      <c r="W26" s="34" t="s">
        <v>206</v>
      </c>
      <c r="X26" s="34" t="s">
        <v>206</v>
      </c>
      <c r="Y26" s="34" t="s">
        <v>206</v>
      </c>
      <c r="Z26" s="34" t="s">
        <v>206</v>
      </c>
      <c r="AA26" s="34" t="s">
        <v>206</v>
      </c>
      <c r="AB26" s="34" t="s">
        <v>206</v>
      </c>
      <c r="AC26" s="34" t="s">
        <v>206</v>
      </c>
      <c r="AD26" s="34" t="s">
        <v>206</v>
      </c>
      <c r="AE26" s="34" t="s">
        <v>206</v>
      </c>
      <c r="AF26" s="34" t="s">
        <v>206</v>
      </c>
      <c r="AG26" s="34" t="s">
        <v>206</v>
      </c>
      <c r="AH26" s="34" t="s">
        <v>206</v>
      </c>
      <c r="AI26" s="34" t="s">
        <v>206</v>
      </c>
      <c r="AJ26" s="34" t="s">
        <v>206</v>
      </c>
      <c r="AK26" s="34" t="s">
        <v>206</v>
      </c>
      <c r="AL26" s="34" t="s">
        <v>206</v>
      </c>
      <c r="AM26" s="34" t="s">
        <v>206</v>
      </c>
      <c r="AN26" s="34" t="s">
        <v>206</v>
      </c>
      <c r="AO26" s="34" t="s">
        <v>206</v>
      </c>
      <c r="AP26" s="34" t="s">
        <v>206</v>
      </c>
      <c r="AQ26" s="34" t="s">
        <v>206</v>
      </c>
      <c r="AR26" s="34" t="s">
        <v>206</v>
      </c>
      <c r="AS26" s="34" t="s">
        <v>206</v>
      </c>
      <c r="AT26" s="34" t="s">
        <v>206</v>
      </c>
      <c r="AU26" s="34" t="s">
        <v>206</v>
      </c>
      <c r="AV26" s="34" t="s">
        <v>206</v>
      </c>
      <c r="AW26" s="34" t="s">
        <v>206</v>
      </c>
      <c r="AX26" s="34" t="s">
        <v>206</v>
      </c>
      <c r="AY26" s="34" t="s">
        <v>206</v>
      </c>
      <c r="AZ26" s="34" t="s">
        <v>206</v>
      </c>
      <c r="BA26" s="34" t="s">
        <v>206</v>
      </c>
      <c r="BB26" s="34" t="s">
        <v>206</v>
      </c>
      <c r="BC26" s="34" t="s">
        <v>206</v>
      </c>
      <c r="BD26" s="34" t="s">
        <v>206</v>
      </c>
      <c r="BE26" s="34" t="s">
        <v>206</v>
      </c>
      <c r="BF26" s="34" t="s">
        <v>206</v>
      </c>
      <c r="BG26" s="34" t="s">
        <v>206</v>
      </c>
      <c r="BH26" s="34" t="s">
        <v>206</v>
      </c>
      <c r="BI26" s="34" t="s">
        <v>206</v>
      </c>
      <c r="BJ26" s="34" t="s">
        <v>206</v>
      </c>
      <c r="BK26" s="34" t="s">
        <v>206</v>
      </c>
      <c r="BL26" s="34" t="s">
        <v>206</v>
      </c>
      <c r="BM26" s="34" t="s">
        <v>206</v>
      </c>
      <c r="BN26" s="34" t="s">
        <v>206</v>
      </c>
      <c r="BO26" s="34" t="s">
        <v>206</v>
      </c>
      <c r="BP26" s="34" t="s">
        <v>206</v>
      </c>
      <c r="BQ26" s="34" t="s">
        <v>206</v>
      </c>
      <c r="BR26" s="34" t="s">
        <v>206</v>
      </c>
      <c r="BS26" s="34" t="s">
        <v>206</v>
      </c>
      <c r="BT26" s="34" t="s">
        <v>206</v>
      </c>
      <c r="BU26" s="34" t="s">
        <v>206</v>
      </c>
      <c r="BV26" s="34" t="s">
        <v>206</v>
      </c>
      <c r="BW26" s="34" t="s">
        <v>206</v>
      </c>
      <c r="BX26" s="34" t="s">
        <v>206</v>
      </c>
      <c r="BY26" s="34" t="s">
        <v>206</v>
      </c>
      <c r="CF26">
        <v>24</v>
      </c>
      <c r="CG26" s="3" t="str">
        <v>Corretoras</v>
      </c>
      <c r="CH26" s="3" t="str">
        <v>UBS</v>
      </c>
      <c r="CI26" s="56">
        <f t="shared" si="18"/>
        <v>0</v>
      </c>
      <c r="CJ26" s="56">
        <f t="shared" si="18"/>
        <v>0</v>
      </c>
      <c r="CK26" s="56">
        <f t="shared" si="18"/>
        <v>2.5</v>
      </c>
      <c r="CL26" s="56">
        <f t="shared" si="18"/>
        <v>1</v>
      </c>
      <c r="CM26" s="56" t="str">
        <f t="shared" si="18"/>
        <v>Baixa</v>
      </c>
      <c r="CN26" s="56" t="str">
        <f t="shared" si="18"/>
        <v>Ativo</v>
      </c>
      <c r="CO26" s="56" t="str">
        <f t="shared" si="18"/>
        <v>SIM</v>
      </c>
      <c r="CP26" s="56" t="str">
        <f t="shared" si="18"/>
        <v>Padrão do terceiro</v>
      </c>
      <c r="CQ26" s="56" t="str">
        <f t="shared" si="18"/>
        <v/>
      </c>
      <c r="CR26" s="32" t="str">
        <f t="shared" si="18"/>
        <v/>
      </c>
      <c r="CS26" s="32">
        <f t="shared" si="18"/>
        <v>45117</v>
      </c>
      <c r="CT26" s="32" t="str">
        <f t="shared" si="18"/>
        <v>Anual</v>
      </c>
      <c r="CU26" s="32" t="str">
        <f t="shared" ca="1" si="18"/>
        <v>Atrasado</v>
      </c>
      <c r="CV26" s="9" t="str">
        <f t="shared" si="18"/>
        <v/>
      </c>
      <c r="CW26" s="9" t="str">
        <f t="shared" si="18"/>
        <v/>
      </c>
      <c r="CX26" s="9" t="str">
        <f t="shared" si="18"/>
        <v/>
      </c>
      <c r="CY26" s="56" t="str">
        <f t="shared" si="17"/>
        <v>Baixo</v>
      </c>
    </row>
    <row r="27" spans="2:103" ht="15.75" x14ac:dyDescent="0.25">
      <c r="B27" s="35" t="s">
        <v>216</v>
      </c>
      <c r="C27" s="43">
        <v>0.2</v>
      </c>
      <c r="D27" s="53">
        <v>10</v>
      </c>
      <c r="E27" s="53">
        <v>10</v>
      </c>
      <c r="F27" s="53">
        <v>10</v>
      </c>
      <c r="G27" s="53">
        <v>0</v>
      </c>
      <c r="H27" s="53">
        <v>0</v>
      </c>
      <c r="I27" s="53">
        <v>0</v>
      </c>
      <c r="J27" s="53">
        <v>0</v>
      </c>
      <c r="K27" s="53">
        <v>0</v>
      </c>
      <c r="L27" s="53">
        <v>0</v>
      </c>
      <c r="M27" s="53">
        <v>0</v>
      </c>
      <c r="N27" s="53">
        <v>0</v>
      </c>
      <c r="O27" s="53">
        <v>0</v>
      </c>
      <c r="P27" s="53">
        <v>0</v>
      </c>
      <c r="Q27" s="53">
        <v>0</v>
      </c>
      <c r="R27" s="53">
        <v>0</v>
      </c>
      <c r="S27" s="53">
        <v>0</v>
      </c>
      <c r="T27" s="53">
        <v>0</v>
      </c>
      <c r="U27" s="53">
        <v>0</v>
      </c>
      <c r="V27" s="53">
        <v>0</v>
      </c>
      <c r="W27" s="53">
        <v>0</v>
      </c>
      <c r="X27" s="53">
        <v>0</v>
      </c>
      <c r="Y27" s="53">
        <v>0</v>
      </c>
      <c r="Z27" s="53">
        <v>0</v>
      </c>
      <c r="AA27" s="53">
        <v>0</v>
      </c>
      <c r="AB27" s="53">
        <v>10</v>
      </c>
      <c r="AC27" s="53">
        <v>10</v>
      </c>
      <c r="AD27" s="53">
        <v>10</v>
      </c>
      <c r="AE27" s="53">
        <v>10</v>
      </c>
      <c r="AF27" s="53">
        <v>0</v>
      </c>
      <c r="AG27" s="53">
        <v>9</v>
      </c>
      <c r="AH27" s="53">
        <v>0</v>
      </c>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CF27">
        <v>25</v>
      </c>
      <c r="CG27" s="3" t="str">
        <v>Corretoras</v>
      </c>
      <c r="CH27" s="3" t="str">
        <v>XP</v>
      </c>
      <c r="CI27" s="56">
        <f t="shared" si="18"/>
        <v>0</v>
      </c>
      <c r="CJ27" s="56">
        <f t="shared" si="18"/>
        <v>0</v>
      </c>
      <c r="CK27" s="56">
        <f t="shared" si="18"/>
        <v>2.5</v>
      </c>
      <c r="CL27" s="56">
        <f t="shared" si="18"/>
        <v>1</v>
      </c>
      <c r="CM27" s="56" t="str">
        <f t="shared" si="18"/>
        <v>Baixa</v>
      </c>
      <c r="CN27" s="56" t="str">
        <f t="shared" si="18"/>
        <v>Ativo</v>
      </c>
      <c r="CO27" s="56" t="str">
        <f t="shared" si="18"/>
        <v>SIM</v>
      </c>
      <c r="CP27" s="56" t="str">
        <f t="shared" si="18"/>
        <v>Padrão do terceiro</v>
      </c>
      <c r="CQ27" s="56" t="str">
        <f t="shared" si="18"/>
        <v/>
      </c>
      <c r="CR27" s="32" t="str">
        <f t="shared" si="18"/>
        <v/>
      </c>
      <c r="CS27" s="32">
        <f t="shared" si="18"/>
        <v>45117</v>
      </c>
      <c r="CT27" s="32" t="str">
        <f t="shared" si="18"/>
        <v>Anual</v>
      </c>
      <c r="CU27" s="32" t="str">
        <f t="shared" ca="1" si="18"/>
        <v>Atrasado</v>
      </c>
      <c r="CV27" s="9" t="str">
        <f t="shared" si="18"/>
        <v/>
      </c>
      <c r="CW27" s="9" t="str">
        <f t="shared" si="18"/>
        <v/>
      </c>
      <c r="CX27" s="9" t="str">
        <f t="shared" si="18"/>
        <v/>
      </c>
      <c r="CY27" s="56" t="str">
        <f t="shared" si="17"/>
        <v>Baixo</v>
      </c>
    </row>
    <row r="28" spans="2:103" ht="15.75" x14ac:dyDescent="0.25">
      <c r="B28" s="35" t="s">
        <v>217</v>
      </c>
      <c r="C28" s="43">
        <v>0.15</v>
      </c>
      <c r="D28" s="53">
        <v>5</v>
      </c>
      <c r="E28" s="53">
        <v>10</v>
      </c>
      <c r="F28" s="53">
        <v>5</v>
      </c>
      <c r="G28" s="53">
        <v>0</v>
      </c>
      <c r="H28" s="53">
        <v>0</v>
      </c>
      <c r="I28" s="53">
        <v>0</v>
      </c>
      <c r="J28" s="53">
        <v>0</v>
      </c>
      <c r="K28" s="53">
        <v>0</v>
      </c>
      <c r="L28" s="53">
        <v>0</v>
      </c>
      <c r="M28" s="53">
        <v>0</v>
      </c>
      <c r="N28" s="53">
        <v>0</v>
      </c>
      <c r="O28" s="53">
        <v>0</v>
      </c>
      <c r="P28" s="53">
        <v>0</v>
      </c>
      <c r="Q28" s="53">
        <v>0</v>
      </c>
      <c r="R28" s="53">
        <v>0</v>
      </c>
      <c r="S28" s="53">
        <v>0</v>
      </c>
      <c r="T28" s="53">
        <v>0</v>
      </c>
      <c r="U28" s="53">
        <v>0</v>
      </c>
      <c r="V28" s="53">
        <v>0</v>
      </c>
      <c r="W28" s="53">
        <v>0</v>
      </c>
      <c r="X28" s="53">
        <v>0</v>
      </c>
      <c r="Y28" s="53">
        <v>0</v>
      </c>
      <c r="Z28" s="53">
        <v>0</v>
      </c>
      <c r="AA28" s="53">
        <v>0</v>
      </c>
      <c r="AB28" s="53">
        <v>0</v>
      </c>
      <c r="AC28" s="53">
        <v>0</v>
      </c>
      <c r="AD28" s="53">
        <v>0</v>
      </c>
      <c r="AE28" s="53">
        <v>0</v>
      </c>
      <c r="AF28" s="53">
        <v>0</v>
      </c>
      <c r="AG28" s="53">
        <v>9</v>
      </c>
      <c r="AH28" s="53">
        <v>10</v>
      </c>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CF28">
        <v>26</v>
      </c>
      <c r="CG28" s="3" t="str">
        <v>Administradores</v>
      </c>
      <c r="CH28" s="3" t="str">
        <v>BNY Mellon</v>
      </c>
      <c r="CI28" s="56">
        <f t="shared" si="18"/>
        <v>5</v>
      </c>
      <c r="CJ28" s="56">
        <f t="shared" si="18"/>
        <v>8.125</v>
      </c>
      <c r="CK28" s="56">
        <f t="shared" si="18"/>
        <v>4.5</v>
      </c>
      <c r="CL28" s="56">
        <f t="shared" si="18"/>
        <v>5.8937499999999998</v>
      </c>
      <c r="CM28" s="56" t="str">
        <f t="shared" si="18"/>
        <v>Baixa</v>
      </c>
      <c r="CN28" s="56" t="str">
        <f t="shared" si="18"/>
        <v>Ativo</v>
      </c>
      <c r="CO28" s="56" t="str">
        <f t="shared" si="18"/>
        <v>SIM</v>
      </c>
      <c r="CP28" s="56" t="str">
        <f t="shared" si="18"/>
        <v>Padrão do terceiro</v>
      </c>
      <c r="CQ28" s="56" t="str">
        <f t="shared" si="18"/>
        <v/>
      </c>
      <c r="CR28" s="32" t="str">
        <f t="shared" si="18"/>
        <v/>
      </c>
      <c r="CS28" s="32">
        <f t="shared" si="18"/>
        <v>45117</v>
      </c>
      <c r="CT28" s="32" t="str">
        <f>IFERROR(IF(HLOOKUP($CH28,$B$3:$BY$86,CT$2,FALSE)="","",HLOOKUP($CH28,$B$3:$BY$86,CT$2,FALSE)),"")</f>
        <v/>
      </c>
      <c r="CU28" s="32" t="str">
        <f t="shared" ca="1" si="18"/>
        <v>Atrasado</v>
      </c>
      <c r="CV28" s="9" t="str">
        <f t="shared" si="18"/>
        <v/>
      </c>
      <c r="CW28" s="9" t="str">
        <f t="shared" si="18"/>
        <v/>
      </c>
      <c r="CX28" s="9" t="str">
        <f t="shared" si="18"/>
        <v/>
      </c>
      <c r="CY28" s="56" t="str">
        <f t="shared" ref="CY28:CY72" si="19">IFERROR(IF(HLOOKUP($CH28,$B$3:$BY$86,CY$2,FALSE)="","",HLOOKUP($CH28,$B$3:$BY$86,CY$2,FALSE)),"")</f>
        <v>Baixo</v>
      </c>
    </row>
    <row r="29" spans="2:103" ht="15.75" x14ac:dyDescent="0.25">
      <c r="B29" s="35" t="s">
        <v>218</v>
      </c>
      <c r="C29" s="43">
        <v>0.25</v>
      </c>
      <c r="D29" s="53">
        <v>10</v>
      </c>
      <c r="E29" s="53">
        <v>10</v>
      </c>
      <c r="F29" s="53">
        <v>5</v>
      </c>
      <c r="G29" s="53">
        <v>0</v>
      </c>
      <c r="H29" s="53">
        <v>0</v>
      </c>
      <c r="I29" s="53">
        <v>0</v>
      </c>
      <c r="J29" s="53">
        <v>0</v>
      </c>
      <c r="K29" s="53">
        <v>0</v>
      </c>
      <c r="L29" s="53">
        <v>0</v>
      </c>
      <c r="M29" s="53">
        <v>0</v>
      </c>
      <c r="N29" s="53">
        <v>0</v>
      </c>
      <c r="O29" s="53">
        <v>0</v>
      </c>
      <c r="P29" s="53">
        <v>0</v>
      </c>
      <c r="Q29" s="53">
        <v>0</v>
      </c>
      <c r="R29" s="53">
        <v>0</v>
      </c>
      <c r="S29" s="53">
        <v>0</v>
      </c>
      <c r="T29" s="53">
        <v>0</v>
      </c>
      <c r="U29" s="53">
        <v>0</v>
      </c>
      <c r="V29" s="53">
        <v>0</v>
      </c>
      <c r="W29" s="53">
        <v>0</v>
      </c>
      <c r="X29" s="53">
        <v>0</v>
      </c>
      <c r="Y29" s="53">
        <v>0</v>
      </c>
      <c r="Z29" s="53">
        <v>0</v>
      </c>
      <c r="AA29" s="53">
        <v>0</v>
      </c>
      <c r="AB29" s="53">
        <v>0</v>
      </c>
      <c r="AC29" s="53">
        <v>0</v>
      </c>
      <c r="AD29" s="53">
        <v>0</v>
      </c>
      <c r="AE29" s="53">
        <v>0</v>
      </c>
      <c r="AF29" s="53">
        <v>0</v>
      </c>
      <c r="AG29" s="53">
        <v>9</v>
      </c>
      <c r="AH29" s="53">
        <v>10</v>
      </c>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CF29">
        <v>27</v>
      </c>
      <c r="CG29" s="3" t="str">
        <v>Administradores</v>
      </c>
      <c r="CH29" s="3" t="str">
        <v>Santander</v>
      </c>
      <c r="CI29" s="56">
        <f t="shared" si="18"/>
        <v>5</v>
      </c>
      <c r="CJ29" s="56">
        <f t="shared" si="18"/>
        <v>8.125</v>
      </c>
      <c r="CK29" s="56">
        <f t="shared" si="18"/>
        <v>4.5</v>
      </c>
      <c r="CL29" s="56">
        <f t="shared" si="18"/>
        <v>5.8937499999999998</v>
      </c>
      <c r="CM29" s="56" t="str">
        <f t="shared" si="18"/>
        <v>Baixa</v>
      </c>
      <c r="CN29" s="56" t="str">
        <f t="shared" si="18"/>
        <v>Ativo</v>
      </c>
      <c r="CO29" s="56" t="str">
        <f t="shared" si="18"/>
        <v>SIM</v>
      </c>
      <c r="CP29" s="56" t="str">
        <f t="shared" si="18"/>
        <v>Padrão do terceiro</v>
      </c>
      <c r="CQ29" s="56" t="str">
        <f t="shared" si="18"/>
        <v/>
      </c>
      <c r="CR29" s="32" t="str">
        <f t="shared" si="18"/>
        <v/>
      </c>
      <c r="CS29" s="32">
        <f t="shared" si="18"/>
        <v>45117</v>
      </c>
      <c r="CT29" s="32" t="str">
        <f t="shared" si="18"/>
        <v/>
      </c>
      <c r="CU29" s="32" t="str">
        <f t="shared" ca="1" si="18"/>
        <v>Atrasado</v>
      </c>
      <c r="CV29" s="9" t="str">
        <f t="shared" si="18"/>
        <v/>
      </c>
      <c r="CW29" s="9" t="str">
        <f t="shared" si="18"/>
        <v/>
      </c>
      <c r="CX29" s="9" t="str">
        <f t="shared" si="18"/>
        <v/>
      </c>
      <c r="CY29" s="56" t="str">
        <f t="shared" si="19"/>
        <v>Baixo</v>
      </c>
    </row>
    <row r="30" spans="2:103" ht="15.75" x14ac:dyDescent="0.25">
      <c r="B30" s="40" t="s">
        <v>219</v>
      </c>
      <c r="C30" s="43">
        <v>0.15</v>
      </c>
      <c r="D30" s="53">
        <v>10</v>
      </c>
      <c r="E30" s="53">
        <v>0</v>
      </c>
      <c r="F30" s="53">
        <v>10</v>
      </c>
      <c r="G30" s="53">
        <v>0</v>
      </c>
      <c r="H30" s="53">
        <v>0</v>
      </c>
      <c r="I30" s="53">
        <v>0</v>
      </c>
      <c r="J30" s="53">
        <v>0</v>
      </c>
      <c r="K30" s="53">
        <v>0</v>
      </c>
      <c r="L30" s="53">
        <v>0</v>
      </c>
      <c r="M30" s="53">
        <v>0</v>
      </c>
      <c r="N30" s="53">
        <v>0</v>
      </c>
      <c r="O30" s="53">
        <v>0</v>
      </c>
      <c r="P30" s="53">
        <v>0</v>
      </c>
      <c r="Q30" s="53">
        <v>0</v>
      </c>
      <c r="R30" s="53">
        <v>0</v>
      </c>
      <c r="S30" s="53">
        <v>0</v>
      </c>
      <c r="T30" s="53">
        <v>0</v>
      </c>
      <c r="U30" s="53">
        <v>0</v>
      </c>
      <c r="V30" s="53">
        <v>0</v>
      </c>
      <c r="W30" s="53">
        <v>0</v>
      </c>
      <c r="X30" s="53">
        <v>0</v>
      </c>
      <c r="Y30" s="53">
        <v>0</v>
      </c>
      <c r="Z30" s="53">
        <v>0</v>
      </c>
      <c r="AA30" s="53">
        <v>0</v>
      </c>
      <c r="AB30" s="53">
        <v>0</v>
      </c>
      <c r="AC30" s="53">
        <v>0</v>
      </c>
      <c r="AD30" s="53">
        <v>0</v>
      </c>
      <c r="AE30" s="53">
        <v>0</v>
      </c>
      <c r="AF30" s="53">
        <v>0</v>
      </c>
      <c r="AG30" s="53">
        <v>0</v>
      </c>
      <c r="AH30" s="53">
        <v>5</v>
      </c>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CF30">
        <v>28</v>
      </c>
      <c r="CG30" s="3" t="str">
        <v>Administradores</v>
      </c>
      <c r="CH30" s="3" t="str">
        <v>Credit</v>
      </c>
      <c r="CI30" s="56">
        <f t="shared" si="18"/>
        <v>5</v>
      </c>
      <c r="CJ30" s="56">
        <f t="shared" si="18"/>
        <v>8.125</v>
      </c>
      <c r="CK30" s="56">
        <f t="shared" si="18"/>
        <v>4.5</v>
      </c>
      <c r="CL30" s="56">
        <f t="shared" si="18"/>
        <v>5.8937499999999998</v>
      </c>
      <c r="CM30" s="56" t="str">
        <f t="shared" si="18"/>
        <v>Baixa</v>
      </c>
      <c r="CN30" s="56" t="str">
        <f t="shared" si="18"/>
        <v>Ativo</v>
      </c>
      <c r="CO30" s="56" t="str">
        <f t="shared" si="18"/>
        <v>SIM</v>
      </c>
      <c r="CP30" s="56" t="str">
        <f t="shared" si="18"/>
        <v>Padrão do terceiro</v>
      </c>
      <c r="CQ30" s="56" t="str">
        <f t="shared" si="18"/>
        <v/>
      </c>
      <c r="CR30" s="32" t="str">
        <f t="shared" si="18"/>
        <v/>
      </c>
      <c r="CS30" s="32">
        <f t="shared" si="18"/>
        <v>45117</v>
      </c>
      <c r="CT30" s="32" t="str">
        <f t="shared" si="18"/>
        <v/>
      </c>
      <c r="CU30" s="32" t="str">
        <f t="shared" ca="1" si="18"/>
        <v>Atrasado</v>
      </c>
      <c r="CV30" s="9" t="str">
        <f t="shared" si="18"/>
        <v/>
      </c>
      <c r="CW30" s="9" t="str">
        <f t="shared" si="18"/>
        <v/>
      </c>
      <c r="CX30" s="9" t="str">
        <f t="shared" si="18"/>
        <v/>
      </c>
      <c r="CY30" s="56" t="str">
        <f t="shared" si="19"/>
        <v>Baixo</v>
      </c>
    </row>
    <row r="31" spans="2:103" ht="15.75" x14ac:dyDescent="0.25">
      <c r="B31" s="37" t="s">
        <v>220</v>
      </c>
      <c r="C31" s="44">
        <v>0.25</v>
      </c>
      <c r="D31" s="54">
        <v>10</v>
      </c>
      <c r="E31" s="54">
        <v>10</v>
      </c>
      <c r="F31" s="54">
        <v>10</v>
      </c>
      <c r="G31" s="54">
        <v>0</v>
      </c>
      <c r="H31" s="54">
        <v>10</v>
      </c>
      <c r="I31" s="54">
        <v>10</v>
      </c>
      <c r="J31" s="54">
        <v>10</v>
      </c>
      <c r="K31" s="54">
        <v>10</v>
      </c>
      <c r="L31" s="54">
        <v>10</v>
      </c>
      <c r="M31" s="54">
        <v>10</v>
      </c>
      <c r="N31" s="54">
        <v>10</v>
      </c>
      <c r="O31" s="54">
        <v>10</v>
      </c>
      <c r="P31" s="54">
        <v>10</v>
      </c>
      <c r="Q31" s="54">
        <v>10</v>
      </c>
      <c r="R31" s="54">
        <v>10</v>
      </c>
      <c r="S31" s="54">
        <v>10</v>
      </c>
      <c r="T31" s="54">
        <v>10</v>
      </c>
      <c r="U31" s="54">
        <v>10</v>
      </c>
      <c r="V31" s="54">
        <v>10</v>
      </c>
      <c r="W31" s="54">
        <v>10</v>
      </c>
      <c r="X31" s="54">
        <v>10</v>
      </c>
      <c r="Y31" s="54">
        <v>10</v>
      </c>
      <c r="Z31" s="54">
        <v>10</v>
      </c>
      <c r="AA31" s="54">
        <v>10</v>
      </c>
      <c r="AB31" s="54">
        <v>10</v>
      </c>
      <c r="AC31" s="54">
        <v>10</v>
      </c>
      <c r="AD31" s="54">
        <v>10</v>
      </c>
      <c r="AE31" s="54">
        <v>10</v>
      </c>
      <c r="AF31" s="54">
        <v>10</v>
      </c>
      <c r="AG31" s="54">
        <v>9</v>
      </c>
      <c r="AH31" s="54">
        <v>0</v>
      </c>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54"/>
      <c r="BH31" s="54"/>
      <c r="BI31" s="54"/>
      <c r="BJ31" s="54"/>
      <c r="BK31" s="54"/>
      <c r="BL31" s="54"/>
      <c r="BM31" s="54"/>
      <c r="BN31" s="54"/>
      <c r="BO31" s="54"/>
      <c r="BP31" s="54"/>
      <c r="BQ31" s="54"/>
      <c r="BR31" s="54"/>
      <c r="BS31" s="54"/>
      <c r="BT31" s="54"/>
      <c r="BU31" s="54"/>
      <c r="BV31" s="54"/>
      <c r="BW31" s="54"/>
      <c r="BX31" s="54"/>
      <c r="BY31" s="54"/>
      <c r="CF31">
        <v>29</v>
      </c>
      <c r="CG31" s="3" t="str">
        <v>Administradores</v>
      </c>
      <c r="CH31" s="3" t="str">
        <v>INTRAG</v>
      </c>
      <c r="CI31" s="56">
        <f t="shared" si="18"/>
        <v>5</v>
      </c>
      <c r="CJ31" s="56">
        <f t="shared" si="18"/>
        <v>8.125</v>
      </c>
      <c r="CK31" s="56">
        <f t="shared" si="18"/>
        <v>4.5</v>
      </c>
      <c r="CL31" s="56">
        <f t="shared" si="18"/>
        <v>5.8937499999999998</v>
      </c>
      <c r="CM31" s="56" t="str">
        <f t="shared" si="18"/>
        <v>Baixa</v>
      </c>
      <c r="CN31" s="56" t="str">
        <f t="shared" si="18"/>
        <v>Ativo</v>
      </c>
      <c r="CO31" s="56" t="str">
        <f t="shared" si="18"/>
        <v>SIM</v>
      </c>
      <c r="CP31" s="56" t="str">
        <f t="shared" si="18"/>
        <v>Padrão do terceiro</v>
      </c>
      <c r="CQ31" s="56" t="str">
        <f t="shared" si="18"/>
        <v/>
      </c>
      <c r="CR31" s="32" t="str">
        <f t="shared" si="18"/>
        <v/>
      </c>
      <c r="CS31" s="32">
        <f t="shared" si="18"/>
        <v>45117</v>
      </c>
      <c r="CT31" s="32" t="str">
        <f t="shared" si="18"/>
        <v/>
      </c>
      <c r="CU31" s="32" t="str">
        <f t="shared" ca="1" si="18"/>
        <v>Atrasado</v>
      </c>
      <c r="CV31" s="9" t="str">
        <f t="shared" si="18"/>
        <v/>
      </c>
      <c r="CW31" s="9" t="str">
        <f t="shared" si="18"/>
        <v/>
      </c>
      <c r="CX31" s="9" t="str">
        <f t="shared" si="18"/>
        <v/>
      </c>
      <c r="CY31" s="56" t="str">
        <f t="shared" si="19"/>
        <v>Baixo</v>
      </c>
    </row>
    <row r="32" spans="2:103" ht="15.75" x14ac:dyDescent="0.25">
      <c r="B32" s="67" t="s">
        <v>229</v>
      </c>
      <c r="C32" s="68">
        <f>SUM(C27:C31)</f>
        <v>1</v>
      </c>
      <c r="D32" s="69">
        <f t="shared" ref="D32:AE32" si="20">SUMPRODUCT($C$27:$C$31,D27:D31)</f>
        <v>9.25</v>
      </c>
      <c r="E32" s="69">
        <f t="shared" si="20"/>
        <v>8.5</v>
      </c>
      <c r="F32" s="69">
        <f t="shared" si="20"/>
        <v>8</v>
      </c>
      <c r="G32" s="69">
        <f t="shared" si="20"/>
        <v>0</v>
      </c>
      <c r="H32" s="69">
        <f t="shared" si="20"/>
        <v>2.5</v>
      </c>
      <c r="I32" s="69">
        <f t="shared" si="20"/>
        <v>2.5</v>
      </c>
      <c r="J32" s="69">
        <f t="shared" si="20"/>
        <v>2.5</v>
      </c>
      <c r="K32" s="69">
        <f t="shared" si="20"/>
        <v>2.5</v>
      </c>
      <c r="L32" s="69">
        <f t="shared" si="20"/>
        <v>2.5</v>
      </c>
      <c r="M32" s="69">
        <f t="shared" si="20"/>
        <v>2.5</v>
      </c>
      <c r="N32" s="69">
        <f t="shared" si="20"/>
        <v>2.5</v>
      </c>
      <c r="O32" s="69">
        <f t="shared" si="20"/>
        <v>2.5</v>
      </c>
      <c r="P32" s="69">
        <f t="shared" si="20"/>
        <v>2.5</v>
      </c>
      <c r="Q32" s="69">
        <f t="shared" si="20"/>
        <v>2.5</v>
      </c>
      <c r="R32" s="69">
        <f t="shared" si="20"/>
        <v>2.5</v>
      </c>
      <c r="S32" s="69">
        <f t="shared" si="20"/>
        <v>2.5</v>
      </c>
      <c r="T32" s="69">
        <f t="shared" si="20"/>
        <v>2.5</v>
      </c>
      <c r="U32" s="69">
        <f t="shared" ref="U32:AA32" si="21">SUMPRODUCT($C$27:$C$31,U27:U31)</f>
        <v>2.5</v>
      </c>
      <c r="V32" s="69">
        <f t="shared" si="21"/>
        <v>2.5</v>
      </c>
      <c r="W32" s="69">
        <f t="shared" si="21"/>
        <v>2.5</v>
      </c>
      <c r="X32" s="69">
        <f t="shared" si="21"/>
        <v>2.5</v>
      </c>
      <c r="Y32" s="69">
        <f t="shared" si="21"/>
        <v>2.5</v>
      </c>
      <c r="Z32" s="69">
        <f t="shared" si="21"/>
        <v>2.5</v>
      </c>
      <c r="AA32" s="69">
        <f t="shared" si="21"/>
        <v>2.5</v>
      </c>
      <c r="AB32" s="69">
        <f t="shared" si="20"/>
        <v>4.5</v>
      </c>
      <c r="AC32" s="69">
        <f t="shared" si="20"/>
        <v>4.5</v>
      </c>
      <c r="AD32" s="69">
        <f t="shared" si="20"/>
        <v>4.5</v>
      </c>
      <c r="AE32" s="69">
        <f t="shared" si="20"/>
        <v>4.5</v>
      </c>
      <c r="AF32" s="69">
        <f t="shared" ref="AF32" si="22">SUMPRODUCT($C$27:$C$31,AF27:AF31)</f>
        <v>2.5</v>
      </c>
      <c r="AG32" s="69">
        <f>SUMPRODUCT($C$27:$C$31,AG27:AG31)</f>
        <v>7.65</v>
      </c>
      <c r="AH32" s="69">
        <f>SUMPRODUCT($C$27:$C$31,AH27:AH31)</f>
        <v>4.75</v>
      </c>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c r="BT32" s="69"/>
      <c r="BU32" s="69"/>
      <c r="BV32" s="69"/>
      <c r="BW32" s="69"/>
      <c r="BX32" s="69"/>
      <c r="BY32" s="69"/>
      <c r="CF32">
        <v>30</v>
      </c>
      <c r="CG32" s="3" t="str">
        <v>Fornecedor</v>
      </c>
      <c r="CH32" s="3" t="str">
        <v>Conube</v>
      </c>
      <c r="CI32" s="56">
        <f t="shared" si="18"/>
        <v>0</v>
      </c>
      <c r="CJ32" s="56">
        <f t="shared" si="18"/>
        <v>0</v>
      </c>
      <c r="CK32" s="56">
        <f t="shared" si="18"/>
        <v>2.5</v>
      </c>
      <c r="CL32" s="56">
        <f t="shared" si="18"/>
        <v>1</v>
      </c>
      <c r="CM32" s="56" t="str">
        <f t="shared" si="18"/>
        <v>Baixa</v>
      </c>
      <c r="CN32" s="56" t="str">
        <f t="shared" si="18"/>
        <v>Ativo</v>
      </c>
      <c r="CO32" s="56" t="str">
        <f t="shared" si="18"/>
        <v>SIM</v>
      </c>
      <c r="CP32" s="56" t="str">
        <f t="shared" si="18"/>
        <v>Padrão do terceiro</v>
      </c>
      <c r="CQ32" s="56" t="str">
        <f t="shared" si="18"/>
        <v/>
      </c>
      <c r="CR32" s="32">
        <f t="shared" si="18"/>
        <v>42285</v>
      </c>
      <c r="CS32" s="32">
        <f t="shared" si="18"/>
        <v>45117</v>
      </c>
      <c r="CT32" s="32" t="str">
        <f t="shared" si="18"/>
        <v>Anual</v>
      </c>
      <c r="CU32" s="32" t="str">
        <f t="shared" ca="1" si="18"/>
        <v>Atrasado</v>
      </c>
      <c r="CV32" s="9" t="str">
        <f t="shared" si="18"/>
        <v/>
      </c>
      <c r="CW32" s="9" t="str">
        <f t="shared" si="18"/>
        <v/>
      </c>
      <c r="CX32" s="9" t="str">
        <f t="shared" si="18"/>
        <v/>
      </c>
      <c r="CY32" s="56" t="str">
        <f t="shared" si="19"/>
        <v>Baixo</v>
      </c>
    </row>
    <row r="33" spans="2:103" x14ac:dyDescent="0.25">
      <c r="CF33">
        <v>31</v>
      </c>
      <c r="CG33" s="3" t="str">
        <v>Software - Investimento/Notícia</v>
      </c>
      <c r="CH33" s="3" t="str">
        <v>Broadcast</v>
      </c>
      <c r="CI33" s="56">
        <f t="shared" si="18"/>
        <v>6.75</v>
      </c>
      <c r="CJ33" s="56">
        <f t="shared" si="18"/>
        <v>6.3</v>
      </c>
      <c r="CK33" s="56">
        <f t="shared" si="18"/>
        <v>7.65</v>
      </c>
      <c r="CL33" s="56">
        <f t="shared" si="18"/>
        <v>6.9525000000000006</v>
      </c>
      <c r="CM33" s="56" t="str">
        <f t="shared" si="18"/>
        <v>Alta</v>
      </c>
      <c r="CN33" s="56" t="str">
        <f t="shared" si="18"/>
        <v>Ativo</v>
      </c>
      <c r="CO33" s="56" t="str">
        <f t="shared" si="18"/>
        <v>SIM</v>
      </c>
      <c r="CP33" s="56" t="str">
        <f t="shared" si="18"/>
        <v>Padrão do terceiro</v>
      </c>
      <c r="CQ33" s="56" t="str">
        <f t="shared" si="18"/>
        <v/>
      </c>
      <c r="CR33" s="32" t="str">
        <f t="shared" si="18"/>
        <v/>
      </c>
      <c r="CS33" s="32">
        <f>IFERROR(IF(HLOOKUP($CH33,$B$3:$BY$86,CS$2,FALSE)="","",HLOOKUP($CH33,$B$3:$BY$86,CS$2,FALSE)),"")</f>
        <v>45117</v>
      </c>
      <c r="CT33" s="32" t="str">
        <f>IFERROR(IF(HLOOKUP($CH33,$B$3:$BY$86,CT$2,FALSE)="","",HLOOKUP($CH33,$B$3:$BY$86,CT$2,FALSE)),"")</f>
        <v/>
      </c>
      <c r="CU33" s="32" t="str">
        <f ca="1">IFERROR(IF(HLOOKUP($CH33,$B$3:$BY$86,CU$2,FALSE)="","",HLOOKUP($CH33,$B$3:$BY$86,CU$2,FALSE)),"")</f>
        <v>Atrasado</v>
      </c>
      <c r="CV33" s="9" t="str">
        <f t="shared" si="18"/>
        <v/>
      </c>
      <c r="CW33" s="9" t="str">
        <f t="shared" si="18"/>
        <v/>
      </c>
      <c r="CX33" s="9" t="str">
        <f t="shared" si="18"/>
        <v/>
      </c>
      <c r="CY33" s="56" t="str">
        <f t="shared" si="19"/>
        <v>Médio</v>
      </c>
    </row>
    <row r="34" spans="2:103" x14ac:dyDescent="0.25">
      <c r="CF34">
        <v>32</v>
      </c>
      <c r="CG34" s="3" t="str">
        <v>Fornecedores de Software para Gestão de Riscos e de Compliance</v>
      </c>
      <c r="CH34" s="3" t="str">
        <v>SALESFORCE</v>
      </c>
      <c r="CI34" s="56">
        <f t="shared" ref="CI34:CX43" si="23">IFERROR(IF(HLOOKUP($CH34,$B$3:$BY$86,CI$2,FALSE)="","",HLOOKUP($CH34,$B$3:$BY$86,CI$2,FALSE)),"")</f>
        <v>5</v>
      </c>
      <c r="CJ34" s="56">
        <f t="shared" si="23"/>
        <v>3.75</v>
      </c>
      <c r="CK34" s="56">
        <f t="shared" si="23"/>
        <v>4.75</v>
      </c>
      <c r="CL34" s="56">
        <f t="shared" si="23"/>
        <v>4.4625000000000004</v>
      </c>
      <c r="CM34" s="56" t="str">
        <f t="shared" si="23"/>
        <v>Baixa</v>
      </c>
      <c r="CN34" s="56" t="str">
        <f t="shared" si="23"/>
        <v>Ativo</v>
      </c>
      <c r="CO34" s="56" t="str">
        <f t="shared" si="23"/>
        <v>SIM</v>
      </c>
      <c r="CP34" s="56" t="str">
        <f t="shared" si="23"/>
        <v>Padrão do terceiro</v>
      </c>
      <c r="CQ34" s="56" t="str">
        <f t="shared" si="23"/>
        <v/>
      </c>
      <c r="CR34" s="32" t="str">
        <f t="shared" si="23"/>
        <v/>
      </c>
      <c r="CS34" s="32">
        <f t="shared" si="23"/>
        <v>45258</v>
      </c>
      <c r="CT34" s="32" t="str">
        <f>IFERROR(IF(HLOOKUP($CH34,$B$3:$BY$86,CT$2,FALSE)="","",HLOOKUP($CH34,$B$3:$BY$86,CT$2,FALSE)),"")</f>
        <v/>
      </c>
      <c r="CU34" s="32" t="str">
        <f ca="1">IFERROR(IF(HLOOKUP($CH34,$B$3:$BY$86,CU$2,FALSE)="","",HLOOKUP($CH34,$B$3:$BY$86,CU$2,FALSE)),"")</f>
        <v>Atrasado</v>
      </c>
      <c r="CV34" s="9" t="str">
        <f t="shared" si="23"/>
        <v/>
      </c>
      <c r="CW34" s="9" t="str">
        <f t="shared" si="23"/>
        <v/>
      </c>
      <c r="CX34" s="9" t="str">
        <f t="shared" si="23"/>
        <v/>
      </c>
      <c r="CY34" s="56" t="str">
        <f t="shared" si="19"/>
        <v>Médio</v>
      </c>
    </row>
    <row r="35" spans="2:103" ht="15.75" x14ac:dyDescent="0.25">
      <c r="B35" s="33" t="s">
        <v>233</v>
      </c>
      <c r="C35" s="34" t="s">
        <v>199</v>
      </c>
      <c r="D35" s="34" t="s">
        <v>206</v>
      </c>
      <c r="E35" s="34" t="s">
        <v>206</v>
      </c>
      <c r="F35" s="34" t="s">
        <v>206</v>
      </c>
      <c r="G35" s="34" t="s">
        <v>206</v>
      </c>
      <c r="H35" s="34" t="s">
        <v>206</v>
      </c>
      <c r="I35" s="34" t="s">
        <v>206</v>
      </c>
      <c r="J35" s="34" t="s">
        <v>206</v>
      </c>
      <c r="K35" s="34" t="s">
        <v>206</v>
      </c>
      <c r="L35" s="34" t="s">
        <v>206</v>
      </c>
      <c r="M35" s="34" t="s">
        <v>206</v>
      </c>
      <c r="N35" s="34" t="s">
        <v>206</v>
      </c>
      <c r="O35" s="34" t="s">
        <v>206</v>
      </c>
      <c r="P35" s="34" t="s">
        <v>206</v>
      </c>
      <c r="Q35" s="34" t="s">
        <v>206</v>
      </c>
      <c r="R35" s="34" t="s">
        <v>206</v>
      </c>
      <c r="S35" s="34" t="s">
        <v>206</v>
      </c>
      <c r="T35" s="34" t="s">
        <v>206</v>
      </c>
      <c r="U35" s="34" t="s">
        <v>206</v>
      </c>
      <c r="V35" s="34" t="s">
        <v>206</v>
      </c>
      <c r="W35" s="34" t="s">
        <v>206</v>
      </c>
      <c r="X35" s="34" t="s">
        <v>206</v>
      </c>
      <c r="Y35" s="34" t="s">
        <v>206</v>
      </c>
      <c r="Z35" s="34" t="s">
        <v>206</v>
      </c>
      <c r="AA35" s="34" t="s">
        <v>206</v>
      </c>
      <c r="AB35" s="34" t="s">
        <v>206</v>
      </c>
      <c r="AC35" s="34" t="s">
        <v>206</v>
      </c>
      <c r="AD35" s="34" t="s">
        <v>206</v>
      </c>
      <c r="AE35" s="34" t="s">
        <v>206</v>
      </c>
      <c r="AF35" s="34" t="s">
        <v>206</v>
      </c>
      <c r="AG35" s="34" t="s">
        <v>206</v>
      </c>
      <c r="AH35" s="34" t="s">
        <v>206</v>
      </c>
      <c r="AI35" s="34" t="s">
        <v>206</v>
      </c>
      <c r="AJ35" s="34" t="s">
        <v>206</v>
      </c>
      <c r="AK35" s="34" t="s">
        <v>206</v>
      </c>
      <c r="AL35" s="34" t="s">
        <v>206</v>
      </c>
      <c r="AM35" s="34" t="s">
        <v>206</v>
      </c>
      <c r="AN35" s="34" t="s">
        <v>206</v>
      </c>
      <c r="AO35" s="34" t="s">
        <v>206</v>
      </c>
      <c r="AP35" s="34" t="s">
        <v>206</v>
      </c>
      <c r="AQ35" s="34" t="s">
        <v>206</v>
      </c>
      <c r="AR35" s="34" t="s">
        <v>206</v>
      </c>
      <c r="AS35" s="34" t="s">
        <v>206</v>
      </c>
      <c r="AT35" s="34" t="s">
        <v>206</v>
      </c>
      <c r="AU35" s="34" t="s">
        <v>206</v>
      </c>
      <c r="AV35" s="34" t="s">
        <v>206</v>
      </c>
      <c r="AW35" s="34" t="s">
        <v>206</v>
      </c>
      <c r="AX35" s="34" t="s">
        <v>206</v>
      </c>
      <c r="AY35" s="34" t="s">
        <v>206</v>
      </c>
      <c r="AZ35" s="34" t="s">
        <v>206</v>
      </c>
      <c r="BA35" s="34" t="s">
        <v>206</v>
      </c>
      <c r="BB35" s="34" t="s">
        <v>206</v>
      </c>
      <c r="BC35" s="34" t="s">
        <v>206</v>
      </c>
      <c r="BD35" s="34" t="s">
        <v>206</v>
      </c>
      <c r="BE35" s="34" t="s">
        <v>206</v>
      </c>
      <c r="BF35" s="34" t="s">
        <v>206</v>
      </c>
      <c r="BG35" s="34" t="s">
        <v>206</v>
      </c>
      <c r="BH35" s="34" t="s">
        <v>206</v>
      </c>
      <c r="BI35" s="34" t="s">
        <v>206</v>
      </c>
      <c r="BJ35" s="34" t="s">
        <v>206</v>
      </c>
      <c r="BK35" s="34" t="s">
        <v>206</v>
      </c>
      <c r="BL35" s="34" t="s">
        <v>206</v>
      </c>
      <c r="BM35" s="34" t="s">
        <v>206</v>
      </c>
      <c r="BN35" s="34" t="s">
        <v>206</v>
      </c>
      <c r="BO35" s="34" t="s">
        <v>206</v>
      </c>
      <c r="BP35" s="34" t="s">
        <v>206</v>
      </c>
      <c r="BQ35" s="34" t="s">
        <v>206</v>
      </c>
      <c r="BR35" s="34" t="s">
        <v>206</v>
      </c>
      <c r="BS35" s="34" t="s">
        <v>206</v>
      </c>
      <c r="BT35" s="34" t="s">
        <v>206</v>
      </c>
      <c r="BU35" s="34" t="s">
        <v>206</v>
      </c>
      <c r="BV35" s="34" t="s">
        <v>206</v>
      </c>
      <c r="BW35" s="34" t="s">
        <v>206</v>
      </c>
      <c r="BX35" s="34" t="s">
        <v>206</v>
      </c>
      <c r="BY35" s="34" t="s">
        <v>206</v>
      </c>
      <c r="CF35">
        <v>33</v>
      </c>
      <c r="CG35" s="3">
        <v>0</v>
      </c>
      <c r="CH35" s="3">
        <v>0</v>
      </c>
      <c r="CI35" s="56" t="str">
        <f t="shared" si="23"/>
        <v/>
      </c>
      <c r="CJ35" s="56" t="str">
        <f t="shared" si="23"/>
        <v/>
      </c>
      <c r="CK35" s="56" t="str">
        <f t="shared" si="23"/>
        <v/>
      </c>
      <c r="CL35" s="56" t="str">
        <f t="shared" si="23"/>
        <v/>
      </c>
      <c r="CM35" s="56" t="str">
        <f t="shared" si="23"/>
        <v/>
      </c>
      <c r="CN35" s="56" t="str">
        <f t="shared" si="23"/>
        <v/>
      </c>
      <c r="CO35" s="56" t="str">
        <f t="shared" si="23"/>
        <v/>
      </c>
      <c r="CP35" s="56" t="str">
        <f t="shared" si="23"/>
        <v/>
      </c>
      <c r="CQ35" s="56" t="str">
        <f t="shared" si="23"/>
        <v/>
      </c>
      <c r="CR35" s="32" t="str">
        <f t="shared" si="23"/>
        <v/>
      </c>
      <c r="CS35" s="32" t="str">
        <f t="shared" si="23"/>
        <v/>
      </c>
      <c r="CT35" s="32" t="str">
        <f t="shared" si="23"/>
        <v/>
      </c>
      <c r="CU35" s="32" t="str">
        <f t="shared" si="23"/>
        <v/>
      </c>
      <c r="CV35" s="9" t="str">
        <f t="shared" si="23"/>
        <v/>
      </c>
      <c r="CW35" s="9" t="str">
        <f t="shared" si="23"/>
        <v/>
      </c>
      <c r="CX35" s="9" t="str">
        <f t="shared" si="23"/>
        <v/>
      </c>
      <c r="CY35" s="56" t="str">
        <f t="shared" si="19"/>
        <v/>
      </c>
    </row>
    <row r="36" spans="2:103" ht="15.75" x14ac:dyDescent="0.25">
      <c r="B36" s="40" t="s">
        <v>227</v>
      </c>
      <c r="C36" s="43">
        <v>0.25</v>
      </c>
      <c r="D36" s="46">
        <f t="shared" ref="D36:I36" si="24">$C$36*D12</f>
        <v>2.1875</v>
      </c>
      <c r="E36" s="46">
        <f t="shared" si="24"/>
        <v>1.6875</v>
      </c>
      <c r="F36" s="46">
        <f t="shared" si="24"/>
        <v>1.5625</v>
      </c>
      <c r="G36" s="46">
        <f t="shared" si="24"/>
        <v>0.125</v>
      </c>
      <c r="H36" s="46">
        <f t="shared" si="24"/>
        <v>0</v>
      </c>
      <c r="I36" s="46">
        <f t="shared" si="24"/>
        <v>0</v>
      </c>
      <c r="J36" s="46">
        <f t="shared" ref="J36:AF36" si="25">$C$36*J12</f>
        <v>0</v>
      </c>
      <c r="K36" s="46">
        <f t="shared" si="25"/>
        <v>0</v>
      </c>
      <c r="L36" s="46">
        <f t="shared" si="25"/>
        <v>0</v>
      </c>
      <c r="M36" s="46">
        <f t="shared" si="25"/>
        <v>0</v>
      </c>
      <c r="N36" s="46">
        <f t="shared" si="25"/>
        <v>0</v>
      </c>
      <c r="O36" s="46">
        <f t="shared" si="25"/>
        <v>0</v>
      </c>
      <c r="P36" s="46">
        <f t="shared" si="25"/>
        <v>0</v>
      </c>
      <c r="Q36" s="46">
        <f t="shared" si="25"/>
        <v>0</v>
      </c>
      <c r="R36" s="46">
        <f t="shared" si="25"/>
        <v>0</v>
      </c>
      <c r="S36" s="46">
        <f t="shared" si="25"/>
        <v>0</v>
      </c>
      <c r="T36" s="46">
        <f t="shared" si="25"/>
        <v>0</v>
      </c>
      <c r="U36" s="46">
        <f t="shared" ref="U36:AA36" si="26">$C$36*U12</f>
        <v>0</v>
      </c>
      <c r="V36" s="46">
        <f t="shared" si="26"/>
        <v>0</v>
      </c>
      <c r="W36" s="46">
        <f t="shared" si="26"/>
        <v>0</v>
      </c>
      <c r="X36" s="46">
        <f t="shared" si="26"/>
        <v>0</v>
      </c>
      <c r="Y36" s="46">
        <f t="shared" si="26"/>
        <v>0</v>
      </c>
      <c r="Z36" s="46">
        <f t="shared" si="26"/>
        <v>0</v>
      </c>
      <c r="AA36" s="46">
        <f t="shared" si="26"/>
        <v>0</v>
      </c>
      <c r="AB36" s="46">
        <f t="shared" si="25"/>
        <v>1.25</v>
      </c>
      <c r="AC36" s="46">
        <f t="shared" si="25"/>
        <v>1.25</v>
      </c>
      <c r="AD36" s="46">
        <f t="shared" si="25"/>
        <v>1.25</v>
      </c>
      <c r="AE36" s="46">
        <f t="shared" si="25"/>
        <v>1.25</v>
      </c>
      <c r="AF36" s="46">
        <f t="shared" si="25"/>
        <v>0</v>
      </c>
      <c r="AG36" s="46">
        <f>$C$36*AG12</f>
        <v>1.6875</v>
      </c>
      <c r="AH36" s="46">
        <v>0</v>
      </c>
      <c r="AI36" s="46"/>
      <c r="AJ36" s="46"/>
      <c r="AK36" s="46"/>
      <c r="AL36" s="46"/>
      <c r="AM36" s="46"/>
      <c r="AN36" s="46"/>
      <c r="AO36" s="46"/>
      <c r="AP36" s="46"/>
      <c r="AQ36" s="46"/>
      <c r="AR36" s="46"/>
      <c r="AS36" s="46"/>
      <c r="AT36" s="46"/>
      <c r="AU36" s="46"/>
      <c r="AV36" s="46"/>
      <c r="AW36" s="46"/>
      <c r="AX36" s="46"/>
      <c r="AY36" s="46"/>
      <c r="AZ36" s="46"/>
      <c r="BA36" s="46"/>
      <c r="BB36" s="46"/>
      <c r="BC36" s="46"/>
      <c r="BD36" s="46"/>
      <c r="BE36" s="46"/>
      <c r="BF36" s="46"/>
      <c r="BG36" s="46"/>
      <c r="BH36" s="46"/>
      <c r="BI36" s="46"/>
      <c r="BJ36" s="46"/>
      <c r="BK36" s="46"/>
      <c r="BL36" s="46"/>
      <c r="BM36" s="46"/>
      <c r="BN36" s="46"/>
      <c r="BO36" s="46"/>
      <c r="BP36" s="46"/>
      <c r="BQ36" s="46"/>
      <c r="BR36" s="46"/>
      <c r="BS36" s="46"/>
      <c r="BT36" s="46"/>
      <c r="BU36" s="46"/>
      <c r="BV36" s="46"/>
      <c r="BW36" s="46"/>
      <c r="BX36" s="46"/>
      <c r="BY36" s="46"/>
      <c r="CF36">
        <v>34</v>
      </c>
      <c r="CG36" s="3">
        <v>0</v>
      </c>
      <c r="CH36" s="3">
        <v>0</v>
      </c>
      <c r="CI36" s="56" t="str">
        <f t="shared" si="23"/>
        <v/>
      </c>
      <c r="CJ36" s="56" t="str">
        <f t="shared" si="23"/>
        <v/>
      </c>
      <c r="CK36" s="56" t="str">
        <f t="shared" si="23"/>
        <v/>
      </c>
      <c r="CL36" s="56" t="str">
        <f t="shared" si="23"/>
        <v/>
      </c>
      <c r="CM36" s="56" t="str">
        <f t="shared" si="23"/>
        <v/>
      </c>
      <c r="CN36" s="56" t="str">
        <f t="shared" si="23"/>
        <v/>
      </c>
      <c r="CO36" s="56" t="str">
        <f t="shared" si="23"/>
        <v/>
      </c>
      <c r="CP36" s="56" t="str">
        <f t="shared" si="23"/>
        <v/>
      </c>
      <c r="CQ36" s="56" t="str">
        <f t="shared" si="23"/>
        <v/>
      </c>
      <c r="CR36" s="32" t="str">
        <f t="shared" si="23"/>
        <v/>
      </c>
      <c r="CS36" s="32" t="str">
        <f t="shared" si="23"/>
        <v/>
      </c>
      <c r="CT36" s="32" t="str">
        <f t="shared" si="23"/>
        <v/>
      </c>
      <c r="CU36" s="32" t="str">
        <f t="shared" si="23"/>
        <v/>
      </c>
      <c r="CV36" s="9" t="str">
        <f t="shared" si="23"/>
        <v/>
      </c>
      <c r="CW36" s="9" t="str">
        <f t="shared" si="23"/>
        <v/>
      </c>
      <c r="CX36" s="9" t="str">
        <f t="shared" si="23"/>
        <v/>
      </c>
      <c r="CY36" s="56" t="str">
        <f t="shared" si="19"/>
        <v/>
      </c>
    </row>
    <row r="37" spans="2:103" ht="15.75" x14ac:dyDescent="0.25">
      <c r="B37" s="40" t="s">
        <v>228</v>
      </c>
      <c r="C37" s="43">
        <v>0.35</v>
      </c>
      <c r="D37" s="46">
        <f t="shared" ref="D37:I37" si="27">$C$37*D23</f>
        <v>2.5374999999999996</v>
      </c>
      <c r="E37" s="46">
        <f t="shared" si="27"/>
        <v>2.5374999999999996</v>
      </c>
      <c r="F37" s="46">
        <f t="shared" si="27"/>
        <v>2.4674999999999998</v>
      </c>
      <c r="G37" s="46">
        <f t="shared" si="27"/>
        <v>1.1375</v>
      </c>
      <c r="H37" s="46">
        <f t="shared" si="27"/>
        <v>0</v>
      </c>
      <c r="I37" s="46">
        <f t="shared" si="27"/>
        <v>0</v>
      </c>
      <c r="J37" s="46">
        <f t="shared" ref="J37:AF37" si="28">$C$37*J23</f>
        <v>0</v>
      </c>
      <c r="K37" s="46">
        <f t="shared" si="28"/>
        <v>0</v>
      </c>
      <c r="L37" s="46">
        <f t="shared" si="28"/>
        <v>0</v>
      </c>
      <c r="M37" s="46">
        <f t="shared" si="28"/>
        <v>0</v>
      </c>
      <c r="N37" s="46">
        <f t="shared" si="28"/>
        <v>0</v>
      </c>
      <c r="O37" s="46">
        <f t="shared" si="28"/>
        <v>0</v>
      </c>
      <c r="P37" s="46">
        <f t="shared" si="28"/>
        <v>0</v>
      </c>
      <c r="Q37" s="46">
        <f t="shared" si="28"/>
        <v>0</v>
      </c>
      <c r="R37" s="46">
        <f t="shared" si="28"/>
        <v>0</v>
      </c>
      <c r="S37" s="46">
        <f t="shared" si="28"/>
        <v>0</v>
      </c>
      <c r="T37" s="46">
        <f t="shared" si="28"/>
        <v>0</v>
      </c>
      <c r="U37" s="46">
        <f t="shared" ref="U37:AA37" si="29">$C$37*U23</f>
        <v>0</v>
      </c>
      <c r="V37" s="46">
        <f t="shared" si="29"/>
        <v>0</v>
      </c>
      <c r="W37" s="46">
        <f t="shared" si="29"/>
        <v>0</v>
      </c>
      <c r="X37" s="46">
        <f t="shared" si="29"/>
        <v>0</v>
      </c>
      <c r="Y37" s="46">
        <f t="shared" si="29"/>
        <v>0</v>
      </c>
      <c r="Z37" s="46">
        <f t="shared" si="29"/>
        <v>0</v>
      </c>
      <c r="AA37" s="46">
        <f t="shared" si="29"/>
        <v>0</v>
      </c>
      <c r="AB37" s="46">
        <f t="shared" si="28"/>
        <v>2.84375</v>
      </c>
      <c r="AC37" s="46">
        <f t="shared" si="28"/>
        <v>2.84375</v>
      </c>
      <c r="AD37" s="46">
        <f t="shared" si="28"/>
        <v>2.84375</v>
      </c>
      <c r="AE37" s="46">
        <f t="shared" si="28"/>
        <v>2.84375</v>
      </c>
      <c r="AF37" s="46">
        <f t="shared" si="28"/>
        <v>0</v>
      </c>
      <c r="AG37" s="46">
        <f t="shared" ref="AG37" si="30">$C$37*AG23</f>
        <v>2.2049999999999996</v>
      </c>
      <c r="AH37" s="46">
        <v>5</v>
      </c>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CF37">
        <v>35</v>
      </c>
      <c r="CG37" s="3">
        <v>0</v>
      </c>
      <c r="CH37" s="3">
        <v>0</v>
      </c>
      <c r="CI37" s="56" t="str">
        <f t="shared" si="23"/>
        <v/>
      </c>
      <c r="CJ37" s="56" t="str">
        <f t="shared" si="23"/>
        <v/>
      </c>
      <c r="CK37" s="56" t="str">
        <f t="shared" si="23"/>
        <v/>
      </c>
      <c r="CL37" s="56" t="str">
        <f t="shared" si="23"/>
        <v/>
      </c>
      <c r="CM37" s="56" t="str">
        <f t="shared" si="23"/>
        <v/>
      </c>
      <c r="CN37" s="56" t="str">
        <f t="shared" si="23"/>
        <v/>
      </c>
      <c r="CO37" s="56" t="str">
        <f t="shared" si="23"/>
        <v/>
      </c>
      <c r="CP37" s="56" t="str">
        <f t="shared" si="23"/>
        <v/>
      </c>
      <c r="CQ37" s="56" t="str">
        <f t="shared" si="23"/>
        <v/>
      </c>
      <c r="CR37" s="32" t="str">
        <f t="shared" si="23"/>
        <v/>
      </c>
      <c r="CS37" s="32" t="str">
        <f t="shared" si="23"/>
        <v/>
      </c>
      <c r="CT37" s="32" t="str">
        <f t="shared" si="23"/>
        <v/>
      </c>
      <c r="CU37" s="32" t="str">
        <f t="shared" si="23"/>
        <v/>
      </c>
      <c r="CV37" s="9" t="str">
        <f t="shared" si="23"/>
        <v/>
      </c>
      <c r="CW37" s="9" t="str">
        <f t="shared" si="23"/>
        <v/>
      </c>
      <c r="CX37" s="9" t="str">
        <f t="shared" si="23"/>
        <v/>
      </c>
      <c r="CY37" s="56" t="str">
        <f t="shared" si="19"/>
        <v/>
      </c>
    </row>
    <row r="38" spans="2:103" ht="15.75" x14ac:dyDescent="0.25">
      <c r="B38" s="37" t="s">
        <v>229</v>
      </c>
      <c r="C38" s="44">
        <v>0.4</v>
      </c>
      <c r="D38" s="46">
        <f t="shared" ref="D38:I38" si="31">$C$38*D32</f>
        <v>3.7</v>
      </c>
      <c r="E38" s="46">
        <f t="shared" si="31"/>
        <v>3.4000000000000004</v>
      </c>
      <c r="F38" s="46">
        <f t="shared" si="31"/>
        <v>3.2</v>
      </c>
      <c r="G38" s="46">
        <f t="shared" si="31"/>
        <v>0</v>
      </c>
      <c r="H38" s="46">
        <f t="shared" si="31"/>
        <v>1</v>
      </c>
      <c r="I38" s="46">
        <f t="shared" si="31"/>
        <v>1</v>
      </c>
      <c r="J38" s="46">
        <f t="shared" ref="J38:AF38" si="32">$C$38*J32</f>
        <v>1</v>
      </c>
      <c r="K38" s="46">
        <f t="shared" si="32"/>
        <v>1</v>
      </c>
      <c r="L38" s="46">
        <f t="shared" si="32"/>
        <v>1</v>
      </c>
      <c r="M38" s="46">
        <f t="shared" si="32"/>
        <v>1</v>
      </c>
      <c r="N38" s="46">
        <f t="shared" si="32"/>
        <v>1</v>
      </c>
      <c r="O38" s="46">
        <f t="shared" si="32"/>
        <v>1</v>
      </c>
      <c r="P38" s="46">
        <f t="shared" si="32"/>
        <v>1</v>
      </c>
      <c r="Q38" s="46">
        <f t="shared" si="32"/>
        <v>1</v>
      </c>
      <c r="R38" s="46">
        <f t="shared" si="32"/>
        <v>1</v>
      </c>
      <c r="S38" s="46">
        <f t="shared" si="32"/>
        <v>1</v>
      </c>
      <c r="T38" s="46">
        <f t="shared" si="32"/>
        <v>1</v>
      </c>
      <c r="U38" s="46">
        <f t="shared" ref="U38:AA38" si="33">$C$38*U32</f>
        <v>1</v>
      </c>
      <c r="V38" s="46">
        <f t="shared" si="33"/>
        <v>1</v>
      </c>
      <c r="W38" s="46">
        <f t="shared" si="33"/>
        <v>1</v>
      </c>
      <c r="X38" s="46">
        <f t="shared" si="33"/>
        <v>1</v>
      </c>
      <c r="Y38" s="46">
        <f t="shared" si="33"/>
        <v>1</v>
      </c>
      <c r="Z38" s="46">
        <f t="shared" si="33"/>
        <v>1</v>
      </c>
      <c r="AA38" s="46">
        <f t="shared" si="33"/>
        <v>1</v>
      </c>
      <c r="AB38" s="46">
        <f t="shared" si="32"/>
        <v>1.8</v>
      </c>
      <c r="AC38" s="46">
        <f t="shared" si="32"/>
        <v>1.8</v>
      </c>
      <c r="AD38" s="46">
        <f t="shared" si="32"/>
        <v>1.8</v>
      </c>
      <c r="AE38" s="46">
        <f t="shared" si="32"/>
        <v>1.8</v>
      </c>
      <c r="AF38" s="46">
        <f t="shared" si="32"/>
        <v>1</v>
      </c>
      <c r="AG38" s="46">
        <f>$C$38*AG32</f>
        <v>3.0600000000000005</v>
      </c>
      <c r="AH38" s="46">
        <v>3</v>
      </c>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46"/>
      <c r="BL38" s="46"/>
      <c r="BM38" s="46"/>
      <c r="BN38" s="46"/>
      <c r="BO38" s="46"/>
      <c r="BP38" s="46"/>
      <c r="BQ38" s="46"/>
      <c r="BR38" s="46"/>
      <c r="BS38" s="46"/>
      <c r="BT38" s="46"/>
      <c r="BU38" s="46"/>
      <c r="BV38" s="46"/>
      <c r="BW38" s="46"/>
      <c r="BX38" s="46"/>
      <c r="BY38" s="46"/>
      <c r="CF38">
        <v>36</v>
      </c>
      <c r="CG38" s="3">
        <v>0</v>
      </c>
      <c r="CH38" s="3">
        <v>0</v>
      </c>
      <c r="CI38" s="56" t="str">
        <f t="shared" si="23"/>
        <v/>
      </c>
      <c r="CJ38" s="56" t="str">
        <f t="shared" si="23"/>
        <v/>
      </c>
      <c r="CK38" s="56" t="str">
        <f t="shared" si="23"/>
        <v/>
      </c>
      <c r="CL38" s="56" t="str">
        <f t="shared" si="23"/>
        <v/>
      </c>
      <c r="CM38" s="56" t="str">
        <f t="shared" si="23"/>
        <v/>
      </c>
      <c r="CN38" s="56" t="str">
        <f t="shared" si="23"/>
        <v/>
      </c>
      <c r="CO38" s="56" t="str">
        <f t="shared" si="23"/>
        <v/>
      </c>
      <c r="CP38" s="56" t="str">
        <f t="shared" si="23"/>
        <v/>
      </c>
      <c r="CQ38" s="56" t="str">
        <f t="shared" si="23"/>
        <v/>
      </c>
      <c r="CR38" s="32" t="str">
        <f t="shared" si="23"/>
        <v/>
      </c>
      <c r="CS38" s="32" t="str">
        <f t="shared" si="23"/>
        <v/>
      </c>
      <c r="CT38" s="32" t="str">
        <f t="shared" si="23"/>
        <v/>
      </c>
      <c r="CU38" s="32" t="str">
        <f t="shared" si="23"/>
        <v/>
      </c>
      <c r="CV38" s="9" t="str">
        <f t="shared" si="23"/>
        <v/>
      </c>
      <c r="CW38" s="9" t="str">
        <f t="shared" si="23"/>
        <v/>
      </c>
      <c r="CX38" s="9" t="str">
        <f t="shared" si="23"/>
        <v/>
      </c>
      <c r="CY38" s="56" t="str">
        <f t="shared" si="19"/>
        <v/>
      </c>
    </row>
    <row r="39" spans="2:103" ht="15.75" x14ac:dyDescent="0.25">
      <c r="B39" s="67" t="s">
        <v>232</v>
      </c>
      <c r="C39" s="68">
        <f>SUM(C36:C38)</f>
        <v>1</v>
      </c>
      <c r="D39" s="69">
        <f t="shared" ref="D39:AE39" si="34">$C$36*D12+$C$37*D23+$C$38*D32</f>
        <v>8.4250000000000007</v>
      </c>
      <c r="E39" s="69">
        <f t="shared" si="34"/>
        <v>7.625</v>
      </c>
      <c r="F39" s="69">
        <f t="shared" si="34"/>
        <v>7.2299999999999995</v>
      </c>
      <c r="G39" s="69">
        <f t="shared" ref="G39" si="35">$C$36*G12+$C$37*G23+$C$38*G32</f>
        <v>1.2625</v>
      </c>
      <c r="H39" s="69">
        <f t="shared" si="34"/>
        <v>1</v>
      </c>
      <c r="I39" s="69">
        <f t="shared" si="34"/>
        <v>1</v>
      </c>
      <c r="J39" s="69">
        <f t="shared" si="34"/>
        <v>1</v>
      </c>
      <c r="K39" s="69">
        <f t="shared" si="34"/>
        <v>1</v>
      </c>
      <c r="L39" s="69">
        <f t="shared" si="34"/>
        <v>1</v>
      </c>
      <c r="M39" s="69">
        <f t="shared" si="34"/>
        <v>1</v>
      </c>
      <c r="N39" s="69">
        <f t="shared" si="34"/>
        <v>1</v>
      </c>
      <c r="O39" s="69">
        <f t="shared" si="34"/>
        <v>1</v>
      </c>
      <c r="P39" s="69">
        <f t="shared" si="34"/>
        <v>1</v>
      </c>
      <c r="Q39" s="69">
        <f t="shared" si="34"/>
        <v>1</v>
      </c>
      <c r="R39" s="69">
        <f t="shared" si="34"/>
        <v>1</v>
      </c>
      <c r="S39" s="69">
        <f t="shared" si="34"/>
        <v>1</v>
      </c>
      <c r="T39" s="69">
        <f t="shared" si="34"/>
        <v>1</v>
      </c>
      <c r="U39" s="69">
        <f t="shared" ref="U39:AA39" si="36">$C$36*U12+$C$37*U23+$C$38*U32</f>
        <v>1</v>
      </c>
      <c r="V39" s="69">
        <f t="shared" si="36"/>
        <v>1</v>
      </c>
      <c r="W39" s="69">
        <f t="shared" si="36"/>
        <v>1</v>
      </c>
      <c r="X39" s="69">
        <f t="shared" si="36"/>
        <v>1</v>
      </c>
      <c r="Y39" s="69">
        <f t="shared" si="36"/>
        <v>1</v>
      </c>
      <c r="Z39" s="69">
        <f t="shared" si="36"/>
        <v>1</v>
      </c>
      <c r="AA39" s="69">
        <f t="shared" si="36"/>
        <v>1</v>
      </c>
      <c r="AB39" s="69">
        <f t="shared" si="34"/>
        <v>5.8937499999999998</v>
      </c>
      <c r="AC39" s="69">
        <f t="shared" si="34"/>
        <v>5.8937499999999998</v>
      </c>
      <c r="AD39" s="69">
        <f t="shared" si="34"/>
        <v>5.8937499999999998</v>
      </c>
      <c r="AE39" s="69">
        <f t="shared" si="34"/>
        <v>5.8937499999999998</v>
      </c>
      <c r="AF39" s="69">
        <f t="shared" ref="AF39" si="37">$C$36*AF12+$C$37*AF23+$C$38*AF32</f>
        <v>1</v>
      </c>
      <c r="AG39" s="69">
        <f>$C$36*AG12+$C$37*AG23+$C$38*AG32</f>
        <v>6.9525000000000006</v>
      </c>
      <c r="AH39" s="69">
        <f>$C$36*AH12+$C$37*AH23+$C$38*AH32</f>
        <v>4.4625000000000004</v>
      </c>
      <c r="AI39" s="69"/>
      <c r="AJ39" s="69"/>
      <c r="AK39" s="69"/>
      <c r="AL39" s="69"/>
      <c r="AM39" s="69"/>
      <c r="AN39" s="69"/>
      <c r="AO39" s="69"/>
      <c r="AP39" s="69"/>
      <c r="AQ39" s="69"/>
      <c r="AR39" s="69"/>
      <c r="AS39" s="69"/>
      <c r="AT39" s="69"/>
      <c r="AU39" s="69"/>
      <c r="AV39" s="69"/>
      <c r="AW39" s="69"/>
      <c r="AX39" s="69"/>
      <c r="AY39" s="69"/>
      <c r="AZ39" s="69"/>
      <c r="BA39" s="69"/>
      <c r="BB39" s="69"/>
      <c r="BC39" s="69"/>
      <c r="BD39" s="69"/>
      <c r="BE39" s="69"/>
      <c r="BF39" s="69"/>
      <c r="BG39" s="69"/>
      <c r="BH39" s="69"/>
      <c r="BI39" s="69"/>
      <c r="BJ39" s="69"/>
      <c r="BK39" s="69"/>
      <c r="BL39" s="69"/>
      <c r="BM39" s="69"/>
      <c r="BN39" s="69"/>
      <c r="BO39" s="69"/>
      <c r="BP39" s="69"/>
      <c r="BQ39" s="69"/>
      <c r="BR39" s="69"/>
      <c r="BS39" s="69"/>
      <c r="BT39" s="69"/>
      <c r="BU39" s="69"/>
      <c r="BV39" s="69"/>
      <c r="BW39" s="69"/>
      <c r="BX39" s="69"/>
      <c r="BY39" s="69"/>
      <c r="CF39">
        <v>37</v>
      </c>
      <c r="CG39" s="3">
        <v>0</v>
      </c>
      <c r="CH39" s="3">
        <v>0</v>
      </c>
      <c r="CI39" s="56" t="str">
        <f t="shared" si="23"/>
        <v/>
      </c>
      <c r="CJ39" s="56" t="str">
        <f t="shared" si="23"/>
        <v/>
      </c>
      <c r="CK39" s="56" t="str">
        <f t="shared" si="23"/>
        <v/>
      </c>
      <c r="CL39" s="56" t="str">
        <f t="shared" si="23"/>
        <v/>
      </c>
      <c r="CM39" s="56" t="str">
        <f t="shared" si="23"/>
        <v/>
      </c>
      <c r="CN39" s="56" t="str">
        <f t="shared" si="23"/>
        <v/>
      </c>
      <c r="CO39" s="56" t="str">
        <f t="shared" si="23"/>
        <v/>
      </c>
      <c r="CP39" s="56" t="str">
        <f t="shared" si="23"/>
        <v/>
      </c>
      <c r="CQ39" s="56" t="str">
        <f t="shared" si="23"/>
        <v/>
      </c>
      <c r="CR39" s="32" t="str">
        <f t="shared" si="23"/>
        <v/>
      </c>
      <c r="CS39" s="32" t="str">
        <f t="shared" si="23"/>
        <v/>
      </c>
      <c r="CT39" s="32" t="str">
        <f t="shared" si="23"/>
        <v/>
      </c>
      <c r="CU39" s="32" t="str">
        <f t="shared" si="23"/>
        <v/>
      </c>
      <c r="CV39" s="9" t="str">
        <f t="shared" si="23"/>
        <v/>
      </c>
      <c r="CW39" s="9" t="str">
        <f t="shared" si="23"/>
        <v/>
      </c>
      <c r="CX39" s="9" t="str">
        <f t="shared" si="23"/>
        <v/>
      </c>
      <c r="CY39" s="56" t="str">
        <f t="shared" si="19"/>
        <v/>
      </c>
    </row>
    <row r="40" spans="2:103" x14ac:dyDescent="0.25">
      <c r="CF40">
        <v>38</v>
      </c>
      <c r="CG40" s="3">
        <v>0</v>
      </c>
      <c r="CH40" s="3">
        <v>0</v>
      </c>
      <c r="CI40" s="56" t="str">
        <f t="shared" si="23"/>
        <v/>
      </c>
      <c r="CJ40" s="56" t="str">
        <f t="shared" si="23"/>
        <v/>
      </c>
      <c r="CK40" s="56" t="str">
        <f t="shared" si="23"/>
        <v/>
      </c>
      <c r="CL40" s="56" t="str">
        <f t="shared" si="23"/>
        <v/>
      </c>
      <c r="CM40" s="56" t="str">
        <f t="shared" si="23"/>
        <v/>
      </c>
      <c r="CN40" s="56" t="str">
        <f t="shared" si="23"/>
        <v/>
      </c>
      <c r="CO40" s="56" t="str">
        <f t="shared" si="23"/>
        <v/>
      </c>
      <c r="CP40" s="56" t="str">
        <f t="shared" si="23"/>
        <v/>
      </c>
      <c r="CQ40" s="56" t="str">
        <f t="shared" si="23"/>
        <v/>
      </c>
      <c r="CR40" s="32" t="str">
        <f t="shared" si="23"/>
        <v/>
      </c>
      <c r="CS40" s="32" t="str">
        <f t="shared" si="23"/>
        <v/>
      </c>
      <c r="CT40" s="32" t="str">
        <f t="shared" si="23"/>
        <v/>
      </c>
      <c r="CU40" s="32" t="str">
        <f t="shared" si="23"/>
        <v/>
      </c>
      <c r="CV40" s="9" t="str">
        <f t="shared" si="23"/>
        <v/>
      </c>
      <c r="CW40" s="9" t="str">
        <f t="shared" si="23"/>
        <v/>
      </c>
      <c r="CX40" s="9" t="str">
        <f t="shared" si="23"/>
        <v/>
      </c>
      <c r="CY40" s="56" t="str">
        <f t="shared" si="19"/>
        <v/>
      </c>
    </row>
    <row r="41" spans="2:103" x14ac:dyDescent="0.25">
      <c r="CF41">
        <v>39</v>
      </c>
      <c r="CG41" s="3">
        <v>0</v>
      </c>
      <c r="CH41" s="3">
        <v>0</v>
      </c>
      <c r="CI41" s="56" t="str">
        <f t="shared" si="23"/>
        <v/>
      </c>
      <c r="CJ41" s="56" t="str">
        <f t="shared" si="23"/>
        <v/>
      </c>
      <c r="CK41" s="56" t="str">
        <f t="shared" si="23"/>
        <v/>
      </c>
      <c r="CL41" s="56" t="str">
        <f t="shared" si="23"/>
        <v/>
      </c>
      <c r="CM41" s="56" t="str">
        <f t="shared" si="23"/>
        <v/>
      </c>
      <c r="CN41" s="56" t="str">
        <f t="shared" si="23"/>
        <v/>
      </c>
      <c r="CO41" s="56" t="str">
        <f t="shared" si="23"/>
        <v/>
      </c>
      <c r="CP41" s="56" t="str">
        <f t="shared" si="23"/>
        <v/>
      </c>
      <c r="CQ41" s="56" t="str">
        <f t="shared" si="23"/>
        <v/>
      </c>
      <c r="CR41" s="32" t="str">
        <f t="shared" si="23"/>
        <v/>
      </c>
      <c r="CS41" s="32" t="str">
        <f t="shared" si="23"/>
        <v/>
      </c>
      <c r="CT41" s="32" t="str">
        <f t="shared" si="23"/>
        <v/>
      </c>
      <c r="CU41" s="32" t="str">
        <f t="shared" si="23"/>
        <v/>
      </c>
      <c r="CV41" s="9" t="str">
        <f t="shared" si="23"/>
        <v/>
      </c>
      <c r="CW41" s="9" t="str">
        <f t="shared" si="23"/>
        <v/>
      </c>
      <c r="CX41" s="9" t="str">
        <f t="shared" si="23"/>
        <v/>
      </c>
      <c r="CY41" s="56" t="str">
        <f t="shared" si="19"/>
        <v/>
      </c>
    </row>
    <row r="42" spans="2:103" ht="15.75" x14ac:dyDescent="0.25">
      <c r="B42" s="33" t="s">
        <v>232</v>
      </c>
      <c r="C42" s="34" t="s">
        <v>230</v>
      </c>
      <c r="D42" s="34"/>
      <c r="E42" s="34"/>
      <c r="F42" s="34"/>
      <c r="G42" s="34"/>
      <c r="H42" s="34"/>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CF42">
        <v>40</v>
      </c>
      <c r="CG42" s="3">
        <v>0</v>
      </c>
      <c r="CH42" s="3">
        <v>0</v>
      </c>
      <c r="CI42" s="56" t="str">
        <f t="shared" si="23"/>
        <v/>
      </c>
      <c r="CJ42" s="56" t="str">
        <f t="shared" si="23"/>
        <v/>
      </c>
      <c r="CK42" s="56" t="str">
        <f t="shared" si="23"/>
        <v/>
      </c>
      <c r="CL42" s="56" t="str">
        <f t="shared" si="23"/>
        <v/>
      </c>
      <c r="CM42" s="56" t="str">
        <f t="shared" si="23"/>
        <v/>
      </c>
      <c r="CN42" s="56" t="str">
        <f t="shared" si="23"/>
        <v/>
      </c>
      <c r="CO42" s="56" t="str">
        <f t="shared" si="23"/>
        <v/>
      </c>
      <c r="CP42" s="56" t="str">
        <f t="shared" si="23"/>
        <v/>
      </c>
      <c r="CQ42" s="56" t="str">
        <f t="shared" si="23"/>
        <v/>
      </c>
      <c r="CR42" s="32" t="str">
        <f t="shared" si="23"/>
        <v/>
      </c>
      <c r="CS42" s="32" t="str">
        <f t="shared" si="23"/>
        <v/>
      </c>
      <c r="CT42" s="32" t="str">
        <f t="shared" si="23"/>
        <v/>
      </c>
      <c r="CU42" s="32" t="str">
        <f t="shared" si="23"/>
        <v/>
      </c>
      <c r="CV42" s="9" t="str">
        <f t="shared" si="23"/>
        <v/>
      </c>
      <c r="CW42" s="9" t="str">
        <f t="shared" si="23"/>
        <v/>
      </c>
      <c r="CX42" s="9" t="str">
        <f t="shared" si="23"/>
        <v/>
      </c>
      <c r="CY42" s="56" t="str">
        <f t="shared" si="19"/>
        <v/>
      </c>
    </row>
    <row r="43" spans="2:103" ht="15.75" x14ac:dyDescent="0.25">
      <c r="B43" s="40" t="s">
        <v>449</v>
      </c>
      <c r="C43" s="47">
        <v>6</v>
      </c>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c r="AW43" s="46"/>
      <c r="AX43" s="46"/>
      <c r="AY43" s="46"/>
      <c r="AZ43" s="46"/>
      <c r="BA43" s="46"/>
      <c r="BB43" s="46"/>
      <c r="BC43" s="46"/>
      <c r="BD43" s="46"/>
      <c r="BE43" s="46"/>
      <c r="BF43" s="46"/>
      <c r="BG43" s="46"/>
      <c r="BH43" s="46"/>
      <c r="BI43" s="46"/>
      <c r="BJ43" s="46"/>
      <c r="BK43" s="46"/>
      <c r="BL43" s="46"/>
      <c r="BM43" s="46"/>
      <c r="BN43" s="46"/>
      <c r="BO43" s="46"/>
      <c r="BP43" s="46"/>
      <c r="BQ43" s="46"/>
      <c r="BR43" s="46"/>
      <c r="BS43" s="46"/>
      <c r="BT43" s="46"/>
      <c r="BU43" s="46"/>
      <c r="BV43" s="46"/>
      <c r="BW43" s="46"/>
      <c r="BX43" s="46"/>
      <c r="BY43" s="46"/>
      <c r="CF43">
        <v>41</v>
      </c>
      <c r="CG43" s="3">
        <v>0</v>
      </c>
      <c r="CH43" s="3">
        <v>0</v>
      </c>
      <c r="CI43" s="56" t="str">
        <f t="shared" si="23"/>
        <v/>
      </c>
      <c r="CJ43" s="56" t="str">
        <f t="shared" si="23"/>
        <v/>
      </c>
      <c r="CK43" s="56" t="str">
        <f t="shared" si="23"/>
        <v/>
      </c>
      <c r="CL43" s="56" t="str">
        <f t="shared" si="23"/>
        <v/>
      </c>
      <c r="CM43" s="56" t="str">
        <f t="shared" si="23"/>
        <v/>
      </c>
      <c r="CN43" s="56" t="str">
        <f t="shared" si="23"/>
        <v/>
      </c>
      <c r="CO43" s="56" t="str">
        <f t="shared" si="23"/>
        <v/>
      </c>
      <c r="CP43" s="56" t="str">
        <f t="shared" si="23"/>
        <v/>
      </c>
      <c r="CQ43" s="56" t="str">
        <f t="shared" si="23"/>
        <v/>
      </c>
      <c r="CR43" s="32" t="str">
        <f t="shared" si="23"/>
        <v/>
      </c>
      <c r="CS43" s="32" t="str">
        <f t="shared" si="23"/>
        <v/>
      </c>
      <c r="CT43" s="32" t="str">
        <f t="shared" si="23"/>
        <v/>
      </c>
      <c r="CU43" s="32" t="str">
        <f t="shared" si="23"/>
        <v/>
      </c>
      <c r="CV43" s="9" t="str">
        <f t="shared" si="23"/>
        <v/>
      </c>
      <c r="CW43" s="9" t="str">
        <f t="shared" si="23"/>
        <v/>
      </c>
      <c r="CX43" s="9" t="str">
        <f t="shared" si="23"/>
        <v/>
      </c>
      <c r="CY43" s="56" t="str">
        <f t="shared" si="19"/>
        <v/>
      </c>
    </row>
    <row r="44" spans="2:103" ht="15.75" x14ac:dyDescent="0.25">
      <c r="B44" s="37" t="s">
        <v>463</v>
      </c>
      <c r="C44" s="48">
        <v>10</v>
      </c>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c r="AW44" s="46"/>
      <c r="AX44" s="46"/>
      <c r="AY44" s="46"/>
      <c r="AZ44" s="46"/>
      <c r="BA44" s="46"/>
      <c r="BB44" s="46"/>
      <c r="BC44" s="46"/>
      <c r="BD44" s="46"/>
      <c r="BE44" s="46"/>
      <c r="BF44" s="46"/>
      <c r="BG44" s="46"/>
      <c r="BH44" s="46"/>
      <c r="BI44" s="46"/>
      <c r="BJ44" s="46"/>
      <c r="BK44" s="46"/>
      <c r="BL44" s="46"/>
      <c r="BM44" s="46"/>
      <c r="BN44" s="46"/>
      <c r="BO44" s="46"/>
      <c r="BP44" s="46"/>
      <c r="BQ44" s="46"/>
      <c r="BR44" s="46"/>
      <c r="BS44" s="46"/>
      <c r="BT44" s="46"/>
      <c r="BU44" s="46"/>
      <c r="BV44" s="46"/>
      <c r="BW44" s="46"/>
      <c r="BX44" s="46"/>
      <c r="BY44" s="46"/>
      <c r="CF44">
        <v>42</v>
      </c>
      <c r="CG44" s="3">
        <v>0</v>
      </c>
      <c r="CH44" s="3">
        <v>0</v>
      </c>
      <c r="CI44" s="56" t="str">
        <f t="shared" ref="CI44:CX53" si="38">IFERROR(IF(HLOOKUP($CH44,$B$3:$BY$86,CI$2,FALSE)="","",HLOOKUP($CH44,$B$3:$BY$86,CI$2,FALSE)),"")</f>
        <v/>
      </c>
      <c r="CJ44" s="56" t="str">
        <f t="shared" si="38"/>
        <v/>
      </c>
      <c r="CK44" s="56" t="str">
        <f t="shared" si="38"/>
        <v/>
      </c>
      <c r="CL44" s="56" t="str">
        <f t="shared" si="38"/>
        <v/>
      </c>
      <c r="CM44" s="56" t="str">
        <f t="shared" si="38"/>
        <v/>
      </c>
      <c r="CN44" s="56" t="str">
        <f t="shared" si="38"/>
        <v/>
      </c>
      <c r="CO44" s="56" t="str">
        <f t="shared" si="38"/>
        <v/>
      </c>
      <c r="CP44" s="56" t="str">
        <f t="shared" si="38"/>
        <v/>
      </c>
      <c r="CQ44" s="56" t="str">
        <f t="shared" si="38"/>
        <v/>
      </c>
      <c r="CR44" s="32" t="str">
        <f t="shared" si="38"/>
        <v/>
      </c>
      <c r="CS44" s="32" t="str">
        <f t="shared" si="38"/>
        <v/>
      </c>
      <c r="CT44" s="32" t="str">
        <f t="shared" si="38"/>
        <v/>
      </c>
      <c r="CU44" s="32" t="str">
        <f t="shared" si="38"/>
        <v/>
      </c>
      <c r="CV44" s="9" t="str">
        <f t="shared" si="38"/>
        <v/>
      </c>
      <c r="CW44" s="9" t="str">
        <f t="shared" si="38"/>
        <v/>
      </c>
      <c r="CX44" s="9" t="str">
        <f t="shared" si="38"/>
        <v/>
      </c>
      <c r="CY44" s="56" t="str">
        <f t="shared" si="19"/>
        <v/>
      </c>
    </row>
    <row r="45" spans="2:103" ht="15.75" x14ac:dyDescent="0.25">
      <c r="B45" s="70" t="s">
        <v>231</v>
      </c>
      <c r="C45" s="71"/>
      <c r="D45" s="72" t="str">
        <f>IF(AND(D32="",D23="",D12=""),"",IF(D39&lt;=$C$43,$B$43,IF(D39&lt;=$C$44,$B$44,"")))</f>
        <v>Alta</v>
      </c>
      <c r="E45" s="72" t="str">
        <f t="shared" ref="E45:AE45" si="39">IF(AND(E32="",E23="",E12=""),"",IF(E39&lt;=$C$43,$B$43,IF(E39&lt;=$C$44,$B$44,"")))</f>
        <v>Alta</v>
      </c>
      <c r="F45" s="72" t="str">
        <f t="shared" si="39"/>
        <v>Alta</v>
      </c>
      <c r="G45" s="72" t="str">
        <f t="shared" si="39"/>
        <v>Baixa</v>
      </c>
      <c r="H45" s="72" t="str">
        <f t="shared" si="39"/>
        <v>Baixa</v>
      </c>
      <c r="I45" s="72" t="str">
        <f t="shared" si="39"/>
        <v>Baixa</v>
      </c>
      <c r="J45" s="72" t="str">
        <f t="shared" si="39"/>
        <v>Baixa</v>
      </c>
      <c r="K45" s="72" t="str">
        <f t="shared" si="39"/>
        <v>Baixa</v>
      </c>
      <c r="L45" s="72" t="str">
        <f t="shared" si="39"/>
        <v>Baixa</v>
      </c>
      <c r="M45" s="72" t="str">
        <f t="shared" si="39"/>
        <v>Baixa</v>
      </c>
      <c r="N45" s="72" t="str">
        <f t="shared" si="39"/>
        <v>Baixa</v>
      </c>
      <c r="O45" s="72" t="str">
        <f t="shared" si="39"/>
        <v>Baixa</v>
      </c>
      <c r="P45" s="72" t="str">
        <f t="shared" si="39"/>
        <v>Baixa</v>
      </c>
      <c r="Q45" s="72" t="str">
        <f t="shared" si="39"/>
        <v>Baixa</v>
      </c>
      <c r="R45" s="72" t="str">
        <f t="shared" si="39"/>
        <v>Baixa</v>
      </c>
      <c r="S45" s="72" t="str">
        <f t="shared" si="39"/>
        <v>Baixa</v>
      </c>
      <c r="T45" s="72" t="str">
        <f t="shared" si="39"/>
        <v>Baixa</v>
      </c>
      <c r="U45" s="72" t="str">
        <f t="shared" si="39"/>
        <v>Baixa</v>
      </c>
      <c r="V45" s="72" t="str">
        <f t="shared" si="39"/>
        <v>Baixa</v>
      </c>
      <c r="W45" s="72" t="str">
        <f t="shared" si="39"/>
        <v>Baixa</v>
      </c>
      <c r="X45" s="72" t="str">
        <f t="shared" si="39"/>
        <v>Baixa</v>
      </c>
      <c r="Y45" s="72" t="str">
        <f t="shared" si="39"/>
        <v>Baixa</v>
      </c>
      <c r="Z45" s="72" t="str">
        <f t="shared" si="39"/>
        <v>Baixa</v>
      </c>
      <c r="AA45" s="72" t="str">
        <f t="shared" si="39"/>
        <v>Baixa</v>
      </c>
      <c r="AB45" s="72" t="str">
        <f t="shared" si="39"/>
        <v>Baixa</v>
      </c>
      <c r="AC45" s="72" t="str">
        <f t="shared" si="39"/>
        <v>Baixa</v>
      </c>
      <c r="AD45" s="72" t="str">
        <f t="shared" si="39"/>
        <v>Baixa</v>
      </c>
      <c r="AE45" s="72" t="str">
        <f t="shared" si="39"/>
        <v>Baixa</v>
      </c>
      <c r="AF45" s="72" t="str">
        <f t="shared" ref="AF45" si="40">IF(AND(AF32="",AF23="",AF12=""),"",IF(AF39&lt;=$C$43,$B$43,IF(AF39&lt;=$C$44,$B$44,"")))</f>
        <v>Baixa</v>
      </c>
      <c r="AG45" s="72" t="str">
        <f>IF(AND(AG32="",AG23="",AG12=""),"",IF(AG39&lt;=$C$43,$B$43,IF(AG39&lt;=$C$44,$B$44,"")))</f>
        <v>Alta</v>
      </c>
      <c r="AH45" s="72" t="str">
        <f>IF(AND(AH32="",AH23="",AH12=""),"",IF(AH39&lt;=$C$43,$B$43,IF(AH39&lt;=$C$44,$B$44,"")))</f>
        <v>Baixa</v>
      </c>
      <c r="AI45" s="72"/>
      <c r="AJ45" s="72"/>
      <c r="AK45" s="72"/>
      <c r="AL45" s="72"/>
      <c r="AM45" s="72"/>
      <c r="AN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W45" s="72"/>
      <c r="BX45" s="72"/>
      <c r="BY45" s="72"/>
      <c r="CF45">
        <v>43</v>
      </c>
      <c r="CG45" s="3">
        <v>0</v>
      </c>
      <c r="CH45" s="3">
        <v>0</v>
      </c>
      <c r="CI45" s="56" t="str">
        <f t="shared" si="38"/>
        <v/>
      </c>
      <c r="CJ45" s="56" t="str">
        <f t="shared" si="38"/>
        <v/>
      </c>
      <c r="CK45" s="56" t="str">
        <f t="shared" si="38"/>
        <v/>
      </c>
      <c r="CL45" s="56" t="str">
        <f t="shared" si="38"/>
        <v/>
      </c>
      <c r="CM45" s="56" t="str">
        <f t="shared" si="38"/>
        <v/>
      </c>
      <c r="CN45" s="56" t="str">
        <f t="shared" si="38"/>
        <v/>
      </c>
      <c r="CO45" s="56" t="str">
        <f t="shared" si="38"/>
        <v/>
      </c>
      <c r="CP45" s="56" t="str">
        <f t="shared" si="38"/>
        <v/>
      </c>
      <c r="CQ45" s="56" t="str">
        <f t="shared" si="38"/>
        <v/>
      </c>
      <c r="CR45" s="32" t="str">
        <f t="shared" si="38"/>
        <v/>
      </c>
      <c r="CS45" s="32" t="str">
        <f t="shared" si="38"/>
        <v/>
      </c>
      <c r="CT45" s="32" t="str">
        <f t="shared" si="38"/>
        <v/>
      </c>
      <c r="CU45" s="32" t="str">
        <f t="shared" si="38"/>
        <v/>
      </c>
      <c r="CV45" s="9" t="str">
        <f t="shared" si="38"/>
        <v/>
      </c>
      <c r="CW45" s="9" t="str">
        <f t="shared" si="38"/>
        <v/>
      </c>
      <c r="CX45" s="9" t="str">
        <f t="shared" si="38"/>
        <v/>
      </c>
      <c r="CY45" s="56" t="str">
        <f t="shared" si="19"/>
        <v/>
      </c>
    </row>
    <row r="46" spans="2:103" x14ac:dyDescent="0.25">
      <c r="CF46">
        <v>44</v>
      </c>
      <c r="CG46" s="3">
        <v>0</v>
      </c>
      <c r="CH46" s="3">
        <v>0</v>
      </c>
      <c r="CI46" s="56" t="str">
        <f t="shared" si="38"/>
        <v/>
      </c>
      <c r="CJ46" s="56" t="str">
        <f t="shared" si="38"/>
        <v/>
      </c>
      <c r="CK46" s="56" t="str">
        <f t="shared" si="38"/>
        <v/>
      </c>
      <c r="CL46" s="56" t="str">
        <f t="shared" si="38"/>
        <v/>
      </c>
      <c r="CM46" s="56" t="str">
        <f t="shared" si="38"/>
        <v/>
      </c>
      <c r="CN46" s="56" t="str">
        <f t="shared" si="38"/>
        <v/>
      </c>
      <c r="CO46" s="56" t="str">
        <f t="shared" si="38"/>
        <v/>
      </c>
      <c r="CP46" s="56" t="str">
        <f t="shared" si="38"/>
        <v/>
      </c>
      <c r="CQ46" s="56" t="str">
        <f t="shared" si="38"/>
        <v/>
      </c>
      <c r="CR46" s="32" t="str">
        <f t="shared" si="38"/>
        <v/>
      </c>
      <c r="CS46" s="32" t="str">
        <f t="shared" si="38"/>
        <v/>
      </c>
      <c r="CT46" s="32" t="str">
        <f t="shared" si="38"/>
        <v/>
      </c>
      <c r="CU46" s="32" t="str">
        <f t="shared" si="38"/>
        <v/>
      </c>
      <c r="CV46" s="9" t="str">
        <f t="shared" si="38"/>
        <v/>
      </c>
      <c r="CW46" s="9" t="str">
        <f t="shared" si="38"/>
        <v/>
      </c>
      <c r="CX46" s="9" t="str">
        <f t="shared" si="38"/>
        <v/>
      </c>
      <c r="CY46" s="56" t="str">
        <f t="shared" si="19"/>
        <v/>
      </c>
    </row>
    <row r="47" spans="2:103" x14ac:dyDescent="0.25">
      <c r="CF47">
        <v>45</v>
      </c>
      <c r="CG47" s="3">
        <v>0</v>
      </c>
      <c r="CH47" s="3">
        <v>0</v>
      </c>
      <c r="CI47" s="56" t="str">
        <f t="shared" si="38"/>
        <v/>
      </c>
      <c r="CJ47" s="56" t="str">
        <f t="shared" si="38"/>
        <v/>
      </c>
      <c r="CK47" s="56" t="str">
        <f t="shared" si="38"/>
        <v/>
      </c>
      <c r="CL47" s="56" t="str">
        <f t="shared" si="38"/>
        <v/>
      </c>
      <c r="CM47" s="56" t="str">
        <f t="shared" si="38"/>
        <v/>
      </c>
      <c r="CN47" s="56" t="str">
        <f t="shared" si="38"/>
        <v/>
      </c>
      <c r="CO47" s="56" t="str">
        <f t="shared" si="38"/>
        <v/>
      </c>
      <c r="CP47" s="56" t="str">
        <f t="shared" si="38"/>
        <v/>
      </c>
      <c r="CQ47" s="56" t="str">
        <f t="shared" si="38"/>
        <v/>
      </c>
      <c r="CR47" s="32" t="str">
        <f t="shared" si="38"/>
        <v/>
      </c>
      <c r="CS47" s="32" t="str">
        <f t="shared" si="38"/>
        <v/>
      </c>
      <c r="CT47" s="32" t="str">
        <f t="shared" si="38"/>
        <v/>
      </c>
      <c r="CU47" s="32" t="str">
        <f t="shared" si="38"/>
        <v/>
      </c>
      <c r="CV47" s="9" t="str">
        <f t="shared" si="38"/>
        <v/>
      </c>
      <c r="CW47" s="9" t="str">
        <f t="shared" si="38"/>
        <v/>
      </c>
      <c r="CX47" s="9" t="str">
        <f t="shared" si="38"/>
        <v/>
      </c>
      <c r="CY47" s="56" t="str">
        <f t="shared" si="19"/>
        <v/>
      </c>
    </row>
    <row r="48" spans="2:103" ht="15.75" x14ac:dyDescent="0.25">
      <c r="B48" s="33" t="s">
        <v>843</v>
      </c>
      <c r="C48" s="34"/>
      <c r="D48" s="34" t="s">
        <v>234</v>
      </c>
      <c r="E48" s="34" t="s">
        <v>234</v>
      </c>
      <c r="F48" s="34" t="s">
        <v>234</v>
      </c>
      <c r="G48" s="34" t="s">
        <v>234</v>
      </c>
      <c r="H48" s="34" t="s">
        <v>234</v>
      </c>
      <c r="I48" s="34" t="s">
        <v>234</v>
      </c>
      <c r="J48" s="34" t="s">
        <v>234</v>
      </c>
      <c r="K48" s="34" t="s">
        <v>234</v>
      </c>
      <c r="L48" s="34" t="s">
        <v>234</v>
      </c>
      <c r="M48" s="34" t="s">
        <v>234</v>
      </c>
      <c r="N48" s="34" t="s">
        <v>234</v>
      </c>
      <c r="O48" s="34" t="s">
        <v>234</v>
      </c>
      <c r="P48" s="34" t="s">
        <v>234</v>
      </c>
      <c r="Q48" s="34" t="s">
        <v>234</v>
      </c>
      <c r="R48" s="34" t="s">
        <v>234</v>
      </c>
      <c r="S48" s="34" t="s">
        <v>234</v>
      </c>
      <c r="T48" s="34" t="s">
        <v>234</v>
      </c>
      <c r="U48" s="34" t="s">
        <v>234</v>
      </c>
      <c r="V48" s="34" t="s">
        <v>234</v>
      </c>
      <c r="W48" s="34" t="s">
        <v>234</v>
      </c>
      <c r="X48" s="34" t="s">
        <v>234</v>
      </c>
      <c r="Y48" s="34" t="s">
        <v>234</v>
      </c>
      <c r="Z48" s="34" t="s">
        <v>234</v>
      </c>
      <c r="AA48" s="34" t="s">
        <v>234</v>
      </c>
      <c r="AB48" s="34" t="s">
        <v>234</v>
      </c>
      <c r="AC48" s="34" t="s">
        <v>234</v>
      </c>
      <c r="AD48" s="34" t="s">
        <v>234</v>
      </c>
      <c r="AE48" s="34" t="s">
        <v>234</v>
      </c>
      <c r="AF48" s="34" t="s">
        <v>234</v>
      </c>
      <c r="AG48" s="34" t="s">
        <v>234</v>
      </c>
      <c r="AH48" s="34" t="s">
        <v>234</v>
      </c>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CF48">
        <v>46</v>
      </c>
      <c r="CG48" s="3">
        <v>0</v>
      </c>
      <c r="CH48" s="3">
        <v>0</v>
      </c>
      <c r="CI48" s="56" t="str">
        <f t="shared" si="38"/>
        <v/>
      </c>
      <c r="CJ48" s="56" t="str">
        <f t="shared" si="38"/>
        <v/>
      </c>
      <c r="CK48" s="56" t="str">
        <f t="shared" si="38"/>
        <v/>
      </c>
      <c r="CL48" s="56" t="str">
        <f t="shared" si="38"/>
        <v/>
      </c>
      <c r="CM48" s="56" t="str">
        <f t="shared" si="38"/>
        <v/>
      </c>
      <c r="CN48" s="56" t="str">
        <f t="shared" si="38"/>
        <v/>
      </c>
      <c r="CO48" s="56" t="str">
        <f t="shared" si="38"/>
        <v/>
      </c>
      <c r="CP48" s="56" t="str">
        <f t="shared" si="38"/>
        <v/>
      </c>
      <c r="CQ48" s="56" t="str">
        <f t="shared" si="38"/>
        <v/>
      </c>
      <c r="CR48" s="32" t="str">
        <f t="shared" si="38"/>
        <v/>
      </c>
      <c r="CS48" s="32" t="str">
        <f t="shared" si="38"/>
        <v/>
      </c>
      <c r="CT48" s="32" t="str">
        <f t="shared" si="38"/>
        <v/>
      </c>
      <c r="CU48" s="32" t="str">
        <f t="shared" si="38"/>
        <v/>
      </c>
      <c r="CV48" s="9" t="str">
        <f t="shared" si="38"/>
        <v/>
      </c>
      <c r="CW48" s="9" t="str">
        <f t="shared" si="38"/>
        <v/>
      </c>
      <c r="CX48" s="9" t="str">
        <f t="shared" si="38"/>
        <v/>
      </c>
      <c r="CY48" s="56" t="str">
        <f t="shared" si="19"/>
        <v/>
      </c>
    </row>
    <row r="49" spans="2:103" ht="15.75" x14ac:dyDescent="0.25">
      <c r="B49" s="40"/>
      <c r="C49" s="121"/>
      <c r="D49" s="121"/>
      <c r="E49" s="121"/>
      <c r="F49" s="121"/>
      <c r="G49" s="121"/>
      <c r="H49" s="121"/>
      <c r="I49" s="121"/>
      <c r="J49" s="121"/>
      <c r="K49" s="121"/>
      <c r="L49" s="121"/>
      <c r="M49" s="121"/>
      <c r="N49" s="121"/>
      <c r="O49" s="121"/>
      <c r="P49" s="121"/>
      <c r="Q49" s="121"/>
      <c r="R49" s="121"/>
      <c r="S49" s="121"/>
      <c r="T49" s="121"/>
      <c r="U49" s="121"/>
      <c r="V49" s="121"/>
      <c r="W49" s="121"/>
      <c r="X49" s="121"/>
      <c r="Y49" s="121"/>
      <c r="Z49" s="121"/>
      <c r="AA49" s="121"/>
      <c r="AB49" s="121"/>
      <c r="AC49" s="121"/>
      <c r="AD49" s="121"/>
      <c r="AE49" s="121"/>
      <c r="AF49" s="121"/>
      <c r="AG49" s="121"/>
      <c r="AH49" s="121"/>
      <c r="AI49" s="121"/>
      <c r="AJ49" s="121"/>
      <c r="AK49" s="121"/>
      <c r="AL49" s="121"/>
      <c r="AM49" s="121"/>
      <c r="AN49" s="121"/>
      <c r="AO49" s="121"/>
      <c r="AP49" s="121"/>
      <c r="AQ49" s="121"/>
      <c r="AR49" s="121"/>
      <c r="AS49" s="121"/>
      <c r="AT49" s="121"/>
      <c r="AU49" s="121"/>
      <c r="AV49" s="121"/>
      <c r="AW49" s="121"/>
      <c r="AX49" s="121"/>
      <c r="AY49" s="121"/>
      <c r="AZ49" s="121"/>
      <c r="BA49" s="121"/>
      <c r="BB49" s="121"/>
      <c r="BC49" s="121"/>
      <c r="BD49" s="121"/>
      <c r="BE49" s="121"/>
      <c r="BF49" s="121"/>
      <c r="BG49" s="121"/>
      <c r="BH49" s="121"/>
      <c r="BI49" s="121"/>
      <c r="BJ49" s="121"/>
      <c r="BK49" s="121"/>
      <c r="BL49" s="121"/>
      <c r="BM49" s="121"/>
      <c r="BN49" s="121"/>
      <c r="BO49" s="121"/>
      <c r="BP49" s="121"/>
      <c r="BQ49" s="121"/>
      <c r="BR49" s="121"/>
      <c r="BS49" s="121"/>
      <c r="BT49" s="121"/>
      <c r="BU49" s="121"/>
      <c r="BV49" s="121"/>
      <c r="BW49" s="121"/>
      <c r="BX49" s="121"/>
      <c r="BY49" s="121"/>
      <c r="CF49">
        <v>47</v>
      </c>
      <c r="CG49" s="3">
        <v>0</v>
      </c>
      <c r="CH49" s="3">
        <v>0</v>
      </c>
      <c r="CI49" s="56" t="str">
        <f t="shared" si="38"/>
        <v/>
      </c>
      <c r="CJ49" s="56" t="str">
        <f t="shared" si="38"/>
        <v/>
      </c>
      <c r="CK49" s="56" t="str">
        <f t="shared" si="38"/>
        <v/>
      </c>
      <c r="CL49" s="56" t="str">
        <f t="shared" si="38"/>
        <v/>
      </c>
      <c r="CM49" s="56" t="str">
        <f t="shared" si="38"/>
        <v/>
      </c>
      <c r="CN49" s="56" t="str">
        <f t="shared" si="38"/>
        <v/>
      </c>
      <c r="CO49" s="56" t="str">
        <f t="shared" si="38"/>
        <v/>
      </c>
      <c r="CP49" s="56" t="str">
        <f t="shared" si="38"/>
        <v/>
      </c>
      <c r="CQ49" s="56" t="str">
        <f t="shared" si="38"/>
        <v/>
      </c>
      <c r="CR49" s="32" t="str">
        <f t="shared" si="38"/>
        <v/>
      </c>
      <c r="CS49" s="32" t="str">
        <f t="shared" si="38"/>
        <v/>
      </c>
      <c r="CT49" s="32" t="str">
        <f t="shared" si="38"/>
        <v/>
      </c>
      <c r="CU49" s="32" t="str">
        <f t="shared" si="38"/>
        <v/>
      </c>
      <c r="CV49" s="9" t="str">
        <f t="shared" si="38"/>
        <v/>
      </c>
      <c r="CW49" s="9" t="str">
        <f t="shared" si="38"/>
        <v/>
      </c>
      <c r="CX49" s="9" t="str">
        <f t="shared" si="38"/>
        <v/>
      </c>
      <c r="CY49" s="56" t="str">
        <f t="shared" si="19"/>
        <v/>
      </c>
    </row>
    <row r="50" spans="2:103" ht="15.75" x14ac:dyDescent="0.25">
      <c r="B50" s="40"/>
      <c r="C50" s="121"/>
      <c r="D50" s="121"/>
      <c r="E50" s="121"/>
      <c r="F50" s="121"/>
      <c r="G50" s="121"/>
      <c r="H50" s="121"/>
      <c r="I50" s="121"/>
      <c r="J50" s="121"/>
      <c r="K50" s="121"/>
      <c r="L50" s="121"/>
      <c r="M50" s="121"/>
      <c r="N50" s="121"/>
      <c r="O50" s="121"/>
      <c r="P50" s="121"/>
      <c r="Q50" s="121"/>
      <c r="R50" s="121"/>
      <c r="S50" s="121"/>
      <c r="T50" s="121"/>
      <c r="U50" s="121"/>
      <c r="V50" s="121"/>
      <c r="W50" s="121"/>
      <c r="X50" s="121"/>
      <c r="Y50" s="121"/>
      <c r="Z50" s="121"/>
      <c r="AA50" s="121"/>
      <c r="AB50" s="121"/>
      <c r="AC50" s="121"/>
      <c r="AD50" s="121"/>
      <c r="AE50" s="121"/>
      <c r="AF50" s="121"/>
      <c r="AG50" s="121"/>
      <c r="AH50" s="121"/>
      <c r="AI50" s="121"/>
      <c r="AJ50" s="121"/>
      <c r="AK50" s="121"/>
      <c r="AL50" s="121"/>
      <c r="AM50" s="121"/>
      <c r="AN50" s="121"/>
      <c r="AO50" s="121"/>
      <c r="AP50" s="121"/>
      <c r="AQ50" s="121"/>
      <c r="AR50" s="121"/>
      <c r="AS50" s="121"/>
      <c r="AT50" s="121"/>
      <c r="AU50" s="121"/>
      <c r="AV50" s="121"/>
      <c r="AW50" s="121"/>
      <c r="AX50" s="121"/>
      <c r="AY50" s="121"/>
      <c r="AZ50" s="121"/>
      <c r="BA50" s="121"/>
      <c r="BB50" s="121"/>
      <c r="BC50" s="121"/>
      <c r="BD50" s="121"/>
      <c r="BE50" s="121"/>
      <c r="BF50" s="121"/>
      <c r="BG50" s="121"/>
      <c r="BH50" s="121"/>
      <c r="BI50" s="121"/>
      <c r="BJ50" s="121"/>
      <c r="BK50" s="121"/>
      <c r="BL50" s="121"/>
      <c r="BM50" s="121"/>
      <c r="BN50" s="121"/>
      <c r="BO50" s="121"/>
      <c r="BP50" s="121"/>
      <c r="BQ50" s="121"/>
      <c r="BR50" s="121"/>
      <c r="BS50" s="121"/>
      <c r="BT50" s="121"/>
      <c r="BU50" s="121"/>
      <c r="BV50" s="121"/>
      <c r="BW50" s="121"/>
      <c r="BX50" s="121"/>
      <c r="BY50" s="121"/>
      <c r="CF50">
        <v>48</v>
      </c>
      <c r="CG50" s="3">
        <v>0</v>
      </c>
      <c r="CH50" s="3">
        <v>0</v>
      </c>
      <c r="CI50" s="56" t="str">
        <f t="shared" si="38"/>
        <v/>
      </c>
      <c r="CJ50" s="56" t="str">
        <f t="shared" si="38"/>
        <v/>
      </c>
      <c r="CK50" s="56" t="str">
        <f t="shared" si="38"/>
        <v/>
      </c>
      <c r="CL50" s="56" t="str">
        <f t="shared" si="38"/>
        <v/>
      </c>
      <c r="CM50" s="56" t="str">
        <f t="shared" si="38"/>
        <v/>
      </c>
      <c r="CN50" s="56" t="str">
        <f t="shared" si="38"/>
        <v/>
      </c>
      <c r="CO50" s="56" t="str">
        <f t="shared" si="38"/>
        <v/>
      </c>
      <c r="CP50" s="56" t="str">
        <f t="shared" si="38"/>
        <v/>
      </c>
      <c r="CQ50" s="56" t="str">
        <f t="shared" si="38"/>
        <v/>
      </c>
      <c r="CR50" s="32" t="str">
        <f t="shared" si="38"/>
        <v/>
      </c>
      <c r="CS50" s="32" t="str">
        <f t="shared" si="38"/>
        <v/>
      </c>
      <c r="CT50" s="32" t="str">
        <f t="shared" si="38"/>
        <v/>
      </c>
      <c r="CU50" s="32" t="str">
        <f t="shared" si="38"/>
        <v/>
      </c>
      <c r="CV50" s="9" t="str">
        <f t="shared" si="38"/>
        <v/>
      </c>
      <c r="CW50" s="9" t="str">
        <f t="shared" si="38"/>
        <v/>
      </c>
      <c r="CX50" s="9" t="str">
        <f t="shared" si="38"/>
        <v/>
      </c>
      <c r="CY50" s="56" t="str">
        <f t="shared" si="19"/>
        <v/>
      </c>
    </row>
    <row r="51" spans="2:103" ht="15.75" x14ac:dyDescent="0.25">
      <c r="B51" s="33" t="s">
        <v>844</v>
      </c>
      <c r="C51" s="34"/>
      <c r="D51" s="34" t="s">
        <v>206</v>
      </c>
      <c r="E51" s="34" t="s">
        <v>206</v>
      </c>
      <c r="F51" s="34" t="s">
        <v>206</v>
      </c>
      <c r="G51" s="34" t="s">
        <v>206</v>
      </c>
      <c r="H51" s="34" t="s">
        <v>206</v>
      </c>
      <c r="I51" s="34" t="s">
        <v>206</v>
      </c>
      <c r="J51" s="34" t="s">
        <v>206</v>
      </c>
      <c r="K51" s="34" t="s">
        <v>206</v>
      </c>
      <c r="L51" s="34" t="s">
        <v>206</v>
      </c>
      <c r="M51" s="34" t="s">
        <v>206</v>
      </c>
      <c r="N51" s="34" t="s">
        <v>206</v>
      </c>
      <c r="O51" s="34" t="s">
        <v>206</v>
      </c>
      <c r="P51" s="34" t="s">
        <v>206</v>
      </c>
      <c r="Q51" s="34" t="s">
        <v>206</v>
      </c>
      <c r="R51" s="34" t="s">
        <v>206</v>
      </c>
      <c r="S51" s="34" t="s">
        <v>206</v>
      </c>
      <c r="T51" s="34" t="s">
        <v>206</v>
      </c>
      <c r="U51" s="34" t="s">
        <v>206</v>
      </c>
      <c r="V51" s="34" t="s">
        <v>206</v>
      </c>
      <c r="W51" s="34" t="s">
        <v>206</v>
      </c>
      <c r="X51" s="34" t="s">
        <v>206</v>
      </c>
      <c r="Y51" s="34" t="s">
        <v>206</v>
      </c>
      <c r="Z51" s="34" t="s">
        <v>206</v>
      </c>
      <c r="AA51" s="34" t="s">
        <v>206</v>
      </c>
      <c r="AB51" s="34" t="s">
        <v>206</v>
      </c>
      <c r="AC51" s="34" t="s">
        <v>206</v>
      </c>
      <c r="AD51" s="34" t="s">
        <v>206</v>
      </c>
      <c r="AE51" s="34" t="s">
        <v>206</v>
      </c>
      <c r="AF51" s="34" t="s">
        <v>206</v>
      </c>
      <c r="AG51" s="34" t="s">
        <v>206</v>
      </c>
      <c r="AH51" s="34" t="s">
        <v>206</v>
      </c>
      <c r="AI51" s="34" t="s">
        <v>206</v>
      </c>
      <c r="AJ51" s="34" t="s">
        <v>206</v>
      </c>
      <c r="AK51" s="34" t="s">
        <v>206</v>
      </c>
      <c r="AL51" s="34" t="s">
        <v>206</v>
      </c>
      <c r="AM51" s="34" t="s">
        <v>206</v>
      </c>
      <c r="AN51" s="34" t="s">
        <v>206</v>
      </c>
      <c r="AO51" s="34" t="s">
        <v>206</v>
      </c>
      <c r="AP51" s="34" t="s">
        <v>206</v>
      </c>
      <c r="AQ51" s="34" t="s">
        <v>206</v>
      </c>
      <c r="AR51" s="34" t="s">
        <v>206</v>
      </c>
      <c r="AS51" s="34" t="s">
        <v>206</v>
      </c>
      <c r="AT51" s="34" t="s">
        <v>206</v>
      </c>
      <c r="AU51" s="34" t="s">
        <v>206</v>
      </c>
      <c r="AV51" s="34" t="s">
        <v>206</v>
      </c>
      <c r="AW51" s="34" t="s">
        <v>206</v>
      </c>
      <c r="AX51" s="34" t="s">
        <v>206</v>
      </c>
      <c r="AY51" s="34" t="s">
        <v>206</v>
      </c>
      <c r="AZ51" s="34" t="s">
        <v>206</v>
      </c>
      <c r="BA51" s="34" t="s">
        <v>206</v>
      </c>
      <c r="BB51" s="34" t="s">
        <v>206</v>
      </c>
      <c r="BC51" s="34" t="s">
        <v>206</v>
      </c>
      <c r="BD51" s="34" t="s">
        <v>206</v>
      </c>
      <c r="BE51" s="34" t="s">
        <v>206</v>
      </c>
      <c r="BF51" s="34" t="s">
        <v>206</v>
      </c>
      <c r="BG51" s="34" t="s">
        <v>206</v>
      </c>
      <c r="BH51" s="34" t="s">
        <v>206</v>
      </c>
      <c r="BI51" s="34" t="s">
        <v>206</v>
      </c>
      <c r="BJ51" s="34" t="s">
        <v>206</v>
      </c>
      <c r="BK51" s="34" t="s">
        <v>206</v>
      </c>
      <c r="BL51" s="34" t="s">
        <v>206</v>
      </c>
      <c r="BM51" s="34" t="s">
        <v>206</v>
      </c>
      <c r="BN51" s="34" t="s">
        <v>206</v>
      </c>
      <c r="BO51" s="34" t="s">
        <v>206</v>
      </c>
      <c r="BP51" s="34" t="s">
        <v>206</v>
      </c>
      <c r="BQ51" s="34" t="s">
        <v>206</v>
      </c>
      <c r="BR51" s="34" t="s">
        <v>206</v>
      </c>
      <c r="BS51" s="34" t="s">
        <v>206</v>
      </c>
      <c r="BT51" s="34" t="s">
        <v>206</v>
      </c>
      <c r="BU51" s="34" t="s">
        <v>206</v>
      </c>
      <c r="BV51" s="34" t="s">
        <v>206</v>
      </c>
      <c r="BW51" s="34" t="s">
        <v>206</v>
      </c>
      <c r="BX51" s="34" t="s">
        <v>206</v>
      </c>
      <c r="BY51" s="34" t="s">
        <v>206</v>
      </c>
      <c r="CF51">
        <v>49</v>
      </c>
      <c r="CG51" s="3">
        <v>0</v>
      </c>
      <c r="CH51" s="3">
        <v>0</v>
      </c>
      <c r="CI51" s="56" t="str">
        <f t="shared" si="38"/>
        <v/>
      </c>
      <c r="CJ51" s="56" t="str">
        <f t="shared" si="38"/>
        <v/>
      </c>
      <c r="CK51" s="56" t="str">
        <f t="shared" si="38"/>
        <v/>
      </c>
      <c r="CL51" s="56" t="str">
        <f t="shared" si="38"/>
        <v/>
      </c>
      <c r="CM51" s="56" t="str">
        <f t="shared" si="38"/>
        <v/>
      </c>
      <c r="CN51" s="56" t="str">
        <f t="shared" si="38"/>
        <v/>
      </c>
      <c r="CO51" s="56" t="str">
        <f t="shared" si="38"/>
        <v/>
      </c>
      <c r="CP51" s="56" t="str">
        <f t="shared" si="38"/>
        <v/>
      </c>
      <c r="CQ51" s="56" t="str">
        <f t="shared" si="38"/>
        <v/>
      </c>
      <c r="CR51" s="32" t="str">
        <f t="shared" si="38"/>
        <v/>
      </c>
      <c r="CS51" s="32" t="str">
        <f t="shared" si="38"/>
        <v/>
      </c>
      <c r="CT51" s="32" t="str">
        <f t="shared" si="38"/>
        <v/>
      </c>
      <c r="CU51" s="32" t="str">
        <f t="shared" si="38"/>
        <v/>
      </c>
      <c r="CV51" s="9" t="str">
        <f t="shared" si="38"/>
        <v/>
      </c>
      <c r="CW51" s="9" t="str">
        <f t="shared" si="38"/>
        <v/>
      </c>
      <c r="CX51" s="9" t="str">
        <f t="shared" si="38"/>
        <v/>
      </c>
      <c r="CY51" s="56" t="str">
        <f t="shared" si="19"/>
        <v/>
      </c>
    </row>
    <row r="52" spans="2:103" ht="15.75" x14ac:dyDescent="0.25">
      <c r="B52" s="40" t="s">
        <v>845</v>
      </c>
      <c r="D52" s="7" t="s">
        <v>847</v>
      </c>
      <c r="E52" s="7" t="s">
        <v>847</v>
      </c>
      <c r="F52" s="7" t="s">
        <v>847</v>
      </c>
      <c r="G52" s="7" t="s">
        <v>847</v>
      </c>
      <c r="H52" s="7" t="s">
        <v>463</v>
      </c>
      <c r="I52" s="7" t="s">
        <v>463</v>
      </c>
      <c r="J52" s="7" t="s">
        <v>463</v>
      </c>
      <c r="K52" s="7" t="s">
        <v>463</v>
      </c>
      <c r="L52" s="7" t="s">
        <v>463</v>
      </c>
      <c r="M52" s="7" t="s">
        <v>463</v>
      </c>
      <c r="N52" s="7" t="s">
        <v>463</v>
      </c>
      <c r="O52" s="7" t="s">
        <v>463</v>
      </c>
      <c r="P52" s="7" t="s">
        <v>463</v>
      </c>
      <c r="Q52" s="7" t="s">
        <v>463</v>
      </c>
      <c r="R52" s="7" t="s">
        <v>463</v>
      </c>
      <c r="S52" s="7" t="s">
        <v>463</v>
      </c>
      <c r="T52" s="7" t="s">
        <v>463</v>
      </c>
      <c r="U52" s="7" t="s">
        <v>463</v>
      </c>
      <c r="V52" s="7" t="s">
        <v>463</v>
      </c>
      <c r="W52" s="7" t="s">
        <v>463</v>
      </c>
      <c r="X52" s="7" t="s">
        <v>463</v>
      </c>
      <c r="Y52" s="7" t="s">
        <v>463</v>
      </c>
      <c r="Z52" s="7" t="s">
        <v>463</v>
      </c>
      <c r="AA52" s="7" t="s">
        <v>463</v>
      </c>
      <c r="AB52" s="7" t="s">
        <v>463</v>
      </c>
      <c r="AC52" s="7" t="s">
        <v>463</v>
      </c>
      <c r="AD52" s="7" t="s">
        <v>463</v>
      </c>
      <c r="AE52" s="7" t="s">
        <v>463</v>
      </c>
      <c r="AF52" s="7" t="s">
        <v>463</v>
      </c>
      <c r="AG52" s="7" t="s">
        <v>463</v>
      </c>
      <c r="AH52" s="7" t="s">
        <v>449</v>
      </c>
      <c r="CF52">
        <v>50</v>
      </c>
      <c r="CG52" s="3">
        <v>0</v>
      </c>
      <c r="CH52" s="3">
        <v>0</v>
      </c>
      <c r="CI52" s="56" t="str">
        <f t="shared" si="38"/>
        <v/>
      </c>
      <c r="CJ52" s="56" t="str">
        <f t="shared" si="38"/>
        <v/>
      </c>
      <c r="CK52" s="56" t="str">
        <f t="shared" si="38"/>
        <v/>
      </c>
      <c r="CL52" s="56" t="str">
        <f t="shared" si="38"/>
        <v/>
      </c>
      <c r="CM52" s="56" t="str">
        <f t="shared" si="38"/>
        <v/>
      </c>
      <c r="CN52" s="56" t="str">
        <f t="shared" si="38"/>
        <v/>
      </c>
      <c r="CO52" s="56" t="str">
        <f t="shared" si="38"/>
        <v/>
      </c>
      <c r="CP52" s="56" t="str">
        <f t="shared" si="38"/>
        <v/>
      </c>
      <c r="CQ52" s="56" t="str">
        <f t="shared" si="38"/>
        <v/>
      </c>
      <c r="CR52" s="32" t="str">
        <f t="shared" si="38"/>
        <v/>
      </c>
      <c r="CS52" s="32" t="str">
        <f t="shared" si="38"/>
        <v/>
      </c>
      <c r="CT52" s="32" t="str">
        <f t="shared" si="38"/>
        <v/>
      </c>
      <c r="CU52" s="32" t="str">
        <f t="shared" si="38"/>
        <v/>
      </c>
      <c r="CV52" s="9" t="str">
        <f t="shared" si="38"/>
        <v/>
      </c>
      <c r="CW52" s="9" t="str">
        <f t="shared" si="38"/>
        <v/>
      </c>
      <c r="CX52" s="9" t="str">
        <f t="shared" si="38"/>
        <v/>
      </c>
      <c r="CY52" s="56" t="str">
        <f t="shared" si="19"/>
        <v/>
      </c>
    </row>
    <row r="53" spans="2:103" ht="15.75" x14ac:dyDescent="0.25">
      <c r="B53" s="40" t="s">
        <v>846</v>
      </c>
      <c r="D53" s="7" t="s">
        <v>847</v>
      </c>
      <c r="E53" s="7" t="s">
        <v>847</v>
      </c>
      <c r="F53" s="7" t="s">
        <v>847</v>
      </c>
      <c r="G53" s="7" t="s">
        <v>847</v>
      </c>
      <c r="H53" s="7" t="s">
        <v>847</v>
      </c>
      <c r="I53" s="7" t="s">
        <v>847</v>
      </c>
      <c r="J53" s="7" t="s">
        <v>847</v>
      </c>
      <c r="K53" s="7" t="s">
        <v>847</v>
      </c>
      <c r="L53" s="7" t="s">
        <v>847</v>
      </c>
      <c r="M53" s="7" t="s">
        <v>847</v>
      </c>
      <c r="N53" s="7" t="s">
        <v>847</v>
      </c>
      <c r="O53" s="7" t="s">
        <v>847</v>
      </c>
      <c r="P53" s="7" t="s">
        <v>847</v>
      </c>
      <c r="Q53" s="7" t="s">
        <v>847</v>
      </c>
      <c r="R53" s="7" t="s">
        <v>847</v>
      </c>
      <c r="S53" s="7" t="s">
        <v>847</v>
      </c>
      <c r="T53" s="7" t="s">
        <v>847</v>
      </c>
      <c r="U53" s="7" t="s">
        <v>847</v>
      </c>
      <c r="V53" s="7" t="s">
        <v>847</v>
      </c>
      <c r="W53" s="7" t="s">
        <v>847</v>
      </c>
      <c r="X53" s="7" t="s">
        <v>847</v>
      </c>
      <c r="Y53" s="7" t="s">
        <v>847</v>
      </c>
      <c r="Z53" s="7" t="s">
        <v>847</v>
      </c>
      <c r="AA53" s="7" t="s">
        <v>847</v>
      </c>
      <c r="AB53" s="7" t="s">
        <v>847</v>
      </c>
      <c r="AC53" s="7" t="s">
        <v>847</v>
      </c>
      <c r="AD53" s="7" t="s">
        <v>847</v>
      </c>
      <c r="AE53" s="7" t="s">
        <v>847</v>
      </c>
      <c r="AF53" s="7" t="s">
        <v>847</v>
      </c>
      <c r="AG53" s="7" t="s">
        <v>847</v>
      </c>
      <c r="AH53" s="7" t="s">
        <v>449</v>
      </c>
      <c r="CF53">
        <v>51</v>
      </c>
      <c r="CG53" s="3">
        <v>0</v>
      </c>
      <c r="CH53" s="3">
        <v>0</v>
      </c>
      <c r="CI53" s="56" t="str">
        <f t="shared" si="38"/>
        <v/>
      </c>
      <c r="CJ53" s="56" t="str">
        <f t="shared" si="38"/>
        <v/>
      </c>
      <c r="CK53" s="56" t="str">
        <f t="shared" si="38"/>
        <v/>
      </c>
      <c r="CL53" s="56" t="str">
        <f t="shared" si="38"/>
        <v/>
      </c>
      <c r="CM53" s="56" t="str">
        <f t="shared" si="38"/>
        <v/>
      </c>
      <c r="CN53" s="56" t="str">
        <f t="shared" si="38"/>
        <v/>
      </c>
      <c r="CO53" s="56" t="str">
        <f t="shared" si="38"/>
        <v/>
      </c>
      <c r="CP53" s="56" t="str">
        <f t="shared" si="38"/>
        <v/>
      </c>
      <c r="CQ53" s="56" t="str">
        <f t="shared" si="38"/>
        <v/>
      </c>
      <c r="CR53" s="32" t="str">
        <f t="shared" si="38"/>
        <v/>
      </c>
      <c r="CS53" s="32" t="str">
        <f t="shared" si="38"/>
        <v/>
      </c>
      <c r="CT53" s="32" t="str">
        <f t="shared" si="38"/>
        <v/>
      </c>
      <c r="CU53" s="32" t="str">
        <f t="shared" si="38"/>
        <v/>
      </c>
      <c r="CV53" s="9" t="str">
        <f t="shared" si="38"/>
        <v/>
      </c>
      <c r="CW53" s="9" t="str">
        <f t="shared" si="38"/>
        <v/>
      </c>
      <c r="CX53" s="9" t="str">
        <f t="shared" si="38"/>
        <v/>
      </c>
      <c r="CY53" s="56" t="str">
        <f t="shared" si="19"/>
        <v/>
      </c>
    </row>
    <row r="54" spans="2:103" ht="15.75" x14ac:dyDescent="0.25">
      <c r="B54" s="67" t="s">
        <v>844</v>
      </c>
      <c r="C54" s="68"/>
      <c r="D54" s="69" t="str">
        <f>IF(D52&lt;&gt;"n/a",D52,IF(D53&lt;&gt;"n/a",D53,IF(AND(D52="n/a",D53="n/a"),"Baixa")))</f>
        <v>Baixa</v>
      </c>
      <c r="E54" s="69" t="str">
        <f t="shared" ref="E54:AE54" si="41">IF(E52&lt;&gt;"n/a",E52,IF(E53&lt;&gt;"n/a",E53,IF(AND(E52="n/a",E53="n/a"),"Baixa")))</f>
        <v>Baixa</v>
      </c>
      <c r="F54" s="69" t="str">
        <f t="shared" si="41"/>
        <v>Baixa</v>
      </c>
      <c r="G54" s="69" t="str">
        <f t="shared" si="41"/>
        <v>Baixa</v>
      </c>
      <c r="H54" s="69" t="str">
        <f t="shared" si="41"/>
        <v>Alta</v>
      </c>
      <c r="I54" s="69" t="str">
        <f t="shared" si="41"/>
        <v>Alta</v>
      </c>
      <c r="J54" s="69" t="str">
        <f t="shared" si="41"/>
        <v>Alta</v>
      </c>
      <c r="K54" s="69" t="str">
        <f t="shared" si="41"/>
        <v>Alta</v>
      </c>
      <c r="L54" s="69" t="str">
        <f t="shared" si="41"/>
        <v>Alta</v>
      </c>
      <c r="M54" s="69" t="str">
        <f t="shared" si="41"/>
        <v>Alta</v>
      </c>
      <c r="N54" s="69" t="str">
        <f t="shared" si="41"/>
        <v>Alta</v>
      </c>
      <c r="O54" s="69" t="str">
        <f t="shared" si="41"/>
        <v>Alta</v>
      </c>
      <c r="P54" s="69" t="str">
        <f t="shared" si="41"/>
        <v>Alta</v>
      </c>
      <c r="Q54" s="69" t="str">
        <f t="shared" si="41"/>
        <v>Alta</v>
      </c>
      <c r="R54" s="69" t="str">
        <f t="shared" si="41"/>
        <v>Alta</v>
      </c>
      <c r="S54" s="69" t="str">
        <f t="shared" si="41"/>
        <v>Alta</v>
      </c>
      <c r="T54" s="69" t="str">
        <f t="shared" si="41"/>
        <v>Alta</v>
      </c>
      <c r="U54" s="69" t="str">
        <f t="shared" si="41"/>
        <v>Alta</v>
      </c>
      <c r="V54" s="69" t="str">
        <f t="shared" si="41"/>
        <v>Alta</v>
      </c>
      <c r="W54" s="69" t="str">
        <f t="shared" si="41"/>
        <v>Alta</v>
      </c>
      <c r="X54" s="69" t="str">
        <f t="shared" si="41"/>
        <v>Alta</v>
      </c>
      <c r="Y54" s="69" t="str">
        <f t="shared" si="41"/>
        <v>Alta</v>
      </c>
      <c r="Z54" s="69" t="str">
        <f t="shared" si="41"/>
        <v>Alta</v>
      </c>
      <c r="AA54" s="69" t="str">
        <f t="shared" si="41"/>
        <v>Alta</v>
      </c>
      <c r="AB54" s="69" t="str">
        <f t="shared" si="41"/>
        <v>Alta</v>
      </c>
      <c r="AC54" s="69" t="str">
        <f t="shared" si="41"/>
        <v>Alta</v>
      </c>
      <c r="AD54" s="69" t="str">
        <f t="shared" si="41"/>
        <v>Alta</v>
      </c>
      <c r="AE54" s="69" t="str">
        <f t="shared" si="41"/>
        <v>Alta</v>
      </c>
      <c r="AF54" s="69" t="str">
        <f t="shared" ref="AF54" si="42">IF(AF52&lt;&gt;"n/a",AF52,IF(AF53&lt;&gt;"n/a",AF53,IF(AND(AF52="n/a",AF53="n/a"),"Baixa")))</f>
        <v>Alta</v>
      </c>
      <c r="AG54" s="69" t="str">
        <f>IF(AG52&lt;&gt;"n/a",AG52,IF(AG53&lt;&gt;"n/a",AG53,IF(AND(AG52="n/a",AG53="n/a"),"Baixa")))</f>
        <v>Alta</v>
      </c>
      <c r="AH54" s="69" t="str">
        <f>IF(AH52&lt;&gt;"n/a",AH52,IF(AH53&lt;&gt;"n/a",AH53,IF(AND(AH52="n/a",AH53="n/a"),"Baixa")))</f>
        <v>Baixa</v>
      </c>
      <c r="AI54" s="69"/>
      <c r="AJ54" s="69"/>
      <c r="AK54" s="69"/>
      <c r="AL54" s="69"/>
      <c r="AM54" s="69"/>
      <c r="AN54" s="69"/>
      <c r="AO54" s="69"/>
      <c r="AP54" s="69"/>
      <c r="AQ54" s="69"/>
      <c r="AR54" s="69"/>
      <c r="AS54" s="69"/>
      <c r="AT54" s="69"/>
      <c r="AU54" s="69"/>
      <c r="AV54" s="69"/>
      <c r="AW54" s="69"/>
      <c r="AX54" s="69"/>
      <c r="AY54" s="69"/>
      <c r="AZ54" s="69"/>
      <c r="BA54" s="69"/>
      <c r="BB54" s="69"/>
      <c r="BC54" s="69"/>
      <c r="BD54" s="69"/>
      <c r="BE54" s="69"/>
      <c r="BF54" s="69"/>
      <c r="BG54" s="69"/>
      <c r="BH54" s="69"/>
      <c r="BI54" s="69"/>
      <c r="BJ54" s="69"/>
      <c r="BK54" s="69"/>
      <c r="BL54" s="69"/>
      <c r="BM54" s="69"/>
      <c r="BN54" s="69"/>
      <c r="BO54" s="69"/>
      <c r="BP54" s="69"/>
      <c r="BQ54" s="69"/>
      <c r="BR54" s="69"/>
      <c r="BS54" s="69"/>
      <c r="BT54" s="69"/>
      <c r="BU54" s="69"/>
      <c r="BV54" s="69"/>
      <c r="BW54" s="69"/>
      <c r="BX54" s="69"/>
      <c r="BY54" s="69"/>
      <c r="CF54">
        <v>52</v>
      </c>
      <c r="CG54" s="3">
        <v>0</v>
      </c>
      <c r="CH54" s="3">
        <v>0</v>
      </c>
      <c r="CI54" s="56" t="str">
        <f t="shared" ref="CI54:CX63" si="43">IFERROR(IF(HLOOKUP($CH54,$B$3:$BY$86,CI$2,FALSE)="","",HLOOKUP($CH54,$B$3:$BY$86,CI$2,FALSE)),"")</f>
        <v/>
      </c>
      <c r="CJ54" s="56" t="str">
        <f t="shared" si="43"/>
        <v/>
      </c>
      <c r="CK54" s="56" t="str">
        <f t="shared" si="43"/>
        <v/>
      </c>
      <c r="CL54" s="56" t="str">
        <f t="shared" si="43"/>
        <v/>
      </c>
      <c r="CM54" s="56" t="str">
        <f t="shared" si="43"/>
        <v/>
      </c>
      <c r="CN54" s="56" t="str">
        <f t="shared" si="43"/>
        <v/>
      </c>
      <c r="CO54" s="56" t="str">
        <f t="shared" si="43"/>
        <v/>
      </c>
      <c r="CP54" s="56" t="str">
        <f t="shared" si="43"/>
        <v/>
      </c>
      <c r="CQ54" s="56" t="str">
        <f t="shared" si="43"/>
        <v/>
      </c>
      <c r="CR54" s="32" t="str">
        <f t="shared" si="43"/>
        <v/>
      </c>
      <c r="CS54" s="32" t="str">
        <f t="shared" si="43"/>
        <v/>
      </c>
      <c r="CT54" s="32" t="str">
        <f t="shared" si="43"/>
        <v/>
      </c>
      <c r="CU54" s="32" t="str">
        <f t="shared" si="43"/>
        <v/>
      </c>
      <c r="CV54" s="9" t="str">
        <f t="shared" si="43"/>
        <v/>
      </c>
      <c r="CW54" s="9" t="str">
        <f t="shared" si="43"/>
        <v/>
      </c>
      <c r="CX54" s="9" t="str">
        <f t="shared" si="43"/>
        <v/>
      </c>
      <c r="CY54" s="56" t="str">
        <f t="shared" si="19"/>
        <v/>
      </c>
    </row>
    <row r="55" spans="2:103" x14ac:dyDescent="0.25">
      <c r="CF55">
        <v>53</v>
      </c>
      <c r="CG55" s="3">
        <v>0</v>
      </c>
      <c r="CH55" s="3">
        <v>0</v>
      </c>
      <c r="CI55" s="56" t="str">
        <f t="shared" si="43"/>
        <v/>
      </c>
      <c r="CJ55" s="56" t="str">
        <f t="shared" si="43"/>
        <v/>
      </c>
      <c r="CK55" s="56" t="str">
        <f t="shared" si="43"/>
        <v/>
      </c>
      <c r="CL55" s="56" t="str">
        <f t="shared" si="43"/>
        <v/>
      </c>
      <c r="CM55" s="56" t="str">
        <f t="shared" si="43"/>
        <v/>
      </c>
      <c r="CN55" s="56" t="str">
        <f t="shared" si="43"/>
        <v/>
      </c>
      <c r="CO55" s="56" t="str">
        <f t="shared" si="43"/>
        <v/>
      </c>
      <c r="CP55" s="56" t="str">
        <f t="shared" si="43"/>
        <v/>
      </c>
      <c r="CQ55" s="56" t="str">
        <f t="shared" si="43"/>
        <v/>
      </c>
      <c r="CR55" s="32" t="str">
        <f t="shared" si="43"/>
        <v/>
      </c>
      <c r="CS55" s="32" t="str">
        <f t="shared" si="43"/>
        <v/>
      </c>
      <c r="CT55" s="32" t="str">
        <f t="shared" si="43"/>
        <v/>
      </c>
      <c r="CU55" s="32" t="str">
        <f t="shared" si="43"/>
        <v/>
      </c>
      <c r="CV55" s="9" t="str">
        <f t="shared" si="43"/>
        <v/>
      </c>
      <c r="CW55" s="9" t="str">
        <f t="shared" si="43"/>
        <v/>
      </c>
      <c r="CX55" s="9" t="str">
        <f t="shared" si="43"/>
        <v/>
      </c>
      <c r="CY55" s="56" t="str">
        <f t="shared" si="19"/>
        <v/>
      </c>
    </row>
    <row r="56" spans="2:103" x14ac:dyDescent="0.25">
      <c r="CF56">
        <v>54</v>
      </c>
      <c r="CG56" s="3">
        <v>0</v>
      </c>
      <c r="CH56" s="3">
        <v>0</v>
      </c>
      <c r="CI56" s="56" t="str">
        <f t="shared" si="43"/>
        <v/>
      </c>
      <c r="CJ56" s="56" t="str">
        <f t="shared" si="43"/>
        <v/>
      </c>
      <c r="CK56" s="56" t="str">
        <f t="shared" si="43"/>
        <v/>
      </c>
      <c r="CL56" s="56" t="str">
        <f t="shared" si="43"/>
        <v/>
      </c>
      <c r="CM56" s="56" t="str">
        <f t="shared" si="43"/>
        <v/>
      </c>
      <c r="CN56" s="56" t="str">
        <f t="shared" si="43"/>
        <v/>
      </c>
      <c r="CO56" s="56" t="str">
        <f t="shared" si="43"/>
        <v/>
      </c>
      <c r="CP56" s="56" t="str">
        <f t="shared" si="43"/>
        <v/>
      </c>
      <c r="CQ56" s="56" t="str">
        <f t="shared" si="43"/>
        <v/>
      </c>
      <c r="CR56" s="32" t="str">
        <f t="shared" si="43"/>
        <v/>
      </c>
      <c r="CS56" s="32" t="str">
        <f t="shared" si="43"/>
        <v/>
      </c>
      <c r="CT56" s="32" t="str">
        <f t="shared" si="43"/>
        <v/>
      </c>
      <c r="CU56" s="32" t="str">
        <f t="shared" si="43"/>
        <v/>
      </c>
      <c r="CV56" s="9" t="str">
        <f t="shared" si="43"/>
        <v/>
      </c>
      <c r="CW56" s="9" t="str">
        <f t="shared" si="43"/>
        <v/>
      </c>
      <c r="CX56" s="9" t="str">
        <f t="shared" si="43"/>
        <v/>
      </c>
      <c r="CY56" s="56" t="str">
        <f t="shared" si="19"/>
        <v/>
      </c>
    </row>
    <row r="57" spans="2:103" ht="15.75" x14ac:dyDescent="0.25">
      <c r="B57" s="33" t="s">
        <v>848</v>
      </c>
      <c r="C57" s="34"/>
      <c r="D57" s="34"/>
      <c r="E57" s="34"/>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CF57">
        <v>55</v>
      </c>
      <c r="CG57" s="3">
        <v>0</v>
      </c>
      <c r="CH57" s="3">
        <v>0</v>
      </c>
      <c r="CI57" s="56" t="str">
        <f t="shared" si="43"/>
        <v/>
      </c>
      <c r="CJ57" s="56" t="str">
        <f t="shared" si="43"/>
        <v/>
      </c>
      <c r="CK57" s="56" t="str">
        <f t="shared" si="43"/>
        <v/>
      </c>
      <c r="CL57" s="56" t="str">
        <f t="shared" si="43"/>
        <v/>
      </c>
      <c r="CM57" s="56" t="str">
        <f t="shared" si="43"/>
        <v/>
      </c>
      <c r="CN57" s="56" t="str">
        <f t="shared" si="43"/>
        <v/>
      </c>
      <c r="CO57" s="56" t="str">
        <f t="shared" si="43"/>
        <v/>
      </c>
      <c r="CP57" s="56" t="str">
        <f t="shared" si="43"/>
        <v/>
      </c>
      <c r="CQ57" s="56" t="str">
        <f t="shared" si="43"/>
        <v/>
      </c>
      <c r="CR57" s="32" t="str">
        <f t="shared" si="43"/>
        <v/>
      </c>
      <c r="CS57" s="32" t="str">
        <f t="shared" si="43"/>
        <v/>
      </c>
      <c r="CT57" s="32" t="str">
        <f t="shared" si="43"/>
        <v/>
      </c>
      <c r="CU57" s="32" t="str">
        <f t="shared" si="43"/>
        <v/>
      </c>
      <c r="CV57" s="9" t="str">
        <f t="shared" si="43"/>
        <v/>
      </c>
      <c r="CW57" s="9" t="str">
        <f t="shared" si="43"/>
        <v/>
      </c>
      <c r="CX57" s="9" t="str">
        <f t="shared" si="43"/>
        <v/>
      </c>
      <c r="CY57" s="56" t="str">
        <f t="shared" si="19"/>
        <v/>
      </c>
    </row>
    <row r="58" spans="2:103" x14ac:dyDescent="0.25">
      <c r="B58" t="s">
        <v>232</v>
      </c>
      <c r="D58" s="122" t="str">
        <f>D45</f>
        <v>Alta</v>
      </c>
      <c r="E58" s="122" t="str">
        <f t="shared" ref="E58:AE58" si="44">E45</f>
        <v>Alta</v>
      </c>
      <c r="F58" s="122" t="str">
        <f t="shared" si="44"/>
        <v>Alta</v>
      </c>
      <c r="G58" s="122" t="str">
        <f t="shared" si="44"/>
        <v>Baixa</v>
      </c>
      <c r="H58" s="122" t="str">
        <f t="shared" si="44"/>
        <v>Baixa</v>
      </c>
      <c r="I58" s="122" t="str">
        <f t="shared" si="44"/>
        <v>Baixa</v>
      </c>
      <c r="J58" s="122" t="str">
        <f t="shared" si="44"/>
        <v>Baixa</v>
      </c>
      <c r="K58" s="122" t="str">
        <f t="shared" si="44"/>
        <v>Baixa</v>
      </c>
      <c r="L58" s="122" t="str">
        <f t="shared" si="44"/>
        <v>Baixa</v>
      </c>
      <c r="M58" s="122" t="str">
        <f t="shared" si="44"/>
        <v>Baixa</v>
      </c>
      <c r="N58" s="122" t="str">
        <f t="shared" si="44"/>
        <v>Baixa</v>
      </c>
      <c r="O58" s="122" t="str">
        <f t="shared" si="44"/>
        <v>Baixa</v>
      </c>
      <c r="P58" s="122" t="str">
        <f t="shared" si="44"/>
        <v>Baixa</v>
      </c>
      <c r="Q58" s="122" t="str">
        <f t="shared" si="44"/>
        <v>Baixa</v>
      </c>
      <c r="R58" s="122" t="str">
        <f t="shared" si="44"/>
        <v>Baixa</v>
      </c>
      <c r="S58" s="122" t="str">
        <f t="shared" si="44"/>
        <v>Baixa</v>
      </c>
      <c r="T58" s="122" t="str">
        <f t="shared" si="44"/>
        <v>Baixa</v>
      </c>
      <c r="U58" s="122" t="str">
        <f t="shared" si="44"/>
        <v>Baixa</v>
      </c>
      <c r="V58" s="122" t="str">
        <f t="shared" si="44"/>
        <v>Baixa</v>
      </c>
      <c r="W58" s="122" t="str">
        <f t="shared" si="44"/>
        <v>Baixa</v>
      </c>
      <c r="X58" s="122" t="str">
        <f t="shared" si="44"/>
        <v>Baixa</v>
      </c>
      <c r="Y58" s="122" t="str">
        <f t="shared" si="44"/>
        <v>Baixa</v>
      </c>
      <c r="Z58" s="122" t="str">
        <f t="shared" si="44"/>
        <v>Baixa</v>
      </c>
      <c r="AA58" s="122" t="str">
        <f t="shared" si="44"/>
        <v>Baixa</v>
      </c>
      <c r="AB58" s="122" t="str">
        <f t="shared" si="44"/>
        <v>Baixa</v>
      </c>
      <c r="AC58" s="122" t="str">
        <f t="shared" si="44"/>
        <v>Baixa</v>
      </c>
      <c r="AD58" s="122" t="str">
        <f t="shared" si="44"/>
        <v>Baixa</v>
      </c>
      <c r="AE58" s="122" t="str">
        <f t="shared" si="44"/>
        <v>Baixa</v>
      </c>
      <c r="AF58" s="122" t="str">
        <f t="shared" ref="AF58" si="45">AF45</f>
        <v>Baixa</v>
      </c>
      <c r="AG58" s="122" t="str">
        <f>AG45</f>
        <v>Alta</v>
      </c>
      <c r="AH58" s="122" t="str">
        <f>AH45</f>
        <v>Baixa</v>
      </c>
      <c r="AI58" s="122"/>
      <c r="AJ58" s="122"/>
      <c r="AK58" s="122"/>
      <c r="AL58" s="122"/>
      <c r="AM58" s="122"/>
      <c r="AN58" s="122"/>
      <c r="AO58" s="122"/>
      <c r="AP58" s="122"/>
      <c r="AQ58" s="122"/>
      <c r="AR58" s="122"/>
      <c r="AS58" s="122"/>
      <c r="AT58" s="122"/>
      <c r="AU58" s="122"/>
      <c r="AV58" s="122"/>
      <c r="AW58" s="122"/>
      <c r="AX58" s="122"/>
      <c r="AY58" s="122"/>
      <c r="AZ58" s="122"/>
      <c r="BA58" s="122"/>
      <c r="BB58" s="122"/>
      <c r="BC58" s="122"/>
      <c r="BD58" s="122"/>
      <c r="BE58" s="122"/>
      <c r="BF58" s="122"/>
      <c r="BG58" s="122"/>
      <c r="BH58" s="122"/>
      <c r="BI58" s="122"/>
      <c r="BJ58" s="122"/>
      <c r="BK58" s="122"/>
      <c r="BL58" s="122"/>
      <c r="BM58" s="122"/>
      <c r="BN58" s="122"/>
      <c r="BO58" s="122"/>
      <c r="BP58" s="122"/>
      <c r="BQ58" s="122"/>
      <c r="BR58" s="122"/>
      <c r="BS58" s="122"/>
      <c r="BT58" s="122"/>
      <c r="BU58" s="122"/>
      <c r="BV58" s="122"/>
      <c r="BW58" s="122"/>
      <c r="BX58" s="122"/>
      <c r="BY58" s="122"/>
      <c r="CF58">
        <v>56</v>
      </c>
      <c r="CG58" s="3">
        <v>0</v>
      </c>
      <c r="CH58" s="3">
        <v>0</v>
      </c>
      <c r="CI58" s="56" t="str">
        <f t="shared" si="43"/>
        <v/>
      </c>
      <c r="CJ58" s="56" t="str">
        <f t="shared" si="43"/>
        <v/>
      </c>
      <c r="CK58" s="56" t="str">
        <f t="shared" si="43"/>
        <v/>
      </c>
      <c r="CL58" s="56" t="str">
        <f t="shared" si="43"/>
        <v/>
      </c>
      <c r="CM58" s="56" t="str">
        <f t="shared" si="43"/>
        <v/>
      </c>
      <c r="CN58" s="56" t="str">
        <f t="shared" si="43"/>
        <v/>
      </c>
      <c r="CO58" s="56" t="str">
        <f t="shared" si="43"/>
        <v/>
      </c>
      <c r="CP58" s="56" t="str">
        <f t="shared" si="43"/>
        <v/>
      </c>
      <c r="CQ58" s="56" t="str">
        <f t="shared" si="43"/>
        <v/>
      </c>
      <c r="CR58" s="32" t="str">
        <f t="shared" si="43"/>
        <v/>
      </c>
      <c r="CS58" s="32" t="str">
        <f t="shared" si="43"/>
        <v/>
      </c>
      <c r="CT58" s="32" t="str">
        <f t="shared" si="43"/>
        <v/>
      </c>
      <c r="CU58" s="32" t="str">
        <f t="shared" si="43"/>
        <v/>
      </c>
      <c r="CV58" s="9" t="str">
        <f t="shared" si="43"/>
        <v/>
      </c>
      <c r="CW58" s="9" t="str">
        <f t="shared" si="43"/>
        <v/>
      </c>
      <c r="CX58" s="9" t="str">
        <f t="shared" si="43"/>
        <v/>
      </c>
      <c r="CY58" s="56" t="str">
        <f t="shared" si="19"/>
        <v/>
      </c>
    </row>
    <row r="59" spans="2:103" s="50" customFormat="1" x14ac:dyDescent="0.25">
      <c r="B59" t="s">
        <v>844</v>
      </c>
      <c r="C59"/>
      <c r="D59" s="122" t="str">
        <f>D54</f>
        <v>Baixa</v>
      </c>
      <c r="E59" s="122" t="str">
        <f t="shared" ref="E59:AE59" si="46">E54</f>
        <v>Baixa</v>
      </c>
      <c r="F59" s="122" t="str">
        <f t="shared" si="46"/>
        <v>Baixa</v>
      </c>
      <c r="G59" s="122" t="str">
        <f t="shared" si="46"/>
        <v>Baixa</v>
      </c>
      <c r="H59" s="122" t="str">
        <f t="shared" si="46"/>
        <v>Alta</v>
      </c>
      <c r="I59" s="122" t="str">
        <f t="shared" si="46"/>
        <v>Alta</v>
      </c>
      <c r="J59" s="122" t="str">
        <f t="shared" si="46"/>
        <v>Alta</v>
      </c>
      <c r="K59" s="122" t="str">
        <f t="shared" si="46"/>
        <v>Alta</v>
      </c>
      <c r="L59" s="122" t="str">
        <f t="shared" si="46"/>
        <v>Alta</v>
      </c>
      <c r="M59" s="122" t="str">
        <f t="shared" si="46"/>
        <v>Alta</v>
      </c>
      <c r="N59" s="122" t="str">
        <f t="shared" si="46"/>
        <v>Alta</v>
      </c>
      <c r="O59" s="122" t="str">
        <f t="shared" si="46"/>
        <v>Alta</v>
      </c>
      <c r="P59" s="122" t="str">
        <f t="shared" si="46"/>
        <v>Alta</v>
      </c>
      <c r="Q59" s="122" t="str">
        <f t="shared" si="46"/>
        <v>Alta</v>
      </c>
      <c r="R59" s="122" t="str">
        <f t="shared" si="46"/>
        <v>Alta</v>
      </c>
      <c r="S59" s="122" t="str">
        <f t="shared" si="46"/>
        <v>Alta</v>
      </c>
      <c r="T59" s="122" t="str">
        <f t="shared" si="46"/>
        <v>Alta</v>
      </c>
      <c r="U59" s="122" t="str">
        <f t="shared" si="46"/>
        <v>Alta</v>
      </c>
      <c r="V59" s="122" t="str">
        <f t="shared" si="46"/>
        <v>Alta</v>
      </c>
      <c r="W59" s="122" t="str">
        <f t="shared" si="46"/>
        <v>Alta</v>
      </c>
      <c r="X59" s="122" t="str">
        <f t="shared" si="46"/>
        <v>Alta</v>
      </c>
      <c r="Y59" s="122" t="str">
        <f t="shared" si="46"/>
        <v>Alta</v>
      </c>
      <c r="Z59" s="122" t="str">
        <f t="shared" si="46"/>
        <v>Alta</v>
      </c>
      <c r="AA59" s="122" t="str">
        <f t="shared" si="46"/>
        <v>Alta</v>
      </c>
      <c r="AB59" s="122" t="str">
        <f t="shared" si="46"/>
        <v>Alta</v>
      </c>
      <c r="AC59" s="122" t="str">
        <f t="shared" si="46"/>
        <v>Alta</v>
      </c>
      <c r="AD59" s="122" t="str">
        <f t="shared" si="46"/>
        <v>Alta</v>
      </c>
      <c r="AE59" s="122" t="str">
        <f t="shared" si="46"/>
        <v>Alta</v>
      </c>
      <c r="AF59" s="122" t="str">
        <f t="shared" ref="AF59" si="47">AF54</f>
        <v>Alta</v>
      </c>
      <c r="AG59" s="122" t="str">
        <f>AG54</f>
        <v>Alta</v>
      </c>
      <c r="AH59" s="122" t="str">
        <f>AH54</f>
        <v>Baixa</v>
      </c>
      <c r="AI59" s="122"/>
      <c r="AJ59" s="122"/>
      <c r="AK59" s="122"/>
      <c r="AL59" s="122"/>
      <c r="AM59" s="122"/>
      <c r="AN59" s="122"/>
      <c r="AO59" s="122"/>
      <c r="AP59" s="122"/>
      <c r="AQ59" s="122"/>
      <c r="AR59" s="122"/>
      <c r="AS59" s="122"/>
      <c r="AT59" s="122"/>
      <c r="AU59" s="122"/>
      <c r="AV59" s="122"/>
      <c r="AW59" s="122"/>
      <c r="AX59" s="122"/>
      <c r="AY59" s="122"/>
      <c r="AZ59" s="122"/>
      <c r="BA59" s="122"/>
      <c r="BB59" s="122"/>
      <c r="BC59" s="122"/>
      <c r="BD59" s="122"/>
      <c r="BE59" s="122"/>
      <c r="BF59" s="122"/>
      <c r="BG59" s="122"/>
      <c r="BH59" s="122"/>
      <c r="BI59" s="122"/>
      <c r="BJ59" s="122"/>
      <c r="BK59" s="122"/>
      <c r="BL59" s="122"/>
      <c r="BM59" s="122"/>
      <c r="BN59" s="122"/>
      <c r="BO59" s="122"/>
      <c r="BP59" s="122"/>
      <c r="BQ59" s="122"/>
      <c r="BR59" s="122"/>
      <c r="BS59" s="122"/>
      <c r="BT59" s="122"/>
      <c r="BU59" s="122"/>
      <c r="BV59" s="122"/>
      <c r="BW59" s="122"/>
      <c r="BX59" s="122"/>
      <c r="BY59" s="122"/>
      <c r="CF59" s="50">
        <v>57</v>
      </c>
      <c r="CG59" s="102">
        <v>0</v>
      </c>
      <c r="CH59" s="102">
        <v>0</v>
      </c>
      <c r="CI59" s="56" t="str">
        <f t="shared" si="43"/>
        <v/>
      </c>
      <c r="CJ59" s="56" t="str">
        <f t="shared" si="43"/>
        <v/>
      </c>
      <c r="CK59" s="56" t="str">
        <f t="shared" si="43"/>
        <v/>
      </c>
      <c r="CL59" s="56" t="str">
        <f t="shared" si="43"/>
        <v/>
      </c>
      <c r="CM59" s="56" t="str">
        <f t="shared" si="43"/>
        <v/>
      </c>
      <c r="CN59" s="56" t="str">
        <f t="shared" si="43"/>
        <v/>
      </c>
      <c r="CO59" s="56" t="str">
        <f t="shared" si="43"/>
        <v/>
      </c>
      <c r="CP59" s="56" t="str">
        <f t="shared" si="43"/>
        <v/>
      </c>
      <c r="CQ59" s="56" t="str">
        <f t="shared" si="43"/>
        <v/>
      </c>
      <c r="CR59" s="32" t="str">
        <f t="shared" si="43"/>
        <v/>
      </c>
      <c r="CS59" s="32" t="str">
        <f t="shared" si="43"/>
        <v/>
      </c>
      <c r="CT59" s="32" t="str">
        <f t="shared" si="43"/>
        <v/>
      </c>
      <c r="CU59" s="32" t="str">
        <f t="shared" si="43"/>
        <v/>
      </c>
      <c r="CV59" s="9" t="str">
        <f t="shared" si="43"/>
        <v/>
      </c>
      <c r="CW59" s="9" t="str">
        <f t="shared" si="43"/>
        <v/>
      </c>
      <c r="CX59" s="9" t="str">
        <f t="shared" si="43"/>
        <v/>
      </c>
      <c r="CY59" s="56" t="str">
        <f t="shared" si="19"/>
        <v/>
      </c>
    </row>
    <row r="60" spans="2:103" ht="15.75" x14ac:dyDescent="0.25">
      <c r="B60" s="70" t="s">
        <v>848</v>
      </c>
      <c r="C60" s="71"/>
      <c r="D60" s="72" t="str">
        <f>IF(AND(D58=$G$85,D59=$H$85),$I$85,IF(AND(D58=$G$86,D59=$H$86),$I$86,IF(AND(D58=$G$87,D59=$H$87),$I$87,IF(AND(D58=$G$88,D59=$H$88),$I$88))))</f>
        <v>Alta</v>
      </c>
      <c r="E60" s="72" t="str">
        <f t="shared" ref="E60:AE60" si="48">IF(AND(E58=$G$85,E59=$H$85),$I$85,IF(AND(E58=$G$86,E59=$H$86),$I$86,IF(AND(E58=$G$87,E59=$H$87),$I$87,IF(AND(E58=$G$88,E59=$H$88),$I$88))))</f>
        <v>Alta</v>
      </c>
      <c r="F60" s="72" t="str">
        <f t="shared" si="48"/>
        <v>Alta</v>
      </c>
      <c r="G60" s="72" t="str">
        <f t="shared" si="48"/>
        <v>Médio</v>
      </c>
      <c r="H60" s="72" t="str">
        <f t="shared" si="48"/>
        <v>Baixo</v>
      </c>
      <c r="I60" s="72" t="str">
        <f t="shared" si="48"/>
        <v>Baixo</v>
      </c>
      <c r="J60" s="72" t="str">
        <f t="shared" si="48"/>
        <v>Baixo</v>
      </c>
      <c r="K60" s="72" t="str">
        <f t="shared" si="48"/>
        <v>Baixo</v>
      </c>
      <c r="L60" s="72" t="str">
        <f t="shared" si="48"/>
        <v>Baixo</v>
      </c>
      <c r="M60" s="72" t="str">
        <f t="shared" si="48"/>
        <v>Baixo</v>
      </c>
      <c r="N60" s="72" t="str">
        <f t="shared" si="48"/>
        <v>Baixo</v>
      </c>
      <c r="O60" s="72" t="str">
        <f t="shared" si="48"/>
        <v>Baixo</v>
      </c>
      <c r="P60" s="72" t="str">
        <f t="shared" si="48"/>
        <v>Baixo</v>
      </c>
      <c r="Q60" s="72" t="str">
        <f t="shared" si="48"/>
        <v>Baixo</v>
      </c>
      <c r="R60" s="72" t="str">
        <f t="shared" si="48"/>
        <v>Baixo</v>
      </c>
      <c r="S60" s="72" t="str">
        <f t="shared" si="48"/>
        <v>Baixo</v>
      </c>
      <c r="T60" s="72" t="str">
        <f t="shared" si="48"/>
        <v>Baixo</v>
      </c>
      <c r="U60" s="72" t="str">
        <f t="shared" si="48"/>
        <v>Baixo</v>
      </c>
      <c r="V60" s="72" t="str">
        <f t="shared" si="48"/>
        <v>Baixo</v>
      </c>
      <c r="W60" s="72" t="str">
        <f t="shared" si="48"/>
        <v>Baixo</v>
      </c>
      <c r="X60" s="72" t="str">
        <f t="shared" si="48"/>
        <v>Baixo</v>
      </c>
      <c r="Y60" s="72" t="str">
        <f t="shared" si="48"/>
        <v>Baixo</v>
      </c>
      <c r="Z60" s="72" t="str">
        <f t="shared" si="48"/>
        <v>Baixo</v>
      </c>
      <c r="AA60" s="72" t="str">
        <f t="shared" si="48"/>
        <v>Baixo</v>
      </c>
      <c r="AB60" s="72" t="str">
        <f t="shared" si="48"/>
        <v>Baixo</v>
      </c>
      <c r="AC60" s="72" t="str">
        <f t="shared" si="48"/>
        <v>Baixo</v>
      </c>
      <c r="AD60" s="72" t="str">
        <f t="shared" si="48"/>
        <v>Baixo</v>
      </c>
      <c r="AE60" s="72" t="str">
        <f t="shared" si="48"/>
        <v>Baixo</v>
      </c>
      <c r="AF60" s="72" t="str">
        <f t="shared" ref="AF60" si="49">IF(AND(AF58=$G$85,AF59=$H$85),$I$85,IF(AND(AF58=$G$86,AF59=$H$86),$I$86,IF(AND(AF58=$G$87,AF59=$H$87),$I$87,IF(AND(AF58=$G$88,AF59=$H$88),$I$88))))</f>
        <v>Baixo</v>
      </c>
      <c r="AG60" s="72" t="str">
        <f>IF(AND(AG58=$G$85,AG59=$H$85),$I$85,IF(AND(AG58=$G$86,AG59=$H$86),$I$86,IF(AND(AG58=$G$87,AG59=$H$87),$I$87,IF(AND(AG58=$G$88,AG59=$H$88),$I$88))))</f>
        <v>Médio</v>
      </c>
      <c r="AH60" s="72" t="str">
        <f>IF(AND(AH58=$G$85,AH59=$H$85),$I$85,IF(AND(AH58=$G$86,AH59=$H$86),$I$86,IF(AND(AH58=$G$87,AH59=$H$87),$I$87,IF(AND(AH58=$G$88,AH59=$H$88),$I$88))))</f>
        <v>Médio</v>
      </c>
      <c r="AI60" s="72"/>
      <c r="AJ60" s="72"/>
      <c r="AK60" s="72"/>
      <c r="AL60" s="72"/>
      <c r="AM60" s="72"/>
      <c r="AN60" s="72"/>
      <c r="AO60" s="72"/>
      <c r="AP60" s="72"/>
      <c r="AQ60" s="72"/>
      <c r="AR60" s="72"/>
      <c r="AS60" s="72"/>
      <c r="AT60" s="72"/>
      <c r="AU60" s="72"/>
      <c r="AV60" s="72"/>
      <c r="AW60" s="72"/>
      <c r="AX60" s="72"/>
      <c r="AY60" s="72"/>
      <c r="AZ60" s="72"/>
      <c r="BA60" s="72"/>
      <c r="BB60" s="72"/>
      <c r="BC60" s="72"/>
      <c r="BD60" s="72"/>
      <c r="BE60" s="72"/>
      <c r="BF60" s="72"/>
      <c r="BG60" s="72"/>
      <c r="BH60" s="72"/>
      <c r="BI60" s="72"/>
      <c r="BJ60" s="72"/>
      <c r="BK60" s="72"/>
      <c r="BL60" s="72"/>
      <c r="BM60" s="72"/>
      <c r="BN60" s="72"/>
      <c r="BO60" s="72"/>
      <c r="BP60" s="72"/>
      <c r="BQ60" s="72"/>
      <c r="BR60" s="72"/>
      <c r="BS60" s="72"/>
      <c r="BT60" s="72"/>
      <c r="BU60" s="72"/>
      <c r="BV60" s="72"/>
      <c r="BW60" s="72"/>
      <c r="BX60" s="72"/>
      <c r="BY60" s="72"/>
      <c r="CF60">
        <v>58</v>
      </c>
      <c r="CG60" s="3">
        <v>0</v>
      </c>
      <c r="CH60" s="3">
        <v>0</v>
      </c>
      <c r="CI60" s="56" t="str">
        <f t="shared" si="43"/>
        <v/>
      </c>
      <c r="CJ60" s="56" t="str">
        <f t="shared" si="43"/>
        <v/>
      </c>
      <c r="CK60" s="56" t="str">
        <f t="shared" si="43"/>
        <v/>
      </c>
      <c r="CL60" s="56" t="str">
        <f t="shared" si="43"/>
        <v/>
      </c>
      <c r="CM60" s="56" t="str">
        <f t="shared" si="43"/>
        <v/>
      </c>
      <c r="CN60" s="56" t="str">
        <f t="shared" si="43"/>
        <v/>
      </c>
      <c r="CO60" s="56" t="str">
        <f t="shared" si="43"/>
        <v/>
      </c>
      <c r="CP60" s="56" t="str">
        <f t="shared" si="43"/>
        <v/>
      </c>
      <c r="CQ60" s="56" t="str">
        <f t="shared" si="43"/>
        <v/>
      </c>
      <c r="CR60" s="32" t="str">
        <f t="shared" si="43"/>
        <v/>
      </c>
      <c r="CS60" s="32" t="str">
        <f t="shared" si="43"/>
        <v/>
      </c>
      <c r="CT60" s="32" t="str">
        <f t="shared" si="43"/>
        <v/>
      </c>
      <c r="CU60" s="32" t="str">
        <f t="shared" si="43"/>
        <v/>
      </c>
      <c r="CV60" s="9" t="str">
        <f t="shared" si="43"/>
        <v/>
      </c>
      <c r="CW60" s="9" t="str">
        <f t="shared" si="43"/>
        <v/>
      </c>
      <c r="CX60" s="9" t="str">
        <f t="shared" si="43"/>
        <v/>
      </c>
      <c r="CY60" s="56" t="str">
        <f t="shared" si="19"/>
        <v/>
      </c>
    </row>
    <row r="61" spans="2:103" x14ac:dyDescent="0.25">
      <c r="CF61">
        <v>59</v>
      </c>
      <c r="CG61" s="3">
        <v>0</v>
      </c>
      <c r="CH61" s="3">
        <v>0</v>
      </c>
      <c r="CI61" s="56" t="str">
        <f t="shared" si="43"/>
        <v/>
      </c>
      <c r="CJ61" s="56" t="str">
        <f t="shared" si="43"/>
        <v/>
      </c>
      <c r="CK61" s="56" t="str">
        <f t="shared" si="43"/>
        <v/>
      </c>
      <c r="CL61" s="56" t="str">
        <f t="shared" si="43"/>
        <v/>
      </c>
      <c r="CM61" s="56" t="str">
        <f t="shared" si="43"/>
        <v/>
      </c>
      <c r="CN61" s="56" t="str">
        <f t="shared" si="43"/>
        <v/>
      </c>
      <c r="CO61" s="56" t="str">
        <f t="shared" si="43"/>
        <v/>
      </c>
      <c r="CP61" s="56" t="str">
        <f t="shared" si="43"/>
        <v/>
      </c>
      <c r="CQ61" s="56" t="str">
        <f t="shared" si="43"/>
        <v/>
      </c>
      <c r="CR61" s="32" t="str">
        <f t="shared" si="43"/>
        <v/>
      </c>
      <c r="CS61" s="32" t="str">
        <f t="shared" si="43"/>
        <v/>
      </c>
      <c r="CT61" s="32" t="str">
        <f t="shared" si="43"/>
        <v/>
      </c>
      <c r="CU61" s="32" t="str">
        <f t="shared" si="43"/>
        <v/>
      </c>
      <c r="CV61" s="9" t="str">
        <f t="shared" si="43"/>
        <v/>
      </c>
      <c r="CW61" s="9" t="str">
        <f t="shared" si="43"/>
        <v/>
      </c>
      <c r="CX61" s="9" t="str">
        <f t="shared" si="43"/>
        <v/>
      </c>
      <c r="CY61" s="56" t="str">
        <f t="shared" si="19"/>
        <v/>
      </c>
    </row>
    <row r="62" spans="2:103" x14ac:dyDescent="0.25">
      <c r="CF62">
        <v>60</v>
      </c>
      <c r="CG62" s="3">
        <v>0</v>
      </c>
      <c r="CH62" s="3">
        <v>0</v>
      </c>
      <c r="CI62" s="56" t="str">
        <f t="shared" si="43"/>
        <v/>
      </c>
      <c r="CJ62" s="56" t="str">
        <f t="shared" si="43"/>
        <v/>
      </c>
      <c r="CK62" s="56" t="str">
        <f t="shared" si="43"/>
        <v/>
      </c>
      <c r="CL62" s="56" t="str">
        <f t="shared" si="43"/>
        <v/>
      </c>
      <c r="CM62" s="56" t="str">
        <f t="shared" si="43"/>
        <v/>
      </c>
      <c r="CN62" s="56" t="str">
        <f t="shared" si="43"/>
        <v/>
      </c>
      <c r="CO62" s="56" t="str">
        <f t="shared" si="43"/>
        <v/>
      </c>
      <c r="CP62" s="56" t="str">
        <f t="shared" si="43"/>
        <v/>
      </c>
      <c r="CQ62" s="56" t="str">
        <f t="shared" si="43"/>
        <v/>
      </c>
      <c r="CR62" s="32" t="str">
        <f t="shared" si="43"/>
        <v/>
      </c>
      <c r="CS62" s="32" t="str">
        <f t="shared" si="43"/>
        <v/>
      </c>
      <c r="CT62" s="32" t="str">
        <f t="shared" si="43"/>
        <v/>
      </c>
      <c r="CU62" s="32" t="str">
        <f t="shared" si="43"/>
        <v/>
      </c>
      <c r="CV62" s="9" t="str">
        <f t="shared" si="43"/>
        <v/>
      </c>
      <c r="CW62" s="9" t="str">
        <f t="shared" si="43"/>
        <v/>
      </c>
      <c r="CX62" s="9" t="str">
        <f t="shared" si="43"/>
        <v/>
      </c>
      <c r="CY62" s="56" t="str">
        <f t="shared" si="19"/>
        <v/>
      </c>
    </row>
    <row r="63" spans="2:103" ht="15.75" x14ac:dyDescent="0.25">
      <c r="B63" s="33" t="s">
        <v>412</v>
      </c>
      <c r="C63" s="34"/>
      <c r="D63" s="34"/>
      <c r="E63" s="34"/>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CF63">
        <v>61</v>
      </c>
      <c r="CG63" s="3">
        <v>0</v>
      </c>
      <c r="CH63" s="3">
        <v>0</v>
      </c>
      <c r="CI63" s="56" t="str">
        <f t="shared" si="43"/>
        <v/>
      </c>
      <c r="CJ63" s="56" t="str">
        <f t="shared" si="43"/>
        <v/>
      </c>
      <c r="CK63" s="56" t="str">
        <f t="shared" si="43"/>
        <v/>
      </c>
      <c r="CL63" s="56" t="str">
        <f t="shared" si="43"/>
        <v/>
      </c>
      <c r="CM63" s="56" t="str">
        <f t="shared" si="43"/>
        <v/>
      </c>
      <c r="CN63" s="56" t="str">
        <f t="shared" si="43"/>
        <v/>
      </c>
      <c r="CO63" s="56" t="str">
        <f t="shared" si="43"/>
        <v/>
      </c>
      <c r="CP63" s="56" t="str">
        <f t="shared" si="43"/>
        <v/>
      </c>
      <c r="CQ63" s="56" t="str">
        <f t="shared" si="43"/>
        <v/>
      </c>
      <c r="CR63" s="32" t="str">
        <f t="shared" si="43"/>
        <v/>
      </c>
      <c r="CS63" s="32" t="str">
        <f t="shared" si="43"/>
        <v/>
      </c>
      <c r="CT63" s="32" t="str">
        <f t="shared" si="43"/>
        <v/>
      </c>
      <c r="CU63" s="32" t="str">
        <f t="shared" si="43"/>
        <v/>
      </c>
      <c r="CV63" s="9" t="str">
        <f t="shared" si="43"/>
        <v/>
      </c>
      <c r="CW63" s="9" t="str">
        <f t="shared" si="43"/>
        <v/>
      </c>
      <c r="CX63" s="9" t="str">
        <f t="shared" si="43"/>
        <v/>
      </c>
      <c r="CY63" s="56" t="str">
        <f t="shared" si="19"/>
        <v/>
      </c>
    </row>
    <row r="64" spans="2:103" ht="15.75" x14ac:dyDescent="0.25">
      <c r="B64" s="40" t="s">
        <v>11</v>
      </c>
      <c r="C64" s="43"/>
      <c r="D64" s="46" t="s">
        <v>106</v>
      </c>
      <c r="E64" s="46" t="s">
        <v>106</v>
      </c>
      <c r="F64" s="46" t="s">
        <v>106</v>
      </c>
      <c r="G64" s="46" t="s">
        <v>106</v>
      </c>
      <c r="H64" s="46" t="s">
        <v>106</v>
      </c>
      <c r="I64" s="46" t="s">
        <v>106</v>
      </c>
      <c r="J64" s="46" t="s">
        <v>106</v>
      </c>
      <c r="K64" s="46" t="s">
        <v>106</v>
      </c>
      <c r="L64" s="46" t="s">
        <v>106</v>
      </c>
      <c r="M64" s="46" t="s">
        <v>106</v>
      </c>
      <c r="N64" s="46" t="s">
        <v>106</v>
      </c>
      <c r="O64" s="46" t="s">
        <v>106</v>
      </c>
      <c r="P64" s="46" t="s">
        <v>106</v>
      </c>
      <c r="Q64" s="46" t="s">
        <v>106</v>
      </c>
      <c r="R64" s="46" t="s">
        <v>106</v>
      </c>
      <c r="S64" s="46" t="s">
        <v>106</v>
      </c>
      <c r="T64" s="46" t="s">
        <v>106</v>
      </c>
      <c r="U64" s="46" t="s">
        <v>106</v>
      </c>
      <c r="V64" s="46" t="s">
        <v>106</v>
      </c>
      <c r="W64" s="46" t="s">
        <v>106</v>
      </c>
      <c r="X64" s="46" t="s">
        <v>106</v>
      </c>
      <c r="Y64" s="46" t="s">
        <v>106</v>
      </c>
      <c r="Z64" s="46" t="s">
        <v>106</v>
      </c>
      <c r="AA64" s="46" t="s">
        <v>106</v>
      </c>
      <c r="AB64" s="46" t="s">
        <v>106</v>
      </c>
      <c r="AC64" s="46" t="s">
        <v>106</v>
      </c>
      <c r="AD64" s="46" t="s">
        <v>106</v>
      </c>
      <c r="AE64" s="46" t="s">
        <v>106</v>
      </c>
      <c r="AF64" s="46" t="s">
        <v>106</v>
      </c>
      <c r="AG64" s="46" t="s">
        <v>106</v>
      </c>
      <c r="AH64" s="46" t="s">
        <v>106</v>
      </c>
      <c r="AI64" s="46"/>
      <c r="AJ64" s="46"/>
      <c r="AK64" s="46"/>
      <c r="AL64" s="46"/>
      <c r="AM64" s="46"/>
      <c r="AN64" s="46"/>
      <c r="AO64" s="46"/>
      <c r="AP64" s="46"/>
      <c r="AQ64" s="46"/>
      <c r="AR64" s="46"/>
      <c r="AS64" s="46"/>
      <c r="AT64" s="46"/>
      <c r="AU64" s="46"/>
      <c r="AV64" s="46"/>
      <c r="AW64" s="46"/>
      <c r="AX64" s="46"/>
      <c r="AY64" s="46"/>
      <c r="AZ64" s="46"/>
      <c r="BA64" s="46"/>
      <c r="BB64" s="46"/>
      <c r="BC64" s="46"/>
      <c r="BD64" s="46"/>
      <c r="BE64" s="46"/>
      <c r="BF64" s="46"/>
      <c r="BG64" s="46"/>
      <c r="BH64" s="46"/>
      <c r="BI64" s="46"/>
      <c r="BJ64" s="46"/>
      <c r="BK64" s="46"/>
      <c r="BL64" s="46"/>
      <c r="BM64" s="46"/>
      <c r="BN64" s="46"/>
      <c r="BO64" s="46"/>
      <c r="BP64" s="46"/>
      <c r="BQ64" s="46"/>
      <c r="BR64" s="46"/>
      <c r="BS64" s="46"/>
      <c r="BT64" s="46"/>
      <c r="BU64" s="46"/>
      <c r="BV64" s="46"/>
      <c r="BW64" s="46"/>
      <c r="BX64" s="46"/>
      <c r="BY64" s="46"/>
      <c r="CF64">
        <v>62</v>
      </c>
      <c r="CG64" s="3">
        <v>0</v>
      </c>
      <c r="CH64" s="3">
        <v>0</v>
      </c>
      <c r="CI64" s="56" t="str">
        <f t="shared" ref="CI64:CX77" si="50">IFERROR(IF(HLOOKUP($CH64,$B$3:$BY$86,CI$2,FALSE)="","",HLOOKUP($CH64,$B$3:$BY$86,CI$2,FALSE)),"")</f>
        <v/>
      </c>
      <c r="CJ64" s="56" t="str">
        <f t="shared" si="50"/>
        <v/>
      </c>
      <c r="CK64" s="56" t="str">
        <f t="shared" si="50"/>
        <v/>
      </c>
      <c r="CL64" s="56" t="str">
        <f t="shared" si="50"/>
        <v/>
      </c>
      <c r="CM64" s="56" t="str">
        <f t="shared" si="50"/>
        <v/>
      </c>
      <c r="CN64" s="56" t="str">
        <f t="shared" si="50"/>
        <v/>
      </c>
      <c r="CO64" s="56" t="str">
        <f t="shared" si="50"/>
        <v/>
      </c>
      <c r="CP64" s="56" t="str">
        <f t="shared" si="50"/>
        <v/>
      </c>
      <c r="CQ64" s="56" t="str">
        <f t="shared" si="50"/>
        <v/>
      </c>
      <c r="CR64" s="32" t="str">
        <f t="shared" si="50"/>
        <v/>
      </c>
      <c r="CS64" s="32" t="str">
        <f t="shared" si="50"/>
        <v/>
      </c>
      <c r="CT64" s="32" t="str">
        <f t="shared" si="50"/>
        <v/>
      </c>
      <c r="CU64" s="32" t="str">
        <f t="shared" si="50"/>
        <v/>
      </c>
      <c r="CV64" s="9" t="str">
        <f t="shared" si="50"/>
        <v/>
      </c>
      <c r="CW64" s="9" t="str">
        <f t="shared" si="50"/>
        <v/>
      </c>
      <c r="CX64" s="9" t="str">
        <f t="shared" si="50"/>
        <v/>
      </c>
      <c r="CY64" s="56" t="str">
        <f t="shared" si="19"/>
        <v/>
      </c>
    </row>
    <row r="65" spans="2:103" ht="15.75" x14ac:dyDescent="0.25">
      <c r="B65" s="40" t="s">
        <v>372</v>
      </c>
      <c r="C65" s="43"/>
      <c r="D65" s="46" t="s">
        <v>234</v>
      </c>
      <c r="E65" s="46" t="s">
        <v>234</v>
      </c>
      <c r="F65" s="46" t="s">
        <v>234</v>
      </c>
      <c r="G65" s="46" t="s">
        <v>234</v>
      </c>
      <c r="H65" s="46" t="s">
        <v>234</v>
      </c>
      <c r="I65" s="46" t="s">
        <v>234</v>
      </c>
      <c r="J65" s="46" t="s">
        <v>234</v>
      </c>
      <c r="K65" s="46" t="s">
        <v>234</v>
      </c>
      <c r="L65" s="46" t="s">
        <v>234</v>
      </c>
      <c r="M65" s="46" t="s">
        <v>234</v>
      </c>
      <c r="N65" s="46" t="s">
        <v>234</v>
      </c>
      <c r="O65" s="46" t="s">
        <v>234</v>
      </c>
      <c r="P65" s="46" t="s">
        <v>234</v>
      </c>
      <c r="Q65" s="46" t="s">
        <v>234</v>
      </c>
      <c r="R65" s="46" t="s">
        <v>234</v>
      </c>
      <c r="S65" s="46" t="s">
        <v>234</v>
      </c>
      <c r="T65" s="46" t="s">
        <v>234</v>
      </c>
      <c r="U65" s="46" t="s">
        <v>234</v>
      </c>
      <c r="V65" s="46" t="s">
        <v>234</v>
      </c>
      <c r="W65" s="46" t="s">
        <v>234</v>
      </c>
      <c r="X65" s="46" t="s">
        <v>234</v>
      </c>
      <c r="Y65" s="46" t="s">
        <v>234</v>
      </c>
      <c r="Z65" s="46" t="s">
        <v>234</v>
      </c>
      <c r="AA65" s="46" t="s">
        <v>234</v>
      </c>
      <c r="AB65" s="46" t="s">
        <v>234</v>
      </c>
      <c r="AC65" s="46" t="s">
        <v>234</v>
      </c>
      <c r="AD65" s="46" t="s">
        <v>234</v>
      </c>
      <c r="AE65" s="46" t="s">
        <v>234</v>
      </c>
      <c r="AF65" s="46" t="s">
        <v>234</v>
      </c>
      <c r="AG65" s="46" t="s">
        <v>234</v>
      </c>
      <c r="AH65" s="46" t="s">
        <v>234</v>
      </c>
      <c r="AI65" s="46"/>
      <c r="AJ65" s="46"/>
      <c r="AK65" s="46"/>
      <c r="AL65" s="46"/>
      <c r="AM65" s="46"/>
      <c r="AN65" s="46"/>
      <c r="AO65" s="46"/>
      <c r="AP65" s="46"/>
      <c r="AQ65" s="46"/>
      <c r="AR65" s="46"/>
      <c r="AS65" s="46"/>
      <c r="AT65" s="46"/>
      <c r="AU65" s="46"/>
      <c r="AV65" s="46"/>
      <c r="AW65" s="46"/>
      <c r="AX65" s="46"/>
      <c r="AY65" s="46"/>
      <c r="AZ65" s="46"/>
      <c r="BA65" s="46"/>
      <c r="BB65" s="46"/>
      <c r="BC65" s="46"/>
      <c r="BD65" s="46"/>
      <c r="BE65" s="46"/>
      <c r="BF65" s="46"/>
      <c r="BG65" s="46"/>
      <c r="BH65" s="46"/>
      <c r="BI65" s="46"/>
      <c r="BJ65" s="46"/>
      <c r="BK65" s="46"/>
      <c r="BL65" s="46"/>
      <c r="BM65" s="46"/>
      <c r="BN65" s="46"/>
      <c r="BO65" s="46"/>
      <c r="BP65" s="46"/>
      <c r="BQ65" s="46"/>
      <c r="BR65" s="46"/>
      <c r="BS65" s="46"/>
      <c r="BT65" s="46"/>
      <c r="BU65" s="46"/>
      <c r="BV65" s="46"/>
      <c r="BW65" s="46"/>
      <c r="BX65" s="46"/>
      <c r="BY65" s="46"/>
      <c r="CF65">
        <v>63</v>
      </c>
      <c r="CG65" s="3">
        <v>0</v>
      </c>
      <c r="CH65" s="3">
        <v>0</v>
      </c>
      <c r="CI65" s="56" t="str">
        <f t="shared" si="50"/>
        <v/>
      </c>
      <c r="CJ65" s="56" t="str">
        <f t="shared" si="50"/>
        <v/>
      </c>
      <c r="CK65" s="56" t="str">
        <f t="shared" si="50"/>
        <v/>
      </c>
      <c r="CL65" s="56" t="str">
        <f t="shared" si="50"/>
        <v/>
      </c>
      <c r="CM65" s="56" t="str">
        <f t="shared" si="50"/>
        <v/>
      </c>
      <c r="CN65" s="56" t="str">
        <f t="shared" si="50"/>
        <v/>
      </c>
      <c r="CO65" s="56" t="str">
        <f t="shared" si="50"/>
        <v/>
      </c>
      <c r="CP65" s="56" t="str">
        <f t="shared" si="50"/>
        <v/>
      </c>
      <c r="CQ65" s="56" t="str">
        <f t="shared" si="50"/>
        <v/>
      </c>
      <c r="CR65" s="32" t="str">
        <f t="shared" si="50"/>
        <v/>
      </c>
      <c r="CS65" s="32" t="str">
        <f t="shared" si="50"/>
        <v/>
      </c>
      <c r="CT65" s="32" t="str">
        <f t="shared" si="50"/>
        <v/>
      </c>
      <c r="CU65" s="32" t="str">
        <f t="shared" si="50"/>
        <v/>
      </c>
      <c r="CV65" s="9" t="str">
        <f t="shared" si="50"/>
        <v/>
      </c>
      <c r="CW65" s="9" t="str">
        <f t="shared" si="50"/>
        <v/>
      </c>
      <c r="CX65" s="9" t="str">
        <f t="shared" si="50"/>
        <v/>
      </c>
      <c r="CY65" s="56" t="str">
        <f t="shared" si="19"/>
        <v/>
      </c>
    </row>
    <row r="66" spans="2:103" ht="15.75" x14ac:dyDescent="0.25">
      <c r="B66" s="40" t="s">
        <v>410</v>
      </c>
      <c r="C66" s="43"/>
      <c r="D66" s="46" t="s">
        <v>415</v>
      </c>
      <c r="E66" s="46" t="s">
        <v>415</v>
      </c>
      <c r="F66" s="46" t="s">
        <v>415</v>
      </c>
      <c r="G66" s="46" t="s">
        <v>415</v>
      </c>
      <c r="H66" s="46" t="s">
        <v>415</v>
      </c>
      <c r="I66" s="46" t="s">
        <v>415</v>
      </c>
      <c r="J66" s="46" t="s">
        <v>415</v>
      </c>
      <c r="K66" s="46" t="s">
        <v>415</v>
      </c>
      <c r="L66" s="46" t="s">
        <v>415</v>
      </c>
      <c r="M66" s="46" t="s">
        <v>415</v>
      </c>
      <c r="N66" s="46" t="s">
        <v>415</v>
      </c>
      <c r="O66" s="46" t="s">
        <v>415</v>
      </c>
      <c r="P66" s="46" t="s">
        <v>415</v>
      </c>
      <c r="Q66" s="46" t="s">
        <v>415</v>
      </c>
      <c r="R66" s="46" t="s">
        <v>415</v>
      </c>
      <c r="S66" s="46" t="s">
        <v>415</v>
      </c>
      <c r="T66" s="46" t="s">
        <v>415</v>
      </c>
      <c r="U66" s="46" t="s">
        <v>415</v>
      </c>
      <c r="V66" s="46" t="s">
        <v>415</v>
      </c>
      <c r="W66" s="46" t="s">
        <v>415</v>
      </c>
      <c r="X66" s="46" t="s">
        <v>415</v>
      </c>
      <c r="Y66" s="46" t="s">
        <v>415</v>
      </c>
      <c r="Z66" s="46" t="s">
        <v>415</v>
      </c>
      <c r="AA66" s="46" t="s">
        <v>415</v>
      </c>
      <c r="AB66" s="46" t="s">
        <v>415</v>
      </c>
      <c r="AC66" s="46" t="s">
        <v>415</v>
      </c>
      <c r="AD66" s="46" t="s">
        <v>415</v>
      </c>
      <c r="AE66" s="46" t="s">
        <v>415</v>
      </c>
      <c r="AF66" s="46" t="s">
        <v>415</v>
      </c>
      <c r="AG66" s="46" t="s">
        <v>415</v>
      </c>
      <c r="AH66" s="46" t="s">
        <v>415</v>
      </c>
      <c r="AI66" s="46"/>
      <c r="AJ66" s="46"/>
      <c r="AK66" s="46"/>
      <c r="AL66" s="46"/>
      <c r="AM66" s="46"/>
      <c r="AN66" s="46"/>
      <c r="AO66" s="46"/>
      <c r="AP66" s="46"/>
      <c r="AQ66" s="46"/>
      <c r="AR66" s="46"/>
      <c r="AS66" s="46"/>
      <c r="AT66" s="46"/>
      <c r="AU66" s="46"/>
      <c r="AV66" s="46"/>
      <c r="AW66" s="46"/>
      <c r="AX66" s="46"/>
      <c r="AY66" s="46"/>
      <c r="AZ66" s="46"/>
      <c r="BA66" s="46"/>
      <c r="BB66" s="46"/>
      <c r="BC66" s="46"/>
      <c r="BD66" s="46"/>
      <c r="BE66" s="46"/>
      <c r="BF66" s="46"/>
      <c r="BG66" s="46"/>
      <c r="BH66" s="46"/>
      <c r="BI66" s="46"/>
      <c r="BJ66" s="46"/>
      <c r="BK66" s="46"/>
      <c r="BL66" s="46"/>
      <c r="BM66" s="46"/>
      <c r="BN66" s="46"/>
      <c r="BO66" s="46"/>
      <c r="BP66" s="46"/>
      <c r="BQ66" s="46"/>
      <c r="BR66" s="46"/>
      <c r="BS66" s="46"/>
      <c r="BT66" s="46"/>
      <c r="BU66" s="46"/>
      <c r="BV66" s="46"/>
      <c r="BW66" s="46"/>
      <c r="BX66" s="46"/>
      <c r="BY66" s="46"/>
      <c r="CF66">
        <v>64</v>
      </c>
      <c r="CG66" s="3">
        <v>0</v>
      </c>
      <c r="CH66" s="3">
        <v>0</v>
      </c>
      <c r="CI66" s="56" t="str">
        <f t="shared" si="50"/>
        <v/>
      </c>
      <c r="CJ66" s="56" t="str">
        <f t="shared" si="50"/>
        <v/>
      </c>
      <c r="CK66" s="56" t="str">
        <f t="shared" si="50"/>
        <v/>
      </c>
      <c r="CL66" s="56" t="str">
        <f t="shared" si="50"/>
        <v/>
      </c>
      <c r="CM66" s="56" t="str">
        <f t="shared" si="50"/>
        <v/>
      </c>
      <c r="CN66" s="56" t="str">
        <f t="shared" si="50"/>
        <v/>
      </c>
      <c r="CO66" s="56" t="str">
        <f t="shared" si="50"/>
        <v/>
      </c>
      <c r="CP66" s="56" t="str">
        <f t="shared" si="50"/>
        <v/>
      </c>
      <c r="CQ66" s="56" t="str">
        <f t="shared" si="50"/>
        <v/>
      </c>
      <c r="CR66" s="32" t="str">
        <f t="shared" si="50"/>
        <v/>
      </c>
      <c r="CS66" s="32" t="str">
        <f t="shared" si="50"/>
        <v/>
      </c>
      <c r="CT66" s="32" t="str">
        <f t="shared" si="50"/>
        <v/>
      </c>
      <c r="CU66" s="32" t="str">
        <f t="shared" si="50"/>
        <v/>
      </c>
      <c r="CV66" s="9" t="str">
        <f t="shared" si="50"/>
        <v/>
      </c>
      <c r="CW66" s="9" t="str">
        <f t="shared" si="50"/>
        <v/>
      </c>
      <c r="CX66" s="9" t="str">
        <f t="shared" si="50"/>
        <v/>
      </c>
      <c r="CY66" s="56" t="str">
        <f t="shared" si="19"/>
        <v/>
      </c>
    </row>
    <row r="67" spans="2:103" ht="15.75" x14ac:dyDescent="0.25">
      <c r="B67" s="40" t="s">
        <v>411</v>
      </c>
      <c r="C67" s="43"/>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46"/>
      <c r="BL67" s="46"/>
      <c r="BM67" s="46"/>
      <c r="BN67" s="46"/>
      <c r="BO67" s="46"/>
      <c r="BP67" s="46"/>
      <c r="BQ67" s="46"/>
      <c r="BR67" s="46"/>
      <c r="BS67" s="46"/>
      <c r="BT67" s="46"/>
      <c r="BU67" s="46"/>
      <c r="BV67" s="46"/>
      <c r="BW67" s="46"/>
      <c r="BX67" s="46"/>
      <c r="BY67" s="46"/>
      <c r="CF67">
        <v>65</v>
      </c>
      <c r="CG67" s="3">
        <v>0</v>
      </c>
      <c r="CH67" s="3">
        <v>0</v>
      </c>
      <c r="CI67" s="56" t="str">
        <f t="shared" si="50"/>
        <v/>
      </c>
      <c r="CJ67" s="56" t="str">
        <f t="shared" si="50"/>
        <v/>
      </c>
      <c r="CK67" s="56" t="str">
        <f t="shared" si="50"/>
        <v/>
      </c>
      <c r="CL67" s="56" t="str">
        <f t="shared" si="50"/>
        <v/>
      </c>
      <c r="CM67" s="56" t="str">
        <f t="shared" si="50"/>
        <v/>
      </c>
      <c r="CN67" s="56" t="str">
        <f t="shared" si="50"/>
        <v/>
      </c>
      <c r="CO67" s="56" t="str">
        <f t="shared" si="50"/>
        <v/>
      </c>
      <c r="CP67" s="56" t="str">
        <f t="shared" si="50"/>
        <v/>
      </c>
      <c r="CQ67" s="56" t="str">
        <f t="shared" si="50"/>
        <v/>
      </c>
      <c r="CR67" s="32" t="str">
        <f t="shared" si="50"/>
        <v/>
      </c>
      <c r="CS67" s="32" t="str">
        <f t="shared" si="50"/>
        <v/>
      </c>
      <c r="CT67" s="32" t="str">
        <f t="shared" si="50"/>
        <v/>
      </c>
      <c r="CU67" s="32" t="str">
        <f t="shared" si="50"/>
        <v/>
      </c>
      <c r="CV67" s="9" t="str">
        <f t="shared" si="50"/>
        <v/>
      </c>
      <c r="CW67" s="9" t="str">
        <f t="shared" si="50"/>
        <v/>
      </c>
      <c r="CX67" s="9" t="str">
        <f t="shared" si="50"/>
        <v/>
      </c>
      <c r="CY67" s="56" t="str">
        <f t="shared" si="19"/>
        <v/>
      </c>
    </row>
    <row r="68" spans="2:103" ht="15.75" x14ac:dyDescent="0.25">
      <c r="B68" s="40" t="s">
        <v>275</v>
      </c>
      <c r="C68" s="43"/>
      <c r="D68" s="98">
        <v>42550</v>
      </c>
      <c r="E68" s="98">
        <v>42444</v>
      </c>
      <c r="F68" s="98">
        <v>42430</v>
      </c>
      <c r="G68" s="98">
        <v>44673</v>
      </c>
      <c r="H68" s="98"/>
      <c r="I68" s="98"/>
      <c r="J68" s="98"/>
      <c r="K68" s="98"/>
      <c r="L68" s="98"/>
      <c r="M68" s="98"/>
      <c r="N68" s="98"/>
      <c r="O68" s="98"/>
      <c r="P68" s="98"/>
      <c r="Q68" s="98"/>
      <c r="R68" s="98"/>
      <c r="S68" s="98"/>
      <c r="T68" s="98"/>
      <c r="U68" s="98"/>
      <c r="V68" s="98"/>
      <c r="W68" s="98"/>
      <c r="X68" s="98"/>
      <c r="Y68" s="98"/>
      <c r="Z68" s="98"/>
      <c r="AA68" s="98"/>
      <c r="AB68" s="98"/>
      <c r="AC68" s="98"/>
      <c r="AD68" s="98"/>
      <c r="AE68" s="98"/>
      <c r="AF68" s="98">
        <v>42285</v>
      </c>
      <c r="AG68" s="98"/>
      <c r="AH68" s="98"/>
      <c r="AI68" s="98"/>
      <c r="AJ68" s="98"/>
      <c r="AK68" s="98"/>
      <c r="AL68" s="98"/>
      <c r="AM68" s="98"/>
      <c r="AN68" s="98"/>
      <c r="AO68" s="98"/>
      <c r="AP68" s="98"/>
      <c r="AQ68" s="98"/>
      <c r="AR68" s="98"/>
      <c r="AS68" s="98"/>
      <c r="AT68" s="98"/>
      <c r="AU68" s="98"/>
      <c r="AV68" s="98"/>
      <c r="AW68" s="98"/>
      <c r="AX68" s="98"/>
      <c r="AY68" s="98"/>
      <c r="AZ68" s="98"/>
      <c r="BA68" s="98"/>
      <c r="BB68" s="98"/>
      <c r="BC68" s="98"/>
      <c r="BD68" s="98"/>
      <c r="BE68" s="98"/>
      <c r="BF68" s="98"/>
      <c r="BG68" s="98"/>
      <c r="BH68" s="98"/>
      <c r="BI68" s="98"/>
      <c r="BJ68" s="98"/>
      <c r="BK68" s="98"/>
      <c r="BL68" s="98"/>
      <c r="BM68" s="98"/>
      <c r="BN68" s="98"/>
      <c r="BO68" s="98"/>
      <c r="BP68" s="98"/>
      <c r="BQ68" s="98"/>
      <c r="BR68" s="98"/>
      <c r="BS68" s="98"/>
      <c r="BT68" s="98"/>
      <c r="BU68" s="98"/>
      <c r="BV68" s="98"/>
      <c r="BW68" s="98"/>
      <c r="BX68" s="98"/>
      <c r="BY68" s="98"/>
      <c r="CF68">
        <v>66</v>
      </c>
      <c r="CG68" s="3">
        <v>0</v>
      </c>
      <c r="CH68" s="3">
        <v>0</v>
      </c>
      <c r="CI68" s="56" t="str">
        <f t="shared" si="50"/>
        <v/>
      </c>
      <c r="CJ68" s="56" t="str">
        <f t="shared" si="50"/>
        <v/>
      </c>
      <c r="CK68" s="56" t="str">
        <f t="shared" si="50"/>
        <v/>
      </c>
      <c r="CL68" s="56" t="str">
        <f t="shared" si="50"/>
        <v/>
      </c>
      <c r="CM68" s="56" t="str">
        <f t="shared" si="50"/>
        <v/>
      </c>
      <c r="CN68" s="56" t="str">
        <f t="shared" si="50"/>
        <v/>
      </c>
      <c r="CO68" s="56" t="str">
        <f t="shared" si="50"/>
        <v/>
      </c>
      <c r="CP68" s="56" t="str">
        <f t="shared" si="50"/>
        <v/>
      </c>
      <c r="CQ68" s="56" t="str">
        <f t="shared" si="50"/>
        <v/>
      </c>
      <c r="CR68" s="32" t="str">
        <f t="shared" si="50"/>
        <v/>
      </c>
      <c r="CS68" s="32" t="str">
        <f t="shared" si="50"/>
        <v/>
      </c>
      <c r="CT68" s="32" t="str">
        <f t="shared" si="50"/>
        <v/>
      </c>
      <c r="CU68" s="32" t="str">
        <f t="shared" si="50"/>
        <v/>
      </c>
      <c r="CV68" s="9" t="str">
        <f t="shared" si="50"/>
        <v/>
      </c>
      <c r="CW68" s="9" t="str">
        <f t="shared" si="50"/>
        <v/>
      </c>
      <c r="CX68" s="9" t="str">
        <f t="shared" si="50"/>
        <v/>
      </c>
      <c r="CY68" s="56" t="str">
        <f t="shared" si="19"/>
        <v/>
      </c>
    </row>
    <row r="69" spans="2:103" ht="15.75" x14ac:dyDescent="0.25">
      <c r="B69" s="40" t="s">
        <v>384</v>
      </c>
      <c r="C69" s="43"/>
      <c r="D69" s="46" t="s">
        <v>36</v>
      </c>
      <c r="E69" s="46" t="s">
        <v>387</v>
      </c>
      <c r="F69" s="46" t="s">
        <v>388</v>
      </c>
      <c r="G69" s="46" t="s">
        <v>36</v>
      </c>
      <c r="H69" s="46" t="s">
        <v>36</v>
      </c>
      <c r="I69" s="46" t="s">
        <v>36</v>
      </c>
      <c r="J69" s="46" t="s">
        <v>36</v>
      </c>
      <c r="K69" s="46" t="s">
        <v>36</v>
      </c>
      <c r="L69" s="46" t="s">
        <v>36</v>
      </c>
      <c r="M69" s="46" t="s">
        <v>36</v>
      </c>
      <c r="N69" s="46" t="s">
        <v>36</v>
      </c>
      <c r="O69" s="46" t="s">
        <v>36</v>
      </c>
      <c r="P69" s="46" t="s">
        <v>36</v>
      </c>
      <c r="Q69" s="46" t="s">
        <v>36</v>
      </c>
      <c r="R69" s="46" t="s">
        <v>36</v>
      </c>
      <c r="S69" s="46" t="s">
        <v>36</v>
      </c>
      <c r="T69" s="46" t="s">
        <v>36</v>
      </c>
      <c r="U69" s="46" t="s">
        <v>36</v>
      </c>
      <c r="V69" s="46" t="s">
        <v>36</v>
      </c>
      <c r="W69" s="46" t="s">
        <v>36</v>
      </c>
      <c r="X69" s="46" t="s">
        <v>36</v>
      </c>
      <c r="Y69" s="46" t="s">
        <v>36</v>
      </c>
      <c r="Z69" s="46" t="s">
        <v>36</v>
      </c>
      <c r="AA69" s="46" t="s">
        <v>36</v>
      </c>
      <c r="AB69" s="46"/>
      <c r="AC69" s="46"/>
      <c r="AD69" s="46"/>
      <c r="AE69" s="46"/>
      <c r="AF69" s="46" t="s">
        <v>36</v>
      </c>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c r="BF69" s="46"/>
      <c r="BG69" s="46"/>
      <c r="BH69" s="46"/>
      <c r="BI69" s="46"/>
      <c r="BJ69" s="46"/>
      <c r="BK69" s="46"/>
      <c r="BL69" s="46"/>
      <c r="BM69" s="46"/>
      <c r="BN69" s="46"/>
      <c r="BO69" s="46"/>
      <c r="BP69" s="46"/>
      <c r="BQ69" s="46"/>
      <c r="BR69" s="46"/>
      <c r="BS69" s="46"/>
      <c r="BT69" s="46"/>
      <c r="BU69" s="46"/>
      <c r="BV69" s="46"/>
      <c r="BW69" s="46"/>
      <c r="BX69" s="46"/>
      <c r="BY69" s="46"/>
      <c r="CF69">
        <v>67</v>
      </c>
      <c r="CG69" s="3">
        <v>0</v>
      </c>
      <c r="CH69" s="3">
        <v>0</v>
      </c>
      <c r="CI69" s="56" t="str">
        <f t="shared" si="50"/>
        <v/>
      </c>
      <c r="CJ69" s="56" t="str">
        <f t="shared" si="50"/>
        <v/>
      </c>
      <c r="CK69" s="56" t="str">
        <f t="shared" si="50"/>
        <v/>
      </c>
      <c r="CL69" s="56" t="str">
        <f t="shared" si="50"/>
        <v/>
      </c>
      <c r="CM69" s="56" t="str">
        <f t="shared" si="50"/>
        <v/>
      </c>
      <c r="CN69" s="56" t="str">
        <f t="shared" si="50"/>
        <v/>
      </c>
      <c r="CO69" s="56" t="str">
        <f t="shared" si="50"/>
        <v/>
      </c>
      <c r="CP69" s="56" t="str">
        <f t="shared" si="50"/>
        <v/>
      </c>
      <c r="CQ69" s="56" t="str">
        <f t="shared" si="50"/>
        <v/>
      </c>
      <c r="CR69" s="32" t="str">
        <f t="shared" si="50"/>
        <v/>
      </c>
      <c r="CS69" s="32" t="str">
        <f t="shared" si="50"/>
        <v/>
      </c>
      <c r="CT69" s="32" t="str">
        <f t="shared" si="50"/>
        <v/>
      </c>
      <c r="CU69" s="32" t="str">
        <f t="shared" si="50"/>
        <v/>
      </c>
      <c r="CV69" s="9" t="str">
        <f t="shared" si="50"/>
        <v/>
      </c>
      <c r="CW69" s="9" t="str">
        <f t="shared" si="50"/>
        <v/>
      </c>
      <c r="CX69" s="9" t="str">
        <f t="shared" si="50"/>
        <v/>
      </c>
      <c r="CY69" s="56" t="str">
        <f t="shared" si="19"/>
        <v/>
      </c>
    </row>
    <row r="70" spans="2:103" ht="15.75" x14ac:dyDescent="0.25">
      <c r="B70" s="42" t="s">
        <v>241</v>
      </c>
      <c r="C70" s="43"/>
      <c r="D70" s="46"/>
      <c r="E70" s="46"/>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c r="BF70" s="46"/>
      <c r="BG70" s="46"/>
      <c r="BH70" s="46"/>
      <c r="BI70" s="46"/>
      <c r="BJ70" s="46"/>
      <c r="BK70" s="46"/>
      <c r="BL70" s="46"/>
      <c r="BM70" s="46"/>
      <c r="BN70" s="46"/>
      <c r="BO70" s="46"/>
      <c r="BP70" s="46"/>
      <c r="BQ70" s="46"/>
      <c r="BR70" s="46"/>
      <c r="BS70" s="46"/>
      <c r="BT70" s="46"/>
      <c r="BU70" s="46"/>
      <c r="BV70" s="46"/>
      <c r="BW70" s="46"/>
      <c r="BX70" s="46"/>
      <c r="BY70" s="46"/>
      <c r="CF70">
        <v>68</v>
      </c>
      <c r="CG70" s="3">
        <v>0</v>
      </c>
      <c r="CH70" s="3">
        <v>0</v>
      </c>
      <c r="CI70" s="56" t="str">
        <f t="shared" si="50"/>
        <v/>
      </c>
      <c r="CJ70" s="56" t="str">
        <f t="shared" si="50"/>
        <v/>
      </c>
      <c r="CK70" s="56" t="str">
        <f t="shared" si="50"/>
        <v/>
      </c>
      <c r="CL70" s="56" t="str">
        <f t="shared" si="50"/>
        <v/>
      </c>
      <c r="CM70" s="56" t="str">
        <f t="shared" si="50"/>
        <v/>
      </c>
      <c r="CN70" s="56" t="str">
        <f t="shared" si="50"/>
        <v/>
      </c>
      <c r="CO70" s="56" t="str">
        <f t="shared" si="50"/>
        <v/>
      </c>
      <c r="CP70" s="56" t="str">
        <f t="shared" si="50"/>
        <v/>
      </c>
      <c r="CQ70" s="56" t="str">
        <f t="shared" si="50"/>
        <v/>
      </c>
      <c r="CR70" s="32" t="str">
        <f t="shared" si="50"/>
        <v/>
      </c>
      <c r="CS70" s="32" t="str">
        <f t="shared" si="50"/>
        <v/>
      </c>
      <c r="CT70" s="32" t="str">
        <f t="shared" si="50"/>
        <v/>
      </c>
      <c r="CU70" s="32" t="str">
        <f t="shared" si="50"/>
        <v/>
      </c>
      <c r="CV70" s="9" t="str">
        <f t="shared" si="50"/>
        <v/>
      </c>
      <c r="CW70" s="9" t="str">
        <f t="shared" si="50"/>
        <v/>
      </c>
      <c r="CX70" s="9" t="str">
        <f t="shared" si="50"/>
        <v/>
      </c>
      <c r="CY70" s="56" t="str">
        <f t="shared" si="19"/>
        <v/>
      </c>
    </row>
    <row r="71" spans="2:103" ht="15.75" x14ac:dyDescent="0.25">
      <c r="B71" s="42" t="s">
        <v>242</v>
      </c>
      <c r="C71" s="43"/>
      <c r="D71" s="46"/>
      <c r="E71" s="46"/>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c r="BF71" s="46"/>
      <c r="BG71" s="46"/>
      <c r="BH71" s="46"/>
      <c r="BI71" s="46"/>
      <c r="BJ71" s="46"/>
      <c r="BK71" s="46"/>
      <c r="BL71" s="46"/>
      <c r="BM71" s="46"/>
      <c r="BN71" s="46"/>
      <c r="BO71" s="46"/>
      <c r="BP71" s="46"/>
      <c r="BQ71" s="46"/>
      <c r="BR71" s="46"/>
      <c r="BS71" s="46"/>
      <c r="BT71" s="46"/>
      <c r="BU71" s="46"/>
      <c r="BV71" s="46"/>
      <c r="BW71" s="46"/>
      <c r="BX71" s="46"/>
      <c r="BY71" s="46"/>
      <c r="CF71">
        <v>69</v>
      </c>
      <c r="CG71" s="3">
        <v>0</v>
      </c>
      <c r="CH71" s="3">
        <v>0</v>
      </c>
      <c r="CI71" s="56" t="str">
        <f t="shared" si="50"/>
        <v/>
      </c>
      <c r="CJ71" s="56" t="str">
        <f t="shared" si="50"/>
        <v/>
      </c>
      <c r="CK71" s="56" t="str">
        <f t="shared" si="50"/>
        <v/>
      </c>
      <c r="CL71" s="56" t="str">
        <f t="shared" si="50"/>
        <v/>
      </c>
      <c r="CM71" s="56" t="str">
        <f t="shared" si="50"/>
        <v/>
      </c>
      <c r="CN71" s="56" t="str">
        <f t="shared" si="50"/>
        <v/>
      </c>
      <c r="CO71" s="56" t="str">
        <f t="shared" si="50"/>
        <v/>
      </c>
      <c r="CP71" s="56" t="str">
        <f t="shared" si="50"/>
        <v/>
      </c>
      <c r="CQ71" s="56" t="str">
        <f t="shared" si="50"/>
        <v/>
      </c>
      <c r="CR71" s="32" t="str">
        <f t="shared" si="50"/>
        <v/>
      </c>
      <c r="CS71" s="32" t="str">
        <f t="shared" si="50"/>
        <v/>
      </c>
      <c r="CT71" s="32" t="str">
        <f t="shared" si="50"/>
        <v/>
      </c>
      <c r="CU71" s="32" t="str">
        <f t="shared" si="50"/>
        <v/>
      </c>
      <c r="CV71" s="9" t="str">
        <f t="shared" si="50"/>
        <v/>
      </c>
      <c r="CW71" s="9" t="str">
        <f t="shared" si="50"/>
        <v/>
      </c>
      <c r="CX71" s="9" t="str">
        <f t="shared" si="50"/>
        <v/>
      </c>
      <c r="CY71" s="56" t="str">
        <f t="shared" si="19"/>
        <v/>
      </c>
    </row>
    <row r="72" spans="2:103" ht="15.75" x14ac:dyDescent="0.25">
      <c r="B72" s="42" t="s">
        <v>588</v>
      </c>
      <c r="C72" s="43"/>
      <c r="D72" s="46"/>
      <c r="E72" s="46"/>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c r="BF72" s="46"/>
      <c r="BG72" s="46"/>
      <c r="BH72" s="46"/>
      <c r="BI72" s="46"/>
      <c r="BJ72" s="46"/>
      <c r="BK72" s="46"/>
      <c r="BL72" s="46"/>
      <c r="BM72" s="46"/>
      <c r="BN72" s="46"/>
      <c r="BO72" s="46"/>
      <c r="BP72" s="46"/>
      <c r="BQ72" s="46"/>
      <c r="BR72" s="46"/>
      <c r="BS72" s="46"/>
      <c r="BT72" s="46"/>
      <c r="BU72" s="46"/>
      <c r="BV72" s="46"/>
      <c r="BW72" s="46"/>
      <c r="BX72" s="46"/>
      <c r="BY72" s="46"/>
      <c r="CF72">
        <v>70</v>
      </c>
      <c r="CG72" s="3">
        <v>0</v>
      </c>
      <c r="CH72" s="3">
        <v>0</v>
      </c>
      <c r="CI72" s="56" t="str">
        <f t="shared" si="50"/>
        <v/>
      </c>
      <c r="CJ72" s="56" t="str">
        <f t="shared" si="50"/>
        <v/>
      </c>
      <c r="CK72" s="56" t="str">
        <f t="shared" si="50"/>
        <v/>
      </c>
      <c r="CL72" s="56" t="str">
        <f t="shared" si="50"/>
        <v/>
      </c>
      <c r="CM72" s="56" t="str">
        <f t="shared" si="50"/>
        <v/>
      </c>
      <c r="CN72" s="56" t="str">
        <f t="shared" si="50"/>
        <v/>
      </c>
      <c r="CO72" s="56" t="str">
        <f t="shared" si="50"/>
        <v/>
      </c>
      <c r="CP72" s="56" t="str">
        <f t="shared" si="50"/>
        <v/>
      </c>
      <c r="CQ72" s="56" t="str">
        <f t="shared" si="50"/>
        <v/>
      </c>
      <c r="CR72" s="32" t="str">
        <f t="shared" si="50"/>
        <v/>
      </c>
      <c r="CS72" s="32" t="str">
        <f t="shared" si="50"/>
        <v/>
      </c>
      <c r="CT72" s="32" t="str">
        <f t="shared" si="50"/>
        <v/>
      </c>
      <c r="CU72" s="32" t="str">
        <f t="shared" si="50"/>
        <v/>
      </c>
      <c r="CV72" s="9" t="str">
        <f t="shared" si="50"/>
        <v/>
      </c>
      <c r="CW72" s="9" t="str">
        <f t="shared" si="50"/>
        <v/>
      </c>
      <c r="CX72" s="9" t="str">
        <f t="shared" si="50"/>
        <v/>
      </c>
      <c r="CY72" s="56" t="str">
        <f t="shared" si="19"/>
        <v/>
      </c>
    </row>
    <row r="73" spans="2:103" ht="15.75" x14ac:dyDescent="0.25">
      <c r="B73" s="42" t="s">
        <v>589</v>
      </c>
      <c r="C73" s="43"/>
      <c r="D73" s="98">
        <v>44994</v>
      </c>
      <c r="E73" s="98">
        <v>45117</v>
      </c>
      <c r="F73" s="98">
        <v>45117</v>
      </c>
      <c r="G73" s="98">
        <v>45117</v>
      </c>
      <c r="H73" s="98">
        <v>45117</v>
      </c>
      <c r="I73" s="98">
        <v>45117</v>
      </c>
      <c r="J73" s="98">
        <v>45117</v>
      </c>
      <c r="K73" s="98">
        <v>45117</v>
      </c>
      <c r="L73" s="98">
        <v>45117</v>
      </c>
      <c r="M73" s="98">
        <v>45117</v>
      </c>
      <c r="N73" s="98">
        <v>45117</v>
      </c>
      <c r="O73" s="98">
        <v>45117</v>
      </c>
      <c r="P73" s="98">
        <v>45117</v>
      </c>
      <c r="Q73" s="98">
        <v>45117</v>
      </c>
      <c r="R73" s="98">
        <v>45117</v>
      </c>
      <c r="S73" s="98">
        <v>45117</v>
      </c>
      <c r="T73" s="98">
        <v>45117</v>
      </c>
      <c r="U73" s="98">
        <v>45117</v>
      </c>
      <c r="V73" s="98">
        <v>45117</v>
      </c>
      <c r="W73" s="98">
        <v>45117</v>
      </c>
      <c r="X73" s="98">
        <v>45117</v>
      </c>
      <c r="Y73" s="98">
        <v>45117</v>
      </c>
      <c r="Z73" s="98">
        <v>45117</v>
      </c>
      <c r="AA73" s="98">
        <v>45117</v>
      </c>
      <c r="AB73" s="98">
        <v>45117</v>
      </c>
      <c r="AC73" s="98">
        <v>45117</v>
      </c>
      <c r="AD73" s="98">
        <v>45117</v>
      </c>
      <c r="AE73" s="98">
        <v>45117</v>
      </c>
      <c r="AF73" s="98">
        <v>45117</v>
      </c>
      <c r="AG73" s="98">
        <v>45117</v>
      </c>
      <c r="AH73" s="98">
        <v>45258</v>
      </c>
      <c r="AI73" s="46"/>
      <c r="AJ73" s="46"/>
      <c r="AK73" s="46"/>
      <c r="AL73" s="46"/>
      <c r="AM73" s="46"/>
      <c r="AN73" s="46"/>
      <c r="AO73" s="46"/>
      <c r="AP73" s="46"/>
      <c r="AQ73" s="46"/>
      <c r="AR73" s="46"/>
      <c r="AS73" s="46"/>
      <c r="AT73" s="46"/>
      <c r="AU73" s="46"/>
      <c r="AV73" s="46"/>
      <c r="AW73" s="46"/>
      <c r="AX73" s="46"/>
      <c r="AY73" s="46"/>
      <c r="AZ73" s="46"/>
      <c r="BA73" s="46"/>
      <c r="BB73" s="46"/>
      <c r="BC73" s="46"/>
      <c r="BD73" s="46"/>
      <c r="BE73" s="46"/>
      <c r="BF73" s="46"/>
      <c r="BG73" s="46"/>
      <c r="BH73" s="46"/>
      <c r="BI73" s="46"/>
      <c r="BJ73" s="46"/>
      <c r="BK73" s="46"/>
      <c r="BL73" s="46"/>
      <c r="BM73" s="46"/>
      <c r="BN73" s="46"/>
      <c r="BO73" s="46"/>
      <c r="BP73" s="46"/>
      <c r="BQ73" s="46"/>
      <c r="BR73" s="46"/>
      <c r="BS73" s="46"/>
      <c r="BT73" s="46"/>
      <c r="BU73" s="46"/>
      <c r="BV73" s="46"/>
      <c r="BW73" s="46"/>
      <c r="BX73" s="46"/>
      <c r="BY73" s="46"/>
      <c r="CF73">
        <v>71</v>
      </c>
      <c r="CG73" s="3">
        <v>0</v>
      </c>
      <c r="CH73" s="3">
        <v>0</v>
      </c>
      <c r="CI73" s="56" t="str">
        <f t="shared" si="50"/>
        <v/>
      </c>
      <c r="CJ73" s="56" t="str">
        <f t="shared" si="50"/>
        <v/>
      </c>
      <c r="CK73" s="56" t="str">
        <f t="shared" si="50"/>
        <v/>
      </c>
      <c r="CL73" s="56" t="str">
        <f t="shared" si="50"/>
        <v/>
      </c>
      <c r="CM73" s="56" t="str">
        <f t="shared" si="50"/>
        <v/>
      </c>
      <c r="CN73" s="56" t="str">
        <f t="shared" si="50"/>
        <v/>
      </c>
      <c r="CO73" s="56" t="str">
        <f t="shared" si="50"/>
        <v/>
      </c>
      <c r="CP73" s="56" t="str">
        <f t="shared" si="50"/>
        <v/>
      </c>
      <c r="CQ73" s="56" t="str">
        <f t="shared" si="50"/>
        <v/>
      </c>
      <c r="CR73" s="32" t="str">
        <f t="shared" si="50"/>
        <v/>
      </c>
      <c r="CS73" s="32" t="str">
        <f t="shared" si="50"/>
        <v/>
      </c>
      <c r="CT73" s="32" t="str">
        <f t="shared" si="50"/>
        <v/>
      </c>
      <c r="CU73" s="32" t="str">
        <f t="shared" si="50"/>
        <v/>
      </c>
      <c r="CV73" s="9" t="str">
        <f t="shared" si="50"/>
        <v/>
      </c>
      <c r="CW73" s="9" t="str">
        <f t="shared" si="50"/>
        <v/>
      </c>
      <c r="CX73" s="9" t="str">
        <f t="shared" si="50"/>
        <v/>
      </c>
      <c r="CY73" s="56" t="str">
        <f t="shared" ref="CY73:CY77" si="51">IFERROR(IF(HLOOKUP($CH73,$B$3:$BY$86,CY$2,FALSE)="","",HLOOKUP($CH73,$B$3:$BY$86,CY$2,FALSE)),"")</f>
        <v/>
      </c>
    </row>
    <row r="74" spans="2:103" ht="15.75" x14ac:dyDescent="0.25">
      <c r="B74" s="42" t="s">
        <v>501</v>
      </c>
      <c r="C74" s="43"/>
      <c r="D74" s="98" t="str">
        <f ca="1">IF(EDATE(D73,6)&lt;TODAY(),"Atrasado","Ok")</f>
        <v>Atrasado</v>
      </c>
      <c r="E74" s="98" t="str">
        <f t="shared" ref="E74:AF74" ca="1" si="52">IF(EDATE(E73,6)&lt;TODAY(),"Atrasado","Ok")</f>
        <v>Atrasado</v>
      </c>
      <c r="F74" s="98" t="str">
        <f t="shared" ca="1" si="52"/>
        <v>Atrasado</v>
      </c>
      <c r="G74" s="98" t="str">
        <f t="shared" ca="1" si="52"/>
        <v>Atrasado</v>
      </c>
      <c r="H74" s="98" t="str">
        <f t="shared" ca="1" si="52"/>
        <v>Atrasado</v>
      </c>
      <c r="I74" s="98" t="str">
        <f t="shared" ca="1" si="52"/>
        <v>Atrasado</v>
      </c>
      <c r="J74" s="98" t="str">
        <f t="shared" ca="1" si="52"/>
        <v>Atrasado</v>
      </c>
      <c r="K74" s="98" t="str">
        <f t="shared" ca="1" si="52"/>
        <v>Atrasado</v>
      </c>
      <c r="L74" s="98" t="str">
        <f t="shared" ca="1" si="52"/>
        <v>Atrasado</v>
      </c>
      <c r="M74" s="98" t="str">
        <f t="shared" ca="1" si="52"/>
        <v>Atrasado</v>
      </c>
      <c r="N74" s="98" t="str">
        <f t="shared" ca="1" si="52"/>
        <v>Atrasado</v>
      </c>
      <c r="O74" s="98" t="str">
        <f t="shared" ca="1" si="52"/>
        <v>Atrasado</v>
      </c>
      <c r="P74" s="98" t="str">
        <f t="shared" ca="1" si="52"/>
        <v>Atrasado</v>
      </c>
      <c r="Q74" s="98" t="str">
        <f t="shared" ca="1" si="52"/>
        <v>Atrasado</v>
      </c>
      <c r="R74" s="98" t="str">
        <f t="shared" ca="1" si="52"/>
        <v>Atrasado</v>
      </c>
      <c r="S74" s="98" t="str">
        <f t="shared" ca="1" si="52"/>
        <v>Atrasado</v>
      </c>
      <c r="T74" s="98" t="str">
        <f t="shared" ca="1" si="52"/>
        <v>Atrasado</v>
      </c>
      <c r="U74" s="98" t="str">
        <f t="shared" ca="1" si="52"/>
        <v>Atrasado</v>
      </c>
      <c r="V74" s="98" t="str">
        <f t="shared" ca="1" si="52"/>
        <v>Atrasado</v>
      </c>
      <c r="W74" s="98" t="str">
        <f t="shared" ca="1" si="52"/>
        <v>Atrasado</v>
      </c>
      <c r="X74" s="98" t="str">
        <f t="shared" ca="1" si="52"/>
        <v>Atrasado</v>
      </c>
      <c r="Y74" s="98" t="str">
        <f t="shared" ca="1" si="52"/>
        <v>Atrasado</v>
      </c>
      <c r="Z74" s="98" t="str">
        <f t="shared" ca="1" si="52"/>
        <v>Atrasado</v>
      </c>
      <c r="AA74" s="98" t="str">
        <f t="shared" ca="1" si="52"/>
        <v>Atrasado</v>
      </c>
      <c r="AB74" s="98" t="str">
        <f t="shared" ca="1" si="52"/>
        <v>Atrasado</v>
      </c>
      <c r="AC74" s="98" t="str">
        <f t="shared" ca="1" si="52"/>
        <v>Atrasado</v>
      </c>
      <c r="AD74" s="98" t="str">
        <f t="shared" ca="1" si="52"/>
        <v>Atrasado</v>
      </c>
      <c r="AE74" s="98" t="str">
        <f t="shared" ca="1" si="52"/>
        <v>Atrasado</v>
      </c>
      <c r="AF74" s="98" t="str">
        <f t="shared" ca="1" si="52"/>
        <v>Atrasado</v>
      </c>
      <c r="AG74" s="98" t="str">
        <f ca="1">IF(EDATE(AG73,6)&lt;TODAY(),"Atrasado","Ok")</f>
        <v>Atrasado</v>
      </c>
      <c r="AH74" s="98" t="str">
        <f ca="1">IF(EDATE(AH73,6)&lt;TODAY(),"Atrasado","Ok")</f>
        <v>Atrasado</v>
      </c>
      <c r="AI74" s="46"/>
      <c r="AJ74" s="46"/>
      <c r="AK74" s="46"/>
      <c r="AL74" s="46"/>
      <c r="AM74" s="46"/>
      <c r="AN74" s="46"/>
      <c r="AO74" s="46"/>
      <c r="AP74" s="46"/>
      <c r="AQ74" s="46"/>
      <c r="AR74" s="46"/>
      <c r="AS74" s="46"/>
      <c r="AT74" s="46"/>
      <c r="AU74" s="46"/>
      <c r="AV74" s="46"/>
      <c r="AW74" s="46"/>
      <c r="AX74" s="46"/>
      <c r="AY74" s="46"/>
      <c r="AZ74" s="46"/>
      <c r="BA74" s="46"/>
      <c r="BB74" s="46"/>
      <c r="BC74" s="46"/>
      <c r="BD74" s="46"/>
      <c r="BE74" s="46"/>
      <c r="BF74" s="46"/>
      <c r="BG74" s="46"/>
      <c r="BH74" s="46"/>
      <c r="BI74" s="46"/>
      <c r="BJ74" s="46"/>
      <c r="BK74" s="46"/>
      <c r="BL74" s="46"/>
      <c r="BM74" s="46"/>
      <c r="BN74" s="46"/>
      <c r="BO74" s="46"/>
      <c r="BP74" s="46"/>
      <c r="BQ74" s="46"/>
      <c r="BR74" s="46"/>
      <c r="BS74" s="46"/>
      <c r="BT74" s="46"/>
      <c r="BU74" s="46"/>
      <c r="BV74" s="46"/>
      <c r="BW74" s="46"/>
      <c r="BX74" s="46"/>
      <c r="BY74" s="46"/>
      <c r="CF74">
        <v>72</v>
      </c>
      <c r="CG74" s="3">
        <v>0</v>
      </c>
      <c r="CH74" s="3">
        <v>0</v>
      </c>
      <c r="CI74" s="56" t="str">
        <f t="shared" si="50"/>
        <v/>
      </c>
      <c r="CJ74" s="56" t="str">
        <f t="shared" si="50"/>
        <v/>
      </c>
      <c r="CK74" s="56" t="str">
        <f t="shared" si="50"/>
        <v/>
      </c>
      <c r="CL74" s="56" t="str">
        <f t="shared" si="50"/>
        <v/>
      </c>
      <c r="CM74" s="56" t="str">
        <f t="shared" si="50"/>
        <v/>
      </c>
      <c r="CN74" s="56" t="str">
        <f t="shared" si="50"/>
        <v/>
      </c>
      <c r="CO74" s="56" t="str">
        <f t="shared" si="50"/>
        <v/>
      </c>
      <c r="CP74" s="56" t="str">
        <f t="shared" si="50"/>
        <v/>
      </c>
      <c r="CQ74" s="56" t="str">
        <f t="shared" si="50"/>
        <v/>
      </c>
      <c r="CR74" s="32" t="str">
        <f t="shared" si="50"/>
        <v/>
      </c>
      <c r="CS74" s="32" t="str">
        <f t="shared" si="50"/>
        <v/>
      </c>
      <c r="CT74" s="32" t="str">
        <f t="shared" si="50"/>
        <v/>
      </c>
      <c r="CU74" s="32" t="str">
        <f t="shared" si="50"/>
        <v/>
      </c>
      <c r="CV74" s="9" t="str">
        <f t="shared" si="50"/>
        <v/>
      </c>
      <c r="CW74" s="9" t="str">
        <f t="shared" si="50"/>
        <v/>
      </c>
      <c r="CX74" s="9" t="str">
        <f t="shared" si="50"/>
        <v/>
      </c>
      <c r="CY74" s="56" t="str">
        <f>IFERROR(IF(HLOOKUP($CH74,$B$3:$BY$86,CY$2,FALSE)="","",HLOOKUP($CH74,$B$3:$BY$86,CY$2,FALSE)),"")</f>
        <v/>
      </c>
    </row>
    <row r="75" spans="2:103" ht="14.25" customHeight="1" x14ac:dyDescent="0.25">
      <c r="B75" s="99" t="s">
        <v>235</v>
      </c>
      <c r="C75" s="100"/>
      <c r="D75" s="101" t="s">
        <v>385</v>
      </c>
      <c r="E75" s="101"/>
      <c r="F75" s="101" t="s">
        <v>386</v>
      </c>
      <c r="G75" s="101"/>
      <c r="H75" s="101"/>
      <c r="I75" s="101"/>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CF75">
        <v>73</v>
      </c>
      <c r="CG75" s="3">
        <v>0</v>
      </c>
      <c r="CH75" s="3">
        <v>0</v>
      </c>
      <c r="CI75" s="56" t="str">
        <f t="shared" si="50"/>
        <v/>
      </c>
      <c r="CJ75" s="56" t="str">
        <f t="shared" si="50"/>
        <v/>
      </c>
      <c r="CK75" s="56" t="str">
        <f t="shared" si="50"/>
        <v/>
      </c>
      <c r="CL75" s="56" t="str">
        <f t="shared" si="50"/>
        <v/>
      </c>
      <c r="CM75" s="56" t="str">
        <f t="shared" si="50"/>
        <v/>
      </c>
      <c r="CN75" s="56" t="str">
        <f t="shared" si="50"/>
        <v/>
      </c>
      <c r="CO75" s="56" t="str">
        <f t="shared" si="50"/>
        <v/>
      </c>
      <c r="CP75" s="56" t="str">
        <f t="shared" si="50"/>
        <v/>
      </c>
      <c r="CQ75" s="56" t="str">
        <f t="shared" si="50"/>
        <v/>
      </c>
      <c r="CR75" s="32" t="str">
        <f t="shared" si="50"/>
        <v/>
      </c>
      <c r="CS75" s="32" t="str">
        <f t="shared" si="50"/>
        <v/>
      </c>
      <c r="CT75" s="32" t="str">
        <f t="shared" si="50"/>
        <v/>
      </c>
      <c r="CU75" s="32" t="str">
        <f t="shared" si="50"/>
        <v/>
      </c>
      <c r="CV75" s="9" t="str">
        <f t="shared" si="50"/>
        <v/>
      </c>
      <c r="CW75" s="9" t="str">
        <f t="shared" si="50"/>
        <v/>
      </c>
      <c r="CX75" s="9" t="str">
        <f t="shared" si="50"/>
        <v/>
      </c>
      <c r="CY75" s="56" t="str">
        <f>IFERROR(IF(HLOOKUP($CH75,$B$3:$BY$86,CY$2,FALSE)="","",HLOOKUP($CH75,$B$3:$BY$86,CY$2,FALSE)),"")</f>
        <v/>
      </c>
    </row>
    <row r="76" spans="2:103" ht="15.75" x14ac:dyDescent="0.25">
      <c r="B76" s="70"/>
      <c r="C76" s="71"/>
      <c r="D76" s="72"/>
      <c r="E76" s="72"/>
      <c r="F76" s="72"/>
      <c r="G76" s="72"/>
      <c r="H76" s="72"/>
      <c r="I76" s="72"/>
      <c r="J76" s="72"/>
      <c r="K76" s="72"/>
      <c r="L76" s="72"/>
      <c r="M76" s="72"/>
      <c r="N76" s="72"/>
      <c r="O76" s="72"/>
      <c r="P76" s="72"/>
      <c r="Q76" s="72"/>
      <c r="R76" s="72"/>
      <c r="S76" s="72"/>
      <c r="T76" s="72"/>
      <c r="U76" s="72"/>
      <c r="V76" s="72"/>
      <c r="W76" s="72"/>
      <c r="X76" s="72"/>
      <c r="Y76" s="72"/>
      <c r="Z76" s="72"/>
      <c r="AA76" s="72"/>
      <c r="AB76" s="72"/>
      <c r="AC76" s="72"/>
      <c r="AD76" s="72"/>
      <c r="AE76" s="72"/>
      <c r="AF76" s="72"/>
      <c r="AG76" s="72"/>
      <c r="AH76" s="72"/>
      <c r="AI76" s="72"/>
      <c r="AJ76" s="72"/>
      <c r="AK76" s="72"/>
      <c r="AL76" s="72"/>
      <c r="AM76" s="72"/>
      <c r="AN76" s="72"/>
      <c r="AO76" s="72"/>
      <c r="AP76" s="72"/>
      <c r="AQ76" s="72"/>
      <c r="AR76" s="72"/>
      <c r="AS76" s="72"/>
      <c r="AT76" s="72"/>
      <c r="AU76" s="72"/>
      <c r="AV76" s="72"/>
      <c r="AW76" s="72"/>
      <c r="AX76" s="72"/>
      <c r="AY76" s="72"/>
      <c r="AZ76" s="72"/>
      <c r="BA76" s="72"/>
      <c r="BB76" s="72"/>
      <c r="BC76" s="72"/>
      <c r="BD76" s="72"/>
      <c r="BE76" s="72"/>
      <c r="BF76" s="72"/>
      <c r="BG76" s="72"/>
      <c r="BH76" s="72"/>
      <c r="BI76" s="72"/>
      <c r="BJ76" s="72"/>
      <c r="BK76" s="72"/>
      <c r="BL76" s="72"/>
      <c r="BM76" s="72"/>
      <c r="BN76" s="72"/>
      <c r="BO76" s="72"/>
      <c r="BP76" s="72"/>
      <c r="BQ76" s="72"/>
      <c r="BR76" s="72"/>
      <c r="BS76" s="72"/>
      <c r="BT76" s="72"/>
      <c r="BU76" s="72"/>
      <c r="BV76" s="72"/>
      <c r="BW76" s="72"/>
      <c r="BX76" s="72"/>
      <c r="BY76" s="72"/>
      <c r="CF76">
        <v>74</v>
      </c>
      <c r="CG76" s="3">
        <v>0</v>
      </c>
      <c r="CH76" s="3">
        <v>0</v>
      </c>
      <c r="CI76" s="56" t="str">
        <f t="shared" si="50"/>
        <v/>
      </c>
      <c r="CJ76" s="56" t="str">
        <f t="shared" si="50"/>
        <v/>
      </c>
      <c r="CK76" s="56" t="str">
        <f t="shared" si="50"/>
        <v/>
      </c>
      <c r="CL76" s="56" t="str">
        <f t="shared" si="50"/>
        <v/>
      </c>
      <c r="CM76" s="56" t="str">
        <f t="shared" si="50"/>
        <v/>
      </c>
      <c r="CN76" s="56" t="str">
        <f t="shared" si="50"/>
        <v/>
      </c>
      <c r="CO76" s="56" t="str">
        <f t="shared" si="50"/>
        <v/>
      </c>
      <c r="CP76" s="56" t="str">
        <f t="shared" si="50"/>
        <v/>
      </c>
      <c r="CQ76" s="56" t="str">
        <f t="shared" si="50"/>
        <v/>
      </c>
      <c r="CR76" s="32" t="str">
        <f t="shared" si="50"/>
        <v/>
      </c>
      <c r="CS76" s="32" t="str">
        <f t="shared" si="50"/>
        <v/>
      </c>
      <c r="CT76" s="32" t="str">
        <f t="shared" si="50"/>
        <v/>
      </c>
      <c r="CU76" s="32" t="str">
        <f t="shared" si="50"/>
        <v/>
      </c>
      <c r="CV76" s="9" t="str">
        <f t="shared" si="50"/>
        <v/>
      </c>
      <c r="CW76" s="9" t="str">
        <f t="shared" si="50"/>
        <v/>
      </c>
      <c r="CX76" s="9" t="str">
        <f t="shared" si="50"/>
        <v/>
      </c>
      <c r="CY76" s="56" t="str">
        <f>IFERROR(IF(HLOOKUP($CH76,$B$3:$BY$86,CY$2,FALSE)="","",HLOOKUP($CH76,$B$3:$BY$86,CY$2,FALSE)),"")</f>
        <v/>
      </c>
    </row>
    <row r="77" spans="2:103" ht="15.75" x14ac:dyDescent="0.25">
      <c r="B77" s="40"/>
      <c r="C77" s="43"/>
      <c r="D77" s="46"/>
      <c r="E77" s="46"/>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c r="BF77" s="46"/>
      <c r="BG77" s="46"/>
      <c r="BH77" s="46"/>
      <c r="BI77" s="46"/>
      <c r="BJ77" s="46"/>
      <c r="BK77" s="46"/>
      <c r="BL77" s="46"/>
      <c r="BM77" s="46"/>
      <c r="BN77" s="46"/>
      <c r="BO77" s="46"/>
      <c r="BP77" s="46"/>
      <c r="BQ77" s="46"/>
      <c r="BR77" s="46"/>
      <c r="BS77" s="46"/>
      <c r="BT77" s="46"/>
      <c r="BU77" s="46"/>
      <c r="BV77" s="46"/>
      <c r="BW77" s="46"/>
      <c r="BX77" s="46"/>
      <c r="BY77" s="46"/>
      <c r="CF77">
        <v>75</v>
      </c>
      <c r="CG77" s="3">
        <v>0</v>
      </c>
      <c r="CH77" s="3">
        <v>0</v>
      </c>
      <c r="CI77" s="56" t="str">
        <f t="shared" si="50"/>
        <v/>
      </c>
      <c r="CJ77" s="56" t="str">
        <f t="shared" si="50"/>
        <v/>
      </c>
      <c r="CK77" s="56" t="str">
        <f t="shared" si="50"/>
        <v/>
      </c>
      <c r="CL77" s="56" t="str">
        <f t="shared" si="50"/>
        <v/>
      </c>
      <c r="CM77" s="56" t="str">
        <f t="shared" si="50"/>
        <v/>
      </c>
      <c r="CN77" s="56" t="str">
        <f t="shared" si="50"/>
        <v/>
      </c>
      <c r="CO77" s="56" t="str">
        <f t="shared" si="50"/>
        <v/>
      </c>
      <c r="CP77" s="56" t="str">
        <f t="shared" si="50"/>
        <v/>
      </c>
      <c r="CQ77" s="56" t="str">
        <f t="shared" si="50"/>
        <v/>
      </c>
      <c r="CR77" s="32" t="str">
        <f t="shared" si="50"/>
        <v/>
      </c>
      <c r="CS77" s="32" t="str">
        <f t="shared" si="50"/>
        <v/>
      </c>
      <c r="CT77" s="32" t="str">
        <f t="shared" si="50"/>
        <v/>
      </c>
      <c r="CU77" s="32" t="str">
        <f t="shared" si="50"/>
        <v/>
      </c>
      <c r="CV77" s="9" t="str">
        <f t="shared" si="50"/>
        <v/>
      </c>
      <c r="CW77" s="9" t="str">
        <f t="shared" si="50"/>
        <v/>
      </c>
      <c r="CX77" s="9" t="str">
        <f t="shared" si="50"/>
        <v/>
      </c>
      <c r="CY77" s="56" t="str">
        <f t="shared" si="51"/>
        <v/>
      </c>
    </row>
    <row r="78" spans="2:103" x14ac:dyDescent="0.25">
      <c r="CP78"/>
    </row>
    <row r="79" spans="2:103" x14ac:dyDescent="0.25">
      <c r="CP79"/>
    </row>
    <row r="80" spans="2:103" x14ac:dyDescent="0.25">
      <c r="CP80"/>
    </row>
    <row r="81" spans="7:94" x14ac:dyDescent="0.25">
      <c r="CP81"/>
    </row>
    <row r="82" spans="7:94" x14ac:dyDescent="0.25">
      <c r="CP82"/>
    </row>
    <row r="83" spans="7:94" x14ac:dyDescent="0.25">
      <c r="G83" s="275" t="s">
        <v>848</v>
      </c>
      <c r="H83" s="276"/>
      <c r="I83" s="276"/>
      <c r="J83" s="276"/>
      <c r="CP83"/>
    </row>
    <row r="84" spans="7:94" x14ac:dyDescent="0.25">
      <c r="G84" s="105" t="s">
        <v>232</v>
      </c>
      <c r="H84" s="105" t="s">
        <v>844</v>
      </c>
      <c r="I84" s="105" t="s">
        <v>848</v>
      </c>
      <c r="J84" s="105" t="s">
        <v>480</v>
      </c>
      <c r="CP84"/>
    </row>
    <row r="85" spans="7:94" x14ac:dyDescent="0.25">
      <c r="G85" s="2" t="s">
        <v>449</v>
      </c>
      <c r="H85" s="2" t="s">
        <v>463</v>
      </c>
      <c r="I85" s="2" t="s">
        <v>225</v>
      </c>
      <c r="J85" s="2" t="s">
        <v>849</v>
      </c>
      <c r="CP85"/>
    </row>
    <row r="86" spans="7:94" x14ac:dyDescent="0.25">
      <c r="G86" s="2" t="s">
        <v>463</v>
      </c>
      <c r="H86" s="2" t="s">
        <v>463</v>
      </c>
      <c r="I86" s="2" t="s">
        <v>481</v>
      </c>
      <c r="J86" s="2" t="s">
        <v>850</v>
      </c>
      <c r="CP86"/>
    </row>
    <row r="87" spans="7:94" x14ac:dyDescent="0.25">
      <c r="G87" s="2" t="s">
        <v>449</v>
      </c>
      <c r="H87" s="2" t="s">
        <v>449</v>
      </c>
      <c r="I87" s="2" t="s">
        <v>481</v>
      </c>
      <c r="J87" s="2" t="s">
        <v>851</v>
      </c>
      <c r="CP87"/>
    </row>
    <row r="88" spans="7:94" x14ac:dyDescent="0.25">
      <c r="G88" s="2" t="s">
        <v>463</v>
      </c>
      <c r="H88" s="2" t="s">
        <v>449</v>
      </c>
      <c r="I88" s="2" t="s">
        <v>463</v>
      </c>
      <c r="J88" s="2" t="s">
        <v>852</v>
      </c>
      <c r="CP88"/>
    </row>
    <row r="89" spans="7:94" x14ac:dyDescent="0.25">
      <c r="CP89"/>
    </row>
    <row r="90" spans="7:94" x14ac:dyDescent="0.25">
      <c r="CP90"/>
    </row>
    <row r="91" spans="7:94" x14ac:dyDescent="0.25">
      <c r="CP91"/>
    </row>
    <row r="92" spans="7:94" x14ac:dyDescent="0.25">
      <c r="CP92"/>
    </row>
    <row r="93" spans="7:94" x14ac:dyDescent="0.25">
      <c r="CP93"/>
    </row>
    <row r="94" spans="7:94" x14ac:dyDescent="0.25">
      <c r="CP94"/>
    </row>
    <row r="95" spans="7:94" x14ac:dyDescent="0.25">
      <c r="CP95"/>
    </row>
    <row r="96" spans="7:94" x14ac:dyDescent="0.25">
      <c r="CP96"/>
    </row>
    <row r="97" spans="94:94" x14ac:dyDescent="0.25">
      <c r="CP97"/>
    </row>
    <row r="98" spans="94:94" x14ac:dyDescent="0.25">
      <c r="CP98"/>
    </row>
    <row r="99" spans="94:94" x14ac:dyDescent="0.25">
      <c r="CP99"/>
    </row>
    <row r="100" spans="94:94" x14ac:dyDescent="0.25">
      <c r="CP100"/>
    </row>
    <row r="101" spans="94:94" x14ac:dyDescent="0.25">
      <c r="CP101"/>
    </row>
    <row r="102" spans="94:94" x14ac:dyDescent="0.25">
      <c r="CP102"/>
    </row>
    <row r="103" spans="94:94" x14ac:dyDescent="0.25">
      <c r="CP103"/>
    </row>
    <row r="104" spans="94:94" x14ac:dyDescent="0.25">
      <c r="CP104"/>
    </row>
    <row r="105" spans="94:94" x14ac:dyDescent="0.25">
      <c r="CP105"/>
    </row>
    <row r="106" spans="94:94" x14ac:dyDescent="0.25">
      <c r="CP106"/>
    </row>
    <row r="107" spans="94:94" x14ac:dyDescent="0.25">
      <c r="CP107"/>
    </row>
    <row r="108" spans="94:94" x14ac:dyDescent="0.25">
      <c r="CP108"/>
    </row>
    <row r="109" spans="94:94" x14ac:dyDescent="0.25">
      <c r="CP109"/>
    </row>
    <row r="110" spans="94:94" x14ac:dyDescent="0.25">
      <c r="CP110"/>
    </row>
    <row r="111" spans="94:94" x14ac:dyDescent="0.25">
      <c r="CP111"/>
    </row>
    <row r="112" spans="94:94" x14ac:dyDescent="0.25">
      <c r="CP112"/>
    </row>
    <row r="113" spans="94:94" x14ac:dyDescent="0.25">
      <c r="CP113"/>
    </row>
    <row r="114" spans="94:94" x14ac:dyDescent="0.25">
      <c r="CP114"/>
    </row>
    <row r="115" spans="94:94" x14ac:dyDescent="0.25">
      <c r="CP115"/>
    </row>
    <row r="116" spans="94:94" x14ac:dyDescent="0.25">
      <c r="CP116"/>
    </row>
    <row r="117" spans="94:94" x14ac:dyDescent="0.25">
      <c r="CP117"/>
    </row>
    <row r="118" spans="94:94" x14ac:dyDescent="0.25">
      <c r="CP118"/>
    </row>
    <row r="119" spans="94:94" x14ac:dyDescent="0.25">
      <c r="CP119"/>
    </row>
    <row r="120" spans="94:94" x14ac:dyDescent="0.25">
      <c r="CP120"/>
    </row>
    <row r="121" spans="94:94" x14ac:dyDescent="0.25">
      <c r="CP121"/>
    </row>
    <row r="122" spans="94:94" x14ac:dyDescent="0.25">
      <c r="CP122"/>
    </row>
    <row r="123" spans="94:94" x14ac:dyDescent="0.25">
      <c r="CP123"/>
    </row>
    <row r="124" spans="94:94" x14ac:dyDescent="0.25">
      <c r="CP124"/>
    </row>
    <row r="125" spans="94:94" x14ac:dyDescent="0.25">
      <c r="CP125"/>
    </row>
    <row r="126" spans="94:94" x14ac:dyDescent="0.25">
      <c r="CP126"/>
    </row>
    <row r="127" spans="94:94" x14ac:dyDescent="0.25">
      <c r="CP127"/>
    </row>
    <row r="128" spans="94:94" x14ac:dyDescent="0.25">
      <c r="CP128"/>
    </row>
    <row r="129" spans="94:94" x14ac:dyDescent="0.25">
      <c r="CP129"/>
    </row>
    <row r="130" spans="94:94" x14ac:dyDescent="0.25">
      <c r="CP130"/>
    </row>
    <row r="131" spans="94:94" x14ac:dyDescent="0.25">
      <c r="CP131"/>
    </row>
    <row r="132" spans="94:94" x14ac:dyDescent="0.25">
      <c r="CP132"/>
    </row>
    <row r="133" spans="94:94" x14ac:dyDescent="0.25">
      <c r="CP133"/>
    </row>
    <row r="134" spans="94:94" x14ac:dyDescent="0.25">
      <c r="CP134"/>
    </row>
    <row r="135" spans="94:94" x14ac:dyDescent="0.25">
      <c r="CP135"/>
    </row>
    <row r="136" spans="94:94" x14ac:dyDescent="0.25">
      <c r="CP136"/>
    </row>
    <row r="137" spans="94:94" x14ac:dyDescent="0.25">
      <c r="CP137"/>
    </row>
    <row r="138" spans="94:94" x14ac:dyDescent="0.25">
      <c r="CP138"/>
    </row>
    <row r="139" spans="94:94" x14ac:dyDescent="0.25">
      <c r="CP139"/>
    </row>
    <row r="140" spans="94:94" x14ac:dyDescent="0.25">
      <c r="CP140"/>
    </row>
    <row r="141" spans="94:94" x14ac:dyDescent="0.25">
      <c r="CP141"/>
    </row>
    <row r="142" spans="94:94" x14ac:dyDescent="0.25">
      <c r="CP142"/>
    </row>
    <row r="143" spans="94:94" x14ac:dyDescent="0.25">
      <c r="CP143"/>
    </row>
    <row r="144" spans="94:94" x14ac:dyDescent="0.25">
      <c r="CP144"/>
    </row>
    <row r="145" spans="94:94" x14ac:dyDescent="0.25">
      <c r="CP145"/>
    </row>
    <row r="146" spans="94:94" x14ac:dyDescent="0.25">
      <c r="CP146"/>
    </row>
    <row r="147" spans="94:94" x14ac:dyDescent="0.25">
      <c r="CP147"/>
    </row>
    <row r="148" spans="94:94" x14ac:dyDescent="0.25">
      <c r="CP148"/>
    </row>
    <row r="149" spans="94:94" x14ac:dyDescent="0.25">
      <c r="CP149"/>
    </row>
    <row r="150" spans="94:94" x14ac:dyDescent="0.25">
      <c r="CP150"/>
    </row>
    <row r="151" spans="94:94" x14ac:dyDescent="0.25">
      <c r="CP151"/>
    </row>
    <row r="152" spans="94:94" x14ac:dyDescent="0.25">
      <c r="CP152"/>
    </row>
    <row r="153" spans="94:94" x14ac:dyDescent="0.25">
      <c r="CP153"/>
    </row>
    <row r="154" spans="94:94" x14ac:dyDescent="0.25">
      <c r="CP154"/>
    </row>
    <row r="155" spans="94:94" x14ac:dyDescent="0.25">
      <c r="CP155"/>
    </row>
    <row r="156" spans="94:94" x14ac:dyDescent="0.25">
      <c r="CP156"/>
    </row>
    <row r="157" spans="94:94" x14ac:dyDescent="0.25">
      <c r="CP157"/>
    </row>
    <row r="158" spans="94:94" x14ac:dyDescent="0.25">
      <c r="CP158"/>
    </row>
    <row r="159" spans="94:94" x14ac:dyDescent="0.25">
      <c r="CP159"/>
    </row>
    <row r="160" spans="94:94" x14ac:dyDescent="0.25">
      <c r="CP160"/>
    </row>
    <row r="161" spans="94:94" x14ac:dyDescent="0.25">
      <c r="CP161"/>
    </row>
    <row r="162" spans="94:94" x14ac:dyDescent="0.25">
      <c r="CP162"/>
    </row>
    <row r="163" spans="94:94" x14ac:dyDescent="0.25">
      <c r="CP163"/>
    </row>
    <row r="164" spans="94:94" x14ac:dyDescent="0.25">
      <c r="CP164"/>
    </row>
    <row r="165" spans="94:94" x14ac:dyDescent="0.25">
      <c r="CP165"/>
    </row>
    <row r="166" spans="94:94" x14ac:dyDescent="0.25">
      <c r="CP166"/>
    </row>
    <row r="167" spans="94:94" x14ac:dyDescent="0.25">
      <c r="CP167"/>
    </row>
    <row r="168" spans="94:94" x14ac:dyDescent="0.25">
      <c r="CP168"/>
    </row>
    <row r="169" spans="94:94" x14ac:dyDescent="0.25">
      <c r="CP169"/>
    </row>
    <row r="170" spans="94:94" x14ac:dyDescent="0.25">
      <c r="CP170"/>
    </row>
    <row r="171" spans="94:94" x14ac:dyDescent="0.25">
      <c r="CP171"/>
    </row>
    <row r="172" spans="94:94" x14ac:dyDescent="0.25">
      <c r="CP172"/>
    </row>
    <row r="173" spans="94:94" x14ac:dyDescent="0.25">
      <c r="CP173"/>
    </row>
    <row r="174" spans="94:94" x14ac:dyDescent="0.25">
      <c r="CP174"/>
    </row>
    <row r="175" spans="94:94" x14ac:dyDescent="0.25">
      <c r="CP175"/>
    </row>
    <row r="176" spans="94:94" x14ac:dyDescent="0.25">
      <c r="CP176"/>
    </row>
    <row r="177" spans="94:94" x14ac:dyDescent="0.25">
      <c r="CP177"/>
    </row>
    <row r="178" spans="94:94" x14ac:dyDescent="0.25">
      <c r="CP178"/>
    </row>
    <row r="179" spans="94:94" x14ac:dyDescent="0.25">
      <c r="CP179"/>
    </row>
    <row r="180" spans="94:94" x14ac:dyDescent="0.25">
      <c r="CP180"/>
    </row>
    <row r="181" spans="94:94" x14ac:dyDescent="0.25">
      <c r="CP181"/>
    </row>
    <row r="182" spans="94:94" x14ac:dyDescent="0.25">
      <c r="CP182"/>
    </row>
    <row r="183" spans="94:94" x14ac:dyDescent="0.25">
      <c r="CP183"/>
    </row>
    <row r="184" spans="94:94" x14ac:dyDescent="0.25">
      <c r="CP184"/>
    </row>
    <row r="185" spans="94:94" x14ac:dyDescent="0.25">
      <c r="CP185"/>
    </row>
    <row r="186" spans="94:94" x14ac:dyDescent="0.25">
      <c r="CP186"/>
    </row>
    <row r="187" spans="94:94" x14ac:dyDescent="0.25">
      <c r="CP187"/>
    </row>
    <row r="188" spans="94:94" x14ac:dyDescent="0.25">
      <c r="CP188"/>
    </row>
    <row r="189" spans="94:94" x14ac:dyDescent="0.25">
      <c r="CP189"/>
    </row>
    <row r="190" spans="94:94" x14ac:dyDescent="0.25">
      <c r="CP190"/>
    </row>
    <row r="191" spans="94:94" x14ac:dyDescent="0.25">
      <c r="CP191"/>
    </row>
    <row r="192" spans="94:94" x14ac:dyDescent="0.25">
      <c r="CP192"/>
    </row>
    <row r="193" spans="94:94" x14ac:dyDescent="0.25">
      <c r="CP193"/>
    </row>
    <row r="194" spans="94:94" x14ac:dyDescent="0.25">
      <c r="CP194"/>
    </row>
    <row r="195" spans="94:94" x14ac:dyDescent="0.25">
      <c r="CP195"/>
    </row>
    <row r="196" spans="94:94" x14ac:dyDescent="0.25">
      <c r="CP196"/>
    </row>
    <row r="197" spans="94:94" x14ac:dyDescent="0.25">
      <c r="CP197"/>
    </row>
  </sheetData>
  <autoFilter ref="G84:I88" xr:uid="{A9A597B3-9E6B-44CC-8430-8E5FD7FBDA61}">
    <sortState xmlns:xlrd2="http://schemas.microsoft.com/office/spreadsheetml/2017/richdata2" ref="G85:I88">
      <sortCondition ref="I84:I88"/>
    </sortState>
  </autoFilter>
  <mergeCells count="1">
    <mergeCell ref="G83:J83"/>
  </mergeCells>
  <phoneticPr fontId="20" type="noConversion"/>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7CB4F-11EC-4092-9136-8764BE72A08F}">
  <sheetPr codeName="Sheet11">
    <tabColor theme="8"/>
  </sheetPr>
  <dimension ref="A1:AD101"/>
  <sheetViews>
    <sheetView showGridLines="0" topLeftCell="A73" zoomScale="85" zoomScaleNormal="85" workbookViewId="0">
      <selection activeCell="A94" sqref="A94"/>
    </sheetView>
  </sheetViews>
  <sheetFormatPr defaultRowHeight="15" x14ac:dyDescent="0.25"/>
  <cols>
    <col min="1" max="1" width="12.7109375" bestFit="1" customWidth="1"/>
    <col min="2" max="2" width="16" customWidth="1"/>
    <col min="3" max="3" width="146.42578125" customWidth="1"/>
    <col min="4" max="4" width="16.85546875" bestFit="1" customWidth="1"/>
    <col min="5" max="5" width="29.28515625" bestFit="1" customWidth="1"/>
    <col min="6" max="6" width="9.42578125" style="7" bestFit="1" customWidth="1"/>
    <col min="7" max="7" width="205.85546875" bestFit="1" customWidth="1"/>
    <col min="8" max="8" width="252.140625" bestFit="1" customWidth="1"/>
    <col min="11" max="11" width="23.5703125" bestFit="1" customWidth="1"/>
    <col min="12" max="12" width="24.5703125" customWidth="1"/>
    <col min="13" max="13" width="23" bestFit="1" customWidth="1"/>
    <col min="14" max="14" width="19.5703125" customWidth="1"/>
    <col min="15" max="15" width="23" bestFit="1" customWidth="1"/>
    <col min="16" max="16" width="9.28515625" customWidth="1"/>
    <col min="18" max="18" width="18.28515625" bestFit="1" customWidth="1"/>
    <col min="19" max="19" width="54" bestFit="1" customWidth="1"/>
    <col min="23" max="24" width="32.42578125" customWidth="1"/>
    <col min="25" max="25" width="35.7109375" bestFit="1" customWidth="1"/>
    <col min="26" max="26" width="32.42578125" customWidth="1"/>
    <col min="27" max="27" width="37.28515625" bestFit="1" customWidth="1"/>
    <col min="28" max="29" width="32.42578125" customWidth="1"/>
    <col min="30" max="30" width="188" bestFit="1" customWidth="1"/>
  </cols>
  <sheetData>
    <row r="1" spans="1:30" x14ac:dyDescent="0.25">
      <c r="A1" s="105" t="s">
        <v>590</v>
      </c>
      <c r="B1" s="105" t="s">
        <v>593</v>
      </c>
      <c r="C1" s="105" t="s">
        <v>591</v>
      </c>
      <c r="D1" s="105" t="s">
        <v>604</v>
      </c>
      <c r="E1" s="105" t="s">
        <v>605</v>
      </c>
      <c r="F1" s="105" t="s">
        <v>592</v>
      </c>
      <c r="G1" s="105" t="s">
        <v>734</v>
      </c>
      <c r="H1" s="105" t="s">
        <v>773</v>
      </c>
      <c r="K1" s="110" t="s">
        <v>615</v>
      </c>
      <c r="L1" s="110" t="s">
        <v>616</v>
      </c>
      <c r="M1" s="110" t="s">
        <v>617</v>
      </c>
      <c r="N1" s="110" t="s">
        <v>618</v>
      </c>
      <c r="O1" s="110" t="s">
        <v>643</v>
      </c>
      <c r="R1" s="110" t="s">
        <v>753</v>
      </c>
      <c r="S1" s="110" t="s">
        <v>754</v>
      </c>
      <c r="W1" s="110"/>
      <c r="X1" s="110" t="s">
        <v>767</v>
      </c>
      <c r="Y1" s="110" t="s">
        <v>768</v>
      </c>
      <c r="Z1" s="110" t="s">
        <v>769</v>
      </c>
      <c r="AA1" s="110" t="s">
        <v>770</v>
      </c>
      <c r="AB1" s="110" t="s">
        <v>771</v>
      </c>
      <c r="AC1" s="110" t="s">
        <v>772</v>
      </c>
      <c r="AD1" s="110" t="s">
        <v>773</v>
      </c>
    </row>
    <row r="2" spans="1:30" x14ac:dyDescent="0.25">
      <c r="A2" s="108">
        <v>44818</v>
      </c>
      <c r="B2" s="107" t="s">
        <v>645</v>
      </c>
      <c r="C2" s="106" t="s">
        <v>603</v>
      </c>
      <c r="D2" s="107">
        <v>2</v>
      </c>
      <c r="E2" s="107" t="s">
        <v>611</v>
      </c>
      <c r="F2" s="107" t="s">
        <v>613</v>
      </c>
      <c r="G2" s="107"/>
      <c r="H2" s="107"/>
      <c r="K2" s="111" t="s">
        <v>834</v>
      </c>
      <c r="L2" s="111" t="s">
        <v>1048</v>
      </c>
      <c r="M2" s="111" t="s">
        <v>2453</v>
      </c>
      <c r="N2" s="112"/>
      <c r="O2" s="111" t="s">
        <v>55</v>
      </c>
      <c r="R2" s="111" t="s">
        <v>749</v>
      </c>
      <c r="S2" s="111" t="s">
        <v>755</v>
      </c>
      <c r="W2" s="116" t="s">
        <v>774</v>
      </c>
      <c r="X2" s="96" t="s">
        <v>775</v>
      </c>
      <c r="Y2" s="96" t="s">
        <v>776</v>
      </c>
      <c r="Z2" s="96" t="s">
        <v>777</v>
      </c>
      <c r="AA2" s="96" t="s">
        <v>777</v>
      </c>
      <c r="AB2" s="96" t="s">
        <v>777</v>
      </c>
      <c r="AC2" s="96" t="s">
        <v>777</v>
      </c>
      <c r="AD2" s="117" t="s">
        <v>778</v>
      </c>
    </row>
    <row r="3" spans="1:30" x14ac:dyDescent="0.25">
      <c r="A3" s="108">
        <v>44818</v>
      </c>
      <c r="B3" s="107" t="s">
        <v>645</v>
      </c>
      <c r="C3" s="106" t="s">
        <v>597</v>
      </c>
      <c r="D3" s="107">
        <v>3</v>
      </c>
      <c r="E3" s="107" t="s">
        <v>610</v>
      </c>
      <c r="F3" s="107" t="s">
        <v>613</v>
      </c>
      <c r="G3" s="107"/>
      <c r="H3" s="107"/>
      <c r="K3" s="111" t="s">
        <v>842</v>
      </c>
      <c r="L3" s="111" t="s">
        <v>1049</v>
      </c>
      <c r="M3" s="111" t="s">
        <v>2452</v>
      </c>
      <c r="N3" s="111"/>
      <c r="O3" s="111" t="s">
        <v>644</v>
      </c>
      <c r="R3" s="111" t="s">
        <v>750</v>
      </c>
      <c r="S3" s="111" t="s">
        <v>758</v>
      </c>
      <c r="W3" s="116" t="s">
        <v>779</v>
      </c>
      <c r="X3" s="96" t="s">
        <v>777</v>
      </c>
      <c r="Y3" s="96" t="s">
        <v>780</v>
      </c>
      <c r="Z3" s="96" t="s">
        <v>777</v>
      </c>
      <c r="AA3" s="96" t="s">
        <v>777</v>
      </c>
      <c r="AB3" s="96" t="s">
        <v>777</v>
      </c>
      <c r="AC3" s="96" t="s">
        <v>777</v>
      </c>
      <c r="AD3" s="117" t="s">
        <v>781</v>
      </c>
    </row>
    <row r="4" spans="1:30" x14ac:dyDescent="0.25">
      <c r="A4" s="108">
        <v>44818</v>
      </c>
      <c r="B4" s="107" t="s">
        <v>645</v>
      </c>
      <c r="C4" s="106" t="s">
        <v>840</v>
      </c>
      <c r="D4" s="107">
        <v>3</v>
      </c>
      <c r="E4" s="107" t="s">
        <v>610</v>
      </c>
      <c r="F4" s="107" t="s">
        <v>613</v>
      </c>
      <c r="G4" s="107"/>
      <c r="H4" s="107"/>
      <c r="K4" s="111" t="s">
        <v>630</v>
      </c>
      <c r="L4" s="111" t="s">
        <v>631</v>
      </c>
      <c r="M4" s="111" t="s">
        <v>632</v>
      </c>
      <c r="N4" s="111"/>
      <c r="O4" s="111" t="s">
        <v>171</v>
      </c>
      <c r="R4" s="111" t="s">
        <v>751</v>
      </c>
      <c r="S4" s="111" t="s">
        <v>757</v>
      </c>
      <c r="W4" s="116" t="s">
        <v>782</v>
      </c>
      <c r="X4" s="96" t="s">
        <v>775</v>
      </c>
      <c r="Y4" s="96" t="s">
        <v>780</v>
      </c>
      <c r="Z4" s="96" t="s">
        <v>777</v>
      </c>
      <c r="AA4" s="96" t="s">
        <v>777</v>
      </c>
      <c r="AB4" s="96" t="s">
        <v>777</v>
      </c>
      <c r="AC4" s="96" t="s">
        <v>777</v>
      </c>
      <c r="AD4" s="117" t="s">
        <v>783</v>
      </c>
    </row>
    <row r="5" spans="1:30" x14ac:dyDescent="0.25">
      <c r="A5" s="108">
        <v>44818</v>
      </c>
      <c r="B5" s="107" t="s">
        <v>645</v>
      </c>
      <c r="C5" s="106" t="s">
        <v>599</v>
      </c>
      <c r="D5" s="107">
        <v>3</v>
      </c>
      <c r="E5" s="107" t="s">
        <v>610</v>
      </c>
      <c r="F5" s="107" t="s">
        <v>612</v>
      </c>
      <c r="G5" s="107"/>
      <c r="H5" s="107" t="s">
        <v>793</v>
      </c>
      <c r="K5" s="111" t="s">
        <v>177</v>
      </c>
      <c r="L5" s="111" t="s">
        <v>633</v>
      </c>
      <c r="M5" s="111" t="s">
        <v>634</v>
      </c>
      <c r="N5" s="111"/>
      <c r="O5" s="111" t="s">
        <v>170</v>
      </c>
      <c r="R5" s="111" t="s">
        <v>752</v>
      </c>
      <c r="S5" s="111" t="s">
        <v>756</v>
      </c>
      <c r="W5" s="116" t="s">
        <v>784</v>
      </c>
      <c r="X5" s="96" t="s">
        <v>775</v>
      </c>
      <c r="Y5" s="96" t="s">
        <v>776</v>
      </c>
      <c r="Z5" s="96" t="s">
        <v>785</v>
      </c>
      <c r="AA5" s="96" t="s">
        <v>777</v>
      </c>
      <c r="AB5" s="96" t="s">
        <v>775</v>
      </c>
      <c r="AC5" s="96" t="s">
        <v>786</v>
      </c>
      <c r="AD5" s="117" t="s">
        <v>787</v>
      </c>
    </row>
    <row r="6" spans="1:30" x14ac:dyDescent="0.25">
      <c r="A6" s="108">
        <v>44818</v>
      </c>
      <c r="B6" s="107" t="s">
        <v>645</v>
      </c>
      <c r="C6" s="106" t="s">
        <v>600</v>
      </c>
      <c r="D6" s="107">
        <v>3</v>
      </c>
      <c r="E6" s="107" t="s">
        <v>610</v>
      </c>
      <c r="F6" s="107" t="s">
        <v>613</v>
      </c>
      <c r="G6" s="107"/>
      <c r="H6" s="107"/>
      <c r="K6" s="111" t="s">
        <v>336</v>
      </c>
      <c r="L6" s="111" t="s">
        <v>619</v>
      </c>
      <c r="M6" s="111" t="s">
        <v>620</v>
      </c>
      <c r="N6" s="112" t="s">
        <v>81</v>
      </c>
      <c r="O6" s="111" t="s">
        <v>644</v>
      </c>
      <c r="R6" s="111" t="s">
        <v>760</v>
      </c>
      <c r="S6" s="111" t="s">
        <v>761</v>
      </c>
      <c r="W6" s="116" t="s">
        <v>788</v>
      </c>
      <c r="X6" s="96" t="s">
        <v>777</v>
      </c>
      <c r="Y6" s="96" t="s">
        <v>777</v>
      </c>
      <c r="Z6" s="96" t="s">
        <v>789</v>
      </c>
      <c r="AA6" s="96" t="s">
        <v>777</v>
      </c>
      <c r="AB6" s="96" t="s">
        <v>777</v>
      </c>
      <c r="AC6" s="96" t="s">
        <v>777</v>
      </c>
      <c r="AD6" s="117" t="s">
        <v>790</v>
      </c>
    </row>
    <row r="7" spans="1:30" x14ac:dyDescent="0.25">
      <c r="A7" s="108">
        <v>44818</v>
      </c>
      <c r="B7" s="107" t="s">
        <v>645</v>
      </c>
      <c r="C7" s="106" t="s">
        <v>741</v>
      </c>
      <c r="D7" s="107">
        <v>3</v>
      </c>
      <c r="E7" s="107" t="s">
        <v>610</v>
      </c>
      <c r="F7" s="107" t="s">
        <v>613</v>
      </c>
      <c r="G7" s="107"/>
      <c r="H7" s="107"/>
      <c r="K7" s="111" t="s">
        <v>339</v>
      </c>
      <c r="L7" s="111" t="s">
        <v>621</v>
      </c>
      <c r="M7" s="111" t="s">
        <v>622</v>
      </c>
      <c r="N7" s="111" t="s">
        <v>81</v>
      </c>
      <c r="O7" s="111" t="s">
        <v>397</v>
      </c>
      <c r="R7" s="111" t="s">
        <v>762</v>
      </c>
      <c r="S7" s="111" t="s">
        <v>759</v>
      </c>
    </row>
    <row r="8" spans="1:30" x14ac:dyDescent="0.25">
      <c r="A8" s="108">
        <v>44818</v>
      </c>
      <c r="B8" s="107" t="s">
        <v>645</v>
      </c>
      <c r="C8" s="106" t="s">
        <v>608</v>
      </c>
      <c r="D8" s="107">
        <v>3</v>
      </c>
      <c r="E8" s="107" t="s">
        <v>610</v>
      </c>
      <c r="F8" s="107" t="s">
        <v>613</v>
      </c>
      <c r="G8" s="107"/>
      <c r="H8" s="107"/>
      <c r="K8" s="111" t="s">
        <v>179</v>
      </c>
      <c r="L8" s="111" t="s">
        <v>623</v>
      </c>
      <c r="M8" s="111" t="s">
        <v>624</v>
      </c>
      <c r="N8" s="112" t="s">
        <v>81</v>
      </c>
      <c r="O8" s="111" t="s">
        <v>170</v>
      </c>
      <c r="R8" s="111" t="s">
        <v>765</v>
      </c>
      <c r="S8" s="111" t="s">
        <v>766</v>
      </c>
    </row>
    <row r="9" spans="1:30" x14ac:dyDescent="0.25">
      <c r="A9" s="108">
        <v>44818</v>
      </c>
      <c r="B9" s="107" t="s">
        <v>645</v>
      </c>
      <c r="C9" s="106" t="s">
        <v>601</v>
      </c>
      <c r="D9" s="107">
        <v>3</v>
      </c>
      <c r="E9" s="107" t="s">
        <v>610</v>
      </c>
      <c r="F9" s="107" t="s">
        <v>612</v>
      </c>
      <c r="G9" s="107"/>
      <c r="H9" s="107" t="s">
        <v>794</v>
      </c>
      <c r="K9" s="261" t="s">
        <v>3791</v>
      </c>
      <c r="L9" s="261" t="s">
        <v>3914</v>
      </c>
      <c r="M9" s="261" t="s">
        <v>3915</v>
      </c>
      <c r="N9" s="112"/>
      <c r="O9" s="111" t="s">
        <v>644</v>
      </c>
      <c r="Q9" s="113"/>
      <c r="R9" s="111" t="s">
        <v>954</v>
      </c>
      <c r="S9" s="111" t="s">
        <v>956</v>
      </c>
    </row>
    <row r="10" spans="1:30" x14ac:dyDescent="0.25">
      <c r="A10" s="108">
        <v>44818</v>
      </c>
      <c r="B10" s="107" t="s">
        <v>645</v>
      </c>
      <c r="C10" s="106" t="s">
        <v>602</v>
      </c>
      <c r="D10" s="107">
        <v>3</v>
      </c>
      <c r="E10" s="107" t="s">
        <v>610</v>
      </c>
      <c r="F10" s="107" t="s">
        <v>613</v>
      </c>
      <c r="G10" s="107"/>
      <c r="H10" s="107"/>
      <c r="K10" s="111" t="s">
        <v>635</v>
      </c>
      <c r="L10" s="111" t="s">
        <v>636</v>
      </c>
      <c r="M10" s="111" t="s">
        <v>637</v>
      </c>
      <c r="N10" s="112"/>
      <c r="O10" s="111" t="s">
        <v>55</v>
      </c>
      <c r="R10" s="111" t="s">
        <v>953</v>
      </c>
      <c r="S10" s="111" t="s">
        <v>1046</v>
      </c>
    </row>
    <row r="11" spans="1:30" x14ac:dyDescent="0.25">
      <c r="A11" s="108">
        <v>44818</v>
      </c>
      <c r="B11" s="107" t="s">
        <v>645</v>
      </c>
      <c r="C11" s="106" t="s">
        <v>609</v>
      </c>
      <c r="D11" s="107">
        <v>3</v>
      </c>
      <c r="E11" s="107" t="s">
        <v>610</v>
      </c>
      <c r="F11" s="107" t="s">
        <v>613</v>
      </c>
      <c r="G11" s="107"/>
      <c r="H11" s="107"/>
      <c r="K11" s="111" t="s">
        <v>1156</v>
      </c>
      <c r="L11" s="111" t="s">
        <v>1055</v>
      </c>
      <c r="M11" s="111" t="s">
        <v>1056</v>
      </c>
      <c r="N11" s="112"/>
      <c r="O11" s="111" t="s">
        <v>1706</v>
      </c>
      <c r="R11" s="111" t="s">
        <v>955</v>
      </c>
      <c r="S11" s="111" t="s">
        <v>957</v>
      </c>
    </row>
    <row r="12" spans="1:30" x14ac:dyDescent="0.25">
      <c r="A12" s="109">
        <v>44826</v>
      </c>
      <c r="B12" s="2" t="s">
        <v>85</v>
      </c>
      <c r="C12" s="8" t="s">
        <v>594</v>
      </c>
      <c r="D12" s="2">
        <v>2</v>
      </c>
      <c r="E12" s="2" t="s">
        <v>611</v>
      </c>
      <c r="F12" s="2" t="s">
        <v>613</v>
      </c>
      <c r="G12" s="3"/>
      <c r="H12" s="3"/>
      <c r="K12" s="111" t="s">
        <v>3916</v>
      </c>
      <c r="L12" s="111" t="s">
        <v>3917</v>
      </c>
      <c r="M12" s="111" t="s">
        <v>3918</v>
      </c>
      <c r="N12" s="112"/>
      <c r="O12" s="111" t="s">
        <v>171</v>
      </c>
      <c r="R12" s="111" t="s">
        <v>763</v>
      </c>
      <c r="S12" s="111" t="s">
        <v>764</v>
      </c>
    </row>
    <row r="13" spans="1:30" x14ac:dyDescent="0.25">
      <c r="A13" s="109">
        <v>44826</v>
      </c>
      <c r="B13" s="2" t="s">
        <v>85</v>
      </c>
      <c r="C13" s="8" t="s">
        <v>595</v>
      </c>
      <c r="D13" s="2">
        <v>2</v>
      </c>
      <c r="E13" s="2" t="s">
        <v>611</v>
      </c>
      <c r="F13" s="2" t="s">
        <v>613</v>
      </c>
      <c r="G13" s="3" t="s">
        <v>736</v>
      </c>
      <c r="H13" s="3"/>
      <c r="K13" s="111" t="s">
        <v>3919</v>
      </c>
      <c r="L13" s="111" t="s">
        <v>3920</v>
      </c>
      <c r="M13" s="111" t="s">
        <v>3921</v>
      </c>
      <c r="N13" s="112"/>
      <c r="O13" s="111" t="s">
        <v>55</v>
      </c>
      <c r="R13" s="111" t="s">
        <v>1053</v>
      </c>
      <c r="S13" s="111" t="s">
        <v>1054</v>
      </c>
    </row>
    <row r="14" spans="1:30" x14ac:dyDescent="0.25">
      <c r="A14" s="109">
        <v>44826</v>
      </c>
      <c r="B14" s="2" t="s">
        <v>85</v>
      </c>
      <c r="C14" s="8" t="s">
        <v>840</v>
      </c>
      <c r="D14" s="2">
        <v>2</v>
      </c>
      <c r="E14" s="2" t="s">
        <v>611</v>
      </c>
      <c r="F14" s="2" t="s">
        <v>613</v>
      </c>
      <c r="G14" s="3" t="s">
        <v>737</v>
      </c>
      <c r="H14" s="3"/>
      <c r="K14" s="111" t="s">
        <v>854</v>
      </c>
      <c r="L14" s="111" t="s">
        <v>1050</v>
      </c>
      <c r="M14" s="111" t="s">
        <v>2451</v>
      </c>
      <c r="N14" s="112" t="s">
        <v>81</v>
      </c>
      <c r="O14" s="111" t="s">
        <v>644</v>
      </c>
    </row>
    <row r="15" spans="1:30" x14ac:dyDescent="0.25">
      <c r="A15" s="109">
        <v>44826</v>
      </c>
      <c r="B15" s="2" t="s">
        <v>85</v>
      </c>
      <c r="C15" s="8" t="s">
        <v>596</v>
      </c>
      <c r="D15" s="2">
        <v>2</v>
      </c>
      <c r="E15" s="2" t="s">
        <v>611</v>
      </c>
      <c r="F15" s="2" t="s">
        <v>613</v>
      </c>
      <c r="G15" s="3" t="s">
        <v>738</v>
      </c>
      <c r="H15" s="3"/>
      <c r="K15" s="111" t="s">
        <v>638</v>
      </c>
      <c r="L15" s="111" t="s">
        <v>639</v>
      </c>
      <c r="M15" s="111" t="s">
        <v>640</v>
      </c>
      <c r="N15" s="112" t="s">
        <v>81</v>
      </c>
      <c r="O15" s="111" t="s">
        <v>55</v>
      </c>
    </row>
    <row r="16" spans="1:30" x14ac:dyDescent="0.25">
      <c r="A16" s="109">
        <v>44826</v>
      </c>
      <c r="B16" s="2" t="s">
        <v>85</v>
      </c>
      <c r="C16" s="8" t="s">
        <v>731</v>
      </c>
      <c r="D16" s="2">
        <v>2</v>
      </c>
      <c r="E16" s="2" t="s">
        <v>611</v>
      </c>
      <c r="F16" s="2" t="s">
        <v>613</v>
      </c>
      <c r="G16" s="3"/>
      <c r="H16" s="3"/>
      <c r="K16" s="111" t="s">
        <v>1704</v>
      </c>
      <c r="L16" s="111" t="s">
        <v>2454</v>
      </c>
      <c r="M16" s="111" t="s">
        <v>2455</v>
      </c>
      <c r="N16" s="112"/>
      <c r="O16" s="111" t="s">
        <v>397</v>
      </c>
    </row>
    <row r="17" spans="1:18" x14ac:dyDescent="0.25">
      <c r="A17" s="109">
        <v>44826</v>
      </c>
      <c r="B17" s="2" t="s">
        <v>85</v>
      </c>
      <c r="C17" s="8" t="s">
        <v>740</v>
      </c>
      <c r="D17" s="2">
        <v>2</v>
      </c>
      <c r="E17" s="2" t="s">
        <v>611</v>
      </c>
      <c r="F17" s="2" t="s">
        <v>612</v>
      </c>
      <c r="G17" s="3" t="s">
        <v>743</v>
      </c>
      <c r="H17" s="3" t="s">
        <v>833</v>
      </c>
      <c r="K17" s="111" t="s">
        <v>188</v>
      </c>
      <c r="L17" s="111" t="s">
        <v>641</v>
      </c>
      <c r="M17" s="111" t="s">
        <v>642</v>
      </c>
      <c r="N17" s="112"/>
      <c r="O17" s="111" t="s">
        <v>55</v>
      </c>
    </row>
    <row r="18" spans="1:18" x14ac:dyDescent="0.25">
      <c r="A18" s="109">
        <v>44826</v>
      </c>
      <c r="B18" s="2" t="s">
        <v>85</v>
      </c>
      <c r="C18" s="8" t="s">
        <v>598</v>
      </c>
      <c r="D18" s="2">
        <v>1</v>
      </c>
      <c r="E18" s="2" t="s">
        <v>742</v>
      </c>
      <c r="F18" s="2" t="s">
        <v>613</v>
      </c>
      <c r="G18" s="3" t="s">
        <v>744</v>
      </c>
      <c r="H18" s="3"/>
      <c r="K18" s="111" t="s">
        <v>3617</v>
      </c>
      <c r="L18" s="111" t="s">
        <v>3922</v>
      </c>
      <c r="M18" s="111" t="s">
        <v>3923</v>
      </c>
      <c r="N18" s="112"/>
      <c r="O18" s="111" t="s">
        <v>55</v>
      </c>
    </row>
    <row r="19" spans="1:18" x14ac:dyDescent="0.25">
      <c r="A19" s="109">
        <v>44826</v>
      </c>
      <c r="B19" s="2" t="s">
        <v>85</v>
      </c>
      <c r="C19" s="8" t="s">
        <v>606</v>
      </c>
      <c r="D19" s="2">
        <v>1</v>
      </c>
      <c r="E19" s="2" t="s">
        <v>742</v>
      </c>
      <c r="F19" s="2" t="s">
        <v>613</v>
      </c>
      <c r="G19" s="3" t="s">
        <v>745</v>
      </c>
      <c r="H19" s="3"/>
      <c r="K19" s="111" t="s">
        <v>959</v>
      </c>
      <c r="L19" s="111" t="s">
        <v>2449</v>
      </c>
      <c r="M19" s="111" t="s">
        <v>2450</v>
      </c>
      <c r="N19" s="112"/>
      <c r="O19" s="111" t="s">
        <v>171</v>
      </c>
    </row>
    <row r="20" spans="1:18" x14ac:dyDescent="0.25">
      <c r="A20" s="109">
        <v>44826</v>
      </c>
      <c r="B20" s="2" t="s">
        <v>85</v>
      </c>
      <c r="C20" s="8" t="s">
        <v>607</v>
      </c>
      <c r="D20" s="2">
        <v>2</v>
      </c>
      <c r="E20" s="2" t="s">
        <v>611</v>
      </c>
      <c r="F20" s="2" t="s">
        <v>613</v>
      </c>
      <c r="G20" s="3" t="s">
        <v>746</v>
      </c>
      <c r="H20" s="3"/>
      <c r="K20" s="111" t="s">
        <v>365</v>
      </c>
      <c r="L20" s="111" t="s">
        <v>625</v>
      </c>
      <c r="M20" s="111" t="s">
        <v>626</v>
      </c>
      <c r="N20" s="112" t="s">
        <v>81</v>
      </c>
      <c r="O20" s="111" t="s">
        <v>644</v>
      </c>
    </row>
    <row r="21" spans="1:18" x14ac:dyDescent="0.25">
      <c r="A21" s="109">
        <v>44826</v>
      </c>
      <c r="B21" s="2" t="s">
        <v>85</v>
      </c>
      <c r="C21" s="8" t="s">
        <v>739</v>
      </c>
      <c r="D21" s="2">
        <v>2</v>
      </c>
      <c r="E21" s="2" t="s">
        <v>611</v>
      </c>
      <c r="F21" s="2" t="s">
        <v>613</v>
      </c>
      <c r="G21" s="3"/>
      <c r="H21" s="3"/>
      <c r="K21" s="111" t="s">
        <v>2444</v>
      </c>
      <c r="L21" s="111" t="s">
        <v>2447</v>
      </c>
      <c r="M21" s="111" t="s">
        <v>2448</v>
      </c>
      <c r="N21" s="112"/>
      <c r="O21" s="111" t="s">
        <v>55</v>
      </c>
    </row>
    <row r="22" spans="1:18" x14ac:dyDescent="0.25">
      <c r="A22" s="108">
        <v>44910</v>
      </c>
      <c r="B22" s="107" t="s">
        <v>645</v>
      </c>
      <c r="C22" s="106" t="s">
        <v>603</v>
      </c>
      <c r="D22" s="107">
        <v>2</v>
      </c>
      <c r="E22" s="107" t="s">
        <v>611</v>
      </c>
      <c r="F22" s="107" t="s">
        <v>613</v>
      </c>
      <c r="G22" s="107"/>
      <c r="H22" s="107"/>
      <c r="K22" s="111" t="s">
        <v>627</v>
      </c>
      <c r="L22" s="111" t="s">
        <v>628</v>
      </c>
      <c r="M22" s="111" t="s">
        <v>629</v>
      </c>
      <c r="N22" s="112" t="s">
        <v>81</v>
      </c>
      <c r="O22" s="111" t="s">
        <v>397</v>
      </c>
    </row>
    <row r="23" spans="1:18" x14ac:dyDescent="0.25">
      <c r="A23" s="108">
        <v>44910</v>
      </c>
      <c r="B23" s="107" t="s">
        <v>645</v>
      </c>
      <c r="C23" s="106" t="s">
        <v>597</v>
      </c>
      <c r="D23" s="107">
        <v>3</v>
      </c>
      <c r="E23" s="107" t="s">
        <v>611</v>
      </c>
      <c r="F23" s="107" t="s">
        <v>613</v>
      </c>
      <c r="G23" s="120" t="s">
        <v>736</v>
      </c>
      <c r="H23" s="107"/>
      <c r="K23" s="111" t="s">
        <v>1705</v>
      </c>
      <c r="L23" s="111" t="s">
        <v>2456</v>
      </c>
      <c r="M23" s="111" t="s">
        <v>2457</v>
      </c>
      <c r="N23" s="112"/>
      <c r="O23" s="111" t="s">
        <v>55</v>
      </c>
    </row>
    <row r="24" spans="1:18" x14ac:dyDescent="0.25">
      <c r="A24" s="108">
        <v>44910</v>
      </c>
      <c r="B24" s="107" t="s">
        <v>645</v>
      </c>
      <c r="C24" s="106" t="s">
        <v>840</v>
      </c>
      <c r="D24" s="107">
        <v>3</v>
      </c>
      <c r="E24" s="107" t="s">
        <v>611</v>
      </c>
      <c r="F24" s="107" t="s">
        <v>613</v>
      </c>
      <c r="G24" s="120" t="s">
        <v>737</v>
      </c>
      <c r="H24" s="107"/>
    </row>
    <row r="25" spans="1:18" x14ac:dyDescent="0.25">
      <c r="A25" s="108">
        <v>44910</v>
      </c>
      <c r="B25" s="107" t="s">
        <v>645</v>
      </c>
      <c r="C25" s="106" t="s">
        <v>599</v>
      </c>
      <c r="D25" s="107">
        <v>3</v>
      </c>
      <c r="E25" s="107" t="s">
        <v>611</v>
      </c>
      <c r="F25" s="107" t="s">
        <v>613</v>
      </c>
      <c r="G25" s="120" t="s">
        <v>738</v>
      </c>
      <c r="H25" s="107"/>
    </row>
    <row r="26" spans="1:18" x14ac:dyDescent="0.25">
      <c r="A26" s="108">
        <v>44910</v>
      </c>
      <c r="B26" s="107" t="s">
        <v>645</v>
      </c>
      <c r="C26" s="106" t="s">
        <v>600</v>
      </c>
      <c r="D26" s="107">
        <v>3</v>
      </c>
      <c r="E26" s="107" t="s">
        <v>611</v>
      </c>
      <c r="F26" s="107" t="s">
        <v>613</v>
      </c>
      <c r="G26" s="107"/>
      <c r="H26" s="107"/>
    </row>
    <row r="27" spans="1:18" x14ac:dyDescent="0.25">
      <c r="A27" s="108">
        <v>44910</v>
      </c>
      <c r="B27" s="107" t="s">
        <v>645</v>
      </c>
      <c r="C27" s="106" t="s">
        <v>741</v>
      </c>
      <c r="D27" s="107">
        <v>3</v>
      </c>
      <c r="E27" s="107" t="s">
        <v>611</v>
      </c>
      <c r="F27" s="107" t="s">
        <v>613</v>
      </c>
      <c r="G27" s="107"/>
      <c r="H27" s="107"/>
    </row>
    <row r="28" spans="1:18" ht="13.5" customHeight="1" x14ac:dyDescent="0.25">
      <c r="A28" s="108">
        <v>44910</v>
      </c>
      <c r="B28" s="107" t="s">
        <v>645</v>
      </c>
      <c r="C28" s="106" t="s">
        <v>608</v>
      </c>
      <c r="D28" s="107">
        <v>3</v>
      </c>
      <c r="E28" s="107" t="s">
        <v>611</v>
      </c>
      <c r="F28" s="107" t="s">
        <v>613</v>
      </c>
      <c r="G28" s="107"/>
      <c r="H28" s="107"/>
      <c r="R28" t="s">
        <v>1059</v>
      </c>
    </row>
    <row r="29" spans="1:18" ht="15.75" customHeight="1" x14ac:dyDescent="0.25">
      <c r="A29" s="108">
        <v>44910</v>
      </c>
      <c r="B29" s="107" t="s">
        <v>645</v>
      </c>
      <c r="C29" s="106" t="s">
        <v>601</v>
      </c>
      <c r="D29" s="107">
        <v>3</v>
      </c>
      <c r="E29" s="107" t="s">
        <v>611</v>
      </c>
      <c r="F29" s="107" t="s">
        <v>612</v>
      </c>
      <c r="G29" s="107"/>
      <c r="H29" s="120" t="s">
        <v>841</v>
      </c>
      <c r="R29" t="s">
        <v>1058</v>
      </c>
    </row>
    <row r="30" spans="1:18" x14ac:dyDescent="0.25">
      <c r="A30" s="108">
        <v>44910</v>
      </c>
      <c r="B30" s="107" t="s">
        <v>645</v>
      </c>
      <c r="C30" s="106" t="s">
        <v>602</v>
      </c>
      <c r="D30" s="107">
        <v>3</v>
      </c>
      <c r="E30" s="107" t="s">
        <v>611</v>
      </c>
      <c r="F30" s="107" t="s">
        <v>613</v>
      </c>
      <c r="G30" s="107"/>
      <c r="H30" s="107"/>
    </row>
    <row r="31" spans="1:18" x14ac:dyDescent="0.25">
      <c r="A31" s="108">
        <v>44910</v>
      </c>
      <c r="B31" s="107" t="s">
        <v>645</v>
      </c>
      <c r="C31" s="106" t="s">
        <v>609</v>
      </c>
      <c r="D31" s="107">
        <v>3</v>
      </c>
      <c r="E31" s="107" t="s">
        <v>611</v>
      </c>
      <c r="F31" s="107" t="s">
        <v>613</v>
      </c>
      <c r="G31" s="107"/>
      <c r="H31" s="107"/>
    </row>
    <row r="32" spans="1:18" x14ac:dyDescent="0.25">
      <c r="A32" s="109">
        <v>44910</v>
      </c>
      <c r="B32" s="2" t="s">
        <v>85</v>
      </c>
      <c r="C32" s="8" t="s">
        <v>594</v>
      </c>
      <c r="D32" s="2">
        <v>2</v>
      </c>
      <c r="E32" s="2" t="s">
        <v>611</v>
      </c>
      <c r="F32" s="2" t="s">
        <v>613</v>
      </c>
      <c r="G32" s="3"/>
      <c r="H32" s="3"/>
    </row>
    <row r="33" spans="1:8" x14ac:dyDescent="0.25">
      <c r="A33" s="109">
        <v>44910</v>
      </c>
      <c r="B33" s="2" t="s">
        <v>85</v>
      </c>
      <c r="C33" s="8" t="s">
        <v>595</v>
      </c>
      <c r="D33" s="2">
        <v>2</v>
      </c>
      <c r="E33" s="2" t="s">
        <v>611</v>
      </c>
      <c r="F33" s="2" t="s">
        <v>613</v>
      </c>
      <c r="G33" s="3" t="s">
        <v>736</v>
      </c>
      <c r="H33" s="3"/>
    </row>
    <row r="34" spans="1:8" x14ac:dyDescent="0.25">
      <c r="A34" s="109">
        <v>44910</v>
      </c>
      <c r="B34" s="2" t="s">
        <v>85</v>
      </c>
      <c r="C34" s="8" t="s">
        <v>840</v>
      </c>
      <c r="D34" s="2">
        <v>2</v>
      </c>
      <c r="E34" s="2" t="s">
        <v>611</v>
      </c>
      <c r="F34" s="2" t="s">
        <v>613</v>
      </c>
      <c r="G34" s="3" t="s">
        <v>737</v>
      </c>
      <c r="H34" s="3"/>
    </row>
    <row r="35" spans="1:8" x14ac:dyDescent="0.25">
      <c r="A35" s="109">
        <v>44910</v>
      </c>
      <c r="B35" s="2" t="s">
        <v>85</v>
      </c>
      <c r="C35" s="8" t="s">
        <v>596</v>
      </c>
      <c r="D35" s="2">
        <v>2</v>
      </c>
      <c r="E35" s="2" t="s">
        <v>611</v>
      </c>
      <c r="F35" s="2" t="s">
        <v>613</v>
      </c>
      <c r="G35" s="3" t="s">
        <v>738</v>
      </c>
      <c r="H35" s="3"/>
    </row>
    <row r="36" spans="1:8" x14ac:dyDescent="0.25">
      <c r="A36" s="109">
        <v>44910</v>
      </c>
      <c r="B36" s="2" t="s">
        <v>85</v>
      </c>
      <c r="C36" s="8" t="s">
        <v>731</v>
      </c>
      <c r="D36" s="2">
        <v>2</v>
      </c>
      <c r="E36" s="2" t="s">
        <v>611</v>
      </c>
      <c r="F36" s="2" t="s">
        <v>613</v>
      </c>
      <c r="G36" s="3"/>
      <c r="H36" s="3"/>
    </row>
    <row r="37" spans="1:8" x14ac:dyDescent="0.25">
      <c r="A37" s="109">
        <v>44910</v>
      </c>
      <c r="B37" s="2" t="s">
        <v>85</v>
      </c>
      <c r="C37" s="8" t="s">
        <v>740</v>
      </c>
      <c r="D37" s="2">
        <v>2</v>
      </c>
      <c r="E37" s="2" t="s">
        <v>611</v>
      </c>
      <c r="F37" s="2" t="s">
        <v>613</v>
      </c>
      <c r="G37" s="3"/>
      <c r="H37" s="3"/>
    </row>
    <row r="38" spans="1:8" x14ac:dyDescent="0.25">
      <c r="A38" s="109">
        <v>44910</v>
      </c>
      <c r="B38" s="2" t="s">
        <v>85</v>
      </c>
      <c r="C38" s="8" t="s">
        <v>598</v>
      </c>
      <c r="D38" s="2">
        <v>1</v>
      </c>
      <c r="E38" s="2" t="s">
        <v>611</v>
      </c>
      <c r="F38" s="2" t="s">
        <v>613</v>
      </c>
      <c r="G38" s="3"/>
      <c r="H38" s="3"/>
    </row>
    <row r="39" spans="1:8" x14ac:dyDescent="0.25">
      <c r="A39" s="109">
        <v>44910</v>
      </c>
      <c r="B39" s="2" t="s">
        <v>85</v>
      </c>
      <c r="C39" s="8" t="s">
        <v>606</v>
      </c>
      <c r="D39" s="2">
        <v>1</v>
      </c>
      <c r="E39" s="2" t="s">
        <v>611</v>
      </c>
      <c r="F39" s="2" t="s">
        <v>613</v>
      </c>
      <c r="G39" s="3"/>
      <c r="H39" s="3"/>
    </row>
    <row r="40" spans="1:8" x14ac:dyDescent="0.25">
      <c r="A40" s="109">
        <v>44910</v>
      </c>
      <c r="B40" s="2" t="s">
        <v>85</v>
      </c>
      <c r="C40" s="8" t="s">
        <v>607</v>
      </c>
      <c r="D40" s="2">
        <v>2</v>
      </c>
      <c r="E40" s="2" t="s">
        <v>611</v>
      </c>
      <c r="F40" s="2" t="s">
        <v>613</v>
      </c>
      <c r="G40" s="3"/>
      <c r="H40" s="3"/>
    </row>
    <row r="41" spans="1:8" x14ac:dyDescent="0.25">
      <c r="A41" s="109">
        <v>44910</v>
      </c>
      <c r="B41" s="2" t="s">
        <v>85</v>
      </c>
      <c r="C41" s="8" t="s">
        <v>739</v>
      </c>
      <c r="D41" s="2">
        <v>2</v>
      </c>
      <c r="E41" s="2" t="s">
        <v>611</v>
      </c>
      <c r="F41" s="2" t="s">
        <v>613</v>
      </c>
      <c r="G41" s="3"/>
      <c r="H41" s="3"/>
    </row>
    <row r="42" spans="1:8" x14ac:dyDescent="0.25">
      <c r="A42" s="108">
        <v>45008</v>
      </c>
      <c r="B42" s="107" t="s">
        <v>645</v>
      </c>
      <c r="C42" s="106" t="s">
        <v>603</v>
      </c>
      <c r="D42" s="107">
        <v>2</v>
      </c>
      <c r="E42" s="107" t="s">
        <v>611</v>
      </c>
      <c r="F42" s="107" t="s">
        <v>613</v>
      </c>
      <c r="G42" s="107"/>
      <c r="H42" s="107"/>
    </row>
    <row r="43" spans="1:8" x14ac:dyDescent="0.25">
      <c r="A43" s="108">
        <v>45008</v>
      </c>
      <c r="B43" s="107" t="s">
        <v>645</v>
      </c>
      <c r="C43" s="106" t="s">
        <v>597</v>
      </c>
      <c r="D43" s="107">
        <v>2</v>
      </c>
      <c r="E43" s="107" t="s">
        <v>611</v>
      </c>
      <c r="F43" s="107" t="s">
        <v>613</v>
      </c>
      <c r="G43" s="120" t="s">
        <v>736</v>
      </c>
      <c r="H43" s="107"/>
    </row>
    <row r="44" spans="1:8" x14ac:dyDescent="0.25">
      <c r="A44" s="108">
        <v>45008</v>
      </c>
      <c r="B44" s="107" t="s">
        <v>645</v>
      </c>
      <c r="C44" s="106" t="s">
        <v>840</v>
      </c>
      <c r="D44" s="107">
        <v>2</v>
      </c>
      <c r="E44" s="107" t="s">
        <v>611</v>
      </c>
      <c r="F44" s="107" t="s">
        <v>613</v>
      </c>
      <c r="G44" s="120" t="s">
        <v>737</v>
      </c>
      <c r="H44" s="107"/>
    </row>
    <row r="45" spans="1:8" x14ac:dyDescent="0.25">
      <c r="A45" s="108">
        <v>45008</v>
      </c>
      <c r="B45" s="107" t="s">
        <v>645</v>
      </c>
      <c r="C45" s="106" t="s">
        <v>599</v>
      </c>
      <c r="D45" s="107">
        <v>2</v>
      </c>
      <c r="E45" s="107" t="s">
        <v>611</v>
      </c>
      <c r="F45" s="107" t="s">
        <v>613</v>
      </c>
      <c r="G45" s="120" t="s">
        <v>738</v>
      </c>
      <c r="H45" s="107"/>
    </row>
    <row r="46" spans="1:8" x14ac:dyDescent="0.25">
      <c r="A46" s="108">
        <v>45008</v>
      </c>
      <c r="B46" s="107" t="s">
        <v>645</v>
      </c>
      <c r="C46" s="106" t="s">
        <v>600</v>
      </c>
      <c r="D46" s="107">
        <v>2</v>
      </c>
      <c r="E46" s="107" t="s">
        <v>611</v>
      </c>
      <c r="F46" s="107" t="s">
        <v>613</v>
      </c>
      <c r="G46" s="107"/>
      <c r="H46" s="107"/>
    </row>
    <row r="47" spans="1:8" x14ac:dyDescent="0.25">
      <c r="A47" s="108">
        <v>45008</v>
      </c>
      <c r="B47" s="107" t="s">
        <v>645</v>
      </c>
      <c r="C47" s="106" t="s">
        <v>741</v>
      </c>
      <c r="D47" s="107">
        <v>2</v>
      </c>
      <c r="E47" s="107" t="s">
        <v>611</v>
      </c>
      <c r="F47" s="107" t="s">
        <v>613</v>
      </c>
      <c r="G47" s="107"/>
      <c r="H47" s="107"/>
    </row>
    <row r="48" spans="1:8" x14ac:dyDescent="0.25">
      <c r="A48" s="108">
        <v>45008</v>
      </c>
      <c r="B48" s="107" t="s">
        <v>645</v>
      </c>
      <c r="C48" s="106" t="s">
        <v>608</v>
      </c>
      <c r="D48" s="107">
        <v>2</v>
      </c>
      <c r="E48" s="107" t="s">
        <v>611</v>
      </c>
      <c r="F48" s="107" t="s">
        <v>613</v>
      </c>
      <c r="G48" s="107"/>
      <c r="H48" s="107"/>
    </row>
    <row r="49" spans="1:8" x14ac:dyDescent="0.25">
      <c r="A49" s="108">
        <v>45008</v>
      </c>
      <c r="B49" s="107" t="s">
        <v>645</v>
      </c>
      <c r="C49" s="106" t="s">
        <v>601</v>
      </c>
      <c r="D49" s="107">
        <v>2</v>
      </c>
      <c r="E49" s="107" t="s">
        <v>611</v>
      </c>
      <c r="F49" s="107" t="s">
        <v>613</v>
      </c>
      <c r="G49" s="107"/>
      <c r="H49" s="120"/>
    </row>
    <row r="50" spans="1:8" x14ac:dyDescent="0.25">
      <c r="A50" s="108">
        <v>45008</v>
      </c>
      <c r="B50" s="107" t="s">
        <v>645</v>
      </c>
      <c r="C50" s="106" t="s">
        <v>602</v>
      </c>
      <c r="D50" s="107">
        <v>2</v>
      </c>
      <c r="E50" s="107" t="s">
        <v>611</v>
      </c>
      <c r="F50" s="107" t="s">
        <v>613</v>
      </c>
      <c r="G50" s="107"/>
      <c r="H50" s="107"/>
    </row>
    <row r="51" spans="1:8" x14ac:dyDescent="0.25">
      <c r="A51" s="108">
        <v>45008</v>
      </c>
      <c r="B51" s="107" t="s">
        <v>645</v>
      </c>
      <c r="C51" s="106" t="s">
        <v>609</v>
      </c>
      <c r="D51" s="107">
        <v>2</v>
      </c>
      <c r="E51" s="107" t="s">
        <v>611</v>
      </c>
      <c r="F51" s="107" t="s">
        <v>613</v>
      </c>
      <c r="G51" s="107"/>
      <c r="H51" s="107"/>
    </row>
    <row r="52" spans="1:8" x14ac:dyDescent="0.25">
      <c r="A52" s="109">
        <v>45008</v>
      </c>
      <c r="B52" s="2" t="s">
        <v>85</v>
      </c>
      <c r="C52" s="8" t="s">
        <v>594</v>
      </c>
      <c r="D52" s="2">
        <v>2</v>
      </c>
      <c r="E52" s="2" t="s">
        <v>611</v>
      </c>
      <c r="F52" s="2" t="s">
        <v>613</v>
      </c>
      <c r="G52" s="3"/>
      <c r="H52" s="3"/>
    </row>
    <row r="53" spans="1:8" x14ac:dyDescent="0.25">
      <c r="A53" s="109">
        <v>45008</v>
      </c>
      <c r="B53" s="2" t="s">
        <v>85</v>
      </c>
      <c r="C53" s="8" t="s">
        <v>595</v>
      </c>
      <c r="D53" s="2">
        <v>2</v>
      </c>
      <c r="E53" s="2" t="s">
        <v>611</v>
      </c>
      <c r="F53" s="2" t="s">
        <v>613</v>
      </c>
      <c r="G53" s="3" t="s">
        <v>736</v>
      </c>
      <c r="H53" s="3"/>
    </row>
    <row r="54" spans="1:8" x14ac:dyDescent="0.25">
      <c r="A54" s="109">
        <v>45008</v>
      </c>
      <c r="B54" s="2" t="s">
        <v>85</v>
      </c>
      <c r="C54" s="8" t="s">
        <v>840</v>
      </c>
      <c r="D54" s="2">
        <v>2</v>
      </c>
      <c r="E54" s="2" t="s">
        <v>611</v>
      </c>
      <c r="F54" s="2" t="s">
        <v>613</v>
      </c>
      <c r="G54" s="3" t="s">
        <v>737</v>
      </c>
      <c r="H54" s="3"/>
    </row>
    <row r="55" spans="1:8" x14ac:dyDescent="0.25">
      <c r="A55" s="109">
        <v>45008</v>
      </c>
      <c r="B55" s="2" t="s">
        <v>85</v>
      </c>
      <c r="C55" s="8" t="s">
        <v>596</v>
      </c>
      <c r="D55" s="2">
        <v>2</v>
      </c>
      <c r="E55" s="2" t="s">
        <v>611</v>
      </c>
      <c r="F55" s="2" t="s">
        <v>613</v>
      </c>
      <c r="G55" s="3" t="s">
        <v>738</v>
      </c>
      <c r="H55" s="3"/>
    </row>
    <row r="56" spans="1:8" x14ac:dyDescent="0.25">
      <c r="A56" s="109">
        <v>45008</v>
      </c>
      <c r="B56" s="2" t="s">
        <v>85</v>
      </c>
      <c r="C56" s="8" t="s">
        <v>731</v>
      </c>
      <c r="D56" s="2">
        <v>2</v>
      </c>
      <c r="E56" s="2" t="s">
        <v>611</v>
      </c>
      <c r="F56" s="2" t="s">
        <v>613</v>
      </c>
      <c r="G56" s="3"/>
      <c r="H56" s="3"/>
    </row>
    <row r="57" spans="1:8" x14ac:dyDescent="0.25">
      <c r="A57" s="109">
        <v>45008</v>
      </c>
      <c r="B57" s="2" t="s">
        <v>85</v>
      </c>
      <c r="C57" s="8" t="s">
        <v>740</v>
      </c>
      <c r="D57" s="2">
        <v>2</v>
      </c>
      <c r="E57" s="2" t="s">
        <v>611</v>
      </c>
      <c r="F57" s="2" t="s">
        <v>613</v>
      </c>
      <c r="G57" s="3"/>
      <c r="H57" s="3"/>
    </row>
    <row r="58" spans="1:8" x14ac:dyDescent="0.25">
      <c r="A58" s="109">
        <v>45008</v>
      </c>
      <c r="B58" s="2" t="s">
        <v>85</v>
      </c>
      <c r="C58" s="8" t="s">
        <v>598</v>
      </c>
      <c r="D58" s="2">
        <v>2</v>
      </c>
      <c r="E58" s="2" t="s">
        <v>611</v>
      </c>
      <c r="F58" s="2" t="s">
        <v>613</v>
      </c>
      <c r="G58" s="3"/>
      <c r="H58" s="3"/>
    </row>
    <row r="59" spans="1:8" x14ac:dyDescent="0.25">
      <c r="A59" s="109">
        <v>45008</v>
      </c>
      <c r="B59" s="2" t="s">
        <v>85</v>
      </c>
      <c r="C59" s="8" t="s">
        <v>606</v>
      </c>
      <c r="D59" s="2">
        <v>2</v>
      </c>
      <c r="E59" s="2" t="s">
        <v>611</v>
      </c>
      <c r="F59" s="2" t="s">
        <v>613</v>
      </c>
      <c r="G59" s="3"/>
      <c r="H59" s="3"/>
    </row>
    <row r="60" spans="1:8" x14ac:dyDescent="0.25">
      <c r="A60" s="109">
        <v>45008</v>
      </c>
      <c r="B60" s="2" t="s">
        <v>85</v>
      </c>
      <c r="C60" s="8" t="s">
        <v>607</v>
      </c>
      <c r="D60" s="2">
        <v>2</v>
      </c>
      <c r="E60" s="2" t="s">
        <v>611</v>
      </c>
      <c r="F60" s="2" t="s">
        <v>613</v>
      </c>
      <c r="G60" s="3"/>
      <c r="H60" s="3"/>
    </row>
    <row r="61" spans="1:8" x14ac:dyDescent="0.25">
      <c r="A61" s="109">
        <v>45008</v>
      </c>
      <c r="B61" s="2" t="s">
        <v>85</v>
      </c>
      <c r="C61" s="8" t="s">
        <v>739</v>
      </c>
      <c r="D61" s="2">
        <v>2</v>
      </c>
      <c r="E61" s="2" t="s">
        <v>611</v>
      </c>
      <c r="F61" s="2" t="s">
        <v>613</v>
      </c>
      <c r="G61" s="3"/>
      <c r="H61" s="3"/>
    </row>
    <row r="62" spans="1:8" x14ac:dyDescent="0.25">
      <c r="A62" s="108">
        <v>45205</v>
      </c>
      <c r="B62" s="107" t="s">
        <v>645</v>
      </c>
      <c r="C62" s="106" t="s">
        <v>603</v>
      </c>
      <c r="D62" s="107">
        <v>2</v>
      </c>
      <c r="E62" s="107" t="s">
        <v>2439</v>
      </c>
      <c r="F62" s="107" t="s">
        <v>613</v>
      </c>
      <c r="G62" s="107"/>
      <c r="H62" s="107"/>
    </row>
    <row r="63" spans="1:8" x14ac:dyDescent="0.25">
      <c r="A63" s="108">
        <v>45205</v>
      </c>
      <c r="B63" s="107" t="s">
        <v>645</v>
      </c>
      <c r="C63" s="106" t="s">
        <v>597</v>
      </c>
      <c r="D63" s="107">
        <v>2</v>
      </c>
      <c r="E63" s="107" t="s">
        <v>2439</v>
      </c>
      <c r="F63" s="107" t="s">
        <v>613</v>
      </c>
      <c r="G63" s="120" t="s">
        <v>736</v>
      </c>
      <c r="H63" s="107"/>
    </row>
    <row r="64" spans="1:8" x14ac:dyDescent="0.25">
      <c r="A64" s="108">
        <v>45205</v>
      </c>
      <c r="B64" s="107" t="s">
        <v>645</v>
      </c>
      <c r="C64" s="106" t="s">
        <v>840</v>
      </c>
      <c r="D64" s="107">
        <v>2</v>
      </c>
      <c r="E64" s="107" t="s">
        <v>2439</v>
      </c>
      <c r="F64" s="107" t="s">
        <v>613</v>
      </c>
      <c r="G64" s="120" t="s">
        <v>737</v>
      </c>
      <c r="H64" s="107"/>
    </row>
    <row r="65" spans="1:8" x14ac:dyDescent="0.25">
      <c r="A65" s="108">
        <v>45205</v>
      </c>
      <c r="B65" s="107" t="s">
        <v>645</v>
      </c>
      <c r="C65" s="106" t="s">
        <v>599</v>
      </c>
      <c r="D65" s="107">
        <v>2</v>
      </c>
      <c r="E65" s="107" t="s">
        <v>2439</v>
      </c>
      <c r="F65" s="107" t="s">
        <v>612</v>
      </c>
      <c r="G65" s="120" t="s">
        <v>738</v>
      </c>
      <c r="H65" s="107" t="s">
        <v>3925</v>
      </c>
    </row>
    <row r="66" spans="1:8" x14ac:dyDescent="0.25">
      <c r="A66" s="108">
        <v>45205</v>
      </c>
      <c r="B66" s="107" t="s">
        <v>645</v>
      </c>
      <c r="C66" s="106" t="s">
        <v>600</v>
      </c>
      <c r="D66" s="107">
        <v>2</v>
      </c>
      <c r="E66" s="107" t="s">
        <v>2439</v>
      </c>
      <c r="F66" s="107" t="s">
        <v>613</v>
      </c>
      <c r="G66" s="107"/>
      <c r="H66" s="107"/>
    </row>
    <row r="67" spans="1:8" x14ac:dyDescent="0.25">
      <c r="A67" s="108">
        <v>45205</v>
      </c>
      <c r="B67" s="107" t="s">
        <v>645</v>
      </c>
      <c r="C67" s="106" t="s">
        <v>741</v>
      </c>
      <c r="D67" s="107">
        <v>2</v>
      </c>
      <c r="E67" s="107" t="s">
        <v>2439</v>
      </c>
      <c r="F67" s="107" t="s">
        <v>613</v>
      </c>
      <c r="G67" s="107"/>
      <c r="H67" s="107"/>
    </row>
    <row r="68" spans="1:8" x14ac:dyDescent="0.25">
      <c r="A68" s="108">
        <v>45205</v>
      </c>
      <c r="B68" s="107" t="s">
        <v>645</v>
      </c>
      <c r="C68" s="106" t="s">
        <v>608</v>
      </c>
      <c r="D68" s="107">
        <v>2</v>
      </c>
      <c r="E68" s="107" t="s">
        <v>2439</v>
      </c>
      <c r="F68" s="107" t="s">
        <v>613</v>
      </c>
      <c r="G68" s="107"/>
      <c r="H68" s="107"/>
    </row>
    <row r="69" spans="1:8" x14ac:dyDescent="0.25">
      <c r="A69" s="108">
        <v>45205</v>
      </c>
      <c r="B69" s="107" t="s">
        <v>645</v>
      </c>
      <c r="C69" s="106" t="s">
        <v>601</v>
      </c>
      <c r="D69" s="107">
        <v>2</v>
      </c>
      <c r="E69" s="107" t="s">
        <v>2439</v>
      </c>
      <c r="F69" s="107" t="s">
        <v>613</v>
      </c>
      <c r="G69" s="107"/>
      <c r="H69" s="120"/>
    </row>
    <row r="70" spans="1:8" x14ac:dyDescent="0.25">
      <c r="A70" s="108">
        <v>45205</v>
      </c>
      <c r="B70" s="107" t="s">
        <v>645</v>
      </c>
      <c r="C70" s="106" t="s">
        <v>602</v>
      </c>
      <c r="D70" s="107">
        <v>2</v>
      </c>
      <c r="E70" s="107" t="s">
        <v>2439</v>
      </c>
      <c r="F70" s="107" t="s">
        <v>613</v>
      </c>
      <c r="G70" s="107"/>
      <c r="H70" s="107"/>
    </row>
    <row r="71" spans="1:8" x14ac:dyDescent="0.25">
      <c r="A71" s="108">
        <v>45205</v>
      </c>
      <c r="B71" s="107" t="s">
        <v>645</v>
      </c>
      <c r="C71" s="106" t="s">
        <v>609</v>
      </c>
      <c r="D71" s="107">
        <v>2</v>
      </c>
      <c r="E71" s="107" t="s">
        <v>2439</v>
      </c>
      <c r="F71" s="107" t="s">
        <v>613</v>
      </c>
      <c r="G71" s="107"/>
      <c r="H71" s="107"/>
    </row>
    <row r="72" spans="1:8" x14ac:dyDescent="0.25">
      <c r="A72" s="109">
        <v>45233</v>
      </c>
      <c r="B72" s="2" t="s">
        <v>85</v>
      </c>
      <c r="C72" s="8" t="s">
        <v>594</v>
      </c>
      <c r="D72" s="2">
        <v>2</v>
      </c>
      <c r="E72" s="2" t="s">
        <v>2005</v>
      </c>
      <c r="F72" s="2" t="s">
        <v>613</v>
      </c>
      <c r="G72" s="3"/>
      <c r="H72" s="3"/>
    </row>
    <row r="73" spans="1:8" x14ac:dyDescent="0.25">
      <c r="A73" s="109">
        <v>45233</v>
      </c>
      <c r="B73" s="2" t="s">
        <v>85</v>
      </c>
      <c r="C73" s="8" t="s">
        <v>595</v>
      </c>
      <c r="D73" s="2">
        <v>2</v>
      </c>
      <c r="E73" s="2" t="s">
        <v>2005</v>
      </c>
      <c r="F73" s="2" t="s">
        <v>613</v>
      </c>
      <c r="G73" s="3" t="s">
        <v>736</v>
      </c>
      <c r="H73" s="3"/>
    </row>
    <row r="74" spans="1:8" x14ac:dyDescent="0.25">
      <c r="A74" s="109">
        <v>45233</v>
      </c>
      <c r="B74" s="2" t="s">
        <v>85</v>
      </c>
      <c r="C74" s="8" t="s">
        <v>840</v>
      </c>
      <c r="D74" s="2">
        <v>2</v>
      </c>
      <c r="E74" s="2" t="s">
        <v>2005</v>
      </c>
      <c r="F74" s="2" t="s">
        <v>613</v>
      </c>
      <c r="G74" s="3" t="s">
        <v>737</v>
      </c>
      <c r="H74" s="3"/>
    </row>
    <row r="75" spans="1:8" x14ac:dyDescent="0.25">
      <c r="A75" s="109">
        <v>45233</v>
      </c>
      <c r="B75" s="2" t="s">
        <v>85</v>
      </c>
      <c r="C75" s="8" t="s">
        <v>596</v>
      </c>
      <c r="D75" s="2">
        <v>2</v>
      </c>
      <c r="E75" s="2" t="s">
        <v>2005</v>
      </c>
      <c r="F75" s="2" t="s">
        <v>613</v>
      </c>
      <c r="G75" s="3" t="s">
        <v>738</v>
      </c>
      <c r="H75" s="3" t="s">
        <v>2440</v>
      </c>
    </row>
    <row r="76" spans="1:8" x14ac:dyDescent="0.25">
      <c r="A76" s="109">
        <v>45233</v>
      </c>
      <c r="B76" s="2" t="s">
        <v>85</v>
      </c>
      <c r="C76" s="8" t="s">
        <v>731</v>
      </c>
      <c r="D76" s="2">
        <v>2</v>
      </c>
      <c r="E76" s="2" t="s">
        <v>2005</v>
      </c>
      <c r="F76" s="2" t="s">
        <v>613</v>
      </c>
      <c r="G76" s="3"/>
      <c r="H76" s="3"/>
    </row>
    <row r="77" spans="1:8" x14ac:dyDescent="0.25">
      <c r="A77" s="109">
        <v>45233</v>
      </c>
      <c r="B77" s="2" t="s">
        <v>85</v>
      </c>
      <c r="C77" s="8" t="s">
        <v>740</v>
      </c>
      <c r="D77" s="2">
        <v>2</v>
      </c>
      <c r="E77" s="2" t="s">
        <v>2005</v>
      </c>
      <c r="F77" s="2" t="s">
        <v>613</v>
      </c>
      <c r="G77" s="3"/>
      <c r="H77" s="3"/>
    </row>
    <row r="78" spans="1:8" x14ac:dyDescent="0.25">
      <c r="A78" s="109">
        <v>45233</v>
      </c>
      <c r="B78" s="2" t="s">
        <v>85</v>
      </c>
      <c r="C78" s="8" t="s">
        <v>598</v>
      </c>
      <c r="D78" s="2">
        <v>2</v>
      </c>
      <c r="E78" s="2" t="s">
        <v>2005</v>
      </c>
      <c r="F78" s="2" t="s">
        <v>613</v>
      </c>
      <c r="G78" s="3"/>
      <c r="H78" s="3"/>
    </row>
    <row r="79" spans="1:8" x14ac:dyDescent="0.25">
      <c r="A79" s="109">
        <v>45233</v>
      </c>
      <c r="B79" s="2" t="s">
        <v>85</v>
      </c>
      <c r="C79" s="8" t="s">
        <v>606</v>
      </c>
      <c r="D79" s="2">
        <v>2</v>
      </c>
      <c r="E79" s="2" t="s">
        <v>2005</v>
      </c>
      <c r="F79" s="2" t="s">
        <v>613</v>
      </c>
      <c r="G79" s="3"/>
      <c r="H79" s="3"/>
    </row>
    <row r="80" spans="1:8" x14ac:dyDescent="0.25">
      <c r="A80" s="109">
        <v>45233</v>
      </c>
      <c r="B80" s="2" t="s">
        <v>85</v>
      </c>
      <c r="C80" s="8" t="s">
        <v>607</v>
      </c>
      <c r="D80" s="2">
        <v>2</v>
      </c>
      <c r="E80" s="2" t="s">
        <v>2005</v>
      </c>
      <c r="F80" s="2" t="s">
        <v>613</v>
      </c>
      <c r="G80" s="3"/>
      <c r="H80" s="3"/>
    </row>
    <row r="81" spans="1:8" x14ac:dyDescent="0.25">
      <c r="A81" s="109">
        <v>45233</v>
      </c>
      <c r="B81" s="2" t="s">
        <v>85</v>
      </c>
      <c r="C81" s="8" t="s">
        <v>739</v>
      </c>
      <c r="D81" s="2">
        <v>2</v>
      </c>
      <c r="E81" s="2" t="s">
        <v>2005</v>
      </c>
      <c r="F81" s="2" t="s">
        <v>613</v>
      </c>
      <c r="G81" s="3"/>
      <c r="H81" s="3"/>
    </row>
    <row r="82" spans="1:8" x14ac:dyDescent="0.25">
      <c r="A82" s="108"/>
      <c r="B82" s="107" t="s">
        <v>645</v>
      </c>
      <c r="C82" s="106" t="s">
        <v>603</v>
      </c>
      <c r="D82" s="107">
        <v>2</v>
      </c>
      <c r="E82" s="107" t="s">
        <v>2439</v>
      </c>
      <c r="F82" s="107"/>
      <c r="G82" s="107"/>
      <c r="H82" s="107"/>
    </row>
    <row r="83" spans="1:8" x14ac:dyDescent="0.25">
      <c r="A83" s="108"/>
      <c r="B83" s="107" t="s">
        <v>645</v>
      </c>
      <c r="C83" s="106" t="s">
        <v>597</v>
      </c>
      <c r="D83" s="107">
        <v>2</v>
      </c>
      <c r="E83" s="107" t="s">
        <v>2439</v>
      </c>
      <c r="F83" s="107"/>
      <c r="G83" s="120"/>
      <c r="H83" s="107"/>
    </row>
    <row r="84" spans="1:8" x14ac:dyDescent="0.25">
      <c r="A84" s="108"/>
      <c r="B84" s="107" t="s">
        <v>645</v>
      </c>
      <c r="C84" s="106" t="s">
        <v>840</v>
      </c>
      <c r="D84" s="107">
        <v>2</v>
      </c>
      <c r="E84" s="107" t="s">
        <v>2439</v>
      </c>
      <c r="F84" s="107"/>
      <c r="G84" s="120"/>
      <c r="H84" s="107"/>
    </row>
    <row r="85" spans="1:8" x14ac:dyDescent="0.25">
      <c r="A85" s="108"/>
      <c r="B85" s="107" t="s">
        <v>645</v>
      </c>
      <c r="C85" s="106" t="s">
        <v>599</v>
      </c>
      <c r="D85" s="107">
        <v>2</v>
      </c>
      <c r="E85" s="107" t="s">
        <v>2439</v>
      </c>
      <c r="F85" s="107"/>
      <c r="G85" s="120"/>
      <c r="H85" s="107"/>
    </row>
    <row r="86" spans="1:8" x14ac:dyDescent="0.25">
      <c r="A86" s="108"/>
      <c r="B86" s="107" t="s">
        <v>645</v>
      </c>
      <c r="C86" s="106" t="s">
        <v>600</v>
      </c>
      <c r="D86" s="107">
        <v>2</v>
      </c>
      <c r="E86" s="107" t="s">
        <v>2439</v>
      </c>
      <c r="F86" s="107"/>
      <c r="G86" s="107"/>
      <c r="H86" s="107"/>
    </row>
    <row r="87" spans="1:8" x14ac:dyDescent="0.25">
      <c r="A87" s="108"/>
      <c r="B87" s="107" t="s">
        <v>645</v>
      </c>
      <c r="C87" s="106" t="s">
        <v>741</v>
      </c>
      <c r="D87" s="107">
        <v>2</v>
      </c>
      <c r="E87" s="107" t="s">
        <v>2439</v>
      </c>
      <c r="F87" s="107"/>
      <c r="G87" s="107"/>
      <c r="H87" s="107"/>
    </row>
    <row r="88" spans="1:8" x14ac:dyDescent="0.25">
      <c r="A88" s="108"/>
      <c r="B88" s="107" t="s">
        <v>645</v>
      </c>
      <c r="C88" s="106" t="s">
        <v>608</v>
      </c>
      <c r="D88" s="107">
        <v>2</v>
      </c>
      <c r="E88" s="107" t="s">
        <v>2439</v>
      </c>
      <c r="F88" s="107"/>
      <c r="G88" s="107"/>
      <c r="H88" s="107"/>
    </row>
    <row r="89" spans="1:8" x14ac:dyDescent="0.25">
      <c r="A89" s="108"/>
      <c r="B89" s="107" t="s">
        <v>645</v>
      </c>
      <c r="C89" s="106" t="s">
        <v>601</v>
      </c>
      <c r="D89" s="107">
        <v>2</v>
      </c>
      <c r="E89" s="107" t="s">
        <v>2439</v>
      </c>
      <c r="F89" s="107"/>
      <c r="G89" s="107"/>
      <c r="H89" s="120"/>
    </row>
    <row r="90" spans="1:8" x14ac:dyDescent="0.25">
      <c r="A90" s="108"/>
      <c r="B90" s="107" t="s">
        <v>645</v>
      </c>
      <c r="C90" s="106" t="s">
        <v>602</v>
      </c>
      <c r="D90" s="107">
        <v>2</v>
      </c>
      <c r="E90" s="107" t="s">
        <v>2439</v>
      </c>
      <c r="F90" s="107"/>
      <c r="G90" s="107"/>
      <c r="H90" s="107"/>
    </row>
    <row r="91" spans="1:8" x14ac:dyDescent="0.25">
      <c r="A91" s="108"/>
      <c r="B91" s="107" t="s">
        <v>645</v>
      </c>
      <c r="C91" s="106" t="s">
        <v>609</v>
      </c>
      <c r="D91" s="107">
        <v>2</v>
      </c>
      <c r="E91" s="107" t="s">
        <v>2439</v>
      </c>
      <c r="F91" s="107"/>
      <c r="G91" s="107"/>
      <c r="H91" s="107"/>
    </row>
    <row r="92" spans="1:8" x14ac:dyDescent="0.25">
      <c r="A92" s="109">
        <v>45123</v>
      </c>
      <c r="B92" s="2" t="s">
        <v>85</v>
      </c>
      <c r="C92" s="8" t="s">
        <v>594</v>
      </c>
      <c r="D92" s="2">
        <v>2</v>
      </c>
      <c r="E92" s="2" t="s">
        <v>2005</v>
      </c>
      <c r="F92" s="2"/>
      <c r="G92" s="3"/>
      <c r="H92" s="3"/>
    </row>
    <row r="93" spans="1:8" x14ac:dyDescent="0.25">
      <c r="A93" s="109">
        <v>45123</v>
      </c>
      <c r="B93" s="2" t="s">
        <v>85</v>
      </c>
      <c r="C93" s="8" t="s">
        <v>595</v>
      </c>
      <c r="D93" s="2">
        <v>2</v>
      </c>
      <c r="E93" s="2" t="s">
        <v>2005</v>
      </c>
      <c r="F93" s="2"/>
      <c r="G93" s="3" t="s">
        <v>736</v>
      </c>
      <c r="H93" s="3"/>
    </row>
    <row r="94" spans="1:8" x14ac:dyDescent="0.25">
      <c r="A94" s="109">
        <v>45123</v>
      </c>
      <c r="B94" s="2" t="s">
        <v>85</v>
      </c>
      <c r="C94" s="8" t="s">
        <v>840</v>
      </c>
      <c r="D94" s="2">
        <v>2</v>
      </c>
      <c r="E94" s="2" t="s">
        <v>2005</v>
      </c>
      <c r="F94" s="2"/>
      <c r="G94" s="3" t="s">
        <v>737</v>
      </c>
      <c r="H94" s="3"/>
    </row>
    <row r="95" spans="1:8" x14ac:dyDescent="0.25">
      <c r="A95" s="109">
        <v>45123</v>
      </c>
      <c r="B95" s="2" t="s">
        <v>85</v>
      </c>
      <c r="C95" s="8" t="s">
        <v>596</v>
      </c>
      <c r="D95" s="2">
        <v>2</v>
      </c>
      <c r="E95" s="2" t="s">
        <v>2005</v>
      </c>
      <c r="F95" s="2"/>
      <c r="G95" s="3" t="s">
        <v>738</v>
      </c>
      <c r="H95" s="3"/>
    </row>
    <row r="96" spans="1:8" x14ac:dyDescent="0.25">
      <c r="A96" s="109">
        <v>45123</v>
      </c>
      <c r="B96" s="2" t="s">
        <v>85</v>
      </c>
      <c r="C96" s="8" t="s">
        <v>731</v>
      </c>
      <c r="D96" s="2">
        <v>2</v>
      </c>
      <c r="E96" s="2" t="s">
        <v>2005</v>
      </c>
      <c r="F96" s="2"/>
      <c r="G96" s="3"/>
      <c r="H96" s="3"/>
    </row>
    <row r="97" spans="1:8" x14ac:dyDescent="0.25">
      <c r="A97" s="109">
        <v>45123</v>
      </c>
      <c r="B97" s="2" t="s">
        <v>85</v>
      </c>
      <c r="C97" s="8" t="s">
        <v>740</v>
      </c>
      <c r="D97" s="2">
        <v>2</v>
      </c>
      <c r="E97" s="2" t="s">
        <v>2005</v>
      </c>
      <c r="F97" s="2"/>
      <c r="G97" s="3"/>
      <c r="H97" s="3"/>
    </row>
    <row r="98" spans="1:8" x14ac:dyDescent="0.25">
      <c r="A98" s="109">
        <v>45123</v>
      </c>
      <c r="B98" s="2" t="s">
        <v>85</v>
      </c>
      <c r="C98" s="8" t="s">
        <v>598</v>
      </c>
      <c r="D98" s="2">
        <v>2</v>
      </c>
      <c r="E98" s="2" t="s">
        <v>2005</v>
      </c>
      <c r="F98" s="2"/>
      <c r="G98" s="3"/>
      <c r="H98" s="3"/>
    </row>
    <row r="99" spans="1:8" x14ac:dyDescent="0.25">
      <c r="A99" s="109">
        <v>45123</v>
      </c>
      <c r="B99" s="2" t="s">
        <v>85</v>
      </c>
      <c r="C99" s="8" t="s">
        <v>606</v>
      </c>
      <c r="D99" s="2">
        <v>2</v>
      </c>
      <c r="E99" s="2" t="s">
        <v>2005</v>
      </c>
      <c r="F99" s="2"/>
      <c r="G99" s="3"/>
      <c r="H99" s="3"/>
    </row>
    <row r="100" spans="1:8" x14ac:dyDescent="0.25">
      <c r="A100" s="109">
        <v>45123</v>
      </c>
      <c r="B100" s="2" t="s">
        <v>85</v>
      </c>
      <c r="C100" s="8" t="s">
        <v>607</v>
      </c>
      <c r="D100" s="2">
        <v>2</v>
      </c>
      <c r="E100" s="2" t="s">
        <v>2005</v>
      </c>
      <c r="F100" s="2"/>
      <c r="G100" s="3"/>
      <c r="H100" s="3" t="s">
        <v>4023</v>
      </c>
    </row>
    <row r="101" spans="1:8" x14ac:dyDescent="0.25">
      <c r="A101" s="109">
        <v>45123</v>
      </c>
      <c r="B101" s="2" t="s">
        <v>85</v>
      </c>
      <c r="C101" s="8" t="s">
        <v>739</v>
      </c>
      <c r="D101" s="2">
        <v>2</v>
      </c>
      <c r="E101" s="2" t="s">
        <v>2005</v>
      </c>
      <c r="F101" s="2"/>
      <c r="G101" s="3"/>
      <c r="H101" s="3"/>
    </row>
  </sheetData>
  <autoFilter ref="K1:O31" xr:uid="{EC77CB4F-11EC-4092-9136-8764BE72A08F}">
    <sortState xmlns:xlrd2="http://schemas.microsoft.com/office/spreadsheetml/2017/richdata2" ref="K2:O31">
      <sortCondition ref="K1:K31"/>
    </sortState>
  </autoFilter>
  <hyperlinks>
    <hyperlink ref="S6" r:id="rId1" xr:uid="{C9A0B65A-DFA1-4E53-BE35-79E7C8234BE5}"/>
    <hyperlink ref="S13" r:id="rId2" display="Key@4d4mC4p1t@l" xr:uid="{8312EFC8-ACEA-45D8-B009-4FA744D2EEF8}"/>
    <hyperlink ref="S8" r:id="rId3" xr:uid="{E604DEB0-5099-4467-B438-3851097BDE0F}"/>
    <hyperlink ref="S12" r:id="rId4" xr:uid="{36BB2F5E-1949-4A24-A015-94F74D3CE740}"/>
  </hyperlinks>
  <pageMargins left="0.7" right="0.7" top="0.75" bottom="0.75" header="0.3" footer="0.3"/>
  <pageSetup paperSize="9" orientation="portrait" r:id="rId5"/>
  <drawing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C16FA-7FE7-4B1B-8A2F-E68E29DEE8CE}">
  <sheetPr codeName="Sheet12">
    <tabColor theme="8"/>
  </sheetPr>
  <dimension ref="A1:O73"/>
  <sheetViews>
    <sheetView showGridLines="0" topLeftCell="XEB1" workbookViewId="0">
      <selection activeCell="XFD1" sqref="XFD1"/>
    </sheetView>
  </sheetViews>
  <sheetFormatPr defaultRowHeight="15" x14ac:dyDescent="0.25"/>
  <cols>
    <col min="1" max="1" width="7" bestFit="1" customWidth="1"/>
    <col min="2" max="2" width="7.28515625" customWidth="1"/>
    <col min="3" max="3" width="55.140625" bestFit="1" customWidth="1"/>
    <col min="4" max="4" width="15.85546875" style="27" bestFit="1" customWidth="1"/>
    <col min="5" max="5" width="34.5703125" bestFit="1" customWidth="1"/>
    <col min="6" max="6" width="10.28515625" bestFit="1" customWidth="1"/>
    <col min="7" max="7" width="15.85546875" style="27" bestFit="1" customWidth="1"/>
    <col min="14" max="14" width="35.42578125" bestFit="1" customWidth="1"/>
    <col min="15" max="15" width="93.140625" bestFit="1" customWidth="1"/>
  </cols>
  <sheetData>
    <row r="1" spans="1:15" x14ac:dyDescent="0.25">
      <c r="A1" s="114" t="s">
        <v>724</v>
      </c>
      <c r="B1" s="105" t="s">
        <v>663</v>
      </c>
      <c r="C1" s="105" t="s">
        <v>664</v>
      </c>
      <c r="D1" s="148" t="s">
        <v>665</v>
      </c>
      <c r="E1" s="105" t="s">
        <v>666</v>
      </c>
      <c r="F1" s="105" t="s">
        <v>11</v>
      </c>
      <c r="G1" s="148" t="s">
        <v>667</v>
      </c>
      <c r="H1" s="204" t="s">
        <v>2421</v>
      </c>
      <c r="N1" s="105" t="s">
        <v>720</v>
      </c>
      <c r="O1" s="105" t="s">
        <v>721</v>
      </c>
    </row>
    <row r="2" spans="1:15" x14ac:dyDescent="0.25">
      <c r="A2" s="8">
        <v>2022.2</v>
      </c>
      <c r="B2" s="8">
        <v>6246</v>
      </c>
      <c r="C2" s="8" t="s">
        <v>646</v>
      </c>
      <c r="D2" s="108" t="s">
        <v>668</v>
      </c>
      <c r="E2" s="8" t="s">
        <v>627</v>
      </c>
      <c r="F2" s="8" t="s">
        <v>669</v>
      </c>
      <c r="G2" s="108" t="s">
        <v>670</v>
      </c>
      <c r="H2" s="205" t="s">
        <v>613</v>
      </c>
      <c r="N2" s="8" t="s">
        <v>722</v>
      </c>
      <c r="O2" s="115" t="s">
        <v>725</v>
      </c>
    </row>
    <row r="3" spans="1:15" x14ac:dyDescent="0.25">
      <c r="A3" s="8">
        <v>2022.2</v>
      </c>
      <c r="B3" s="8">
        <v>6245</v>
      </c>
      <c r="C3" s="8" t="s">
        <v>647</v>
      </c>
      <c r="D3" s="108" t="s">
        <v>671</v>
      </c>
      <c r="E3" s="8" t="s">
        <v>189</v>
      </c>
      <c r="F3" s="8" t="s">
        <v>669</v>
      </c>
      <c r="G3" s="108" t="s">
        <v>748</v>
      </c>
      <c r="H3" s="205" t="s">
        <v>39</v>
      </c>
      <c r="N3" s="8" t="s">
        <v>722</v>
      </c>
      <c r="O3" s="115" t="s">
        <v>726</v>
      </c>
    </row>
    <row r="4" spans="1:15" x14ac:dyDescent="0.25">
      <c r="A4" s="8">
        <v>2022.2</v>
      </c>
      <c r="B4" s="8">
        <v>6243</v>
      </c>
      <c r="C4" s="8" t="s">
        <v>648</v>
      </c>
      <c r="D4" s="108" t="s">
        <v>673</v>
      </c>
      <c r="E4" s="8" t="s">
        <v>674</v>
      </c>
      <c r="F4" s="8" t="s">
        <v>669</v>
      </c>
      <c r="G4" s="108" t="s">
        <v>675</v>
      </c>
      <c r="H4" s="205" t="s">
        <v>613</v>
      </c>
      <c r="N4" s="8" t="s">
        <v>722</v>
      </c>
      <c r="O4" s="115" t="s">
        <v>727</v>
      </c>
    </row>
    <row r="5" spans="1:15" x14ac:dyDescent="0.25">
      <c r="A5" s="8">
        <v>2022.2</v>
      </c>
      <c r="B5" s="8">
        <v>6241</v>
      </c>
      <c r="C5" s="8" t="s">
        <v>649</v>
      </c>
      <c r="D5" s="108" t="s">
        <v>677</v>
      </c>
      <c r="E5" s="8" t="s">
        <v>678</v>
      </c>
      <c r="F5" s="8" t="s">
        <v>669</v>
      </c>
      <c r="G5" s="108" t="s">
        <v>679</v>
      </c>
      <c r="H5" s="205" t="s">
        <v>39</v>
      </c>
      <c r="N5" s="8" t="s">
        <v>722</v>
      </c>
      <c r="O5" s="115" t="s">
        <v>728</v>
      </c>
    </row>
    <row r="6" spans="1:15" x14ac:dyDescent="0.25">
      <c r="A6" s="8">
        <v>2022.2</v>
      </c>
      <c r="B6" s="8">
        <v>6240</v>
      </c>
      <c r="C6" s="8" t="s">
        <v>650</v>
      </c>
      <c r="D6" s="108" t="s">
        <v>680</v>
      </c>
      <c r="E6" s="8" t="s">
        <v>638</v>
      </c>
      <c r="F6" s="8" t="s">
        <v>669</v>
      </c>
      <c r="G6" s="108" t="s">
        <v>681</v>
      </c>
      <c r="H6" s="205" t="s">
        <v>613</v>
      </c>
      <c r="N6" s="8" t="s">
        <v>722</v>
      </c>
      <c r="O6" s="115" t="s">
        <v>729</v>
      </c>
    </row>
    <row r="7" spans="1:15" x14ac:dyDescent="0.25">
      <c r="A7" s="8">
        <v>2022.2</v>
      </c>
      <c r="B7" s="8">
        <v>6238</v>
      </c>
      <c r="C7" s="8" t="s">
        <v>651</v>
      </c>
      <c r="D7" s="108" t="s">
        <v>682</v>
      </c>
      <c r="E7" s="8" t="s">
        <v>683</v>
      </c>
      <c r="F7" s="8" t="s">
        <v>669</v>
      </c>
      <c r="G7" s="108" t="s">
        <v>677</v>
      </c>
      <c r="H7" s="205" t="s">
        <v>613</v>
      </c>
      <c r="N7" s="8" t="s">
        <v>722</v>
      </c>
      <c r="O7" s="115" t="s">
        <v>730</v>
      </c>
    </row>
    <row r="8" spans="1:15" x14ac:dyDescent="0.25">
      <c r="A8" s="8">
        <v>2022.2</v>
      </c>
      <c r="B8" s="8">
        <v>6237</v>
      </c>
      <c r="C8" s="8" t="s">
        <v>652</v>
      </c>
      <c r="D8" s="108" t="s">
        <v>684</v>
      </c>
      <c r="E8" s="8" t="s">
        <v>635</v>
      </c>
      <c r="F8" s="8" t="s">
        <v>669</v>
      </c>
      <c r="G8" s="108" t="s">
        <v>685</v>
      </c>
      <c r="H8" s="205" t="s">
        <v>613</v>
      </c>
      <c r="N8" s="8" t="s">
        <v>927</v>
      </c>
      <c r="O8" s="115" t="s">
        <v>725</v>
      </c>
    </row>
    <row r="9" spans="1:15" x14ac:dyDescent="0.25">
      <c r="A9" s="8">
        <v>2022.2</v>
      </c>
      <c r="B9" s="8">
        <v>6236</v>
      </c>
      <c r="C9" s="8" t="s">
        <v>653</v>
      </c>
      <c r="D9" s="108" t="s">
        <v>686</v>
      </c>
      <c r="E9" s="8" t="s">
        <v>687</v>
      </c>
      <c r="F9" s="8" t="s">
        <v>669</v>
      </c>
      <c r="G9" s="108" t="s">
        <v>791</v>
      </c>
      <c r="H9" s="205" t="s">
        <v>39</v>
      </c>
      <c r="N9" s="8" t="s">
        <v>927</v>
      </c>
      <c r="O9" s="115" t="s">
        <v>726</v>
      </c>
    </row>
    <row r="10" spans="1:15" x14ac:dyDescent="0.25">
      <c r="A10" s="8">
        <v>2022.2</v>
      </c>
      <c r="B10" s="8">
        <v>6234</v>
      </c>
      <c r="C10" s="8" t="s">
        <v>654</v>
      </c>
      <c r="D10" s="108" t="s">
        <v>688</v>
      </c>
      <c r="E10" s="8" t="s">
        <v>689</v>
      </c>
      <c r="F10" s="8" t="s">
        <v>669</v>
      </c>
      <c r="G10" s="108" t="s">
        <v>690</v>
      </c>
      <c r="H10" s="205" t="s">
        <v>613</v>
      </c>
      <c r="N10" s="8" t="s">
        <v>927</v>
      </c>
      <c r="O10" s="115" t="s">
        <v>727</v>
      </c>
    </row>
    <row r="11" spans="1:15" x14ac:dyDescent="0.25">
      <c r="A11" s="8">
        <v>2022.2</v>
      </c>
      <c r="B11" s="8">
        <v>6233</v>
      </c>
      <c r="C11" s="8" t="s">
        <v>655</v>
      </c>
      <c r="D11" s="108" t="s">
        <v>691</v>
      </c>
      <c r="E11" s="8" t="s">
        <v>692</v>
      </c>
      <c r="F11" s="8" t="s">
        <v>669</v>
      </c>
      <c r="G11" s="108" t="s">
        <v>693</v>
      </c>
      <c r="H11" s="205" t="s">
        <v>613</v>
      </c>
      <c r="N11" s="8" t="s">
        <v>927</v>
      </c>
      <c r="O11" s="115" t="s">
        <v>728</v>
      </c>
    </row>
    <row r="12" spans="1:15" x14ac:dyDescent="0.25">
      <c r="A12" s="8">
        <v>2022.2</v>
      </c>
      <c r="B12" s="8">
        <v>6232</v>
      </c>
      <c r="C12" s="8" t="s">
        <v>656</v>
      </c>
      <c r="D12" s="108" t="s">
        <v>694</v>
      </c>
      <c r="E12" s="8" t="s">
        <v>695</v>
      </c>
      <c r="F12" s="8" t="s">
        <v>669</v>
      </c>
      <c r="G12" s="108" t="s">
        <v>696</v>
      </c>
      <c r="H12" s="205" t="s">
        <v>613</v>
      </c>
      <c r="N12" s="8" t="s">
        <v>927</v>
      </c>
      <c r="O12" s="115" t="s">
        <v>729</v>
      </c>
    </row>
    <row r="13" spans="1:15" x14ac:dyDescent="0.25">
      <c r="A13" s="8">
        <v>2022.2</v>
      </c>
      <c r="B13" s="8">
        <v>6231</v>
      </c>
      <c r="C13" s="8" t="s">
        <v>657</v>
      </c>
      <c r="D13" s="108" t="s">
        <v>697</v>
      </c>
      <c r="E13" s="8" t="s">
        <v>186</v>
      </c>
      <c r="F13" s="8" t="s">
        <v>669</v>
      </c>
      <c r="G13" s="108" t="s">
        <v>672</v>
      </c>
      <c r="H13" s="205" t="s">
        <v>613</v>
      </c>
      <c r="N13" s="8" t="s">
        <v>927</v>
      </c>
      <c r="O13" s="115" t="s">
        <v>730</v>
      </c>
    </row>
    <row r="14" spans="1:15" x14ac:dyDescent="0.25">
      <c r="A14" s="8">
        <v>2022.2</v>
      </c>
      <c r="B14" s="8">
        <v>6230</v>
      </c>
      <c r="C14" s="8" t="s">
        <v>658</v>
      </c>
      <c r="D14" s="108" t="s">
        <v>698</v>
      </c>
      <c r="E14" s="8" t="s">
        <v>699</v>
      </c>
      <c r="F14" s="8" t="s">
        <v>669</v>
      </c>
      <c r="G14" s="108" t="s">
        <v>700</v>
      </c>
      <c r="H14" s="205" t="s">
        <v>39</v>
      </c>
      <c r="N14" s="8" t="s">
        <v>3619</v>
      </c>
      <c r="O14" s="115" t="s">
        <v>725</v>
      </c>
    </row>
    <row r="15" spans="1:15" x14ac:dyDescent="0.25">
      <c r="A15" s="8">
        <v>2022.2</v>
      </c>
      <c r="B15" s="8">
        <v>6229</v>
      </c>
      <c r="C15" s="8" t="s">
        <v>659</v>
      </c>
      <c r="D15" s="108" t="s">
        <v>701</v>
      </c>
      <c r="E15" s="8" t="s">
        <v>702</v>
      </c>
      <c r="F15" s="8" t="s">
        <v>669</v>
      </c>
      <c r="G15" s="108" t="s">
        <v>703</v>
      </c>
      <c r="H15" s="205" t="s">
        <v>613</v>
      </c>
      <c r="N15" s="8" t="s">
        <v>3619</v>
      </c>
      <c r="O15" s="115" t="s">
        <v>726</v>
      </c>
    </row>
    <row r="16" spans="1:15" x14ac:dyDescent="0.25">
      <c r="A16" s="8">
        <v>2022.2</v>
      </c>
      <c r="B16" s="8">
        <v>6228</v>
      </c>
      <c r="C16" s="8" t="s">
        <v>660</v>
      </c>
      <c r="D16" s="108" t="s">
        <v>704</v>
      </c>
      <c r="E16" s="8" t="s">
        <v>177</v>
      </c>
      <c r="F16" s="8" t="s">
        <v>669</v>
      </c>
      <c r="G16" s="108" t="s">
        <v>705</v>
      </c>
      <c r="H16" s="205" t="s">
        <v>613</v>
      </c>
      <c r="N16" s="8" t="s">
        <v>3619</v>
      </c>
      <c r="O16" s="115" t="s">
        <v>727</v>
      </c>
    </row>
    <row r="17" spans="1:15" x14ac:dyDescent="0.25">
      <c r="A17" s="8">
        <v>2022.2</v>
      </c>
      <c r="B17" s="8">
        <v>6227</v>
      </c>
      <c r="C17" s="8" t="s">
        <v>661</v>
      </c>
      <c r="D17" s="108" t="s">
        <v>706</v>
      </c>
      <c r="E17" s="8" t="s">
        <v>707</v>
      </c>
      <c r="F17" s="8" t="s">
        <v>669</v>
      </c>
      <c r="G17" s="108" t="s">
        <v>708</v>
      </c>
      <c r="H17" s="205" t="s">
        <v>39</v>
      </c>
      <c r="N17" s="8" t="s">
        <v>3619</v>
      </c>
      <c r="O17" s="115" t="s">
        <v>728</v>
      </c>
    </row>
    <row r="18" spans="1:15" x14ac:dyDescent="0.25">
      <c r="A18" s="8">
        <v>2022.2</v>
      </c>
      <c r="B18" s="8">
        <v>6225</v>
      </c>
      <c r="C18" s="8" t="s">
        <v>719</v>
      </c>
      <c r="D18" s="108" t="s">
        <v>709</v>
      </c>
      <c r="E18" s="8" t="s">
        <v>176</v>
      </c>
      <c r="F18" s="8" t="s">
        <v>669</v>
      </c>
      <c r="G18" s="108" t="s">
        <v>735</v>
      </c>
      <c r="H18" s="205" t="s">
        <v>613</v>
      </c>
      <c r="N18" s="8" t="s">
        <v>3619</v>
      </c>
      <c r="O18" s="115" t="s">
        <v>729</v>
      </c>
    </row>
    <row r="19" spans="1:15" x14ac:dyDescent="0.25">
      <c r="A19" s="8">
        <v>2022.2</v>
      </c>
      <c r="B19" s="8">
        <v>6204</v>
      </c>
      <c r="C19" s="8" t="s">
        <v>662</v>
      </c>
      <c r="D19" s="108" t="s">
        <v>710</v>
      </c>
      <c r="E19" s="8" t="s">
        <v>334</v>
      </c>
      <c r="F19" s="8" t="s">
        <v>669</v>
      </c>
      <c r="G19" s="108" t="s">
        <v>711</v>
      </c>
      <c r="H19" s="205" t="s">
        <v>39</v>
      </c>
      <c r="N19" s="8" t="s">
        <v>3619</v>
      </c>
      <c r="O19" s="115" t="s">
        <v>730</v>
      </c>
    </row>
    <row r="20" spans="1:15" x14ac:dyDescent="0.25">
      <c r="A20" s="8">
        <v>2022.2</v>
      </c>
      <c r="B20" s="8">
        <v>5873</v>
      </c>
      <c r="C20" s="8" t="s">
        <v>723</v>
      </c>
      <c r="D20" s="108" t="s">
        <v>712</v>
      </c>
      <c r="E20" s="8" t="s">
        <v>713</v>
      </c>
      <c r="F20" s="8" t="s">
        <v>669</v>
      </c>
      <c r="G20" s="108" t="s">
        <v>714</v>
      </c>
      <c r="H20" s="205" t="s">
        <v>39</v>
      </c>
    </row>
    <row r="21" spans="1:15" x14ac:dyDescent="0.25">
      <c r="A21" s="8">
        <v>2022.2</v>
      </c>
      <c r="B21" s="8">
        <v>5866</v>
      </c>
      <c r="C21" s="8" t="s">
        <v>718</v>
      </c>
      <c r="D21" s="108" t="s">
        <v>715</v>
      </c>
      <c r="E21" s="8" t="s">
        <v>716</v>
      </c>
      <c r="F21" s="8" t="s">
        <v>669</v>
      </c>
      <c r="G21" s="108" t="s">
        <v>717</v>
      </c>
      <c r="H21" s="205" t="s">
        <v>613</v>
      </c>
    </row>
    <row r="22" spans="1:15" x14ac:dyDescent="0.25">
      <c r="A22" s="8">
        <v>2022.2</v>
      </c>
      <c r="B22" s="8">
        <v>5866</v>
      </c>
      <c r="C22" s="8" t="s">
        <v>835</v>
      </c>
      <c r="D22" s="108" t="s">
        <v>715</v>
      </c>
      <c r="E22" s="8" t="s">
        <v>834</v>
      </c>
      <c r="F22" s="8" t="s">
        <v>669</v>
      </c>
      <c r="G22" s="108">
        <v>44724.506249999999</v>
      </c>
      <c r="H22" s="205" t="s">
        <v>613</v>
      </c>
    </row>
    <row r="23" spans="1:15" x14ac:dyDescent="0.25">
      <c r="A23" s="8">
        <v>2023</v>
      </c>
      <c r="B23" s="8">
        <v>7369</v>
      </c>
      <c r="C23" s="8" t="s">
        <v>870</v>
      </c>
      <c r="D23" s="108" t="s">
        <v>871</v>
      </c>
      <c r="E23" s="8" t="s">
        <v>834</v>
      </c>
      <c r="F23" s="8" t="s">
        <v>669</v>
      </c>
      <c r="G23" s="108" t="s">
        <v>872</v>
      </c>
      <c r="H23" s="205" t="s">
        <v>613</v>
      </c>
    </row>
    <row r="24" spans="1:15" x14ac:dyDescent="0.25">
      <c r="A24" s="8">
        <v>2023</v>
      </c>
      <c r="B24" s="8">
        <v>7349</v>
      </c>
      <c r="C24" s="8" t="s">
        <v>873</v>
      </c>
      <c r="D24" s="108" t="s">
        <v>874</v>
      </c>
      <c r="E24" s="8" t="s">
        <v>842</v>
      </c>
      <c r="F24" s="8" t="s">
        <v>669</v>
      </c>
      <c r="G24" s="108" t="s">
        <v>875</v>
      </c>
      <c r="H24" s="205" t="s">
        <v>613</v>
      </c>
    </row>
    <row r="25" spans="1:15" x14ac:dyDescent="0.25">
      <c r="A25" s="8">
        <v>2023</v>
      </c>
      <c r="B25" s="8">
        <v>7346</v>
      </c>
      <c r="C25" s="8" t="s">
        <v>876</v>
      </c>
      <c r="D25" s="108" t="s">
        <v>877</v>
      </c>
      <c r="E25" s="8" t="s">
        <v>176</v>
      </c>
      <c r="F25" s="8" t="s">
        <v>669</v>
      </c>
      <c r="G25" s="108" t="s">
        <v>2479</v>
      </c>
      <c r="H25" s="205" t="s">
        <v>613</v>
      </c>
    </row>
    <row r="26" spans="1:15" x14ac:dyDescent="0.25">
      <c r="A26" s="8">
        <v>2023</v>
      </c>
      <c r="B26" s="8">
        <v>7354</v>
      </c>
      <c r="C26" s="8" t="s">
        <v>878</v>
      </c>
      <c r="D26" s="108" t="s">
        <v>879</v>
      </c>
      <c r="E26" s="8" t="s">
        <v>177</v>
      </c>
      <c r="F26" s="8" t="s">
        <v>669</v>
      </c>
      <c r="G26" s="108" t="s">
        <v>880</v>
      </c>
      <c r="H26" s="205" t="s">
        <v>613</v>
      </c>
    </row>
    <row r="27" spans="1:15" x14ac:dyDescent="0.25">
      <c r="A27" s="8">
        <v>2023</v>
      </c>
      <c r="B27" s="8">
        <v>7366</v>
      </c>
      <c r="C27" s="8" t="s">
        <v>881</v>
      </c>
      <c r="D27" s="108" t="s">
        <v>882</v>
      </c>
      <c r="E27" s="8" t="s">
        <v>702</v>
      </c>
      <c r="F27" s="8" t="s">
        <v>669</v>
      </c>
      <c r="G27" s="108" t="s">
        <v>1051</v>
      </c>
      <c r="H27" s="205" t="s">
        <v>613</v>
      </c>
    </row>
    <row r="28" spans="1:15" x14ac:dyDescent="0.25">
      <c r="A28" s="8">
        <v>2023</v>
      </c>
      <c r="B28" s="8">
        <v>7378</v>
      </c>
      <c r="C28" s="8" t="s">
        <v>883</v>
      </c>
      <c r="D28" s="108" t="s">
        <v>884</v>
      </c>
      <c r="E28" s="8" t="s">
        <v>699</v>
      </c>
      <c r="F28" s="8" t="s">
        <v>669</v>
      </c>
      <c r="G28" s="108" t="s">
        <v>885</v>
      </c>
      <c r="H28" s="205" t="s">
        <v>39</v>
      </c>
    </row>
    <row r="29" spans="1:15" x14ac:dyDescent="0.25">
      <c r="A29" s="8">
        <v>2023</v>
      </c>
      <c r="B29" s="8">
        <v>7382</v>
      </c>
      <c r="C29" s="8" t="s">
        <v>886</v>
      </c>
      <c r="D29" s="108" t="s">
        <v>887</v>
      </c>
      <c r="E29" s="8" t="s">
        <v>334</v>
      </c>
      <c r="F29" s="8" t="s">
        <v>669</v>
      </c>
      <c r="G29" s="108" t="s">
        <v>888</v>
      </c>
      <c r="H29" s="205" t="s">
        <v>39</v>
      </c>
    </row>
    <row r="30" spans="1:15" x14ac:dyDescent="0.25">
      <c r="A30" s="8">
        <v>2023</v>
      </c>
      <c r="B30" s="8">
        <v>7347</v>
      </c>
      <c r="C30" s="8" t="s">
        <v>889</v>
      </c>
      <c r="D30" s="108" t="s">
        <v>890</v>
      </c>
      <c r="E30" s="8" t="s">
        <v>186</v>
      </c>
      <c r="F30" s="8" t="s">
        <v>669</v>
      </c>
      <c r="G30" s="108">
        <v>45246</v>
      </c>
      <c r="H30" s="205" t="s">
        <v>613</v>
      </c>
    </row>
    <row r="31" spans="1:15" x14ac:dyDescent="0.25">
      <c r="A31" s="8">
        <v>2023</v>
      </c>
      <c r="B31" s="8">
        <v>7383</v>
      </c>
      <c r="C31" s="8" t="s">
        <v>891</v>
      </c>
      <c r="D31" s="108" t="s">
        <v>892</v>
      </c>
      <c r="E31" s="8" t="s">
        <v>695</v>
      </c>
      <c r="F31" s="8" t="s">
        <v>669</v>
      </c>
      <c r="G31" s="108" t="s">
        <v>893</v>
      </c>
      <c r="H31" s="205" t="s">
        <v>613</v>
      </c>
    </row>
    <row r="32" spans="1:15" x14ac:dyDescent="0.25">
      <c r="A32" s="8">
        <v>2023</v>
      </c>
      <c r="B32" s="8">
        <v>7385</v>
      </c>
      <c r="C32" s="8" t="s">
        <v>894</v>
      </c>
      <c r="D32" s="108" t="s">
        <v>895</v>
      </c>
      <c r="E32" s="8" t="s">
        <v>692</v>
      </c>
      <c r="F32" s="8" t="s">
        <v>669</v>
      </c>
      <c r="G32" s="108" t="s">
        <v>896</v>
      </c>
      <c r="H32" s="205" t="s">
        <v>613</v>
      </c>
    </row>
    <row r="33" spans="1:8" x14ac:dyDescent="0.25">
      <c r="A33" s="8">
        <v>2023</v>
      </c>
      <c r="B33" s="8">
        <v>7381</v>
      </c>
      <c r="C33" s="8" t="s">
        <v>897</v>
      </c>
      <c r="D33" s="108" t="s">
        <v>898</v>
      </c>
      <c r="E33" s="8" t="s">
        <v>687</v>
      </c>
      <c r="F33" s="8" t="s">
        <v>669</v>
      </c>
      <c r="G33" s="108" t="s">
        <v>893</v>
      </c>
      <c r="H33" s="205" t="s">
        <v>39</v>
      </c>
    </row>
    <row r="34" spans="1:8" x14ac:dyDescent="0.25">
      <c r="A34" s="8">
        <v>2023</v>
      </c>
      <c r="B34" s="8">
        <v>7379</v>
      </c>
      <c r="C34" s="8" t="s">
        <v>899</v>
      </c>
      <c r="D34" s="108" t="s">
        <v>900</v>
      </c>
      <c r="E34" s="8" t="s">
        <v>635</v>
      </c>
      <c r="F34" s="8" t="s">
        <v>669</v>
      </c>
      <c r="G34" s="108" t="s">
        <v>901</v>
      </c>
      <c r="H34" s="205" t="s">
        <v>613</v>
      </c>
    </row>
    <row r="35" spans="1:8" x14ac:dyDescent="0.25">
      <c r="A35" s="8">
        <v>2023</v>
      </c>
      <c r="B35" s="8">
        <v>7384</v>
      </c>
      <c r="C35" s="8" t="s">
        <v>902</v>
      </c>
      <c r="D35" s="108" t="s">
        <v>903</v>
      </c>
      <c r="E35" s="8" t="s">
        <v>683</v>
      </c>
      <c r="F35" s="8" t="s">
        <v>669</v>
      </c>
      <c r="G35" s="108" t="s">
        <v>903</v>
      </c>
      <c r="H35" s="205" t="s">
        <v>613</v>
      </c>
    </row>
    <row r="36" spans="1:8" x14ac:dyDescent="0.25">
      <c r="A36" s="8">
        <v>2023</v>
      </c>
      <c r="B36" s="8">
        <v>7367</v>
      </c>
      <c r="C36" s="8" t="s">
        <v>904</v>
      </c>
      <c r="D36" s="108" t="s">
        <v>905</v>
      </c>
      <c r="E36" s="8" t="s">
        <v>854</v>
      </c>
      <c r="F36" s="8" t="s">
        <v>669</v>
      </c>
      <c r="G36" s="108" t="s">
        <v>906</v>
      </c>
      <c r="H36" s="205" t="s">
        <v>613</v>
      </c>
    </row>
    <row r="37" spans="1:8" x14ac:dyDescent="0.25">
      <c r="A37" s="8">
        <v>2023</v>
      </c>
      <c r="B37" s="8">
        <v>7372</v>
      </c>
      <c r="C37" s="8" t="s">
        <v>907</v>
      </c>
      <c r="D37" s="108" t="s">
        <v>908</v>
      </c>
      <c r="E37" s="8" t="s">
        <v>638</v>
      </c>
      <c r="F37" s="8" t="s">
        <v>669</v>
      </c>
      <c r="G37" s="108" t="s">
        <v>672</v>
      </c>
      <c r="H37" s="205" t="s">
        <v>613</v>
      </c>
    </row>
    <row r="38" spans="1:8" x14ac:dyDescent="0.25">
      <c r="A38" s="8">
        <v>2023</v>
      </c>
      <c r="B38" s="8">
        <v>7380</v>
      </c>
      <c r="C38" s="8" t="s">
        <v>909</v>
      </c>
      <c r="D38" s="108" t="s">
        <v>910</v>
      </c>
      <c r="E38" s="8" t="s">
        <v>678</v>
      </c>
      <c r="F38" s="8" t="s">
        <v>669</v>
      </c>
      <c r="G38" s="108" t="s">
        <v>895</v>
      </c>
      <c r="H38" s="205" t="s">
        <v>39</v>
      </c>
    </row>
    <row r="39" spans="1:8" x14ac:dyDescent="0.25">
      <c r="A39" s="8">
        <v>2023</v>
      </c>
      <c r="B39" s="8">
        <v>7361</v>
      </c>
      <c r="C39" s="8" t="s">
        <v>911</v>
      </c>
      <c r="D39" s="108" t="s">
        <v>912</v>
      </c>
      <c r="E39" s="8" t="s">
        <v>676</v>
      </c>
      <c r="F39" s="8" t="s">
        <v>669</v>
      </c>
      <c r="G39" s="108">
        <v>45114.46597222222</v>
      </c>
      <c r="H39" s="205" t="s">
        <v>613</v>
      </c>
    </row>
    <row r="40" spans="1:8" x14ac:dyDescent="0.25">
      <c r="A40" s="8">
        <v>2023</v>
      </c>
      <c r="B40" s="8">
        <v>7364</v>
      </c>
      <c r="C40" s="8" t="s">
        <v>913</v>
      </c>
      <c r="D40" s="108" t="s">
        <v>914</v>
      </c>
      <c r="E40" s="8" t="s">
        <v>716</v>
      </c>
      <c r="F40" s="8" t="s">
        <v>669</v>
      </c>
      <c r="G40" s="108" t="s">
        <v>915</v>
      </c>
      <c r="H40" s="205" t="s">
        <v>613</v>
      </c>
    </row>
    <row r="41" spans="1:8" x14ac:dyDescent="0.25">
      <c r="A41" s="8">
        <v>2023</v>
      </c>
      <c r="B41" s="8">
        <v>7360</v>
      </c>
      <c r="C41" s="8" t="s">
        <v>916</v>
      </c>
      <c r="D41" s="108" t="s">
        <v>917</v>
      </c>
      <c r="E41" s="8" t="s">
        <v>674</v>
      </c>
      <c r="F41" s="8" t="s">
        <v>669</v>
      </c>
      <c r="G41" s="108" t="s">
        <v>918</v>
      </c>
      <c r="H41" s="205" t="s">
        <v>613</v>
      </c>
    </row>
    <row r="42" spans="1:8" x14ac:dyDescent="0.25">
      <c r="A42" s="8">
        <v>2023</v>
      </c>
      <c r="B42" s="8">
        <v>7359</v>
      </c>
      <c r="C42" s="8" t="s">
        <v>919</v>
      </c>
      <c r="D42" s="108" t="s">
        <v>920</v>
      </c>
      <c r="E42" s="8" t="s">
        <v>390</v>
      </c>
      <c r="F42" s="8" t="s">
        <v>669</v>
      </c>
      <c r="G42" s="108">
        <v>45114.46597222222</v>
      </c>
      <c r="H42" s="205" t="s">
        <v>613</v>
      </c>
    </row>
    <row r="43" spans="1:8" x14ac:dyDescent="0.25">
      <c r="A43" s="8">
        <v>2023</v>
      </c>
      <c r="B43" s="8">
        <v>7348</v>
      </c>
      <c r="C43" s="8" t="s">
        <v>921</v>
      </c>
      <c r="D43" s="108" t="s">
        <v>922</v>
      </c>
      <c r="E43" s="8" t="s">
        <v>189</v>
      </c>
      <c r="F43" s="8" t="s">
        <v>669</v>
      </c>
      <c r="G43" s="108" t="s">
        <v>923</v>
      </c>
      <c r="H43" s="205" t="s">
        <v>613</v>
      </c>
    </row>
    <row r="44" spans="1:8" x14ac:dyDescent="0.25">
      <c r="A44" s="8">
        <v>2023</v>
      </c>
      <c r="B44" s="8">
        <v>7368</v>
      </c>
      <c r="C44" s="8" t="s">
        <v>924</v>
      </c>
      <c r="D44" s="108" t="s">
        <v>925</v>
      </c>
      <c r="E44" s="8" t="s">
        <v>627</v>
      </c>
      <c r="F44" s="8" t="s">
        <v>669</v>
      </c>
      <c r="G44" s="108" t="s">
        <v>926</v>
      </c>
      <c r="H44" s="205" t="s">
        <v>613</v>
      </c>
    </row>
    <row r="45" spans="1:8" x14ac:dyDescent="0.25">
      <c r="A45" s="8">
        <v>2023</v>
      </c>
      <c r="B45" s="8">
        <v>9194</v>
      </c>
      <c r="C45" s="8" t="s">
        <v>1261</v>
      </c>
      <c r="D45" s="108" t="s">
        <v>1262</v>
      </c>
      <c r="E45" s="8" t="s">
        <v>1057</v>
      </c>
      <c r="F45" s="8" t="s">
        <v>669</v>
      </c>
      <c r="G45" s="108" t="s">
        <v>1263</v>
      </c>
      <c r="H45" s="205" t="s">
        <v>39</v>
      </c>
    </row>
    <row r="46" spans="1:8" x14ac:dyDescent="0.25">
      <c r="A46" s="8">
        <v>2023</v>
      </c>
      <c r="B46" s="8">
        <v>9240</v>
      </c>
      <c r="C46" s="8" t="s">
        <v>1264</v>
      </c>
      <c r="D46" s="108" t="s">
        <v>1265</v>
      </c>
      <c r="E46" s="8" t="s">
        <v>1156</v>
      </c>
      <c r="F46" s="8" t="s">
        <v>669</v>
      </c>
      <c r="G46" s="108" t="s">
        <v>1266</v>
      </c>
      <c r="H46" s="205" t="s">
        <v>613</v>
      </c>
    </row>
    <row r="47" spans="1:8" x14ac:dyDescent="0.25">
      <c r="A47" s="8">
        <v>2023</v>
      </c>
      <c r="B47" s="8">
        <v>9485</v>
      </c>
      <c r="C47" s="8" t="s">
        <v>1259</v>
      </c>
      <c r="D47" s="108">
        <v>45239.3125</v>
      </c>
      <c r="E47" s="8" t="s">
        <v>1260</v>
      </c>
      <c r="F47" s="8" t="s">
        <v>669</v>
      </c>
      <c r="G47" s="108">
        <v>45239.3125</v>
      </c>
      <c r="H47" s="205" t="s">
        <v>613</v>
      </c>
    </row>
    <row r="48" spans="1:8" x14ac:dyDescent="0.25">
      <c r="A48" s="8">
        <v>2023</v>
      </c>
      <c r="B48" s="8">
        <v>179474</v>
      </c>
      <c r="C48" s="8" t="s">
        <v>1764</v>
      </c>
      <c r="D48" s="108" t="s">
        <v>1701</v>
      </c>
      <c r="E48" s="8" t="s">
        <v>1705</v>
      </c>
      <c r="F48" s="8" t="s">
        <v>669</v>
      </c>
      <c r="G48" s="108" t="s">
        <v>1701</v>
      </c>
      <c r="H48" s="205" t="s">
        <v>613</v>
      </c>
    </row>
    <row r="49" spans="1:8" x14ac:dyDescent="0.25">
      <c r="A49" s="8">
        <v>2023</v>
      </c>
      <c r="B49" s="8">
        <v>128941</v>
      </c>
      <c r="C49" s="8" t="s">
        <v>2062</v>
      </c>
      <c r="D49" s="108" t="s">
        <v>2063</v>
      </c>
      <c r="E49" s="8" t="s">
        <v>390</v>
      </c>
      <c r="F49" s="8" t="s">
        <v>669</v>
      </c>
      <c r="G49" s="108" t="s">
        <v>2063</v>
      </c>
      <c r="H49" s="205" t="s">
        <v>613</v>
      </c>
    </row>
    <row r="50" spans="1:8" x14ac:dyDescent="0.25">
      <c r="A50" s="8">
        <v>2023</v>
      </c>
      <c r="B50" s="8">
        <v>128949</v>
      </c>
      <c r="C50" s="8" t="s">
        <v>2064</v>
      </c>
      <c r="D50" s="108" t="s">
        <v>2065</v>
      </c>
      <c r="E50" s="8" t="s">
        <v>676</v>
      </c>
      <c r="F50" s="8" t="s">
        <v>669</v>
      </c>
      <c r="G50" s="108" t="s">
        <v>2065</v>
      </c>
      <c r="H50" s="205" t="s">
        <v>613</v>
      </c>
    </row>
    <row r="51" spans="1:8" x14ac:dyDescent="0.25">
      <c r="A51" s="8">
        <v>2023</v>
      </c>
      <c r="B51" s="8">
        <v>179474</v>
      </c>
      <c r="C51" s="8" t="s">
        <v>2443</v>
      </c>
      <c r="D51" s="108">
        <v>45088</v>
      </c>
      <c r="E51" s="8" t="s">
        <v>2444</v>
      </c>
      <c r="F51" s="8" t="s">
        <v>669</v>
      </c>
      <c r="G51" s="108">
        <v>45088</v>
      </c>
      <c r="H51" s="205" t="s">
        <v>613</v>
      </c>
    </row>
    <row r="52" spans="1:8" x14ac:dyDescent="0.25">
      <c r="A52" s="8">
        <v>2023</v>
      </c>
      <c r="B52" s="8">
        <v>136373</v>
      </c>
      <c r="C52" s="8" t="s">
        <v>2481</v>
      </c>
      <c r="D52" s="108" t="s">
        <v>2482</v>
      </c>
      <c r="E52" s="8" t="s">
        <v>2480</v>
      </c>
      <c r="F52" s="8" t="s">
        <v>669</v>
      </c>
      <c r="G52" s="108" t="s">
        <v>2483</v>
      </c>
      <c r="H52" s="205" t="s">
        <v>39</v>
      </c>
    </row>
    <row r="53" spans="1:8" x14ac:dyDescent="0.25">
      <c r="A53" s="262">
        <v>2024</v>
      </c>
      <c r="B53" s="262">
        <v>217467</v>
      </c>
      <c r="C53" s="262" t="s">
        <v>3732</v>
      </c>
      <c r="D53" s="265" t="s">
        <v>3793</v>
      </c>
      <c r="E53" s="262" t="s">
        <v>3791</v>
      </c>
      <c r="F53" s="262" t="s">
        <v>669</v>
      </c>
      <c r="G53" s="263" t="s">
        <v>3788</v>
      </c>
      <c r="H53" s="264" t="s">
        <v>613</v>
      </c>
    </row>
    <row r="54" spans="1:8" x14ac:dyDescent="0.25">
      <c r="A54" s="262">
        <v>2024</v>
      </c>
      <c r="B54" s="262">
        <v>213279</v>
      </c>
      <c r="C54" s="262" t="s">
        <v>3786</v>
      </c>
      <c r="D54" s="265">
        <v>45341</v>
      </c>
      <c r="E54" s="262" t="s">
        <v>3792</v>
      </c>
      <c r="F54" s="262" t="s">
        <v>669</v>
      </c>
      <c r="G54" s="263" t="s">
        <v>3789</v>
      </c>
      <c r="H54" s="264" t="s">
        <v>613</v>
      </c>
    </row>
    <row r="55" spans="1:8" x14ac:dyDescent="0.25">
      <c r="A55" s="262">
        <v>2024</v>
      </c>
      <c r="B55" s="262">
        <v>211208</v>
      </c>
      <c r="C55" s="262" t="s">
        <v>3787</v>
      </c>
      <c r="D55" s="265">
        <v>45327</v>
      </c>
      <c r="E55" s="262" t="s">
        <v>3618</v>
      </c>
      <c r="F55" s="262" t="s">
        <v>669</v>
      </c>
      <c r="G55" s="263" t="s">
        <v>3790</v>
      </c>
      <c r="H55" s="264" t="s">
        <v>613</v>
      </c>
    </row>
    <row r="56" spans="1:8" x14ac:dyDescent="0.25">
      <c r="A56" s="262">
        <v>2024</v>
      </c>
      <c r="B56" s="262"/>
      <c r="C56" s="262" t="s">
        <v>3926</v>
      </c>
      <c r="D56" s="265">
        <v>45440</v>
      </c>
      <c r="E56" s="262" t="s">
        <v>3927</v>
      </c>
      <c r="F56" s="262" t="s">
        <v>669</v>
      </c>
      <c r="G56" s="263">
        <v>45440</v>
      </c>
      <c r="H56" s="264" t="s">
        <v>613</v>
      </c>
    </row>
    <row r="57" spans="1:8" x14ac:dyDescent="0.25">
      <c r="A57" s="262">
        <v>2024</v>
      </c>
      <c r="B57" s="262">
        <v>6246</v>
      </c>
      <c r="C57" s="262" t="s">
        <v>3928</v>
      </c>
      <c r="D57" s="265">
        <v>45418</v>
      </c>
      <c r="E57" s="262" t="s">
        <v>627</v>
      </c>
      <c r="F57" s="262" t="s">
        <v>669</v>
      </c>
      <c r="G57" s="265">
        <v>45418</v>
      </c>
      <c r="H57" s="264" t="s">
        <v>613</v>
      </c>
    </row>
    <row r="58" spans="1:8" x14ac:dyDescent="0.25">
      <c r="A58" s="262">
        <v>2024</v>
      </c>
      <c r="B58" s="262">
        <v>6245</v>
      </c>
      <c r="C58" s="262" t="s">
        <v>3929</v>
      </c>
      <c r="D58" s="265">
        <v>45449</v>
      </c>
      <c r="E58" s="262" t="s">
        <v>189</v>
      </c>
      <c r="F58" s="262" t="s">
        <v>669</v>
      </c>
      <c r="G58" s="265">
        <v>45449</v>
      </c>
      <c r="H58" s="264" t="s">
        <v>613</v>
      </c>
    </row>
    <row r="59" spans="1:8" x14ac:dyDescent="0.25">
      <c r="A59" s="262">
        <v>2024</v>
      </c>
      <c r="B59" s="262">
        <v>6240</v>
      </c>
      <c r="C59" s="262" t="s">
        <v>3930</v>
      </c>
      <c r="D59" s="265"/>
      <c r="E59" s="262" t="s">
        <v>638</v>
      </c>
      <c r="F59" s="262" t="s">
        <v>3994</v>
      </c>
      <c r="G59" s="263"/>
      <c r="H59" s="264" t="s">
        <v>613</v>
      </c>
    </row>
    <row r="60" spans="1:8" x14ac:dyDescent="0.25">
      <c r="A60" s="262">
        <v>2024</v>
      </c>
      <c r="B60" s="262">
        <v>6237</v>
      </c>
      <c r="C60" s="262" t="s">
        <v>3931</v>
      </c>
      <c r="D60" s="265">
        <v>45476</v>
      </c>
      <c r="E60" s="262" t="s">
        <v>635</v>
      </c>
      <c r="F60" s="262" t="s">
        <v>669</v>
      </c>
      <c r="G60" s="265">
        <v>45476</v>
      </c>
      <c r="H60" s="264" t="s">
        <v>613</v>
      </c>
    </row>
    <row r="61" spans="1:8" x14ac:dyDescent="0.25">
      <c r="A61" s="262">
        <v>2024</v>
      </c>
      <c r="B61" s="262">
        <v>6233</v>
      </c>
      <c r="C61" s="262" t="s">
        <v>3932</v>
      </c>
      <c r="D61" s="265">
        <v>45449</v>
      </c>
      <c r="E61" s="262" t="s">
        <v>692</v>
      </c>
      <c r="F61" s="262" t="s">
        <v>669</v>
      </c>
      <c r="G61" s="265">
        <v>45449</v>
      </c>
      <c r="H61" s="264" t="s">
        <v>613</v>
      </c>
    </row>
    <row r="62" spans="1:8" x14ac:dyDescent="0.25">
      <c r="A62" s="262">
        <v>2024</v>
      </c>
      <c r="B62" s="262">
        <v>6232</v>
      </c>
      <c r="C62" s="262" t="s">
        <v>3933</v>
      </c>
      <c r="D62" s="265">
        <v>45449</v>
      </c>
      <c r="E62" s="262" t="s">
        <v>695</v>
      </c>
      <c r="F62" s="262" t="s">
        <v>669</v>
      </c>
      <c r="G62" s="265">
        <v>45449</v>
      </c>
      <c r="H62" s="264" t="s">
        <v>613</v>
      </c>
    </row>
    <row r="63" spans="1:8" x14ac:dyDescent="0.25">
      <c r="A63" s="262">
        <v>2024</v>
      </c>
      <c r="B63" s="262">
        <v>6231</v>
      </c>
      <c r="C63" s="262" t="s">
        <v>3934</v>
      </c>
      <c r="D63" s="265"/>
      <c r="E63" s="262" t="s">
        <v>186</v>
      </c>
      <c r="F63" s="262" t="s">
        <v>3994</v>
      </c>
      <c r="G63" s="263"/>
      <c r="H63" s="264" t="s">
        <v>613</v>
      </c>
    </row>
    <row r="64" spans="1:8" x14ac:dyDescent="0.25">
      <c r="A64" s="262">
        <v>2024</v>
      </c>
      <c r="B64" s="262">
        <v>6228</v>
      </c>
      <c r="C64" s="262" t="s">
        <v>3935</v>
      </c>
      <c r="D64" s="265"/>
      <c r="E64" s="262" t="s">
        <v>177</v>
      </c>
      <c r="F64" s="262" t="s">
        <v>3994</v>
      </c>
      <c r="G64" s="263"/>
      <c r="H64" s="264" t="s">
        <v>613</v>
      </c>
    </row>
    <row r="65" spans="1:8" x14ac:dyDescent="0.25">
      <c r="A65" s="262">
        <v>2024</v>
      </c>
      <c r="B65" s="262">
        <v>6225</v>
      </c>
      <c r="C65" s="262" t="s">
        <v>3936</v>
      </c>
      <c r="D65" s="265"/>
      <c r="E65" s="262" t="s">
        <v>176</v>
      </c>
      <c r="F65" s="262" t="s">
        <v>3994</v>
      </c>
      <c r="G65" s="263"/>
      <c r="H65" s="264" t="s">
        <v>613</v>
      </c>
    </row>
    <row r="66" spans="1:8" x14ac:dyDescent="0.25">
      <c r="A66" s="262">
        <v>2024</v>
      </c>
      <c r="B66" s="262">
        <v>5866</v>
      </c>
      <c r="C66" s="262" t="s">
        <v>3937</v>
      </c>
      <c r="D66" s="265">
        <v>45461</v>
      </c>
      <c r="E66" s="262" t="s">
        <v>716</v>
      </c>
      <c r="F66" s="262" t="s">
        <v>669</v>
      </c>
      <c r="G66" s="265">
        <v>45461</v>
      </c>
      <c r="H66" s="264" t="s">
        <v>613</v>
      </c>
    </row>
    <row r="67" spans="1:8" x14ac:dyDescent="0.25">
      <c r="A67" s="262">
        <v>2024</v>
      </c>
      <c r="B67" s="262">
        <v>5866</v>
      </c>
      <c r="C67" s="262" t="s">
        <v>3938</v>
      </c>
      <c r="D67" s="265">
        <v>45448</v>
      </c>
      <c r="E67" s="262" t="s">
        <v>834</v>
      </c>
      <c r="F67" s="262" t="s">
        <v>669</v>
      </c>
      <c r="G67" s="265">
        <v>45448</v>
      </c>
      <c r="H67" s="264" t="s">
        <v>613</v>
      </c>
    </row>
    <row r="68" spans="1:8" x14ac:dyDescent="0.25">
      <c r="A68" s="262">
        <v>2024</v>
      </c>
      <c r="B68" s="262">
        <v>7367</v>
      </c>
      <c r="C68" s="262" t="s">
        <v>3939</v>
      </c>
      <c r="D68" s="265">
        <v>45448</v>
      </c>
      <c r="E68" s="262" t="s">
        <v>854</v>
      </c>
      <c r="F68" s="262" t="s">
        <v>669</v>
      </c>
      <c r="G68" s="265">
        <v>45448</v>
      </c>
      <c r="H68" s="264" t="s">
        <v>613</v>
      </c>
    </row>
    <row r="69" spans="1:8" x14ac:dyDescent="0.25">
      <c r="A69" s="262">
        <v>2024</v>
      </c>
      <c r="B69" s="262">
        <v>7361</v>
      </c>
      <c r="C69" s="262" t="s">
        <v>3940</v>
      </c>
      <c r="D69" s="265"/>
      <c r="E69" s="262" t="s">
        <v>676</v>
      </c>
      <c r="F69" s="262" t="s">
        <v>3994</v>
      </c>
      <c r="G69" s="265"/>
      <c r="H69" s="264" t="s">
        <v>613</v>
      </c>
    </row>
    <row r="70" spans="1:8" x14ac:dyDescent="0.25">
      <c r="A70" s="262">
        <v>2024</v>
      </c>
      <c r="B70" s="262">
        <v>7359</v>
      </c>
      <c r="C70" s="262" t="s">
        <v>3941</v>
      </c>
      <c r="D70" s="265"/>
      <c r="E70" s="262" t="s">
        <v>390</v>
      </c>
      <c r="F70" s="262" t="s">
        <v>3994</v>
      </c>
      <c r="G70" s="265"/>
      <c r="H70" s="264" t="s">
        <v>613</v>
      </c>
    </row>
    <row r="71" spans="1:8" x14ac:dyDescent="0.25">
      <c r="A71" s="262">
        <v>2024</v>
      </c>
      <c r="B71" s="262">
        <v>179474</v>
      </c>
      <c r="C71" s="262" t="s">
        <v>3942</v>
      </c>
      <c r="D71" s="265">
        <v>45448</v>
      </c>
      <c r="E71" s="262" t="s">
        <v>1705</v>
      </c>
      <c r="F71" s="262" t="s">
        <v>669</v>
      </c>
      <c r="G71" s="265">
        <v>45448</v>
      </c>
      <c r="H71" s="264" t="s">
        <v>613</v>
      </c>
    </row>
    <row r="72" spans="1:8" x14ac:dyDescent="0.25">
      <c r="A72" s="262">
        <v>2024</v>
      </c>
      <c r="B72" s="262">
        <v>179474</v>
      </c>
      <c r="C72" s="262" t="s">
        <v>3943</v>
      </c>
      <c r="D72" s="265">
        <v>45448</v>
      </c>
      <c r="E72" s="262" t="s">
        <v>2444</v>
      </c>
      <c r="F72" s="262" t="s">
        <v>669</v>
      </c>
      <c r="G72" s="265">
        <v>45448</v>
      </c>
      <c r="H72" s="264" t="s">
        <v>613</v>
      </c>
    </row>
    <row r="73" spans="1:8" x14ac:dyDescent="0.25">
      <c r="A73" s="262">
        <v>2024</v>
      </c>
      <c r="B73" s="262">
        <v>9240</v>
      </c>
      <c r="C73" s="262" t="s">
        <v>3960</v>
      </c>
      <c r="D73" s="265">
        <v>45418</v>
      </c>
      <c r="E73" s="262" t="s">
        <v>1156</v>
      </c>
      <c r="F73" s="262" t="s">
        <v>669</v>
      </c>
      <c r="G73" s="263" t="s">
        <v>1266</v>
      </c>
      <c r="H73" s="264" t="s">
        <v>613</v>
      </c>
    </row>
  </sheetData>
  <autoFilter ref="A1:H50" xr:uid="{C67C16FA-7FE7-4B1B-8A2F-E68E29DEE8CE}"/>
  <phoneticPr fontId="20"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68A0DD-1100-4C28-A490-B4BAB8C6E6A7}">
  <sheetPr codeName="Sheet13">
    <tabColor theme="8"/>
  </sheetPr>
  <dimension ref="A1:Q1048576"/>
  <sheetViews>
    <sheetView showGridLines="0" topLeftCell="A90" workbookViewId="0">
      <selection activeCell="C110" sqref="C110"/>
    </sheetView>
  </sheetViews>
  <sheetFormatPr defaultRowHeight="15" x14ac:dyDescent="0.25"/>
  <cols>
    <col min="1" max="1" width="14.5703125" customWidth="1"/>
    <col min="2" max="2" width="28" bestFit="1" customWidth="1"/>
    <col min="3" max="3" width="44.7109375" bestFit="1" customWidth="1"/>
    <col min="4" max="4" width="14.28515625" style="7" customWidth="1"/>
    <col min="5" max="5" width="98.5703125" bestFit="1" customWidth="1"/>
    <col min="6" max="6" width="16.140625" customWidth="1"/>
    <col min="7" max="7" width="21.85546875" bestFit="1" customWidth="1"/>
    <col min="15" max="15" width="10.7109375" style="27" bestFit="1" customWidth="1"/>
    <col min="17" max="17" width="44.7109375" bestFit="1" customWidth="1"/>
  </cols>
  <sheetData>
    <row r="1" spans="1:17" x14ac:dyDescent="0.25">
      <c r="A1" s="114" t="s">
        <v>795</v>
      </c>
      <c r="B1" s="105" t="s">
        <v>930</v>
      </c>
      <c r="C1" s="105" t="s">
        <v>799</v>
      </c>
      <c r="D1" s="105" t="s">
        <v>11</v>
      </c>
      <c r="E1" s="105" t="s">
        <v>797</v>
      </c>
      <c r="F1" s="105" t="s">
        <v>796</v>
      </c>
      <c r="G1" s="105" t="s">
        <v>5</v>
      </c>
      <c r="O1" s="148" t="s">
        <v>0</v>
      </c>
      <c r="P1" s="105" t="s">
        <v>930</v>
      </c>
      <c r="Q1" s="105" t="s">
        <v>1160</v>
      </c>
    </row>
    <row r="2" spans="1:17" x14ac:dyDescent="0.25">
      <c r="A2" s="32">
        <v>44613</v>
      </c>
      <c r="B2" s="8" t="s">
        <v>798</v>
      </c>
      <c r="C2" s="8" t="s">
        <v>826</v>
      </c>
      <c r="D2" s="2" t="s">
        <v>587</v>
      </c>
      <c r="E2" s="8" t="s">
        <v>801</v>
      </c>
      <c r="F2" s="8" t="s">
        <v>929</v>
      </c>
      <c r="G2" s="8"/>
      <c r="O2" s="32">
        <v>45189</v>
      </c>
      <c r="P2" s="126" t="s">
        <v>236</v>
      </c>
      <c r="Q2" s="8" t="s">
        <v>1158</v>
      </c>
    </row>
    <row r="3" spans="1:17" x14ac:dyDescent="0.25">
      <c r="A3" s="32">
        <v>44838</v>
      </c>
      <c r="B3" s="8" t="s">
        <v>371</v>
      </c>
      <c r="C3" s="8" t="s">
        <v>803</v>
      </c>
      <c r="D3" s="2" t="s">
        <v>587</v>
      </c>
      <c r="E3" s="8" t="s">
        <v>802</v>
      </c>
      <c r="F3" s="8" t="s">
        <v>929</v>
      </c>
      <c r="G3" s="8"/>
      <c r="O3" s="32">
        <v>45198</v>
      </c>
      <c r="P3" s="126" t="s">
        <v>236</v>
      </c>
      <c r="Q3" s="8" t="s">
        <v>1157</v>
      </c>
    </row>
    <row r="4" spans="1:17" x14ac:dyDescent="0.25">
      <c r="A4" s="32">
        <v>44830</v>
      </c>
      <c r="B4" s="8" t="s">
        <v>804</v>
      </c>
      <c r="C4" s="8" t="s">
        <v>805</v>
      </c>
      <c r="D4" s="2" t="s">
        <v>587</v>
      </c>
      <c r="E4" s="8" t="s">
        <v>806</v>
      </c>
      <c r="F4" s="8" t="s">
        <v>929</v>
      </c>
      <c r="G4" s="8"/>
      <c r="O4" s="32">
        <v>45272</v>
      </c>
      <c r="P4" s="126" t="s">
        <v>236</v>
      </c>
      <c r="Q4" s="8" t="s">
        <v>1159</v>
      </c>
    </row>
    <row r="5" spans="1:17" x14ac:dyDescent="0.25">
      <c r="A5" s="32">
        <v>44832</v>
      </c>
      <c r="B5" s="8" t="s">
        <v>527</v>
      </c>
      <c r="C5" s="8" t="s">
        <v>803</v>
      </c>
      <c r="D5" s="2" t="s">
        <v>587</v>
      </c>
      <c r="E5" s="8" t="s">
        <v>807</v>
      </c>
      <c r="F5" s="8" t="s">
        <v>929</v>
      </c>
      <c r="G5" s="8"/>
    </row>
    <row r="6" spans="1:17" x14ac:dyDescent="0.25">
      <c r="A6" s="32">
        <v>44795</v>
      </c>
      <c r="B6" s="8" t="s">
        <v>808</v>
      </c>
      <c r="C6" s="8" t="s">
        <v>809</v>
      </c>
      <c r="D6" s="2" t="s">
        <v>587</v>
      </c>
      <c r="E6" s="8" t="s">
        <v>810</v>
      </c>
      <c r="F6" s="8" t="s">
        <v>929</v>
      </c>
      <c r="G6" s="8"/>
    </row>
    <row r="7" spans="1:17" x14ac:dyDescent="0.25">
      <c r="A7" s="32">
        <v>44812</v>
      </c>
      <c r="B7" s="8" t="s">
        <v>812</v>
      </c>
      <c r="C7" s="8" t="s">
        <v>814</v>
      </c>
      <c r="D7" s="2" t="s">
        <v>587</v>
      </c>
      <c r="E7" s="8" t="s">
        <v>811</v>
      </c>
      <c r="F7" s="8" t="s">
        <v>929</v>
      </c>
      <c r="G7" s="8"/>
    </row>
    <row r="8" spans="1:17" x14ac:dyDescent="0.25">
      <c r="A8" s="32">
        <v>44658</v>
      </c>
      <c r="B8" s="8" t="s">
        <v>813</v>
      </c>
      <c r="C8" s="8" t="s">
        <v>809</v>
      </c>
      <c r="D8" s="2" t="s">
        <v>587</v>
      </c>
      <c r="E8" s="8" t="s">
        <v>815</v>
      </c>
      <c r="F8" s="8" t="s">
        <v>929</v>
      </c>
      <c r="G8" s="8"/>
    </row>
    <row r="9" spans="1:17" x14ac:dyDescent="0.25">
      <c r="A9" s="32">
        <v>44704</v>
      </c>
      <c r="B9" s="8" t="s">
        <v>526</v>
      </c>
      <c r="C9" s="8" t="s">
        <v>803</v>
      </c>
      <c r="D9" s="2" t="s">
        <v>587</v>
      </c>
      <c r="E9" s="8" t="s">
        <v>821</v>
      </c>
      <c r="F9" s="8" t="s">
        <v>929</v>
      </c>
      <c r="G9" s="8"/>
    </row>
    <row r="10" spans="1:17" x14ac:dyDescent="0.25">
      <c r="A10" s="32">
        <v>44756</v>
      </c>
      <c r="B10" s="8" t="s">
        <v>816</v>
      </c>
      <c r="C10" s="8" t="s">
        <v>822</v>
      </c>
      <c r="D10" s="2" t="s">
        <v>587</v>
      </c>
      <c r="E10" s="8" t="s">
        <v>823</v>
      </c>
      <c r="F10" s="8" t="s">
        <v>929</v>
      </c>
      <c r="G10" s="8"/>
    </row>
    <row r="11" spans="1:17" x14ac:dyDescent="0.25">
      <c r="A11" s="32">
        <v>44756</v>
      </c>
      <c r="B11" s="8" t="s">
        <v>817</v>
      </c>
      <c r="C11" s="8" t="s">
        <v>809</v>
      </c>
      <c r="D11" s="2" t="s">
        <v>587</v>
      </c>
      <c r="E11" s="8" t="s">
        <v>824</v>
      </c>
      <c r="F11" s="8" t="s">
        <v>929</v>
      </c>
      <c r="G11" s="8"/>
    </row>
    <row r="12" spans="1:17" x14ac:dyDescent="0.25">
      <c r="A12" s="32">
        <v>44761</v>
      </c>
      <c r="B12" s="8" t="s">
        <v>818</v>
      </c>
      <c r="C12" s="8" t="s">
        <v>800</v>
      </c>
      <c r="D12" s="2" t="s">
        <v>587</v>
      </c>
      <c r="E12" s="8" t="s">
        <v>825</v>
      </c>
      <c r="F12" s="8" t="s">
        <v>929</v>
      </c>
      <c r="G12" s="8"/>
    </row>
    <row r="13" spans="1:17" x14ac:dyDescent="0.25">
      <c r="A13" s="32">
        <v>44652</v>
      </c>
      <c r="B13" s="8" t="s">
        <v>236</v>
      </c>
      <c r="C13" s="8" t="s">
        <v>809</v>
      </c>
      <c r="D13" s="2" t="s">
        <v>587</v>
      </c>
      <c r="E13" s="8" t="s">
        <v>831</v>
      </c>
      <c r="F13" s="8" t="s">
        <v>929</v>
      </c>
      <c r="G13" s="8"/>
    </row>
    <row r="14" spans="1:17" x14ac:dyDescent="0.25">
      <c r="A14" s="32">
        <v>44593</v>
      </c>
      <c r="B14" s="8" t="s">
        <v>819</v>
      </c>
      <c r="C14" s="8" t="s">
        <v>828</v>
      </c>
      <c r="D14" s="2" t="s">
        <v>587</v>
      </c>
      <c r="E14" s="8" t="s">
        <v>827</v>
      </c>
      <c r="F14" s="8" t="s">
        <v>929</v>
      </c>
      <c r="G14" s="8"/>
    </row>
    <row r="15" spans="1:17" x14ac:dyDescent="0.25">
      <c r="A15" s="32">
        <v>44578</v>
      </c>
      <c r="B15" s="8" t="s">
        <v>820</v>
      </c>
      <c r="C15" s="8" t="s">
        <v>829</v>
      </c>
      <c r="D15" s="2" t="s">
        <v>587</v>
      </c>
      <c r="E15" s="8" t="s">
        <v>830</v>
      </c>
      <c r="F15" s="8" t="s">
        <v>929</v>
      </c>
      <c r="G15" s="8"/>
    </row>
    <row r="16" spans="1:17" x14ac:dyDescent="0.25">
      <c r="A16" s="32">
        <v>44775</v>
      </c>
      <c r="B16" s="8" t="s">
        <v>240</v>
      </c>
      <c r="C16" s="8" t="s">
        <v>809</v>
      </c>
      <c r="D16" s="2" t="s">
        <v>587</v>
      </c>
      <c r="E16" s="8" t="s">
        <v>836</v>
      </c>
      <c r="F16" s="8" t="s">
        <v>929</v>
      </c>
      <c r="G16" s="8"/>
    </row>
    <row r="17" spans="1:9" x14ac:dyDescent="0.25">
      <c r="A17" s="32">
        <v>44907</v>
      </c>
      <c r="B17" s="8" t="s">
        <v>527</v>
      </c>
      <c r="C17" s="8" t="s">
        <v>938</v>
      </c>
      <c r="D17" s="2" t="s">
        <v>587</v>
      </c>
      <c r="E17" s="8" t="s">
        <v>941</v>
      </c>
      <c r="F17" s="8" t="s">
        <v>939</v>
      </c>
      <c r="G17" s="8"/>
    </row>
    <row r="18" spans="1:9" x14ac:dyDescent="0.25">
      <c r="A18" s="32">
        <v>44907</v>
      </c>
      <c r="B18" s="8" t="s">
        <v>519</v>
      </c>
      <c r="C18" s="8" t="s">
        <v>938</v>
      </c>
      <c r="D18" s="2" t="s">
        <v>587</v>
      </c>
      <c r="E18" s="8" t="s">
        <v>941</v>
      </c>
      <c r="F18" s="8" t="s">
        <v>939</v>
      </c>
      <c r="G18" s="8"/>
    </row>
    <row r="19" spans="1:9" x14ac:dyDescent="0.25">
      <c r="A19" s="32">
        <v>44907</v>
      </c>
      <c r="B19" s="8" t="s">
        <v>931</v>
      </c>
      <c r="C19" s="8" t="s">
        <v>938</v>
      </c>
      <c r="D19" s="2" t="s">
        <v>587</v>
      </c>
      <c r="E19" s="8" t="s">
        <v>941</v>
      </c>
      <c r="F19" s="8" t="s">
        <v>939</v>
      </c>
      <c r="G19" s="8" t="s">
        <v>951</v>
      </c>
    </row>
    <row r="20" spans="1:9" x14ac:dyDescent="0.25">
      <c r="A20" s="32">
        <v>44907</v>
      </c>
      <c r="B20" s="8" t="s">
        <v>240</v>
      </c>
      <c r="C20" s="8" t="s">
        <v>938</v>
      </c>
      <c r="D20" s="2" t="s">
        <v>587</v>
      </c>
      <c r="E20" s="8" t="s">
        <v>941</v>
      </c>
      <c r="F20" s="8" t="s">
        <v>939</v>
      </c>
      <c r="G20" s="8"/>
    </row>
    <row r="21" spans="1:9" x14ac:dyDescent="0.25">
      <c r="A21" s="32">
        <v>44907</v>
      </c>
      <c r="B21" s="8" t="s">
        <v>932</v>
      </c>
      <c r="C21" s="8" t="s">
        <v>938</v>
      </c>
      <c r="D21" s="2" t="s">
        <v>587</v>
      </c>
      <c r="E21" s="8" t="s">
        <v>941</v>
      </c>
      <c r="F21" s="8" t="s">
        <v>939</v>
      </c>
      <c r="G21" s="8"/>
    </row>
    <row r="22" spans="1:9" x14ac:dyDescent="0.25">
      <c r="A22" s="32">
        <v>44907</v>
      </c>
      <c r="B22" s="125" t="s">
        <v>940</v>
      </c>
      <c r="C22" s="8" t="s">
        <v>938</v>
      </c>
      <c r="D22" s="2" t="s">
        <v>587</v>
      </c>
      <c r="E22" s="8" t="s">
        <v>941</v>
      </c>
      <c r="F22" s="8" t="s">
        <v>939</v>
      </c>
      <c r="G22" s="8"/>
    </row>
    <row r="23" spans="1:9" x14ac:dyDescent="0.25">
      <c r="A23" s="32">
        <v>44907</v>
      </c>
      <c r="B23" s="8" t="s">
        <v>933</v>
      </c>
      <c r="C23" s="8" t="s">
        <v>938</v>
      </c>
      <c r="D23" s="2" t="s">
        <v>587</v>
      </c>
      <c r="E23" s="8" t="s">
        <v>941</v>
      </c>
      <c r="F23" s="8" t="s">
        <v>939</v>
      </c>
      <c r="G23" s="8"/>
    </row>
    <row r="24" spans="1:9" x14ac:dyDescent="0.25">
      <c r="A24" s="32">
        <v>44907</v>
      </c>
      <c r="B24" s="8" t="s">
        <v>934</v>
      </c>
      <c r="C24" s="8" t="s">
        <v>938</v>
      </c>
      <c r="D24" s="2" t="s">
        <v>587</v>
      </c>
      <c r="E24" s="8" t="s">
        <v>941</v>
      </c>
      <c r="F24" s="8" t="s">
        <v>939</v>
      </c>
      <c r="G24" s="8"/>
    </row>
    <row r="25" spans="1:9" x14ac:dyDescent="0.25">
      <c r="A25" s="32">
        <v>44907</v>
      </c>
      <c r="B25" s="8" t="s">
        <v>523</v>
      </c>
      <c r="C25" s="8" t="s">
        <v>938</v>
      </c>
      <c r="D25" s="2" t="s">
        <v>587</v>
      </c>
      <c r="E25" s="8" t="s">
        <v>941</v>
      </c>
      <c r="F25" s="8" t="s">
        <v>939</v>
      </c>
      <c r="G25" s="8"/>
    </row>
    <row r="26" spans="1:9" x14ac:dyDescent="0.25">
      <c r="A26" s="32">
        <v>44907</v>
      </c>
      <c r="B26" s="8" t="s">
        <v>935</v>
      </c>
      <c r="C26" s="8" t="s">
        <v>938</v>
      </c>
      <c r="D26" s="2" t="s">
        <v>587</v>
      </c>
      <c r="E26" s="8" t="s">
        <v>941</v>
      </c>
      <c r="F26" s="8" t="s">
        <v>939</v>
      </c>
      <c r="G26" s="8"/>
    </row>
    <row r="27" spans="1:9" x14ac:dyDescent="0.25">
      <c r="A27" s="32">
        <v>44907</v>
      </c>
      <c r="B27" s="8" t="s">
        <v>816</v>
      </c>
      <c r="C27" s="8" t="s">
        <v>938</v>
      </c>
      <c r="D27" s="2" t="s">
        <v>587</v>
      </c>
      <c r="E27" s="8" t="s">
        <v>941</v>
      </c>
      <c r="F27" s="8" t="s">
        <v>939</v>
      </c>
      <c r="G27" s="8"/>
    </row>
    <row r="28" spans="1:9" x14ac:dyDescent="0.25">
      <c r="A28" s="32">
        <v>44907</v>
      </c>
      <c r="B28" s="8" t="s">
        <v>936</v>
      </c>
      <c r="C28" s="8" t="s">
        <v>938</v>
      </c>
      <c r="D28" s="2" t="s">
        <v>587</v>
      </c>
      <c r="E28" s="8" t="s">
        <v>941</v>
      </c>
      <c r="F28" s="8" t="s">
        <v>939</v>
      </c>
      <c r="G28" s="8"/>
    </row>
    <row r="29" spans="1:9" x14ac:dyDescent="0.25">
      <c r="A29" s="32">
        <v>44907</v>
      </c>
      <c r="B29" s="8" t="s">
        <v>526</v>
      </c>
      <c r="C29" s="8" t="s">
        <v>938</v>
      </c>
      <c r="D29" s="2" t="s">
        <v>587</v>
      </c>
      <c r="E29" s="8" t="s">
        <v>941</v>
      </c>
      <c r="F29" s="8" t="s">
        <v>939</v>
      </c>
      <c r="G29" s="8"/>
    </row>
    <row r="30" spans="1:9" x14ac:dyDescent="0.25">
      <c r="A30" s="32">
        <v>44907</v>
      </c>
      <c r="B30" s="126" t="s">
        <v>113</v>
      </c>
      <c r="C30" s="8" t="s">
        <v>938</v>
      </c>
      <c r="D30" s="2" t="s">
        <v>587</v>
      </c>
      <c r="E30" s="8" t="s">
        <v>941</v>
      </c>
      <c r="F30" s="8" t="s">
        <v>939</v>
      </c>
      <c r="G30" s="126"/>
      <c r="H30" s="118"/>
      <c r="I30" s="118"/>
    </row>
    <row r="31" spans="1:9" x14ac:dyDescent="0.25">
      <c r="A31" s="32">
        <v>44907</v>
      </c>
      <c r="B31" s="126" t="s">
        <v>147</v>
      </c>
      <c r="C31" s="8" t="s">
        <v>938</v>
      </c>
      <c r="D31" s="2" t="s">
        <v>587</v>
      </c>
      <c r="E31" s="8" t="s">
        <v>941</v>
      </c>
      <c r="F31" s="8" t="s">
        <v>939</v>
      </c>
      <c r="G31" s="126"/>
      <c r="H31" s="118"/>
      <c r="I31" s="118"/>
    </row>
    <row r="32" spans="1:9" x14ac:dyDescent="0.25">
      <c r="A32" s="32">
        <v>44907</v>
      </c>
      <c r="B32" s="126" t="s">
        <v>273</v>
      </c>
      <c r="C32" s="8" t="s">
        <v>938</v>
      </c>
      <c r="D32" s="2" t="s">
        <v>587</v>
      </c>
      <c r="E32" s="8" t="s">
        <v>941</v>
      </c>
      <c r="F32" s="8" t="s">
        <v>939</v>
      </c>
      <c r="G32" s="127"/>
      <c r="H32" s="119"/>
      <c r="I32" s="119"/>
    </row>
    <row r="33" spans="1:9" x14ac:dyDescent="0.25">
      <c r="A33" s="32">
        <v>44907</v>
      </c>
      <c r="B33" s="126" t="s">
        <v>937</v>
      </c>
      <c r="C33" s="8" t="s">
        <v>938</v>
      </c>
      <c r="D33" s="2" t="s">
        <v>587</v>
      </c>
      <c r="E33" s="8" t="s">
        <v>941</v>
      </c>
      <c r="F33" s="8" t="s">
        <v>939</v>
      </c>
      <c r="G33" s="127"/>
      <c r="H33" s="119"/>
      <c r="I33" s="119"/>
    </row>
    <row r="34" spans="1:9" x14ac:dyDescent="0.25">
      <c r="A34" s="32">
        <v>44907</v>
      </c>
      <c r="B34" s="126" t="s">
        <v>942</v>
      </c>
      <c r="C34" s="8" t="s">
        <v>938</v>
      </c>
      <c r="D34" s="2" t="s">
        <v>587</v>
      </c>
      <c r="E34" s="8" t="s">
        <v>941</v>
      </c>
      <c r="F34" s="8" t="s">
        <v>939</v>
      </c>
      <c r="G34" s="8" t="s">
        <v>950</v>
      </c>
      <c r="H34" s="118"/>
      <c r="I34" s="118"/>
    </row>
    <row r="35" spans="1:9" x14ac:dyDescent="0.25">
      <c r="A35" s="32">
        <v>44907</v>
      </c>
      <c r="B35" s="126" t="s">
        <v>943</v>
      </c>
      <c r="C35" s="8" t="s">
        <v>938</v>
      </c>
      <c r="D35" s="2" t="s">
        <v>587</v>
      </c>
      <c r="E35" s="8" t="s">
        <v>941</v>
      </c>
      <c r="F35" s="8" t="s">
        <v>939</v>
      </c>
      <c r="G35" s="8"/>
      <c r="H35" s="119"/>
      <c r="I35" s="118"/>
    </row>
    <row r="36" spans="1:9" x14ac:dyDescent="0.25">
      <c r="A36" s="32">
        <v>44907</v>
      </c>
      <c r="B36" s="126" t="s">
        <v>946</v>
      </c>
      <c r="C36" s="8" t="s">
        <v>945</v>
      </c>
      <c r="D36" s="2" t="s">
        <v>587</v>
      </c>
      <c r="E36" s="8" t="s">
        <v>949</v>
      </c>
      <c r="F36" s="8" t="s">
        <v>939</v>
      </c>
      <c r="G36" s="127"/>
    </row>
    <row r="37" spans="1:9" x14ac:dyDescent="0.25">
      <c r="A37" s="32">
        <v>44907</v>
      </c>
      <c r="B37" s="126" t="s">
        <v>947</v>
      </c>
      <c r="C37" s="8" t="s">
        <v>945</v>
      </c>
      <c r="D37" s="2" t="s">
        <v>587</v>
      </c>
      <c r="E37" s="8" t="s">
        <v>949</v>
      </c>
      <c r="F37" s="8" t="s">
        <v>939</v>
      </c>
      <c r="G37" s="127"/>
    </row>
    <row r="38" spans="1:9" x14ac:dyDescent="0.25">
      <c r="A38" s="32">
        <v>44907</v>
      </c>
      <c r="B38" s="126" t="s">
        <v>948</v>
      </c>
      <c r="C38" s="8" t="s">
        <v>945</v>
      </c>
      <c r="D38" s="2" t="s">
        <v>587</v>
      </c>
      <c r="E38" s="8" t="s">
        <v>949</v>
      </c>
      <c r="F38" s="8" t="s">
        <v>939</v>
      </c>
      <c r="G38" s="127"/>
    </row>
    <row r="39" spans="1:9" x14ac:dyDescent="0.25">
      <c r="A39" s="32">
        <v>44958</v>
      </c>
      <c r="B39" s="126" t="s">
        <v>948</v>
      </c>
      <c r="C39" s="8" t="s">
        <v>2494</v>
      </c>
      <c r="D39" s="2" t="s">
        <v>587</v>
      </c>
      <c r="E39" s="8" t="s">
        <v>1170</v>
      </c>
      <c r="F39" s="8" t="s">
        <v>939</v>
      </c>
      <c r="G39" s="127"/>
    </row>
    <row r="40" spans="1:9" x14ac:dyDescent="0.25">
      <c r="A40" s="32">
        <v>45022</v>
      </c>
      <c r="B40" s="126" t="s">
        <v>816</v>
      </c>
      <c r="C40" s="8" t="s">
        <v>822</v>
      </c>
      <c r="D40" s="2" t="s">
        <v>587</v>
      </c>
      <c r="E40" s="8" t="s">
        <v>1161</v>
      </c>
      <c r="F40" s="8" t="s">
        <v>939</v>
      </c>
      <c r="G40" s="127"/>
    </row>
    <row r="41" spans="1:9" x14ac:dyDescent="0.25">
      <c r="A41" s="32">
        <v>45055</v>
      </c>
      <c r="B41" s="126" t="s">
        <v>1162</v>
      </c>
      <c r="C41" s="8" t="s">
        <v>938</v>
      </c>
      <c r="D41" s="2" t="s">
        <v>587</v>
      </c>
      <c r="E41" s="8" t="s">
        <v>1163</v>
      </c>
      <c r="F41" s="8" t="s">
        <v>939</v>
      </c>
      <c r="G41" s="127"/>
    </row>
    <row r="42" spans="1:9" x14ac:dyDescent="0.25">
      <c r="A42" s="32">
        <v>45166</v>
      </c>
      <c r="B42" s="8" t="s">
        <v>371</v>
      </c>
      <c r="C42" s="8" t="s">
        <v>1164</v>
      </c>
      <c r="D42" s="2" t="s">
        <v>587</v>
      </c>
      <c r="E42" s="8" t="s">
        <v>1167</v>
      </c>
      <c r="F42" s="8" t="s">
        <v>939</v>
      </c>
      <c r="G42" s="127"/>
    </row>
    <row r="43" spans="1:9" x14ac:dyDescent="0.25">
      <c r="A43" s="32">
        <v>45141</v>
      </c>
      <c r="B43" s="126" t="s">
        <v>816</v>
      </c>
      <c r="C43" s="8" t="s">
        <v>1165</v>
      </c>
      <c r="D43" s="2" t="s">
        <v>587</v>
      </c>
      <c r="E43" s="8" t="s">
        <v>1166</v>
      </c>
      <c r="F43" s="8" t="s">
        <v>939</v>
      </c>
      <c r="G43" s="127"/>
    </row>
    <row r="44" spans="1:9" x14ac:dyDescent="0.25">
      <c r="A44" s="32">
        <v>45166</v>
      </c>
      <c r="B44" s="126" t="s">
        <v>816</v>
      </c>
      <c r="C44" s="8" t="s">
        <v>803</v>
      </c>
      <c r="D44" s="2" t="s">
        <v>587</v>
      </c>
      <c r="E44" s="8" t="s">
        <v>1168</v>
      </c>
      <c r="F44" s="8" t="s">
        <v>939</v>
      </c>
      <c r="G44" s="127"/>
    </row>
    <row r="45" spans="1:9" x14ac:dyDescent="0.25">
      <c r="A45" s="32">
        <v>45168</v>
      </c>
      <c r="B45" s="126" t="s">
        <v>1181</v>
      </c>
      <c r="C45" s="8" t="s">
        <v>2491</v>
      </c>
      <c r="D45" s="2" t="s">
        <v>587</v>
      </c>
      <c r="E45" s="8" t="s">
        <v>1190</v>
      </c>
      <c r="F45" s="8" t="s">
        <v>939</v>
      </c>
      <c r="G45" s="127"/>
    </row>
    <row r="46" spans="1:9" x14ac:dyDescent="0.25">
      <c r="A46" s="32">
        <v>45139</v>
      </c>
      <c r="B46" s="126" t="s">
        <v>816</v>
      </c>
      <c r="C46" s="8" t="s">
        <v>822</v>
      </c>
      <c r="D46" s="2" t="s">
        <v>587</v>
      </c>
      <c r="E46" s="8" t="s">
        <v>2493</v>
      </c>
      <c r="F46" s="8" t="s">
        <v>939</v>
      </c>
      <c r="G46" s="127"/>
    </row>
    <row r="47" spans="1:9" x14ac:dyDescent="0.25">
      <c r="A47" s="32">
        <v>45145</v>
      </c>
      <c r="B47" s="8" t="s">
        <v>817</v>
      </c>
      <c r="C47" s="8" t="s">
        <v>809</v>
      </c>
      <c r="D47" s="2" t="s">
        <v>587</v>
      </c>
      <c r="E47" s="8" t="s">
        <v>1169</v>
      </c>
      <c r="F47" s="8" t="s">
        <v>939</v>
      </c>
      <c r="G47" s="127"/>
    </row>
    <row r="48" spans="1:9" x14ac:dyDescent="0.25">
      <c r="A48" s="32">
        <v>45139</v>
      </c>
      <c r="B48" s="126" t="s">
        <v>816</v>
      </c>
      <c r="C48" s="8" t="s">
        <v>822</v>
      </c>
      <c r="D48" s="2" t="s">
        <v>587</v>
      </c>
      <c r="E48" s="8" t="s">
        <v>1161</v>
      </c>
      <c r="F48" s="8" t="s">
        <v>939</v>
      </c>
      <c r="G48" s="127"/>
    </row>
    <row r="49" spans="1:7" x14ac:dyDescent="0.25">
      <c r="A49" s="32">
        <v>44971</v>
      </c>
      <c r="B49" s="126" t="s">
        <v>948</v>
      </c>
      <c r="C49" s="8" t="s">
        <v>945</v>
      </c>
      <c r="D49" s="2" t="s">
        <v>587</v>
      </c>
      <c r="E49" s="8" t="s">
        <v>1170</v>
      </c>
      <c r="F49" s="8" t="s">
        <v>939</v>
      </c>
      <c r="G49" s="127"/>
    </row>
    <row r="50" spans="1:7" x14ac:dyDescent="0.25">
      <c r="A50" s="32">
        <v>45117</v>
      </c>
      <c r="B50" s="126" t="s">
        <v>1171</v>
      </c>
      <c r="C50" s="8" t="s">
        <v>1172</v>
      </c>
      <c r="D50" s="2" t="s">
        <v>587</v>
      </c>
      <c r="E50" s="8" t="s">
        <v>1173</v>
      </c>
      <c r="F50" s="8" t="s">
        <v>939</v>
      </c>
      <c r="G50" s="127"/>
    </row>
    <row r="51" spans="1:7" x14ac:dyDescent="0.25">
      <c r="A51" s="32">
        <v>45131</v>
      </c>
      <c r="B51" s="126" t="s">
        <v>1174</v>
      </c>
      <c r="C51" s="8" t="s">
        <v>1178</v>
      </c>
      <c r="D51" s="2" t="s">
        <v>587</v>
      </c>
      <c r="E51" s="8" t="s">
        <v>1179</v>
      </c>
      <c r="F51" s="8" t="s">
        <v>939</v>
      </c>
      <c r="G51" s="127"/>
    </row>
    <row r="52" spans="1:7" x14ac:dyDescent="0.25">
      <c r="A52" s="32">
        <v>45127</v>
      </c>
      <c r="B52" s="126" t="s">
        <v>1175</v>
      </c>
      <c r="C52" s="8" t="s">
        <v>809</v>
      </c>
      <c r="D52" s="2" t="s">
        <v>587</v>
      </c>
      <c r="E52" s="8" t="s">
        <v>1176</v>
      </c>
      <c r="F52" s="8" t="s">
        <v>939</v>
      </c>
      <c r="G52" s="127"/>
    </row>
    <row r="53" spans="1:7" x14ac:dyDescent="0.25">
      <c r="A53" s="32">
        <v>45127</v>
      </c>
      <c r="B53" s="126" t="s">
        <v>1177</v>
      </c>
      <c r="C53" s="8" t="s">
        <v>809</v>
      </c>
      <c r="D53" s="2" t="s">
        <v>587</v>
      </c>
      <c r="E53" s="8" t="s">
        <v>1180</v>
      </c>
      <c r="F53" s="8" t="s">
        <v>939</v>
      </c>
      <c r="G53" s="127"/>
    </row>
    <row r="54" spans="1:7" x14ac:dyDescent="0.25">
      <c r="A54" s="32">
        <v>45092</v>
      </c>
      <c r="B54" s="126" t="s">
        <v>1181</v>
      </c>
      <c r="C54" s="8" t="s">
        <v>809</v>
      </c>
      <c r="D54" s="2" t="s">
        <v>587</v>
      </c>
      <c r="E54" s="8" t="s">
        <v>1184</v>
      </c>
      <c r="F54" s="8" t="s">
        <v>939</v>
      </c>
      <c r="G54" s="127"/>
    </row>
    <row r="55" spans="1:7" x14ac:dyDescent="0.25">
      <c r="A55" s="32">
        <v>45092</v>
      </c>
      <c r="B55" s="126" t="s">
        <v>1181</v>
      </c>
      <c r="C55" s="8" t="s">
        <v>809</v>
      </c>
      <c r="D55" s="2" t="s">
        <v>587</v>
      </c>
      <c r="E55" s="8" t="s">
        <v>1182</v>
      </c>
      <c r="F55" s="8" t="s">
        <v>939</v>
      </c>
      <c r="G55" s="127"/>
    </row>
    <row r="56" spans="1:7" x14ac:dyDescent="0.25">
      <c r="A56" s="32">
        <v>45104</v>
      </c>
      <c r="B56" s="126" t="s">
        <v>932</v>
      </c>
      <c r="C56" s="8" t="s">
        <v>938</v>
      </c>
      <c r="D56" s="2" t="s">
        <v>587</v>
      </c>
      <c r="E56" s="8" t="s">
        <v>1183</v>
      </c>
      <c r="F56" s="8" t="s">
        <v>939</v>
      </c>
      <c r="G56" s="127"/>
    </row>
    <row r="57" spans="1:7" x14ac:dyDescent="0.25">
      <c r="A57" s="32">
        <v>45121</v>
      </c>
      <c r="B57" s="126" t="s">
        <v>1181</v>
      </c>
      <c r="C57" s="8" t="s">
        <v>809</v>
      </c>
      <c r="D57" s="2" t="s">
        <v>587</v>
      </c>
      <c r="E57" s="8" t="s">
        <v>1184</v>
      </c>
      <c r="F57" s="8" t="s">
        <v>939</v>
      </c>
      <c r="G57" s="127"/>
    </row>
    <row r="58" spans="1:7" x14ac:dyDescent="0.25">
      <c r="A58" s="32">
        <v>45054</v>
      </c>
      <c r="B58" s="126" t="s">
        <v>816</v>
      </c>
      <c r="C58" s="8" t="s">
        <v>822</v>
      </c>
      <c r="D58" s="2" t="s">
        <v>587</v>
      </c>
      <c r="E58" s="8" t="s">
        <v>1185</v>
      </c>
      <c r="F58" s="8" t="s">
        <v>939</v>
      </c>
      <c r="G58" s="127"/>
    </row>
    <row r="59" spans="1:7" x14ac:dyDescent="0.25">
      <c r="A59" s="32">
        <v>45057</v>
      </c>
      <c r="B59" s="126" t="s">
        <v>816</v>
      </c>
      <c r="C59" s="8" t="s">
        <v>803</v>
      </c>
      <c r="D59" s="2" t="s">
        <v>587</v>
      </c>
      <c r="E59" s="8" t="s">
        <v>1186</v>
      </c>
      <c r="F59" s="8" t="s">
        <v>939</v>
      </c>
      <c r="G59" s="127"/>
    </row>
    <row r="60" spans="1:7" x14ac:dyDescent="0.25">
      <c r="A60" s="32">
        <v>45077</v>
      </c>
      <c r="B60" s="126" t="s">
        <v>816</v>
      </c>
      <c r="C60" s="8" t="s">
        <v>822</v>
      </c>
      <c r="D60" s="2" t="s">
        <v>587</v>
      </c>
      <c r="E60" s="8" t="s">
        <v>1188</v>
      </c>
      <c r="F60" s="8" t="s">
        <v>939</v>
      </c>
      <c r="G60" s="127"/>
    </row>
    <row r="61" spans="1:7" x14ac:dyDescent="0.25">
      <c r="A61" s="32">
        <v>45046</v>
      </c>
      <c r="B61" s="126" t="s">
        <v>816</v>
      </c>
      <c r="C61" s="8" t="s">
        <v>822</v>
      </c>
      <c r="D61" s="2" t="s">
        <v>587</v>
      </c>
      <c r="E61" s="8" t="s">
        <v>1187</v>
      </c>
      <c r="F61" s="8" t="s">
        <v>939</v>
      </c>
      <c r="G61" s="127"/>
    </row>
    <row r="62" spans="1:7" x14ac:dyDescent="0.25">
      <c r="A62" s="32">
        <v>44957</v>
      </c>
      <c r="B62" s="126" t="s">
        <v>816</v>
      </c>
      <c r="C62" s="8" t="s">
        <v>822</v>
      </c>
      <c r="D62" s="2" t="s">
        <v>587</v>
      </c>
      <c r="E62" s="8" t="s">
        <v>1189</v>
      </c>
      <c r="F62" s="8" t="s">
        <v>939</v>
      </c>
      <c r="G62" s="127"/>
    </row>
    <row r="63" spans="1:7" x14ac:dyDescent="0.25">
      <c r="A63" s="32">
        <v>45168</v>
      </c>
      <c r="B63" s="126" t="s">
        <v>1181</v>
      </c>
      <c r="C63" s="8" t="s">
        <v>800</v>
      </c>
      <c r="D63" s="2" t="s">
        <v>587</v>
      </c>
      <c r="E63" s="8" t="s">
        <v>1190</v>
      </c>
      <c r="F63" s="8" t="s">
        <v>939</v>
      </c>
      <c r="G63" s="127"/>
    </row>
    <row r="64" spans="1:7" x14ac:dyDescent="0.25">
      <c r="A64" s="32">
        <v>45169</v>
      </c>
      <c r="B64" s="126" t="s">
        <v>816</v>
      </c>
      <c r="C64" s="8" t="s">
        <v>822</v>
      </c>
      <c r="D64" s="2" t="s">
        <v>587</v>
      </c>
      <c r="E64" s="8" t="s">
        <v>1191</v>
      </c>
      <c r="F64" s="8" t="s">
        <v>939</v>
      </c>
      <c r="G64" s="127"/>
    </row>
    <row r="65" spans="1:7" x14ac:dyDescent="0.25">
      <c r="A65" s="32">
        <v>45230</v>
      </c>
      <c r="B65" s="126" t="s">
        <v>1175</v>
      </c>
      <c r="C65" s="8" t="s">
        <v>809</v>
      </c>
      <c r="D65" s="2" t="s">
        <v>587</v>
      </c>
      <c r="E65" s="8" t="s">
        <v>2429</v>
      </c>
      <c r="F65" s="8" t="s">
        <v>939</v>
      </c>
      <c r="G65" s="127"/>
    </row>
    <row r="66" spans="1:7" x14ac:dyDescent="0.25">
      <c r="A66" s="32">
        <v>45233</v>
      </c>
      <c r="B66" s="126" t="s">
        <v>236</v>
      </c>
      <c r="C66" s="8" t="s">
        <v>2430</v>
      </c>
      <c r="D66" s="2" t="s">
        <v>587</v>
      </c>
      <c r="E66" s="8" t="s">
        <v>2431</v>
      </c>
      <c r="F66" s="8" t="s">
        <v>939</v>
      </c>
      <c r="G66" s="127"/>
    </row>
    <row r="67" spans="1:7" x14ac:dyDescent="0.25">
      <c r="A67" s="32">
        <v>45257</v>
      </c>
      <c r="B67" s="126" t="s">
        <v>522</v>
      </c>
      <c r="C67" s="8" t="s">
        <v>2430</v>
      </c>
      <c r="D67" s="2" t="s">
        <v>587</v>
      </c>
      <c r="E67" s="8" t="s">
        <v>2488</v>
      </c>
      <c r="F67" s="8" t="s">
        <v>939</v>
      </c>
      <c r="G67" s="127"/>
    </row>
    <row r="68" spans="1:7" x14ac:dyDescent="0.25">
      <c r="A68" s="32">
        <v>45189</v>
      </c>
      <c r="B68" s="126" t="s">
        <v>1175</v>
      </c>
      <c r="C68" s="8" t="s">
        <v>2489</v>
      </c>
      <c r="D68" s="2" t="s">
        <v>587</v>
      </c>
      <c r="E68" s="8" t="s">
        <v>2490</v>
      </c>
      <c r="F68" s="8" t="s">
        <v>939</v>
      </c>
      <c r="G68" s="127"/>
    </row>
    <row r="69" spans="1:7" x14ac:dyDescent="0.25">
      <c r="A69" s="32">
        <v>45225</v>
      </c>
      <c r="B69" s="126" t="s">
        <v>819</v>
      </c>
      <c r="C69" s="8" t="s">
        <v>2430</v>
      </c>
      <c r="D69" s="2" t="s">
        <v>587</v>
      </c>
      <c r="E69" s="8" t="s">
        <v>2492</v>
      </c>
      <c r="F69" s="8" t="s">
        <v>939</v>
      </c>
      <c r="G69" s="127"/>
    </row>
    <row r="70" spans="1:7" x14ac:dyDescent="0.25">
      <c r="A70" s="32">
        <v>45303</v>
      </c>
      <c r="B70" s="126" t="s">
        <v>816</v>
      </c>
      <c r="C70" s="8" t="s">
        <v>822</v>
      </c>
      <c r="D70" s="2" t="s">
        <v>587</v>
      </c>
      <c r="E70" s="8" t="s">
        <v>2501</v>
      </c>
      <c r="F70" s="8" t="s">
        <v>939</v>
      </c>
      <c r="G70" s="127"/>
    </row>
    <row r="71" spans="1:7" x14ac:dyDescent="0.25">
      <c r="A71" s="32">
        <v>45306</v>
      </c>
      <c r="B71" s="126" t="s">
        <v>3225</v>
      </c>
      <c r="C71" s="8" t="s">
        <v>2491</v>
      </c>
      <c r="D71" s="2" t="s">
        <v>587</v>
      </c>
      <c r="E71" s="8" t="s">
        <v>3226</v>
      </c>
      <c r="F71" s="8" t="s">
        <v>939</v>
      </c>
      <c r="G71" s="127"/>
    </row>
    <row r="72" spans="1:7" x14ac:dyDescent="0.25">
      <c r="A72" s="32">
        <v>45302</v>
      </c>
      <c r="B72" s="126" t="s">
        <v>1181</v>
      </c>
      <c r="C72" s="8" t="s">
        <v>3227</v>
      </c>
      <c r="D72" s="2" t="s">
        <v>587</v>
      </c>
      <c r="E72" s="8" t="s">
        <v>3228</v>
      </c>
      <c r="F72" s="8" t="s">
        <v>939</v>
      </c>
      <c r="G72" s="127"/>
    </row>
    <row r="73" spans="1:7" x14ac:dyDescent="0.25">
      <c r="A73" s="32">
        <v>45301</v>
      </c>
      <c r="B73" s="126" t="s">
        <v>940</v>
      </c>
      <c r="C73" s="8" t="s">
        <v>3229</v>
      </c>
      <c r="D73" s="2" t="s">
        <v>587</v>
      </c>
      <c r="E73" s="8" t="s">
        <v>3230</v>
      </c>
      <c r="F73" s="8" t="s">
        <v>939</v>
      </c>
      <c r="G73" s="127"/>
    </row>
    <row r="74" spans="1:7" x14ac:dyDescent="0.25">
      <c r="A74" s="32">
        <v>45315</v>
      </c>
      <c r="B74" s="126" t="s">
        <v>236</v>
      </c>
      <c r="C74" s="8" t="s">
        <v>2430</v>
      </c>
      <c r="D74" s="2" t="s">
        <v>587</v>
      </c>
      <c r="E74" s="8" t="s">
        <v>3624</v>
      </c>
      <c r="F74" s="8" t="s">
        <v>939</v>
      </c>
      <c r="G74" s="127"/>
    </row>
    <row r="75" spans="1:7" x14ac:dyDescent="0.25">
      <c r="A75" s="32">
        <v>45310</v>
      </c>
      <c r="B75" s="126" t="s">
        <v>236</v>
      </c>
      <c r="C75" s="8" t="s">
        <v>3625</v>
      </c>
      <c r="D75" s="2" t="s">
        <v>587</v>
      </c>
      <c r="E75" s="8" t="s">
        <v>3624</v>
      </c>
      <c r="F75" s="8" t="s">
        <v>939</v>
      </c>
      <c r="G75" s="127"/>
    </row>
    <row r="76" spans="1:7" x14ac:dyDescent="0.25">
      <c r="A76" s="32">
        <v>45309</v>
      </c>
      <c r="B76" s="126" t="s">
        <v>816</v>
      </c>
      <c r="C76" s="8" t="s">
        <v>822</v>
      </c>
      <c r="D76" s="2" t="s">
        <v>587</v>
      </c>
      <c r="E76" s="8" t="s">
        <v>3626</v>
      </c>
      <c r="F76" s="8" t="s">
        <v>939</v>
      </c>
      <c r="G76" s="127"/>
    </row>
    <row r="77" spans="1:7" x14ac:dyDescent="0.25">
      <c r="A77" s="32">
        <v>45309</v>
      </c>
      <c r="B77" s="126" t="s">
        <v>798</v>
      </c>
      <c r="C77" s="8" t="s">
        <v>3627</v>
      </c>
      <c r="D77" s="2" t="s">
        <v>587</v>
      </c>
      <c r="E77" s="8" t="s">
        <v>3228</v>
      </c>
      <c r="F77" s="8" t="s">
        <v>939</v>
      </c>
      <c r="G77" s="127"/>
    </row>
    <row r="78" spans="1:7" x14ac:dyDescent="0.25">
      <c r="A78" s="32">
        <v>45315</v>
      </c>
      <c r="B78" s="126" t="s">
        <v>236</v>
      </c>
      <c r="C78" s="8" t="s">
        <v>2430</v>
      </c>
      <c r="D78" s="2" t="s">
        <v>587</v>
      </c>
      <c r="E78" s="8" t="s">
        <v>3624</v>
      </c>
      <c r="F78" s="8" t="s">
        <v>939</v>
      </c>
      <c r="G78" s="127"/>
    </row>
    <row r="79" spans="1:7" x14ac:dyDescent="0.25">
      <c r="A79" s="32">
        <v>45337</v>
      </c>
      <c r="B79" s="126" t="s">
        <v>819</v>
      </c>
      <c r="C79" s="8" t="s">
        <v>3628</v>
      </c>
      <c r="D79" s="2" t="s">
        <v>587</v>
      </c>
      <c r="E79" s="8" t="s">
        <v>3629</v>
      </c>
      <c r="F79" s="8" t="s">
        <v>939</v>
      </c>
      <c r="G79" s="127"/>
    </row>
    <row r="80" spans="1:7" x14ac:dyDescent="0.25">
      <c r="A80" s="32">
        <v>45341</v>
      </c>
      <c r="B80" s="126" t="s">
        <v>3895</v>
      </c>
      <c r="C80" s="8" t="s">
        <v>803</v>
      </c>
      <c r="D80" s="2" t="s">
        <v>587</v>
      </c>
      <c r="E80" s="8" t="s">
        <v>3896</v>
      </c>
      <c r="F80" s="8" t="s">
        <v>939</v>
      </c>
      <c r="G80" s="127"/>
    </row>
    <row r="81" spans="1:7" x14ac:dyDescent="0.25">
      <c r="A81" s="32">
        <v>45345</v>
      </c>
      <c r="B81" s="126" t="s">
        <v>272</v>
      </c>
      <c r="C81" s="8" t="s">
        <v>3897</v>
      </c>
      <c r="D81" s="2" t="s">
        <v>587</v>
      </c>
      <c r="E81" s="8" t="s">
        <v>3898</v>
      </c>
      <c r="F81" s="8" t="s">
        <v>939</v>
      </c>
      <c r="G81" s="127"/>
    </row>
    <row r="82" spans="1:7" x14ac:dyDescent="0.25">
      <c r="A82" s="32">
        <v>45327</v>
      </c>
      <c r="B82" s="126" t="s">
        <v>236</v>
      </c>
      <c r="C82" s="8" t="s">
        <v>3899</v>
      </c>
      <c r="D82" s="2" t="s">
        <v>587</v>
      </c>
      <c r="E82" s="8" t="s">
        <v>3900</v>
      </c>
      <c r="F82" s="8" t="s">
        <v>939</v>
      </c>
      <c r="G82" s="127"/>
    </row>
    <row r="83" spans="1:7" x14ac:dyDescent="0.25">
      <c r="A83" s="32">
        <v>45337</v>
      </c>
      <c r="B83" s="126" t="s">
        <v>819</v>
      </c>
      <c r="C83" s="8" t="s">
        <v>3902</v>
      </c>
      <c r="D83" s="2" t="s">
        <v>587</v>
      </c>
      <c r="E83" s="8" t="s">
        <v>3903</v>
      </c>
      <c r="F83" s="8" t="s">
        <v>939</v>
      </c>
      <c r="G83" s="127"/>
    </row>
    <row r="84" spans="1:7" x14ac:dyDescent="0.25">
      <c r="A84" s="32">
        <v>45355</v>
      </c>
      <c r="B84" s="260" t="s">
        <v>942</v>
      </c>
      <c r="C84" s="205" t="s">
        <v>3888</v>
      </c>
      <c r="D84" s="2" t="s">
        <v>587</v>
      </c>
      <c r="E84" t="s">
        <v>3889</v>
      </c>
      <c r="F84" s="8" t="s">
        <v>939</v>
      </c>
      <c r="G84" s="127"/>
    </row>
    <row r="85" spans="1:7" x14ac:dyDescent="0.25">
      <c r="A85" s="32">
        <v>45355</v>
      </c>
      <c r="B85" s="126" t="s">
        <v>236</v>
      </c>
      <c r="C85" s="8" t="s">
        <v>3625</v>
      </c>
      <c r="D85" s="2" t="s">
        <v>587</v>
      </c>
      <c r="E85" s="8" t="s">
        <v>3727</v>
      </c>
      <c r="F85" s="8" t="s">
        <v>939</v>
      </c>
      <c r="G85" s="127"/>
    </row>
    <row r="86" spans="1:7" x14ac:dyDescent="0.25">
      <c r="A86" s="32">
        <v>45356</v>
      </c>
      <c r="B86" s="126" t="s">
        <v>816</v>
      </c>
      <c r="C86" s="8" t="s">
        <v>822</v>
      </c>
      <c r="D86" s="2" t="s">
        <v>587</v>
      </c>
      <c r="E86" s="8" t="s">
        <v>3883</v>
      </c>
      <c r="F86" s="8" t="s">
        <v>939</v>
      </c>
      <c r="G86" s="127"/>
    </row>
    <row r="87" spans="1:7" x14ac:dyDescent="0.25">
      <c r="A87" s="32">
        <v>45356</v>
      </c>
      <c r="B87" s="126" t="s">
        <v>816</v>
      </c>
      <c r="C87" s="8" t="s">
        <v>822</v>
      </c>
      <c r="D87" s="2" t="s">
        <v>587</v>
      </c>
      <c r="E87" s="8" t="s">
        <v>3885</v>
      </c>
      <c r="F87" s="8" t="s">
        <v>3884</v>
      </c>
      <c r="G87" s="127"/>
    </row>
    <row r="88" spans="1:7" x14ac:dyDescent="0.25">
      <c r="A88" s="32">
        <v>45380</v>
      </c>
      <c r="B88" s="126" t="s">
        <v>819</v>
      </c>
      <c r="C88" s="8" t="s">
        <v>3628</v>
      </c>
      <c r="D88" s="2" t="s">
        <v>587</v>
      </c>
      <c r="E88" s="8" t="s">
        <v>3901</v>
      </c>
      <c r="F88" s="8" t="s">
        <v>939</v>
      </c>
      <c r="G88" s="127"/>
    </row>
    <row r="89" spans="1:7" x14ac:dyDescent="0.25">
      <c r="A89" s="32">
        <v>45359</v>
      </c>
      <c r="B89" s="126" t="s">
        <v>798</v>
      </c>
      <c r="C89" s="8" t="s">
        <v>3628</v>
      </c>
      <c r="D89" s="2" t="s">
        <v>587</v>
      </c>
      <c r="E89" s="8" t="s">
        <v>3904</v>
      </c>
      <c r="F89" s="8" t="s">
        <v>939</v>
      </c>
      <c r="G89" s="127"/>
    </row>
    <row r="90" spans="1:7" x14ac:dyDescent="0.25">
      <c r="A90" s="32">
        <v>45384</v>
      </c>
      <c r="B90" s="126" t="s">
        <v>1181</v>
      </c>
      <c r="C90" s="8" t="s">
        <v>3891</v>
      </c>
      <c r="D90" s="2" t="s">
        <v>587</v>
      </c>
      <c r="E90" s="8" t="s">
        <v>3890</v>
      </c>
      <c r="F90" s="8" t="s">
        <v>939</v>
      </c>
      <c r="G90" s="127"/>
    </row>
    <row r="91" spans="1:7" x14ac:dyDescent="0.25">
      <c r="A91" s="32">
        <v>45385</v>
      </c>
      <c r="B91" s="126" t="s">
        <v>1181</v>
      </c>
      <c r="C91" s="8" t="s">
        <v>3892</v>
      </c>
      <c r="D91" s="2" t="s">
        <v>587</v>
      </c>
      <c r="E91" s="8" t="s">
        <v>3890</v>
      </c>
      <c r="F91" s="8" t="s">
        <v>939</v>
      </c>
      <c r="G91" s="127"/>
    </row>
    <row r="92" spans="1:7" x14ac:dyDescent="0.25">
      <c r="A92" s="32">
        <v>45385</v>
      </c>
      <c r="B92" s="126" t="s">
        <v>816</v>
      </c>
      <c r="C92" s="8" t="s">
        <v>822</v>
      </c>
      <c r="D92" s="2" t="s">
        <v>587</v>
      </c>
      <c r="E92" s="8" t="s">
        <v>3886</v>
      </c>
      <c r="F92" s="8" t="s">
        <v>939</v>
      </c>
      <c r="G92" s="127"/>
    </row>
    <row r="93" spans="1:7" x14ac:dyDescent="0.25">
      <c r="A93" s="32">
        <v>45390</v>
      </c>
      <c r="B93" s="126" t="s">
        <v>3905</v>
      </c>
      <c r="C93" s="8" t="s">
        <v>3899</v>
      </c>
      <c r="D93" s="2" t="s">
        <v>587</v>
      </c>
      <c r="E93" s="8" t="s">
        <v>3906</v>
      </c>
      <c r="F93" s="8" t="s">
        <v>939</v>
      </c>
      <c r="G93" s="127"/>
    </row>
    <row r="94" spans="1:7" x14ac:dyDescent="0.25">
      <c r="A94" s="32">
        <v>45401</v>
      </c>
      <c r="B94" s="126" t="s">
        <v>1177</v>
      </c>
      <c r="C94" s="8" t="s">
        <v>809</v>
      </c>
      <c r="D94" s="2" t="s">
        <v>587</v>
      </c>
      <c r="E94" s="8" t="s">
        <v>3882</v>
      </c>
      <c r="F94" s="8" t="s">
        <v>939</v>
      </c>
      <c r="G94" s="127"/>
    </row>
    <row r="95" spans="1:7" x14ac:dyDescent="0.25">
      <c r="A95" s="32">
        <v>45408</v>
      </c>
      <c r="B95" s="126" t="s">
        <v>816</v>
      </c>
      <c r="C95" s="8" t="s">
        <v>3907</v>
      </c>
      <c r="D95" s="2" t="s">
        <v>587</v>
      </c>
      <c r="E95" s="8" t="s">
        <v>3908</v>
      </c>
      <c r="F95" s="8" t="s">
        <v>939</v>
      </c>
      <c r="G95" s="127"/>
    </row>
    <row r="96" spans="1:7" x14ac:dyDescent="0.25">
      <c r="A96" s="32">
        <v>45415</v>
      </c>
      <c r="B96" s="126" t="s">
        <v>816</v>
      </c>
      <c r="C96" s="8" t="s">
        <v>822</v>
      </c>
      <c r="D96" s="2" t="s">
        <v>587</v>
      </c>
      <c r="E96" s="8" t="s">
        <v>3887</v>
      </c>
      <c r="F96" s="8" t="s">
        <v>939</v>
      </c>
      <c r="G96" s="127"/>
    </row>
    <row r="97" spans="1:7" x14ac:dyDescent="0.25">
      <c r="A97" s="32">
        <v>45415</v>
      </c>
      <c r="B97" s="126" t="s">
        <v>1181</v>
      </c>
      <c r="C97" s="8" t="s">
        <v>3891</v>
      </c>
      <c r="D97" s="2" t="s">
        <v>587</v>
      </c>
      <c r="E97" s="8" t="s">
        <v>3893</v>
      </c>
      <c r="F97" s="8" t="s">
        <v>939</v>
      </c>
      <c r="G97" s="127"/>
    </row>
    <row r="98" spans="1:7" x14ac:dyDescent="0.25">
      <c r="A98" s="32">
        <v>45415</v>
      </c>
      <c r="B98" s="126" t="s">
        <v>1181</v>
      </c>
      <c r="C98" s="8" t="s">
        <v>3892</v>
      </c>
      <c r="D98" s="2" t="s">
        <v>587</v>
      </c>
      <c r="E98" s="8" t="s">
        <v>3893</v>
      </c>
      <c r="F98" s="8" t="s">
        <v>939</v>
      </c>
      <c r="G98" s="127"/>
    </row>
    <row r="99" spans="1:7" x14ac:dyDescent="0.25">
      <c r="A99" s="32">
        <v>45415</v>
      </c>
      <c r="B99" s="126" t="s">
        <v>236</v>
      </c>
      <c r="C99" s="8" t="s">
        <v>3625</v>
      </c>
      <c r="D99" s="2" t="s">
        <v>587</v>
      </c>
      <c r="E99" s="8" t="s">
        <v>3894</v>
      </c>
      <c r="F99" s="8" t="s">
        <v>939</v>
      </c>
      <c r="G99" s="127"/>
    </row>
    <row r="100" spans="1:7" x14ac:dyDescent="0.25">
      <c r="A100" s="32">
        <v>45419</v>
      </c>
      <c r="B100" s="126" t="s">
        <v>946</v>
      </c>
      <c r="C100" s="8" t="s">
        <v>3909</v>
      </c>
      <c r="D100" s="2" t="s">
        <v>587</v>
      </c>
      <c r="E100" s="8" t="s">
        <v>3910</v>
      </c>
      <c r="F100" s="8" t="s">
        <v>939</v>
      </c>
      <c r="G100" s="127"/>
    </row>
    <row r="101" spans="1:7" x14ac:dyDescent="0.25">
      <c r="A101" s="32">
        <v>45419</v>
      </c>
      <c r="B101" s="126" t="s">
        <v>819</v>
      </c>
      <c r="C101" s="8" t="s">
        <v>3913</v>
      </c>
      <c r="D101" s="2" t="s">
        <v>587</v>
      </c>
      <c r="E101" s="8" t="s">
        <v>3912</v>
      </c>
      <c r="F101" s="8" t="s">
        <v>939</v>
      </c>
      <c r="G101" s="127"/>
    </row>
    <row r="102" spans="1:7" x14ac:dyDescent="0.25">
      <c r="A102" s="32">
        <v>45428</v>
      </c>
      <c r="B102" s="126" t="s">
        <v>816</v>
      </c>
      <c r="C102" s="8" t="s">
        <v>803</v>
      </c>
      <c r="D102" s="2" t="s">
        <v>587</v>
      </c>
      <c r="E102" s="8" t="s">
        <v>3911</v>
      </c>
      <c r="F102" s="8" t="s">
        <v>939</v>
      </c>
      <c r="G102" s="127"/>
    </row>
    <row r="103" spans="1:7" x14ac:dyDescent="0.25">
      <c r="A103" s="32">
        <v>45439</v>
      </c>
      <c r="B103" s="126" t="s">
        <v>273</v>
      </c>
      <c r="C103" s="8" t="s">
        <v>809</v>
      </c>
      <c r="D103" s="2" t="s">
        <v>587</v>
      </c>
      <c r="E103" s="8" t="s">
        <v>3985</v>
      </c>
      <c r="F103" s="8" t="s">
        <v>939</v>
      </c>
      <c r="G103" s="127"/>
    </row>
    <row r="104" spans="1:7" x14ac:dyDescent="0.25">
      <c r="A104" s="32">
        <v>45441</v>
      </c>
      <c r="B104" s="126" t="s">
        <v>2553</v>
      </c>
      <c r="C104" s="8" t="s">
        <v>3986</v>
      </c>
      <c r="D104" s="2" t="s">
        <v>587</v>
      </c>
      <c r="E104" s="8" t="s">
        <v>3987</v>
      </c>
      <c r="F104" s="8" t="s">
        <v>939</v>
      </c>
      <c r="G104" s="127"/>
    </row>
    <row r="105" spans="1:7" x14ac:dyDescent="0.25">
      <c r="A105" s="32">
        <v>45448</v>
      </c>
      <c r="B105" s="126" t="s">
        <v>3988</v>
      </c>
      <c r="C105" s="8" t="s">
        <v>809</v>
      </c>
      <c r="D105" s="2" t="s">
        <v>587</v>
      </c>
      <c r="E105" s="8" t="s">
        <v>3989</v>
      </c>
      <c r="F105" s="8" t="s">
        <v>939</v>
      </c>
      <c r="G105" s="127"/>
    </row>
    <row r="106" spans="1:7" x14ac:dyDescent="0.25">
      <c r="A106" s="32">
        <v>45453</v>
      </c>
      <c r="B106" s="126" t="s">
        <v>816</v>
      </c>
      <c r="C106" s="8" t="s">
        <v>803</v>
      </c>
      <c r="D106" s="2" t="s">
        <v>587</v>
      </c>
      <c r="E106" s="205" t="s">
        <v>3990</v>
      </c>
      <c r="F106" s="8" t="s">
        <v>939</v>
      </c>
      <c r="G106" s="127"/>
    </row>
    <row r="107" spans="1:7" x14ac:dyDescent="0.25">
      <c r="A107" s="32">
        <v>45449</v>
      </c>
      <c r="B107" s="126" t="s">
        <v>3991</v>
      </c>
      <c r="C107" s="8" t="s">
        <v>3229</v>
      </c>
      <c r="D107" s="2" t="s">
        <v>587</v>
      </c>
      <c r="E107" s="205" t="s">
        <v>3992</v>
      </c>
      <c r="F107" s="8" t="s">
        <v>939</v>
      </c>
      <c r="G107" s="127"/>
    </row>
    <row r="108" spans="1:7" x14ac:dyDescent="0.25">
      <c r="A108" s="32">
        <v>45467</v>
      </c>
      <c r="B108" s="126" t="s">
        <v>932</v>
      </c>
      <c r="C108" s="8" t="s">
        <v>803</v>
      </c>
      <c r="D108" s="2" t="s">
        <v>587</v>
      </c>
      <c r="E108" s="205" t="s">
        <v>3993</v>
      </c>
      <c r="F108" s="8" t="s">
        <v>939</v>
      </c>
      <c r="G108" s="127"/>
    </row>
    <row r="109" spans="1:7" x14ac:dyDescent="0.25">
      <c r="A109" s="32"/>
    </row>
    <row r="1048576" spans="4:4" x14ac:dyDescent="0.25">
      <c r="D1048576" s="2"/>
    </row>
  </sheetData>
  <autoFilter ref="A1:G102" xr:uid="{6168A0DD-1100-4C28-A490-B4BAB8C6E6A7}"/>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4AF5-32AA-4606-B0DB-64CA365D425D}">
  <sheetPr codeName="Sheet22">
    <tabColor theme="8" tint="-0.249977111117893"/>
  </sheetPr>
  <dimension ref="A1:K59"/>
  <sheetViews>
    <sheetView showGridLines="0" topLeftCell="C1" workbookViewId="0">
      <pane ySplit="1" topLeftCell="A2" activePane="bottomLeft" state="frozen"/>
      <selection pane="bottomLeft" activeCell="O9" sqref="O9"/>
    </sheetView>
  </sheetViews>
  <sheetFormatPr defaultRowHeight="15" x14ac:dyDescent="0.25"/>
  <cols>
    <col min="1" max="1" width="10.7109375" bestFit="1" customWidth="1"/>
    <col min="2" max="2" width="69.42578125" bestFit="1" customWidth="1"/>
    <col min="3" max="3" width="69.42578125" customWidth="1"/>
    <col min="4" max="4" width="6.5703125" bestFit="1" customWidth="1"/>
    <col min="5" max="5" width="23.28515625" style="7" customWidth="1"/>
    <col min="6" max="6" width="23.42578125" style="7" bestFit="1" customWidth="1"/>
    <col min="7" max="7" width="24.28515625" style="7" bestFit="1" customWidth="1"/>
    <col min="8" max="8" width="19.7109375" style="7" bestFit="1" customWidth="1"/>
    <col min="9" max="9" width="17" style="7" bestFit="1" customWidth="1"/>
    <col min="10" max="10" width="9.140625" style="7"/>
    <col min="11" max="11" width="22.7109375" style="7" bestFit="1" customWidth="1"/>
  </cols>
  <sheetData>
    <row r="1" spans="1:11" x14ac:dyDescent="0.25">
      <c r="A1" t="s">
        <v>0</v>
      </c>
      <c r="B1" t="s">
        <v>3508</v>
      </c>
      <c r="C1" t="s">
        <v>480</v>
      </c>
      <c r="D1" t="s">
        <v>2527</v>
      </c>
      <c r="E1" s="7" t="s">
        <v>2531</v>
      </c>
      <c r="F1" s="7" t="s">
        <v>2533</v>
      </c>
      <c r="G1" s="7" t="s">
        <v>2534</v>
      </c>
      <c r="H1" s="7" t="s">
        <v>2535</v>
      </c>
      <c r="I1" s="7" t="s">
        <v>2536</v>
      </c>
      <c r="J1" s="7" t="s">
        <v>2537</v>
      </c>
      <c r="K1" s="7" t="s">
        <v>2538</v>
      </c>
    </row>
    <row r="2" spans="1:11" x14ac:dyDescent="0.25">
      <c r="B2" s="215" t="s">
        <v>993</v>
      </c>
      <c r="C2" s="215"/>
      <c r="D2" s="215" t="s">
        <v>2528</v>
      </c>
      <c r="E2" s="219">
        <v>44907</v>
      </c>
    </row>
    <row r="3" spans="1:11" x14ac:dyDescent="0.25">
      <c r="B3" s="215" t="s">
        <v>995</v>
      </c>
      <c r="C3" s="215"/>
      <c r="D3" s="215" t="s">
        <v>2528</v>
      </c>
      <c r="E3" s="220"/>
    </row>
    <row r="4" spans="1:11" x14ac:dyDescent="0.25">
      <c r="B4" s="215" t="s">
        <v>996</v>
      </c>
      <c r="C4" s="215"/>
      <c r="D4" s="215" t="s">
        <v>2528</v>
      </c>
      <c r="E4" s="220"/>
    </row>
    <row r="5" spans="1:11" x14ac:dyDescent="0.25">
      <c r="B5" s="215" t="s">
        <v>997</v>
      </c>
      <c r="C5" s="215"/>
      <c r="D5" s="215" t="s">
        <v>2529</v>
      </c>
      <c r="E5" s="220"/>
    </row>
    <row r="6" spans="1:11" x14ac:dyDescent="0.25">
      <c r="B6" s="215" t="s">
        <v>998</v>
      </c>
      <c r="C6" s="215"/>
      <c r="D6" s="215" t="s">
        <v>2529</v>
      </c>
      <c r="E6" s="220"/>
    </row>
    <row r="7" spans="1:11" x14ac:dyDescent="0.25">
      <c r="B7" s="215" t="s">
        <v>999</v>
      </c>
      <c r="C7" s="215"/>
      <c r="D7" s="215" t="s">
        <v>2529</v>
      </c>
      <c r="E7" s="220"/>
    </row>
    <row r="8" spans="1:11" x14ac:dyDescent="0.25">
      <c r="B8" s="215" t="s">
        <v>1001</v>
      </c>
      <c r="C8" s="215"/>
      <c r="D8" s="215" t="s">
        <v>2529</v>
      </c>
      <c r="E8" s="220"/>
    </row>
    <row r="9" spans="1:11" x14ac:dyDescent="0.25">
      <c r="B9" s="215" t="s">
        <v>1003</v>
      </c>
      <c r="C9" s="215"/>
      <c r="D9" s="215" t="s">
        <v>2529</v>
      </c>
      <c r="E9" s="220"/>
    </row>
    <row r="10" spans="1:11" x14ac:dyDescent="0.25">
      <c r="B10" s="215" t="s">
        <v>2530</v>
      </c>
      <c r="C10" s="215"/>
      <c r="D10" s="215" t="s">
        <v>2529</v>
      </c>
      <c r="E10" s="219">
        <v>44907</v>
      </c>
      <c r="F10" s="219" t="s">
        <v>613</v>
      </c>
      <c r="G10" s="219" t="s">
        <v>613</v>
      </c>
      <c r="H10" s="219" t="s">
        <v>612</v>
      </c>
      <c r="I10" s="219" t="s">
        <v>612</v>
      </c>
      <c r="J10" s="219" t="s">
        <v>613</v>
      </c>
      <c r="K10" s="219" t="s">
        <v>613</v>
      </c>
    </row>
    <row r="11" spans="1:11" x14ac:dyDescent="0.25">
      <c r="B11" s="215" t="s">
        <v>1006</v>
      </c>
      <c r="C11" s="215"/>
      <c r="D11" s="215" t="s">
        <v>2529</v>
      </c>
      <c r="E11" s="220"/>
    </row>
    <row r="12" spans="1:11" x14ac:dyDescent="0.25">
      <c r="B12" s="215" t="s">
        <v>1007</v>
      </c>
      <c r="C12" s="215"/>
      <c r="D12" s="215" t="s">
        <v>2528</v>
      </c>
      <c r="E12" s="220"/>
    </row>
    <row r="13" spans="1:11" x14ac:dyDescent="0.25">
      <c r="B13" s="215" t="s">
        <v>1008</v>
      </c>
      <c r="C13" s="215"/>
      <c r="D13" s="215" t="s">
        <v>2529</v>
      </c>
      <c r="E13" s="220"/>
    </row>
    <row r="14" spans="1:11" x14ac:dyDescent="0.25">
      <c r="B14" s="215" t="s">
        <v>1010</v>
      </c>
      <c r="C14" s="215"/>
      <c r="D14" s="215" t="s">
        <v>2529</v>
      </c>
      <c r="E14" s="220"/>
    </row>
    <row r="15" spans="1:11" x14ac:dyDescent="0.25">
      <c r="B15" s="215" t="s">
        <v>1011</v>
      </c>
      <c r="C15" s="215"/>
      <c r="D15" s="215" t="s">
        <v>2529</v>
      </c>
      <c r="E15" s="220"/>
    </row>
    <row r="16" spans="1:11" x14ac:dyDescent="0.25">
      <c r="B16" s="215" t="s">
        <v>1012</v>
      </c>
      <c r="C16" s="215"/>
      <c r="D16" s="215" t="s">
        <v>2528</v>
      </c>
      <c r="E16" s="220"/>
    </row>
    <row r="17" spans="1:11" x14ac:dyDescent="0.25">
      <c r="B17" s="215" t="s">
        <v>1014</v>
      </c>
      <c r="C17" s="215"/>
      <c r="D17" s="215" t="s">
        <v>2529</v>
      </c>
      <c r="E17" s="220"/>
    </row>
    <row r="18" spans="1:11" x14ac:dyDescent="0.25">
      <c r="B18" s="215" t="s">
        <v>1015</v>
      </c>
      <c r="C18" s="215"/>
      <c r="D18" s="215" t="s">
        <v>2529</v>
      </c>
      <c r="E18" s="220"/>
    </row>
    <row r="19" spans="1:11" x14ac:dyDescent="0.25">
      <c r="B19" s="215" t="s">
        <v>1017</v>
      </c>
      <c r="C19" s="215"/>
      <c r="D19" s="215" t="s">
        <v>2529</v>
      </c>
      <c r="E19" s="220"/>
    </row>
    <row r="20" spans="1:11" x14ac:dyDescent="0.25">
      <c r="B20" s="215" t="s">
        <v>1019</v>
      </c>
      <c r="C20" s="215"/>
      <c r="D20" s="215" t="s">
        <v>2528</v>
      </c>
      <c r="E20" s="220"/>
    </row>
    <row r="21" spans="1:11" x14ac:dyDescent="0.25">
      <c r="B21" s="215" t="s">
        <v>1021</v>
      </c>
      <c r="C21" s="215"/>
      <c r="D21" s="215" t="s">
        <v>2528</v>
      </c>
      <c r="E21" s="220"/>
    </row>
    <row r="22" spans="1:11" x14ac:dyDescent="0.25">
      <c r="B22" s="215" t="s">
        <v>1022</v>
      </c>
      <c r="C22" s="215"/>
      <c r="D22" s="215" t="s">
        <v>2529</v>
      </c>
      <c r="E22" s="220"/>
    </row>
    <row r="23" spans="1:11" x14ac:dyDescent="0.25">
      <c r="B23" s="215" t="s">
        <v>1024</v>
      </c>
      <c r="C23" s="215"/>
      <c r="D23" s="215" t="s">
        <v>2528</v>
      </c>
      <c r="E23" s="220"/>
    </row>
    <row r="24" spans="1:11" x14ac:dyDescent="0.25">
      <c r="B24" s="215" t="s">
        <v>1025</v>
      </c>
      <c r="C24" s="215"/>
      <c r="D24" s="215" t="s">
        <v>2528</v>
      </c>
      <c r="E24" s="220"/>
    </row>
    <row r="25" spans="1:11" x14ac:dyDescent="0.25">
      <c r="B25" s="215" t="s">
        <v>1026</v>
      </c>
      <c r="C25" s="215"/>
      <c r="D25" s="215" t="s">
        <v>2529</v>
      </c>
      <c r="E25" s="220"/>
    </row>
    <row r="26" spans="1:11" x14ac:dyDescent="0.25">
      <c r="B26" s="215" t="s">
        <v>1028</v>
      </c>
      <c r="C26" s="215"/>
      <c r="D26" s="215" t="s">
        <v>2529</v>
      </c>
      <c r="E26" s="220"/>
    </row>
    <row r="27" spans="1:11" x14ac:dyDescent="0.25">
      <c r="B27" s="215" t="s">
        <v>1030</v>
      </c>
      <c r="C27" s="215"/>
      <c r="D27" s="215" t="s">
        <v>2529</v>
      </c>
      <c r="E27" s="220"/>
    </row>
    <row r="28" spans="1:11" x14ac:dyDescent="0.25">
      <c r="B28" s="215" t="s">
        <v>1031</v>
      </c>
      <c r="C28" s="215"/>
      <c r="D28" s="215" t="s">
        <v>2528</v>
      </c>
      <c r="E28" s="220"/>
    </row>
    <row r="29" spans="1:11" x14ac:dyDescent="0.25">
      <c r="A29" s="221" t="s">
        <v>2532</v>
      </c>
      <c r="B29" s="216" t="s">
        <v>993</v>
      </c>
      <c r="C29" s="216" t="s">
        <v>989</v>
      </c>
      <c r="D29" s="216" t="s">
        <v>2528</v>
      </c>
      <c r="E29" s="221" t="s">
        <v>613</v>
      </c>
      <c r="F29" s="221" t="s">
        <v>847</v>
      </c>
      <c r="G29" s="221" t="s">
        <v>612</v>
      </c>
      <c r="H29" s="221" t="s">
        <v>613</v>
      </c>
      <c r="I29" s="221" t="s">
        <v>613</v>
      </c>
      <c r="J29" s="221" t="s">
        <v>613</v>
      </c>
      <c r="K29" s="221" t="s">
        <v>612</v>
      </c>
    </row>
    <row r="30" spans="1:11" x14ac:dyDescent="0.25">
      <c r="A30" s="221" t="s">
        <v>2532</v>
      </c>
      <c r="B30" s="216" t="s">
        <v>995</v>
      </c>
      <c r="C30" s="216" t="s">
        <v>989</v>
      </c>
      <c r="D30" s="216" t="s">
        <v>2528</v>
      </c>
      <c r="E30" s="221" t="s">
        <v>613</v>
      </c>
      <c r="F30" s="221" t="s">
        <v>847</v>
      </c>
      <c r="G30" s="221" t="s">
        <v>612</v>
      </c>
      <c r="H30" s="221" t="s">
        <v>613</v>
      </c>
      <c r="I30" s="221" t="s">
        <v>613</v>
      </c>
      <c r="J30" s="221" t="s">
        <v>613</v>
      </c>
      <c r="K30" s="221" t="s">
        <v>612</v>
      </c>
    </row>
    <row r="31" spans="1:11" x14ac:dyDescent="0.25">
      <c r="A31" s="221" t="s">
        <v>2532</v>
      </c>
      <c r="B31" s="216" t="s">
        <v>996</v>
      </c>
      <c r="C31" s="216" t="s">
        <v>989</v>
      </c>
      <c r="D31" s="216" t="s">
        <v>2528</v>
      </c>
      <c r="E31" s="221" t="s">
        <v>613</v>
      </c>
      <c r="F31" s="221" t="s">
        <v>847</v>
      </c>
      <c r="G31" s="221" t="s">
        <v>612</v>
      </c>
      <c r="H31" s="221" t="s">
        <v>613</v>
      </c>
      <c r="I31" s="221" t="s">
        <v>613</v>
      </c>
      <c r="J31" s="221" t="s">
        <v>613</v>
      </c>
      <c r="K31" s="221" t="s">
        <v>612</v>
      </c>
    </row>
    <row r="32" spans="1:11" x14ac:dyDescent="0.25">
      <c r="B32" s="216" t="s">
        <v>997</v>
      </c>
      <c r="C32" s="216" t="s">
        <v>989</v>
      </c>
      <c r="D32" s="216" t="s">
        <v>2529</v>
      </c>
      <c r="E32" s="221" t="s">
        <v>2539</v>
      </c>
      <c r="F32" s="221" t="s">
        <v>612</v>
      </c>
      <c r="G32" s="221" t="s">
        <v>612</v>
      </c>
      <c r="H32" s="221" t="s">
        <v>612</v>
      </c>
      <c r="I32" s="221" t="s">
        <v>613</v>
      </c>
      <c r="J32" s="221" t="s">
        <v>612</v>
      </c>
      <c r="K32" s="221" t="s">
        <v>612</v>
      </c>
    </row>
    <row r="33" spans="1:11" x14ac:dyDescent="0.25">
      <c r="A33" s="221" t="s">
        <v>2532</v>
      </c>
      <c r="B33" s="216" t="s">
        <v>998</v>
      </c>
      <c r="C33" s="216" t="s">
        <v>989</v>
      </c>
      <c r="D33" s="216" t="s">
        <v>2529</v>
      </c>
      <c r="E33" s="221" t="s">
        <v>613</v>
      </c>
      <c r="F33" s="221" t="s">
        <v>613</v>
      </c>
      <c r="G33" s="221" t="s">
        <v>612</v>
      </c>
      <c r="H33" s="221" t="s">
        <v>612</v>
      </c>
      <c r="I33" s="221" t="s">
        <v>613</v>
      </c>
      <c r="J33" s="221" t="s">
        <v>612</v>
      </c>
      <c r="K33" s="221" t="s">
        <v>612</v>
      </c>
    </row>
    <row r="34" spans="1:11" x14ac:dyDescent="0.25">
      <c r="B34" s="216" t="s">
        <v>999</v>
      </c>
      <c r="C34" s="216" t="s">
        <v>989</v>
      </c>
      <c r="D34" s="216" t="s">
        <v>2529</v>
      </c>
      <c r="E34" s="221" t="s">
        <v>2539</v>
      </c>
      <c r="F34" s="221"/>
      <c r="G34" s="221"/>
      <c r="H34" s="221"/>
      <c r="I34" s="221"/>
      <c r="J34" s="221"/>
      <c r="K34" s="221"/>
    </row>
    <row r="35" spans="1:11" x14ac:dyDescent="0.25">
      <c r="A35" s="221" t="s">
        <v>2532</v>
      </c>
      <c r="B35" s="216" t="s">
        <v>1001</v>
      </c>
      <c r="C35" s="216" t="s">
        <v>989</v>
      </c>
      <c r="D35" s="216" t="s">
        <v>2529</v>
      </c>
      <c r="E35" s="221" t="s">
        <v>613</v>
      </c>
      <c r="F35" s="221" t="s">
        <v>612</v>
      </c>
      <c r="G35" s="221" t="s">
        <v>613</v>
      </c>
      <c r="H35" s="221" t="s">
        <v>613</v>
      </c>
      <c r="I35" s="221" t="s">
        <v>613</v>
      </c>
      <c r="J35" s="221" t="s">
        <v>613</v>
      </c>
      <c r="K35" s="221" t="s">
        <v>613</v>
      </c>
    </row>
    <row r="36" spans="1:11" x14ac:dyDescent="0.25">
      <c r="B36" s="216" t="s">
        <v>1003</v>
      </c>
      <c r="C36" s="216" t="s">
        <v>989</v>
      </c>
      <c r="D36" s="216" t="s">
        <v>2529</v>
      </c>
      <c r="E36" s="221" t="s">
        <v>2539</v>
      </c>
    </row>
    <row r="37" spans="1:11" x14ac:dyDescent="0.25">
      <c r="A37" s="221" t="s">
        <v>2532</v>
      </c>
      <c r="B37" s="216" t="s">
        <v>2530</v>
      </c>
      <c r="C37" s="216" t="s">
        <v>989</v>
      </c>
      <c r="D37" s="216" t="s">
        <v>2529</v>
      </c>
      <c r="E37" s="221" t="s">
        <v>613</v>
      </c>
      <c r="F37" s="221" t="s">
        <v>613</v>
      </c>
      <c r="G37" s="221" t="s">
        <v>613</v>
      </c>
      <c r="H37" s="221" t="s">
        <v>612</v>
      </c>
      <c r="I37" s="221" t="s">
        <v>612</v>
      </c>
      <c r="J37" s="221" t="s">
        <v>613</v>
      </c>
      <c r="K37" s="221" t="s">
        <v>612</v>
      </c>
    </row>
    <row r="38" spans="1:11" x14ac:dyDescent="0.25">
      <c r="B38" s="216" t="s">
        <v>1006</v>
      </c>
      <c r="C38" s="216" t="s">
        <v>989</v>
      </c>
      <c r="D38" s="216" t="s">
        <v>2529</v>
      </c>
      <c r="E38" s="221" t="s">
        <v>2539</v>
      </c>
    </row>
    <row r="39" spans="1:11" x14ac:dyDescent="0.25">
      <c r="B39" s="216" t="s">
        <v>1007</v>
      </c>
      <c r="C39" s="216" t="s">
        <v>989</v>
      </c>
      <c r="D39" s="216" t="s">
        <v>2528</v>
      </c>
      <c r="E39" s="221" t="s">
        <v>2539</v>
      </c>
    </row>
    <row r="40" spans="1:11" x14ac:dyDescent="0.25">
      <c r="A40" s="221" t="s">
        <v>2532</v>
      </c>
      <c r="B40" s="216" t="s">
        <v>1008</v>
      </c>
      <c r="C40" s="216" t="s">
        <v>989</v>
      </c>
      <c r="D40" s="216" t="s">
        <v>2529</v>
      </c>
      <c r="E40" s="221" t="s">
        <v>613</v>
      </c>
      <c r="F40" s="221" t="s">
        <v>613</v>
      </c>
      <c r="G40" s="221" t="s">
        <v>613</v>
      </c>
      <c r="H40" s="221" t="s">
        <v>613</v>
      </c>
      <c r="I40" s="221" t="s">
        <v>613</v>
      </c>
      <c r="J40" s="221" t="s">
        <v>613</v>
      </c>
      <c r="K40" s="221" t="s">
        <v>613</v>
      </c>
    </row>
    <row r="41" spans="1:11" x14ac:dyDescent="0.25">
      <c r="A41" s="221" t="s">
        <v>2532</v>
      </c>
      <c r="B41" s="216" t="s">
        <v>1010</v>
      </c>
      <c r="C41" s="216" t="s">
        <v>989</v>
      </c>
      <c r="D41" s="216" t="s">
        <v>2529</v>
      </c>
      <c r="E41" s="221" t="s">
        <v>613</v>
      </c>
      <c r="F41" s="221" t="s">
        <v>613</v>
      </c>
      <c r="G41" s="221" t="s">
        <v>613</v>
      </c>
      <c r="H41" s="221" t="s">
        <v>613</v>
      </c>
      <c r="I41" s="221" t="s">
        <v>613</v>
      </c>
      <c r="J41" s="221" t="s">
        <v>613</v>
      </c>
      <c r="K41" s="221" t="s">
        <v>613</v>
      </c>
    </row>
    <row r="42" spans="1:11" x14ac:dyDescent="0.25">
      <c r="B42" s="216" t="s">
        <v>1011</v>
      </c>
      <c r="C42" s="216" t="s">
        <v>989</v>
      </c>
      <c r="D42" s="216" t="s">
        <v>2529</v>
      </c>
      <c r="E42" s="221" t="s">
        <v>2539</v>
      </c>
    </row>
    <row r="43" spans="1:11" x14ac:dyDescent="0.25">
      <c r="B43" s="216" t="s">
        <v>1012</v>
      </c>
      <c r="C43" s="216" t="s">
        <v>989</v>
      </c>
      <c r="D43" s="216" t="s">
        <v>2528</v>
      </c>
      <c r="E43" s="221" t="s">
        <v>2539</v>
      </c>
    </row>
    <row r="44" spans="1:11" x14ac:dyDescent="0.25">
      <c r="B44" s="216" t="s">
        <v>1014</v>
      </c>
      <c r="C44" s="216" t="s">
        <v>989</v>
      </c>
      <c r="D44" s="216" t="s">
        <v>2529</v>
      </c>
      <c r="E44" s="221" t="s">
        <v>2539</v>
      </c>
    </row>
    <row r="45" spans="1:11" x14ac:dyDescent="0.25">
      <c r="B45" s="216" t="s">
        <v>1015</v>
      </c>
      <c r="C45" s="216" t="s">
        <v>989</v>
      </c>
      <c r="D45" s="216" t="s">
        <v>2529</v>
      </c>
      <c r="E45" s="221" t="s">
        <v>2539</v>
      </c>
    </row>
    <row r="46" spans="1:11" x14ac:dyDescent="0.25">
      <c r="A46" s="222">
        <v>45306</v>
      </c>
      <c r="B46" s="216" t="s">
        <v>1017</v>
      </c>
      <c r="C46" s="216" t="s">
        <v>989</v>
      </c>
      <c r="D46" s="216" t="s">
        <v>2529</v>
      </c>
      <c r="E46" s="222" t="s">
        <v>613</v>
      </c>
      <c r="F46" s="221" t="s">
        <v>613</v>
      </c>
      <c r="G46" s="221" t="s">
        <v>613</v>
      </c>
      <c r="H46" s="221" t="s">
        <v>612</v>
      </c>
      <c r="I46" s="221" t="s">
        <v>613</v>
      </c>
      <c r="J46" s="221" t="s">
        <v>613</v>
      </c>
      <c r="K46" s="221" t="s">
        <v>613</v>
      </c>
    </row>
    <row r="47" spans="1:11" x14ac:dyDescent="0.25">
      <c r="A47" s="221"/>
      <c r="B47" s="216" t="s">
        <v>1019</v>
      </c>
      <c r="C47" s="216" t="s">
        <v>989</v>
      </c>
      <c r="D47" s="216" t="s">
        <v>2528</v>
      </c>
      <c r="E47" s="221" t="s">
        <v>2539</v>
      </c>
    </row>
    <row r="48" spans="1:11" x14ac:dyDescent="0.25">
      <c r="A48" s="221"/>
      <c r="B48" s="216" t="s">
        <v>1021</v>
      </c>
      <c r="C48" s="216" t="s">
        <v>989</v>
      </c>
      <c r="D48" s="216" t="s">
        <v>2528</v>
      </c>
      <c r="E48" s="221" t="s">
        <v>2539</v>
      </c>
    </row>
    <row r="49" spans="1:11" x14ac:dyDescent="0.25">
      <c r="A49" s="222">
        <v>45306</v>
      </c>
      <c r="B49" s="216" t="s">
        <v>1022</v>
      </c>
      <c r="C49" s="216" t="s">
        <v>989</v>
      </c>
      <c r="D49" s="216" t="s">
        <v>2529</v>
      </c>
      <c r="E49" s="222" t="s">
        <v>613</v>
      </c>
      <c r="F49" s="221" t="s">
        <v>613</v>
      </c>
      <c r="G49" s="221" t="s">
        <v>613</v>
      </c>
      <c r="H49" s="221" t="s">
        <v>612</v>
      </c>
      <c r="I49" s="221" t="s">
        <v>613</v>
      </c>
      <c r="J49" s="221" t="s">
        <v>613</v>
      </c>
      <c r="K49" s="221" t="s">
        <v>612</v>
      </c>
    </row>
    <row r="50" spans="1:11" x14ac:dyDescent="0.25">
      <c r="A50" s="222">
        <v>45306</v>
      </c>
      <c r="B50" s="216" t="s">
        <v>1024</v>
      </c>
      <c r="C50" s="216" t="s">
        <v>989</v>
      </c>
      <c r="D50" s="216" t="s">
        <v>2528</v>
      </c>
      <c r="E50" s="222" t="s">
        <v>613</v>
      </c>
      <c r="F50" s="221" t="s">
        <v>613</v>
      </c>
      <c r="G50" s="221" t="s">
        <v>613</v>
      </c>
      <c r="H50" s="221" t="s">
        <v>612</v>
      </c>
      <c r="I50" s="221" t="s">
        <v>613</v>
      </c>
      <c r="J50" s="221" t="s">
        <v>613</v>
      </c>
      <c r="K50" s="221" t="s">
        <v>612</v>
      </c>
    </row>
    <row r="51" spans="1:11" x14ac:dyDescent="0.25">
      <c r="A51" s="222">
        <v>45306</v>
      </c>
      <c r="B51" s="216" t="s">
        <v>1025</v>
      </c>
      <c r="C51" s="216" t="s">
        <v>989</v>
      </c>
      <c r="D51" s="216" t="s">
        <v>2528</v>
      </c>
      <c r="E51" s="222" t="s">
        <v>613</v>
      </c>
      <c r="F51" s="221" t="s">
        <v>613</v>
      </c>
      <c r="G51" s="221" t="s">
        <v>613</v>
      </c>
      <c r="H51" s="221" t="s">
        <v>612</v>
      </c>
      <c r="I51" s="221" t="s">
        <v>613</v>
      </c>
      <c r="J51" s="221" t="s">
        <v>613</v>
      </c>
      <c r="K51" s="221" t="s">
        <v>612</v>
      </c>
    </row>
    <row r="52" spans="1:11" x14ac:dyDescent="0.25">
      <c r="A52" s="221"/>
      <c r="B52" s="216" t="s">
        <v>1026</v>
      </c>
      <c r="C52" s="216" t="s">
        <v>989</v>
      </c>
      <c r="D52" s="216" t="s">
        <v>2529</v>
      </c>
      <c r="E52" s="221" t="s">
        <v>2539</v>
      </c>
    </row>
    <row r="53" spans="1:11" x14ac:dyDescent="0.25">
      <c r="A53" s="221" t="s">
        <v>2532</v>
      </c>
      <c r="B53" s="216" t="s">
        <v>1028</v>
      </c>
      <c r="C53" s="216" t="s">
        <v>989</v>
      </c>
      <c r="D53" s="216" t="s">
        <v>2529</v>
      </c>
      <c r="E53" s="221" t="s">
        <v>2539</v>
      </c>
      <c r="F53" s="221" t="s">
        <v>613</v>
      </c>
      <c r="G53" s="221" t="s">
        <v>613</v>
      </c>
      <c r="H53" s="221" t="s">
        <v>613</v>
      </c>
      <c r="I53" s="221" t="s">
        <v>613</v>
      </c>
      <c r="J53" s="221" t="s">
        <v>613</v>
      </c>
      <c r="K53" s="221" t="s">
        <v>612</v>
      </c>
    </row>
    <row r="54" spans="1:11" x14ac:dyDescent="0.25">
      <c r="A54" s="221" t="s">
        <v>2532</v>
      </c>
      <c r="B54" s="216" t="s">
        <v>1030</v>
      </c>
      <c r="C54" s="216" t="s">
        <v>989</v>
      </c>
      <c r="D54" s="216" t="s">
        <v>2529</v>
      </c>
      <c r="E54" s="221" t="s">
        <v>613</v>
      </c>
      <c r="F54" s="221" t="s">
        <v>613</v>
      </c>
      <c r="G54" s="221" t="s">
        <v>613</v>
      </c>
      <c r="H54" s="221" t="s">
        <v>613</v>
      </c>
      <c r="I54" s="221" t="s">
        <v>612</v>
      </c>
      <c r="J54" s="221" t="s">
        <v>613</v>
      </c>
      <c r="K54" s="221" t="s">
        <v>612</v>
      </c>
    </row>
    <row r="55" spans="1:11" x14ac:dyDescent="0.25">
      <c r="A55" s="221" t="s">
        <v>2532</v>
      </c>
      <c r="B55" s="216" t="s">
        <v>1031</v>
      </c>
      <c r="C55" s="216" t="s">
        <v>989</v>
      </c>
      <c r="D55" s="216" t="s">
        <v>2528</v>
      </c>
      <c r="E55" s="221" t="s">
        <v>613</v>
      </c>
      <c r="F55" s="221" t="s">
        <v>613</v>
      </c>
      <c r="G55" s="221" t="s">
        <v>613</v>
      </c>
      <c r="H55" s="221" t="s">
        <v>613</v>
      </c>
      <c r="I55" s="221" t="s">
        <v>612</v>
      </c>
      <c r="J55" s="221" t="s">
        <v>613</v>
      </c>
      <c r="K55" s="221" t="s">
        <v>612</v>
      </c>
    </row>
    <row r="56" spans="1:11" x14ac:dyDescent="0.25">
      <c r="A56" s="221" t="s">
        <v>2532</v>
      </c>
      <c r="B56" s="216" t="s">
        <v>2541</v>
      </c>
      <c r="C56" s="216" t="s">
        <v>2540</v>
      </c>
      <c r="D56" s="216" t="s">
        <v>2529</v>
      </c>
      <c r="E56" s="221" t="s">
        <v>613</v>
      </c>
      <c r="F56" s="221" t="s">
        <v>613</v>
      </c>
      <c r="G56" s="221"/>
      <c r="H56" s="221"/>
      <c r="I56" s="221" t="s">
        <v>613</v>
      </c>
      <c r="J56" s="221" t="s">
        <v>613</v>
      </c>
      <c r="K56" s="221" t="s">
        <v>613</v>
      </c>
    </row>
    <row r="57" spans="1:11" x14ac:dyDescent="0.25">
      <c r="A57" s="221" t="s">
        <v>2532</v>
      </c>
      <c r="B57" s="216" t="s">
        <v>2542</v>
      </c>
      <c r="C57" s="216" t="s">
        <v>2540</v>
      </c>
      <c r="D57" s="216" t="s">
        <v>2529</v>
      </c>
      <c r="E57" s="221" t="s">
        <v>613</v>
      </c>
      <c r="F57" s="221" t="s">
        <v>613</v>
      </c>
      <c r="G57" s="221" t="s">
        <v>613</v>
      </c>
      <c r="H57" s="221" t="s">
        <v>613</v>
      </c>
      <c r="I57" s="221" t="s">
        <v>613</v>
      </c>
      <c r="J57" s="221" t="s">
        <v>613</v>
      </c>
      <c r="K57" s="221" t="s">
        <v>613</v>
      </c>
    </row>
    <row r="58" spans="1:11" x14ac:dyDescent="0.25">
      <c r="A58" s="221" t="s">
        <v>2532</v>
      </c>
      <c r="B58" s="216" t="s">
        <v>2543</v>
      </c>
      <c r="C58" s="216" t="s">
        <v>2540</v>
      </c>
      <c r="D58" s="216" t="s">
        <v>2529</v>
      </c>
      <c r="E58" s="221" t="s">
        <v>2539</v>
      </c>
      <c r="F58" s="221"/>
      <c r="G58" s="221"/>
      <c r="H58" s="221"/>
      <c r="I58" s="221"/>
      <c r="J58" s="221"/>
      <c r="K58" s="221"/>
    </row>
    <row r="59" spans="1:11" x14ac:dyDescent="0.25">
      <c r="A59" s="221" t="s">
        <v>2532</v>
      </c>
      <c r="B59" s="216" t="s">
        <v>2544</v>
      </c>
      <c r="C59" s="216" t="s">
        <v>2540</v>
      </c>
      <c r="D59" s="216" t="s">
        <v>2529</v>
      </c>
      <c r="E59" s="221" t="s">
        <v>613</v>
      </c>
      <c r="F59" s="221" t="s">
        <v>613</v>
      </c>
      <c r="G59" s="221" t="s">
        <v>613</v>
      </c>
      <c r="H59" s="221" t="s">
        <v>612</v>
      </c>
      <c r="I59" s="221" t="s">
        <v>612</v>
      </c>
      <c r="J59" s="221" t="s">
        <v>613</v>
      </c>
      <c r="K59" s="221" t="s">
        <v>613</v>
      </c>
    </row>
  </sheetData>
  <autoFilter ref="A1:K59" xr:uid="{AF264AF5-32AA-4606-B0DB-64CA365D425D}"/>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B1461-F012-44DF-AA42-65080EEBEE85}">
  <sheetPr codeName="Sheet18">
    <tabColor theme="8"/>
  </sheetPr>
  <dimension ref="A1:N61"/>
  <sheetViews>
    <sheetView showGridLines="0" workbookViewId="0"/>
  </sheetViews>
  <sheetFormatPr defaultRowHeight="15" x14ac:dyDescent="0.25"/>
  <cols>
    <col min="1" max="1" width="28.28515625" bestFit="1" customWidth="1"/>
    <col min="2" max="2" width="27" bestFit="1" customWidth="1"/>
    <col min="3" max="3" width="16.5703125" style="27" bestFit="1" customWidth="1"/>
    <col min="4" max="4" width="74.5703125" bestFit="1" customWidth="1"/>
    <col min="5" max="5" width="40.140625" bestFit="1" customWidth="1"/>
    <col min="6" max="6" width="15.140625" customWidth="1"/>
    <col min="8" max="8" width="10.7109375" bestFit="1" customWidth="1"/>
    <col min="9" max="9" width="10.5703125" customWidth="1"/>
    <col min="10" max="10" width="47" bestFit="1" customWidth="1"/>
    <col min="13" max="13" width="28.28515625" customWidth="1"/>
    <col min="14" max="14" width="118.5703125" customWidth="1"/>
  </cols>
  <sheetData>
    <row r="1" spans="1:14" x14ac:dyDescent="0.25">
      <c r="A1" s="66" t="s">
        <v>1099</v>
      </c>
      <c r="B1" s="66" t="s">
        <v>1060</v>
      </c>
      <c r="C1" s="135" t="s">
        <v>1061</v>
      </c>
      <c r="D1" s="66" t="s">
        <v>1062</v>
      </c>
      <c r="E1" s="66" t="s">
        <v>1063</v>
      </c>
      <c r="F1" s="66" t="s">
        <v>1064</v>
      </c>
      <c r="G1" s="66" t="s">
        <v>170</v>
      </c>
      <c r="H1" s="66" t="s">
        <v>1065</v>
      </c>
      <c r="I1" s="66" t="s">
        <v>1066</v>
      </c>
      <c r="J1" s="66" t="s">
        <v>1067</v>
      </c>
      <c r="K1" s="66" t="s">
        <v>2421</v>
      </c>
      <c r="M1" s="136" t="s">
        <v>1099</v>
      </c>
      <c r="N1" s="136" t="s">
        <v>1148</v>
      </c>
    </row>
    <row r="2" spans="1:14" x14ac:dyDescent="0.25">
      <c r="A2" t="s">
        <v>1068</v>
      </c>
      <c r="B2" t="s">
        <v>1069</v>
      </c>
      <c r="C2" s="27">
        <v>44944</v>
      </c>
      <c r="D2" t="s">
        <v>1070</v>
      </c>
      <c r="E2" t="s">
        <v>834</v>
      </c>
      <c r="F2" t="s">
        <v>672</v>
      </c>
      <c r="G2" t="s">
        <v>225</v>
      </c>
      <c r="H2" s="27">
        <v>44974</v>
      </c>
      <c r="I2" t="s">
        <v>1072</v>
      </c>
      <c r="J2" t="s">
        <v>1076</v>
      </c>
      <c r="M2" s="142" t="s">
        <v>1068</v>
      </c>
      <c r="N2" s="142" t="s">
        <v>15</v>
      </c>
    </row>
    <row r="3" spans="1:14" x14ac:dyDescent="0.25">
      <c r="A3" t="s">
        <v>1068</v>
      </c>
      <c r="B3" t="s">
        <v>1069</v>
      </c>
      <c r="C3" s="27">
        <v>44944</v>
      </c>
      <c r="D3" t="s">
        <v>1070</v>
      </c>
      <c r="E3" t="s">
        <v>842</v>
      </c>
      <c r="F3" t="s">
        <v>672</v>
      </c>
      <c r="G3" t="s">
        <v>225</v>
      </c>
      <c r="H3" s="27">
        <v>44974</v>
      </c>
      <c r="I3" t="s">
        <v>1072</v>
      </c>
      <c r="J3" t="s">
        <v>1077</v>
      </c>
      <c r="M3" s="143" t="s">
        <v>1068</v>
      </c>
      <c r="N3" s="143" t="s">
        <v>19</v>
      </c>
    </row>
    <row r="4" spans="1:14" x14ac:dyDescent="0.25">
      <c r="A4" t="s">
        <v>1068</v>
      </c>
      <c r="B4" t="s">
        <v>1069</v>
      </c>
      <c r="C4" s="27">
        <v>44944</v>
      </c>
      <c r="D4" t="s">
        <v>1070</v>
      </c>
      <c r="E4" t="s">
        <v>177</v>
      </c>
      <c r="F4" t="s">
        <v>672</v>
      </c>
      <c r="G4" t="s">
        <v>225</v>
      </c>
      <c r="H4" s="27">
        <v>44974</v>
      </c>
      <c r="I4" t="s">
        <v>1072</v>
      </c>
      <c r="J4" t="s">
        <v>1093</v>
      </c>
      <c r="M4" s="142" t="s">
        <v>1068</v>
      </c>
      <c r="N4" s="142" t="s">
        <v>1149</v>
      </c>
    </row>
    <row r="5" spans="1:14" x14ac:dyDescent="0.25">
      <c r="A5" t="s">
        <v>1068</v>
      </c>
      <c r="B5" t="s">
        <v>1069</v>
      </c>
      <c r="C5" s="27">
        <v>44944</v>
      </c>
      <c r="D5" t="s">
        <v>1070</v>
      </c>
      <c r="E5" t="s">
        <v>702</v>
      </c>
      <c r="F5" t="s">
        <v>672</v>
      </c>
      <c r="G5" t="s">
        <v>225</v>
      </c>
      <c r="H5" s="27">
        <v>44974</v>
      </c>
      <c r="I5" t="s">
        <v>1072</v>
      </c>
      <c r="J5" t="s">
        <v>1079</v>
      </c>
      <c r="M5" s="143" t="s">
        <v>1068</v>
      </c>
      <c r="N5" s="143" t="s">
        <v>1150</v>
      </c>
    </row>
    <row r="6" spans="1:14" ht="30" x14ac:dyDescent="0.25">
      <c r="A6" t="s">
        <v>1068</v>
      </c>
      <c r="B6" t="s">
        <v>1069</v>
      </c>
      <c r="C6" s="27">
        <v>44944</v>
      </c>
      <c r="D6" t="s">
        <v>1070</v>
      </c>
      <c r="E6" t="s">
        <v>699</v>
      </c>
      <c r="F6" t="s">
        <v>672</v>
      </c>
      <c r="G6" t="s">
        <v>225</v>
      </c>
      <c r="H6" s="27">
        <v>44974</v>
      </c>
      <c r="I6" t="s">
        <v>1072</v>
      </c>
      <c r="J6" t="s">
        <v>1080</v>
      </c>
      <c r="K6" t="s">
        <v>39</v>
      </c>
      <c r="M6" s="142" t="s">
        <v>1068</v>
      </c>
      <c r="N6" s="144" t="s">
        <v>1151</v>
      </c>
    </row>
    <row r="7" spans="1:14" x14ac:dyDescent="0.25">
      <c r="A7" t="s">
        <v>1068</v>
      </c>
      <c r="B7" t="s">
        <v>1069</v>
      </c>
      <c r="C7" s="27">
        <v>44944</v>
      </c>
      <c r="D7" t="s">
        <v>1070</v>
      </c>
      <c r="E7" t="s">
        <v>334</v>
      </c>
      <c r="F7" t="s">
        <v>672</v>
      </c>
      <c r="G7" t="s">
        <v>225</v>
      </c>
      <c r="H7" s="27">
        <v>44974</v>
      </c>
      <c r="I7" t="s">
        <v>1072</v>
      </c>
      <c r="J7" t="s">
        <v>1094</v>
      </c>
      <c r="K7" t="s">
        <v>39</v>
      </c>
      <c r="M7" s="143" t="s">
        <v>1068</v>
      </c>
      <c r="N7" s="145" t="s">
        <v>1152</v>
      </c>
    </row>
    <row r="8" spans="1:14" x14ac:dyDescent="0.25">
      <c r="A8" t="s">
        <v>1068</v>
      </c>
      <c r="B8" t="s">
        <v>1069</v>
      </c>
      <c r="C8" s="27">
        <v>44944</v>
      </c>
      <c r="D8" t="s">
        <v>1070</v>
      </c>
      <c r="E8" t="s">
        <v>695</v>
      </c>
      <c r="F8" t="s">
        <v>672</v>
      </c>
      <c r="G8" t="s">
        <v>225</v>
      </c>
      <c r="H8" s="27">
        <v>44974</v>
      </c>
      <c r="I8" t="s">
        <v>1072</v>
      </c>
      <c r="J8" t="s">
        <v>1082</v>
      </c>
      <c r="M8" s="142" t="s">
        <v>1068</v>
      </c>
      <c r="N8" s="142" t="s">
        <v>18</v>
      </c>
    </row>
    <row r="9" spans="1:14" x14ac:dyDescent="0.25">
      <c r="A9" t="s">
        <v>1068</v>
      </c>
      <c r="B9" t="s">
        <v>1069</v>
      </c>
      <c r="C9" s="27">
        <v>44944</v>
      </c>
      <c r="D9" t="s">
        <v>1070</v>
      </c>
      <c r="E9" t="s">
        <v>692</v>
      </c>
      <c r="F9" t="s">
        <v>672</v>
      </c>
      <c r="G9" t="s">
        <v>225</v>
      </c>
      <c r="H9" s="27">
        <v>44974</v>
      </c>
      <c r="I9" t="s">
        <v>1072</v>
      </c>
      <c r="J9" t="s">
        <v>1095</v>
      </c>
      <c r="M9" s="143" t="s">
        <v>1702</v>
      </c>
      <c r="N9" s="143" t="s">
        <v>1703</v>
      </c>
    </row>
    <row r="10" spans="1:14" x14ac:dyDescent="0.25">
      <c r="A10" t="s">
        <v>1068</v>
      </c>
      <c r="B10" t="s">
        <v>1069</v>
      </c>
      <c r="C10" s="27">
        <v>44944</v>
      </c>
      <c r="D10" t="s">
        <v>1070</v>
      </c>
      <c r="E10" t="s">
        <v>635</v>
      </c>
      <c r="F10" t="s">
        <v>672</v>
      </c>
      <c r="G10" t="s">
        <v>225</v>
      </c>
      <c r="H10" s="27">
        <v>44974</v>
      </c>
      <c r="I10" t="s">
        <v>1072</v>
      </c>
      <c r="J10" t="s">
        <v>1083</v>
      </c>
      <c r="M10" s="142" t="s">
        <v>1702</v>
      </c>
      <c r="N10" s="142" t="s">
        <v>19</v>
      </c>
    </row>
    <row r="11" spans="1:14" x14ac:dyDescent="0.25">
      <c r="A11" t="s">
        <v>1068</v>
      </c>
      <c r="B11" t="s">
        <v>1069</v>
      </c>
      <c r="C11" s="27">
        <v>44944</v>
      </c>
      <c r="D11" t="s">
        <v>1070</v>
      </c>
      <c r="E11" t="s">
        <v>683</v>
      </c>
      <c r="F11" t="s">
        <v>672</v>
      </c>
      <c r="G11" t="s">
        <v>225</v>
      </c>
      <c r="H11" s="27">
        <v>44974</v>
      </c>
      <c r="I11" t="s">
        <v>1072</v>
      </c>
      <c r="J11" t="s">
        <v>1084</v>
      </c>
      <c r="K11" t="s">
        <v>39</v>
      </c>
      <c r="M11" s="143" t="s">
        <v>1702</v>
      </c>
      <c r="N11" s="143" t="s">
        <v>1149</v>
      </c>
    </row>
    <row r="12" spans="1:14" x14ac:dyDescent="0.25">
      <c r="A12" t="s">
        <v>1068</v>
      </c>
      <c r="B12" t="s">
        <v>1069</v>
      </c>
      <c r="C12" s="27">
        <v>44944</v>
      </c>
      <c r="D12" t="s">
        <v>1070</v>
      </c>
      <c r="E12" t="s">
        <v>678</v>
      </c>
      <c r="F12" t="s">
        <v>672</v>
      </c>
      <c r="G12" t="s">
        <v>225</v>
      </c>
      <c r="H12" s="27">
        <v>44974</v>
      </c>
      <c r="I12" t="s">
        <v>1072</v>
      </c>
      <c r="J12" t="s">
        <v>1096</v>
      </c>
      <c r="K12" t="s">
        <v>39</v>
      </c>
      <c r="M12" s="142" t="s">
        <v>1702</v>
      </c>
      <c r="N12" s="144" t="s">
        <v>18</v>
      </c>
    </row>
    <row r="13" spans="1:14" ht="30" x14ac:dyDescent="0.25">
      <c r="A13" t="s">
        <v>1068</v>
      </c>
      <c r="B13" t="s">
        <v>1069</v>
      </c>
      <c r="C13" s="27">
        <v>44944</v>
      </c>
      <c r="D13" t="s">
        <v>1070</v>
      </c>
      <c r="E13" t="s">
        <v>674</v>
      </c>
      <c r="F13" t="s">
        <v>672</v>
      </c>
      <c r="G13" t="s">
        <v>225</v>
      </c>
      <c r="H13" s="27">
        <v>44974</v>
      </c>
      <c r="I13" t="s">
        <v>1072</v>
      </c>
      <c r="J13" t="s">
        <v>1089</v>
      </c>
      <c r="M13" s="143" t="s">
        <v>1702</v>
      </c>
      <c r="N13" s="145" t="s">
        <v>1151</v>
      </c>
    </row>
    <row r="14" spans="1:14" x14ac:dyDescent="0.25">
      <c r="A14" t="s">
        <v>1068</v>
      </c>
      <c r="B14" t="s">
        <v>1069</v>
      </c>
      <c r="C14" s="27">
        <v>44944</v>
      </c>
      <c r="D14" t="s">
        <v>1070</v>
      </c>
      <c r="E14" t="s">
        <v>627</v>
      </c>
      <c r="F14" t="s">
        <v>672</v>
      </c>
      <c r="G14" t="s">
        <v>225</v>
      </c>
      <c r="H14" s="27">
        <v>44974</v>
      </c>
      <c r="I14" t="s">
        <v>1072</v>
      </c>
      <c r="J14" t="s">
        <v>1092</v>
      </c>
      <c r="M14" s="142" t="s">
        <v>1702</v>
      </c>
      <c r="N14" s="142" t="s">
        <v>28</v>
      </c>
    </row>
    <row r="15" spans="1:14" x14ac:dyDescent="0.25">
      <c r="A15" t="s">
        <v>1068</v>
      </c>
      <c r="B15" t="s">
        <v>1069</v>
      </c>
      <c r="C15" s="27">
        <v>44991</v>
      </c>
      <c r="D15" t="s">
        <v>1070</v>
      </c>
      <c r="E15" t="s">
        <v>1071</v>
      </c>
      <c r="F15" t="s">
        <v>672</v>
      </c>
      <c r="G15" t="s">
        <v>225</v>
      </c>
      <c r="H15" s="27">
        <v>45016</v>
      </c>
      <c r="I15" t="s">
        <v>1072</v>
      </c>
      <c r="J15" t="s">
        <v>1073</v>
      </c>
      <c r="K15" t="s">
        <v>39</v>
      </c>
      <c r="M15" s="143" t="s">
        <v>3615</v>
      </c>
      <c r="N15" s="143" t="s">
        <v>15</v>
      </c>
    </row>
    <row r="16" spans="1:14" x14ac:dyDescent="0.25">
      <c r="A16" t="s">
        <v>1068</v>
      </c>
      <c r="B16" t="s">
        <v>1069</v>
      </c>
      <c r="C16" s="27">
        <v>44987</v>
      </c>
      <c r="D16" t="s">
        <v>1070</v>
      </c>
      <c r="E16" t="s">
        <v>1074</v>
      </c>
      <c r="F16" t="s">
        <v>672</v>
      </c>
      <c r="G16" t="s">
        <v>225</v>
      </c>
      <c r="H16" s="27">
        <v>45016</v>
      </c>
      <c r="I16" t="s">
        <v>1072</v>
      </c>
      <c r="J16" t="s">
        <v>1075</v>
      </c>
      <c r="M16" s="142" t="s">
        <v>3615</v>
      </c>
      <c r="N16" s="142" t="s">
        <v>19</v>
      </c>
    </row>
    <row r="17" spans="1:14" x14ac:dyDescent="0.25">
      <c r="A17" t="s">
        <v>1068</v>
      </c>
      <c r="B17" t="s">
        <v>1069</v>
      </c>
      <c r="C17" s="27">
        <v>44944</v>
      </c>
      <c r="D17" t="s">
        <v>1070</v>
      </c>
      <c r="E17" t="s">
        <v>176</v>
      </c>
      <c r="F17" t="s">
        <v>672</v>
      </c>
      <c r="G17" t="s">
        <v>225</v>
      </c>
      <c r="H17" s="27">
        <v>44974</v>
      </c>
      <c r="I17" t="s">
        <v>1072</v>
      </c>
      <c r="J17" t="s">
        <v>1078</v>
      </c>
      <c r="M17" s="143" t="s">
        <v>3615</v>
      </c>
      <c r="N17" s="143" t="s">
        <v>1149</v>
      </c>
    </row>
    <row r="18" spans="1:14" ht="30" x14ac:dyDescent="0.25">
      <c r="A18" t="s">
        <v>1068</v>
      </c>
      <c r="B18" t="s">
        <v>1069</v>
      </c>
      <c r="C18" s="27">
        <v>44944</v>
      </c>
      <c r="D18" t="s">
        <v>1070</v>
      </c>
      <c r="E18" t="s">
        <v>186</v>
      </c>
      <c r="F18" t="s">
        <v>672</v>
      </c>
      <c r="G18" t="s">
        <v>225</v>
      </c>
      <c r="H18" s="27">
        <v>44974</v>
      </c>
      <c r="I18" t="s">
        <v>1072</v>
      </c>
      <c r="J18" t="s">
        <v>1081</v>
      </c>
      <c r="M18" s="142" t="s">
        <v>3615</v>
      </c>
      <c r="N18" s="144" t="s">
        <v>3730</v>
      </c>
    </row>
    <row r="19" spans="1:14" ht="30" x14ac:dyDescent="0.25">
      <c r="A19" t="s">
        <v>1068</v>
      </c>
      <c r="B19" t="s">
        <v>1069</v>
      </c>
      <c r="C19" s="27">
        <v>44944</v>
      </c>
      <c r="D19" t="s">
        <v>1070</v>
      </c>
      <c r="E19" t="s">
        <v>854</v>
      </c>
      <c r="F19" t="s">
        <v>672</v>
      </c>
      <c r="G19" t="s">
        <v>225</v>
      </c>
      <c r="H19" s="27">
        <v>44974</v>
      </c>
      <c r="I19" t="s">
        <v>1072</v>
      </c>
      <c r="J19" t="s">
        <v>1085</v>
      </c>
      <c r="M19" s="143" t="s">
        <v>3615</v>
      </c>
      <c r="N19" s="145" t="s">
        <v>3731</v>
      </c>
    </row>
    <row r="20" spans="1:14" x14ac:dyDescent="0.25">
      <c r="A20" t="s">
        <v>1068</v>
      </c>
      <c r="B20" t="s">
        <v>1069</v>
      </c>
      <c r="C20" s="27">
        <v>44944</v>
      </c>
      <c r="D20" t="s">
        <v>1070</v>
      </c>
      <c r="E20" t="s">
        <v>638</v>
      </c>
      <c r="F20" t="s">
        <v>672</v>
      </c>
      <c r="G20" t="s">
        <v>225</v>
      </c>
      <c r="H20" s="27">
        <v>44974</v>
      </c>
      <c r="I20" t="s">
        <v>1072</v>
      </c>
      <c r="J20" t="s">
        <v>1086</v>
      </c>
      <c r="M20" s="142" t="s">
        <v>3615</v>
      </c>
      <c r="N20" s="142" t="s">
        <v>1152</v>
      </c>
    </row>
    <row r="21" spans="1:14" x14ac:dyDescent="0.25">
      <c r="A21" t="s">
        <v>1068</v>
      </c>
      <c r="B21" t="s">
        <v>1069</v>
      </c>
      <c r="C21" s="27">
        <v>44944</v>
      </c>
      <c r="D21" t="s">
        <v>1070</v>
      </c>
      <c r="E21" t="s">
        <v>676</v>
      </c>
      <c r="F21" t="s">
        <v>672</v>
      </c>
      <c r="G21" t="s">
        <v>225</v>
      </c>
      <c r="H21" s="27">
        <v>44974</v>
      </c>
      <c r="I21" t="s">
        <v>1072</v>
      </c>
      <c r="J21" t="s">
        <v>1087</v>
      </c>
      <c r="M21" s="143" t="s">
        <v>3615</v>
      </c>
      <c r="N21" s="143" t="s">
        <v>18</v>
      </c>
    </row>
    <row r="22" spans="1:14" x14ac:dyDescent="0.25">
      <c r="A22" t="s">
        <v>1068</v>
      </c>
      <c r="B22" t="s">
        <v>1069</v>
      </c>
      <c r="C22" s="27">
        <v>44944</v>
      </c>
      <c r="D22" t="s">
        <v>1070</v>
      </c>
      <c r="E22" t="s">
        <v>716</v>
      </c>
      <c r="F22" t="s">
        <v>672</v>
      </c>
      <c r="G22" t="s">
        <v>225</v>
      </c>
      <c r="H22" s="27">
        <v>44974</v>
      </c>
      <c r="I22" t="s">
        <v>1072</v>
      </c>
      <c r="J22" t="s">
        <v>1088</v>
      </c>
    </row>
    <row r="23" spans="1:14" x14ac:dyDescent="0.25">
      <c r="A23" t="s">
        <v>1068</v>
      </c>
      <c r="B23" t="s">
        <v>1069</v>
      </c>
      <c r="C23" s="27">
        <v>44944</v>
      </c>
      <c r="D23" t="s">
        <v>1070</v>
      </c>
      <c r="E23" t="s">
        <v>390</v>
      </c>
      <c r="F23" t="s">
        <v>672</v>
      </c>
      <c r="G23" t="s">
        <v>225</v>
      </c>
      <c r="H23" s="27">
        <v>44974</v>
      </c>
      <c r="I23" t="s">
        <v>1072</v>
      </c>
      <c r="J23" t="s">
        <v>1090</v>
      </c>
    </row>
    <row r="24" spans="1:14" x14ac:dyDescent="0.25">
      <c r="A24" t="s">
        <v>1068</v>
      </c>
      <c r="B24" t="s">
        <v>1069</v>
      </c>
      <c r="C24" s="27">
        <v>44944</v>
      </c>
      <c r="D24" t="s">
        <v>1070</v>
      </c>
      <c r="E24" t="s">
        <v>189</v>
      </c>
      <c r="F24" t="s">
        <v>672</v>
      </c>
      <c r="G24" t="s">
        <v>225</v>
      </c>
      <c r="H24" s="27">
        <v>44974</v>
      </c>
      <c r="I24" t="s">
        <v>1072</v>
      </c>
      <c r="J24" t="s">
        <v>1091</v>
      </c>
    </row>
    <row r="25" spans="1:14" x14ac:dyDescent="0.25">
      <c r="A25" t="s">
        <v>1068</v>
      </c>
      <c r="B25" t="s">
        <v>1069</v>
      </c>
      <c r="C25" s="27">
        <v>45246</v>
      </c>
      <c r="D25" t="s">
        <v>1070</v>
      </c>
      <c r="E25" t="s">
        <v>1057</v>
      </c>
      <c r="F25" t="s">
        <v>672</v>
      </c>
      <c r="G25" t="s">
        <v>225</v>
      </c>
      <c r="H25" s="27">
        <v>45260</v>
      </c>
      <c r="I25" t="s">
        <v>1072</v>
      </c>
    </row>
    <row r="26" spans="1:14" x14ac:dyDescent="0.25">
      <c r="A26" t="s">
        <v>1068</v>
      </c>
      <c r="B26" t="s">
        <v>1069</v>
      </c>
      <c r="C26" s="27">
        <v>45246</v>
      </c>
      <c r="D26" t="s">
        <v>1070</v>
      </c>
      <c r="E26" t="s">
        <v>1705</v>
      </c>
      <c r="F26" t="s">
        <v>672</v>
      </c>
      <c r="G26" t="s">
        <v>225</v>
      </c>
      <c r="H26" s="27">
        <v>45260</v>
      </c>
      <c r="I26" t="s">
        <v>1072</v>
      </c>
    </row>
    <row r="27" spans="1:14" x14ac:dyDescent="0.25">
      <c r="A27" t="s">
        <v>1068</v>
      </c>
      <c r="B27" t="s">
        <v>1069</v>
      </c>
      <c r="C27" s="27">
        <v>45247</v>
      </c>
      <c r="D27" t="s">
        <v>1070</v>
      </c>
      <c r="E27" t="s">
        <v>1260</v>
      </c>
      <c r="F27" t="s">
        <v>672</v>
      </c>
      <c r="G27" t="s">
        <v>225</v>
      </c>
      <c r="H27" s="27">
        <v>45260</v>
      </c>
      <c r="I27" t="s">
        <v>1072</v>
      </c>
    </row>
    <row r="28" spans="1:14" x14ac:dyDescent="0.25">
      <c r="A28" t="s">
        <v>1068</v>
      </c>
      <c r="B28" t="s">
        <v>1069</v>
      </c>
      <c r="C28" s="27">
        <v>45246</v>
      </c>
      <c r="D28" t="s">
        <v>1070</v>
      </c>
      <c r="E28" t="s">
        <v>2444</v>
      </c>
      <c r="F28" t="s">
        <v>672</v>
      </c>
      <c r="G28" t="s">
        <v>225</v>
      </c>
      <c r="H28" s="27">
        <v>45260</v>
      </c>
      <c r="I28" t="s">
        <v>1072</v>
      </c>
    </row>
    <row r="29" spans="1:14" x14ac:dyDescent="0.25">
      <c r="A29" t="s">
        <v>1068</v>
      </c>
      <c r="B29" t="s">
        <v>1069</v>
      </c>
      <c r="C29" s="27">
        <v>45252</v>
      </c>
      <c r="D29" t="s">
        <v>1070</v>
      </c>
      <c r="E29" t="s">
        <v>1156</v>
      </c>
      <c r="F29" t="s">
        <v>672</v>
      </c>
      <c r="G29" t="s">
        <v>225</v>
      </c>
      <c r="H29" s="27">
        <v>45260</v>
      </c>
      <c r="I29" t="s">
        <v>1072</v>
      </c>
    </row>
    <row r="30" spans="1:14" x14ac:dyDescent="0.25">
      <c r="A30" t="s">
        <v>3615</v>
      </c>
      <c r="B30" t="s">
        <v>1069</v>
      </c>
      <c r="C30" s="27">
        <v>45362</v>
      </c>
      <c r="D30" t="s">
        <v>3616</v>
      </c>
      <c r="E30" t="s">
        <v>3618</v>
      </c>
      <c r="F30" t="s">
        <v>672</v>
      </c>
      <c r="G30" t="s">
        <v>225</v>
      </c>
      <c r="H30" s="27">
        <v>45362</v>
      </c>
      <c r="I30" t="s">
        <v>1072</v>
      </c>
    </row>
    <row r="31" spans="1:14" x14ac:dyDescent="0.25">
      <c r="A31" t="s">
        <v>3615</v>
      </c>
      <c r="B31" t="s">
        <v>1069</v>
      </c>
      <c r="C31" s="27">
        <v>45362</v>
      </c>
      <c r="D31" t="s">
        <v>3616</v>
      </c>
      <c r="E31" t="s">
        <v>3617</v>
      </c>
      <c r="F31" t="s">
        <v>672</v>
      </c>
      <c r="G31" t="s">
        <v>225</v>
      </c>
      <c r="H31" s="27">
        <v>45362</v>
      </c>
      <c r="I31" t="s">
        <v>1072</v>
      </c>
    </row>
    <row r="32" spans="1:14" x14ac:dyDescent="0.25">
      <c r="A32" t="s">
        <v>3615</v>
      </c>
      <c r="B32" t="s">
        <v>1069</v>
      </c>
      <c r="C32" s="27">
        <v>45362</v>
      </c>
      <c r="D32" t="s">
        <v>3616</v>
      </c>
      <c r="E32" t="s">
        <v>834</v>
      </c>
      <c r="G32" t="s">
        <v>225</v>
      </c>
      <c r="H32" s="27">
        <v>45362</v>
      </c>
      <c r="I32" t="s">
        <v>1072</v>
      </c>
    </row>
    <row r="33" spans="1:9" x14ac:dyDescent="0.25">
      <c r="A33" t="s">
        <v>3615</v>
      </c>
      <c r="B33" t="s">
        <v>1069</v>
      </c>
      <c r="C33" s="27">
        <v>45362</v>
      </c>
      <c r="D33" t="s">
        <v>3616</v>
      </c>
      <c r="E33" t="s">
        <v>842</v>
      </c>
      <c r="G33" t="s">
        <v>225</v>
      </c>
      <c r="H33" s="27">
        <v>45362</v>
      </c>
      <c r="I33" t="s">
        <v>1072</v>
      </c>
    </row>
    <row r="34" spans="1:9" x14ac:dyDescent="0.25">
      <c r="A34" t="s">
        <v>3615</v>
      </c>
      <c r="B34" t="s">
        <v>1069</v>
      </c>
      <c r="C34" s="27">
        <v>45362</v>
      </c>
      <c r="D34" t="s">
        <v>3616</v>
      </c>
      <c r="E34" t="s">
        <v>177</v>
      </c>
      <c r="G34" t="s">
        <v>225</v>
      </c>
      <c r="H34" s="27">
        <v>45362</v>
      </c>
      <c r="I34" t="s">
        <v>1072</v>
      </c>
    </row>
    <row r="35" spans="1:9" x14ac:dyDescent="0.25">
      <c r="A35" t="s">
        <v>3615</v>
      </c>
      <c r="B35" t="s">
        <v>1069</v>
      </c>
      <c r="C35" s="27">
        <v>45362</v>
      </c>
      <c r="D35" t="s">
        <v>3616</v>
      </c>
      <c r="E35" t="s">
        <v>695</v>
      </c>
      <c r="G35" t="s">
        <v>225</v>
      </c>
      <c r="H35" s="27">
        <v>45362</v>
      </c>
      <c r="I35" t="s">
        <v>1072</v>
      </c>
    </row>
    <row r="36" spans="1:9" x14ac:dyDescent="0.25">
      <c r="A36" t="s">
        <v>3615</v>
      </c>
      <c r="B36" t="s">
        <v>1069</v>
      </c>
      <c r="C36" s="27">
        <v>45362</v>
      </c>
      <c r="D36" t="s">
        <v>3616</v>
      </c>
      <c r="E36" t="s">
        <v>692</v>
      </c>
      <c r="G36" t="s">
        <v>225</v>
      </c>
      <c r="H36" s="27">
        <v>45362</v>
      </c>
      <c r="I36" t="s">
        <v>1072</v>
      </c>
    </row>
    <row r="37" spans="1:9" x14ac:dyDescent="0.25">
      <c r="A37" t="s">
        <v>3615</v>
      </c>
      <c r="B37" t="s">
        <v>1069</v>
      </c>
      <c r="C37" s="27">
        <v>45362</v>
      </c>
      <c r="D37" t="s">
        <v>3616</v>
      </c>
      <c r="E37" t="s">
        <v>635</v>
      </c>
      <c r="G37" t="s">
        <v>225</v>
      </c>
      <c r="H37" s="27">
        <v>45362</v>
      </c>
      <c r="I37" t="s">
        <v>1072</v>
      </c>
    </row>
    <row r="38" spans="1:9" x14ac:dyDescent="0.25">
      <c r="A38" t="s">
        <v>3615</v>
      </c>
      <c r="B38" t="s">
        <v>1069</v>
      </c>
      <c r="C38" s="27">
        <v>45362</v>
      </c>
      <c r="D38" t="s">
        <v>3616</v>
      </c>
      <c r="E38" t="s">
        <v>627</v>
      </c>
      <c r="G38" t="s">
        <v>225</v>
      </c>
      <c r="H38" s="27">
        <v>45362</v>
      </c>
      <c r="I38" t="s">
        <v>1072</v>
      </c>
    </row>
    <row r="39" spans="1:9" x14ac:dyDescent="0.25">
      <c r="A39" t="s">
        <v>3615</v>
      </c>
      <c r="B39" t="s">
        <v>1069</v>
      </c>
      <c r="C39" s="27">
        <v>45362</v>
      </c>
      <c r="D39" t="s">
        <v>3616</v>
      </c>
      <c r="E39" t="s">
        <v>1074</v>
      </c>
      <c r="G39" t="s">
        <v>225</v>
      </c>
      <c r="H39" s="27">
        <v>45362</v>
      </c>
      <c r="I39" t="s">
        <v>1072</v>
      </c>
    </row>
    <row r="40" spans="1:9" x14ac:dyDescent="0.25">
      <c r="A40" t="s">
        <v>3615</v>
      </c>
      <c r="B40" t="s">
        <v>1069</v>
      </c>
      <c r="C40" s="27">
        <v>45362</v>
      </c>
      <c r="D40" t="s">
        <v>3616</v>
      </c>
      <c r="E40" t="s">
        <v>176</v>
      </c>
      <c r="G40" t="s">
        <v>225</v>
      </c>
      <c r="H40" s="27">
        <v>45362</v>
      </c>
      <c r="I40" t="s">
        <v>2781</v>
      </c>
    </row>
    <row r="41" spans="1:9" x14ac:dyDescent="0.25">
      <c r="A41" t="s">
        <v>3615</v>
      </c>
      <c r="B41" t="s">
        <v>1069</v>
      </c>
      <c r="C41" s="27">
        <v>45362</v>
      </c>
      <c r="D41" t="s">
        <v>3616</v>
      </c>
      <c r="E41" t="s">
        <v>186</v>
      </c>
      <c r="G41" t="s">
        <v>225</v>
      </c>
      <c r="H41" s="27">
        <v>45362</v>
      </c>
      <c r="I41" t="s">
        <v>2781</v>
      </c>
    </row>
    <row r="42" spans="1:9" x14ac:dyDescent="0.25">
      <c r="A42" t="s">
        <v>3615</v>
      </c>
      <c r="B42" t="s">
        <v>1069</v>
      </c>
      <c r="C42" s="27">
        <v>45362</v>
      </c>
      <c r="D42" t="s">
        <v>3616</v>
      </c>
      <c r="E42" t="s">
        <v>854</v>
      </c>
      <c r="G42" t="s">
        <v>225</v>
      </c>
      <c r="H42" s="27">
        <v>45362</v>
      </c>
      <c r="I42" t="s">
        <v>2781</v>
      </c>
    </row>
    <row r="43" spans="1:9" x14ac:dyDescent="0.25">
      <c r="A43" t="s">
        <v>3615</v>
      </c>
      <c r="B43" t="s">
        <v>1069</v>
      </c>
      <c r="C43" s="27">
        <v>45362</v>
      </c>
      <c r="D43" t="s">
        <v>3616</v>
      </c>
      <c r="E43" t="s">
        <v>638</v>
      </c>
      <c r="G43" t="s">
        <v>225</v>
      </c>
      <c r="H43" s="27">
        <v>45363</v>
      </c>
      <c r="I43" t="s">
        <v>2781</v>
      </c>
    </row>
    <row r="44" spans="1:9" x14ac:dyDescent="0.25">
      <c r="A44" t="s">
        <v>3615</v>
      </c>
      <c r="B44" t="s">
        <v>1069</v>
      </c>
      <c r="C44" s="27">
        <v>45362</v>
      </c>
      <c r="D44" t="s">
        <v>3616</v>
      </c>
      <c r="E44" t="s">
        <v>676</v>
      </c>
      <c r="G44" t="s">
        <v>225</v>
      </c>
      <c r="H44" s="27">
        <v>45362</v>
      </c>
      <c r="I44" t="s">
        <v>2781</v>
      </c>
    </row>
    <row r="45" spans="1:9" x14ac:dyDescent="0.25">
      <c r="A45" t="s">
        <v>3615</v>
      </c>
      <c r="B45" t="s">
        <v>1069</v>
      </c>
      <c r="C45" s="27">
        <v>45362</v>
      </c>
      <c r="D45" t="s">
        <v>3616</v>
      </c>
      <c r="E45" t="s">
        <v>716</v>
      </c>
      <c r="G45" t="s">
        <v>225</v>
      </c>
      <c r="H45" s="27">
        <v>45362</v>
      </c>
      <c r="I45" t="s">
        <v>1072</v>
      </c>
    </row>
    <row r="46" spans="1:9" x14ac:dyDescent="0.25">
      <c r="A46" t="s">
        <v>3615</v>
      </c>
      <c r="B46" t="s">
        <v>1069</v>
      </c>
      <c r="C46" s="27">
        <v>45362</v>
      </c>
      <c r="D46" t="s">
        <v>3616</v>
      </c>
      <c r="E46" t="s">
        <v>390</v>
      </c>
      <c r="G46" t="s">
        <v>225</v>
      </c>
      <c r="H46" s="27">
        <v>45362</v>
      </c>
      <c r="I46" t="s">
        <v>2781</v>
      </c>
    </row>
    <row r="47" spans="1:9" x14ac:dyDescent="0.25">
      <c r="A47" t="s">
        <v>3615</v>
      </c>
      <c r="B47" t="s">
        <v>1069</v>
      </c>
      <c r="C47" s="27">
        <v>45362</v>
      </c>
      <c r="D47" t="s">
        <v>3616</v>
      </c>
      <c r="E47" t="s">
        <v>189</v>
      </c>
      <c r="G47" t="s">
        <v>225</v>
      </c>
      <c r="H47" s="27">
        <v>45362</v>
      </c>
      <c r="I47" t="s">
        <v>1072</v>
      </c>
    </row>
    <row r="48" spans="1:9" x14ac:dyDescent="0.25">
      <c r="A48" t="s">
        <v>3615</v>
      </c>
      <c r="B48" t="s">
        <v>1069</v>
      </c>
      <c r="C48" s="27">
        <v>45362</v>
      </c>
      <c r="D48" t="s">
        <v>3616</v>
      </c>
      <c r="E48" t="s">
        <v>1705</v>
      </c>
      <c r="G48" t="s">
        <v>225</v>
      </c>
      <c r="H48" s="27">
        <v>45362</v>
      </c>
      <c r="I48" t="s">
        <v>1072</v>
      </c>
    </row>
    <row r="49" spans="1:9" x14ac:dyDescent="0.25">
      <c r="A49" t="s">
        <v>3615</v>
      </c>
      <c r="B49" t="s">
        <v>1069</v>
      </c>
      <c r="C49" s="27">
        <v>45362</v>
      </c>
      <c r="D49" t="s">
        <v>3616</v>
      </c>
      <c r="E49" t="s">
        <v>1260</v>
      </c>
      <c r="G49" t="s">
        <v>225</v>
      </c>
      <c r="H49" s="27">
        <v>45362</v>
      </c>
      <c r="I49" t="s">
        <v>1072</v>
      </c>
    </row>
    <row r="50" spans="1:9" x14ac:dyDescent="0.25">
      <c r="A50" t="s">
        <v>3615</v>
      </c>
      <c r="B50" t="s">
        <v>1069</v>
      </c>
      <c r="C50" s="27">
        <v>45362</v>
      </c>
      <c r="D50" t="s">
        <v>3616</v>
      </c>
      <c r="E50" t="s">
        <v>2444</v>
      </c>
      <c r="G50" t="s">
        <v>225</v>
      </c>
      <c r="H50" s="27">
        <v>45362</v>
      </c>
      <c r="I50" t="s">
        <v>1072</v>
      </c>
    </row>
    <row r="51" spans="1:9" x14ac:dyDescent="0.25">
      <c r="A51" t="s">
        <v>3615</v>
      </c>
      <c r="B51" t="s">
        <v>1069</v>
      </c>
      <c r="C51" s="27">
        <v>45362</v>
      </c>
      <c r="D51" t="s">
        <v>3616</v>
      </c>
      <c r="E51" t="s">
        <v>1156</v>
      </c>
      <c r="G51" t="s">
        <v>225</v>
      </c>
      <c r="H51" s="27">
        <v>45362</v>
      </c>
      <c r="I51" t="s">
        <v>1072</v>
      </c>
    </row>
    <row r="54" spans="1:9" x14ac:dyDescent="0.25">
      <c r="E54" s="252"/>
    </row>
    <row r="55" spans="1:9" x14ac:dyDescent="0.25">
      <c r="E55" s="252"/>
    </row>
    <row r="56" spans="1:9" x14ac:dyDescent="0.25">
      <c r="E56" s="252"/>
    </row>
    <row r="57" spans="1:9" x14ac:dyDescent="0.25">
      <c r="E57" s="252"/>
    </row>
    <row r="58" spans="1:9" x14ac:dyDescent="0.25">
      <c r="E58" s="252"/>
    </row>
    <row r="59" spans="1:9" x14ac:dyDescent="0.25">
      <c r="E59" s="252"/>
    </row>
    <row r="60" spans="1:9" x14ac:dyDescent="0.25">
      <c r="E60" s="252"/>
    </row>
    <row r="61" spans="1:9" x14ac:dyDescent="0.25">
      <c r="F61" s="251"/>
    </row>
  </sheetData>
  <phoneticPr fontId="20" type="noConversion"/>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C599A-3089-4C90-A262-9AE59BE3D6F5}">
  <sheetPr codeName="Sheet17">
    <tabColor theme="8"/>
  </sheetPr>
  <dimension ref="A1:H54"/>
  <sheetViews>
    <sheetView workbookViewId="0">
      <selection activeCell="H7" sqref="H7"/>
    </sheetView>
  </sheetViews>
  <sheetFormatPr defaultRowHeight="15" x14ac:dyDescent="0.25"/>
  <cols>
    <col min="1" max="1" width="55.28515625" bestFit="1" customWidth="1"/>
    <col min="2" max="2" width="13.85546875" bestFit="1" customWidth="1"/>
    <col min="3" max="3" width="23.7109375" bestFit="1" customWidth="1"/>
    <col min="4" max="4" width="18.140625" bestFit="1" customWidth="1"/>
    <col min="5" max="5" width="20.85546875" bestFit="1" customWidth="1"/>
    <col min="8" max="8" width="17.42578125" bestFit="1" customWidth="1"/>
  </cols>
  <sheetData>
    <row r="1" spans="1:8" x14ac:dyDescent="0.25">
      <c r="A1" s="2" t="s">
        <v>2068</v>
      </c>
      <c r="B1" s="2" t="s">
        <v>411</v>
      </c>
      <c r="C1" s="2" t="s">
        <v>410</v>
      </c>
      <c r="D1" s="2" t="s">
        <v>2069</v>
      </c>
      <c r="E1" s="2" t="s">
        <v>2070</v>
      </c>
      <c r="F1" s="2" t="s">
        <v>241</v>
      </c>
      <c r="G1" s="2" t="s">
        <v>588</v>
      </c>
      <c r="H1" s="2" t="s">
        <v>2129</v>
      </c>
    </row>
    <row r="2" spans="1:8" x14ac:dyDescent="0.25">
      <c r="A2" s="8" t="s">
        <v>2071</v>
      </c>
      <c r="B2" s="8" t="s">
        <v>2072</v>
      </c>
      <c r="C2" s="8" t="s">
        <v>2073</v>
      </c>
      <c r="D2" s="2" t="s">
        <v>39</v>
      </c>
      <c r="E2" s="2" t="s">
        <v>39</v>
      </c>
      <c r="F2" s="8"/>
      <c r="G2" s="8"/>
      <c r="H2" s="8"/>
    </row>
    <row r="3" spans="1:8" x14ac:dyDescent="0.25">
      <c r="A3" s="8" t="s">
        <v>2074</v>
      </c>
      <c r="B3" s="8" t="s">
        <v>2072</v>
      </c>
      <c r="C3" s="8" t="s">
        <v>2073</v>
      </c>
      <c r="D3" s="2" t="s">
        <v>39</v>
      </c>
      <c r="E3" s="2" t="s">
        <v>39</v>
      </c>
      <c r="F3" s="8"/>
      <c r="G3" s="8"/>
      <c r="H3" s="8"/>
    </row>
    <row r="4" spans="1:8" x14ac:dyDescent="0.25">
      <c r="A4" s="8" t="s">
        <v>2075</v>
      </c>
      <c r="B4" s="8" t="s">
        <v>2072</v>
      </c>
      <c r="C4" s="8" t="s">
        <v>2073</v>
      </c>
      <c r="D4" s="2" t="s">
        <v>39</v>
      </c>
      <c r="E4" s="2" t="s">
        <v>39</v>
      </c>
      <c r="F4" s="8"/>
      <c r="G4" s="8"/>
      <c r="H4" s="8"/>
    </row>
    <row r="5" spans="1:8" x14ac:dyDescent="0.25">
      <c r="A5" s="8" t="s">
        <v>2076</v>
      </c>
      <c r="B5" s="8" t="s">
        <v>2072</v>
      </c>
      <c r="C5" s="8" t="s">
        <v>2073</v>
      </c>
      <c r="D5" s="2" t="s">
        <v>39</v>
      </c>
      <c r="E5" s="2" t="s">
        <v>39</v>
      </c>
      <c r="F5" s="8"/>
      <c r="G5" s="8"/>
      <c r="H5" s="8"/>
    </row>
    <row r="6" spans="1:8" x14ac:dyDescent="0.25">
      <c r="A6" s="8" t="s">
        <v>2077</v>
      </c>
      <c r="B6" s="8" t="s">
        <v>2072</v>
      </c>
      <c r="C6" s="8" t="s">
        <v>2073</v>
      </c>
      <c r="D6" s="2" t="s">
        <v>39</v>
      </c>
      <c r="E6" s="2" t="s">
        <v>39</v>
      </c>
      <c r="F6" s="8"/>
      <c r="G6" s="8"/>
      <c r="H6" s="8"/>
    </row>
    <row r="7" spans="1:8" x14ac:dyDescent="0.25">
      <c r="A7" s="8" t="s">
        <v>2078</v>
      </c>
      <c r="B7" s="8" t="s">
        <v>2072</v>
      </c>
      <c r="C7" s="8" t="s">
        <v>2073</v>
      </c>
      <c r="D7" s="2" t="s">
        <v>39</v>
      </c>
      <c r="E7" s="2" t="s">
        <v>39</v>
      </c>
      <c r="F7" s="8"/>
      <c r="G7" s="8"/>
      <c r="H7" s="8"/>
    </row>
    <row r="8" spans="1:8" x14ac:dyDescent="0.25">
      <c r="A8" s="8" t="s">
        <v>2079</v>
      </c>
      <c r="B8" s="8" t="s">
        <v>2072</v>
      </c>
      <c r="C8" s="8" t="s">
        <v>2080</v>
      </c>
      <c r="D8" s="14">
        <v>42534</v>
      </c>
      <c r="E8" s="14">
        <v>44074</v>
      </c>
      <c r="F8" s="8"/>
      <c r="G8" s="8"/>
      <c r="H8" s="8"/>
    </row>
    <row r="9" spans="1:8" x14ac:dyDescent="0.25">
      <c r="A9" s="8" t="s">
        <v>2081</v>
      </c>
      <c r="B9" s="8" t="s">
        <v>2072</v>
      </c>
      <c r="C9" s="8" t="s">
        <v>2080</v>
      </c>
      <c r="D9" s="14">
        <v>42488</v>
      </c>
      <c r="E9" s="14">
        <v>44365</v>
      </c>
      <c r="F9" s="8"/>
      <c r="G9" s="8"/>
      <c r="H9" s="8"/>
    </row>
    <row r="10" spans="1:8" x14ac:dyDescent="0.25">
      <c r="A10" s="8" t="s">
        <v>2082</v>
      </c>
      <c r="B10" s="8" t="s">
        <v>2072</v>
      </c>
      <c r="C10" s="8" t="s">
        <v>2080</v>
      </c>
      <c r="D10" s="14">
        <v>43871</v>
      </c>
      <c r="E10" s="2" t="s">
        <v>39</v>
      </c>
      <c r="F10" s="8"/>
      <c r="G10" s="8"/>
      <c r="H10" s="8"/>
    </row>
    <row r="11" spans="1:8" x14ac:dyDescent="0.25">
      <c r="A11" s="8" t="s">
        <v>2083</v>
      </c>
      <c r="B11" s="8" t="s">
        <v>2072</v>
      </c>
      <c r="C11" s="8" t="s">
        <v>2073</v>
      </c>
      <c r="D11" s="2" t="s">
        <v>39</v>
      </c>
      <c r="E11" s="2" t="s">
        <v>39</v>
      </c>
      <c r="F11" s="8"/>
      <c r="G11" s="8"/>
      <c r="H11" s="8"/>
    </row>
    <row r="12" spans="1:8" x14ac:dyDescent="0.25">
      <c r="A12" s="8" t="s">
        <v>2084</v>
      </c>
      <c r="B12" s="8" t="s">
        <v>2072</v>
      </c>
      <c r="C12" s="8" t="s">
        <v>2080</v>
      </c>
      <c r="D12" s="14">
        <v>42550</v>
      </c>
      <c r="E12" s="14" t="s">
        <v>2085</v>
      </c>
      <c r="F12" s="8"/>
      <c r="G12" s="8"/>
      <c r="H12" s="8"/>
    </row>
    <row r="13" spans="1:8" x14ac:dyDescent="0.25">
      <c r="A13" s="8" t="s">
        <v>2086</v>
      </c>
      <c r="B13" s="8" t="s">
        <v>2072</v>
      </c>
      <c r="C13" s="8" t="s">
        <v>2080</v>
      </c>
      <c r="D13" s="14">
        <v>42730</v>
      </c>
      <c r="E13" s="14">
        <v>43167</v>
      </c>
      <c r="F13" s="8"/>
      <c r="G13" s="8"/>
      <c r="H13" s="8"/>
    </row>
    <row r="14" spans="1:8" x14ac:dyDescent="0.25">
      <c r="A14" s="8" t="s">
        <v>2087</v>
      </c>
      <c r="B14" s="8" t="s">
        <v>2072</v>
      </c>
      <c r="C14" s="8" t="s">
        <v>2080</v>
      </c>
      <c r="D14" s="14">
        <v>42986</v>
      </c>
      <c r="E14" s="14">
        <v>44313</v>
      </c>
      <c r="F14" s="8"/>
      <c r="G14" s="8"/>
      <c r="H14" s="8"/>
    </row>
    <row r="15" spans="1:8" x14ac:dyDescent="0.25">
      <c r="A15" s="8" t="s">
        <v>2088</v>
      </c>
      <c r="B15" s="8" t="s">
        <v>2072</v>
      </c>
      <c r="C15" s="8" t="s">
        <v>2080</v>
      </c>
      <c r="D15" s="14">
        <v>44510</v>
      </c>
      <c r="E15" s="2" t="s">
        <v>39</v>
      </c>
      <c r="F15" s="8"/>
      <c r="G15" s="8"/>
      <c r="H15" s="8"/>
    </row>
    <row r="16" spans="1:8" x14ac:dyDescent="0.25">
      <c r="A16" s="8" t="s">
        <v>2089</v>
      </c>
      <c r="B16" s="8" t="s">
        <v>2072</v>
      </c>
      <c r="C16" s="8" t="s">
        <v>2073</v>
      </c>
      <c r="D16" s="2" t="s">
        <v>39</v>
      </c>
      <c r="E16" s="2" t="s">
        <v>39</v>
      </c>
      <c r="F16" s="8"/>
      <c r="G16" s="8"/>
      <c r="H16" s="8"/>
    </row>
    <row r="17" spans="1:8" x14ac:dyDescent="0.25">
      <c r="A17" s="8" t="s">
        <v>2090</v>
      </c>
      <c r="B17" s="8" t="s">
        <v>2072</v>
      </c>
      <c r="C17" s="8" t="s">
        <v>2080</v>
      </c>
      <c r="D17" s="14">
        <v>43348</v>
      </c>
      <c r="E17" s="14">
        <v>43542</v>
      </c>
      <c r="F17" s="8"/>
      <c r="G17" s="8"/>
      <c r="H17" s="8"/>
    </row>
    <row r="18" spans="1:8" x14ac:dyDescent="0.25">
      <c r="A18" s="8" t="s">
        <v>2091</v>
      </c>
      <c r="B18" s="8" t="s">
        <v>2072</v>
      </c>
      <c r="C18" s="8" t="s">
        <v>2073</v>
      </c>
      <c r="D18" s="2" t="s">
        <v>39</v>
      </c>
      <c r="E18" s="2" t="s">
        <v>39</v>
      </c>
      <c r="F18" s="8"/>
      <c r="G18" s="8"/>
      <c r="H18" s="8"/>
    </row>
    <row r="19" spans="1:8" x14ac:dyDescent="0.25">
      <c r="A19" s="8" t="s">
        <v>2092</v>
      </c>
      <c r="B19" s="8" t="s">
        <v>2072</v>
      </c>
      <c r="C19" s="2" t="s">
        <v>408</v>
      </c>
      <c r="D19" s="2" t="s">
        <v>39</v>
      </c>
      <c r="E19" s="2" t="s">
        <v>39</v>
      </c>
      <c r="F19" s="8"/>
      <c r="G19" s="8"/>
      <c r="H19" s="8"/>
    </row>
    <row r="20" spans="1:8" x14ac:dyDescent="0.25">
      <c r="A20" s="8" t="s">
        <v>2093</v>
      </c>
      <c r="B20" s="8" t="s">
        <v>2072</v>
      </c>
      <c r="C20" s="2" t="s">
        <v>408</v>
      </c>
      <c r="D20" s="2" t="s">
        <v>39</v>
      </c>
      <c r="E20" s="2" t="s">
        <v>39</v>
      </c>
      <c r="F20" s="8"/>
      <c r="G20" s="8"/>
      <c r="H20" s="8"/>
    </row>
    <row r="21" spans="1:8" x14ac:dyDescent="0.25">
      <c r="A21" s="8" t="s">
        <v>2094</v>
      </c>
      <c r="B21" s="8" t="s">
        <v>2072</v>
      </c>
      <c r="C21" s="2" t="s">
        <v>408</v>
      </c>
      <c r="D21" s="2" t="s">
        <v>39</v>
      </c>
      <c r="E21" s="2" t="s">
        <v>39</v>
      </c>
      <c r="F21" s="8"/>
      <c r="G21" s="8"/>
      <c r="H21" s="8"/>
    </row>
    <row r="22" spans="1:8" x14ac:dyDescent="0.25">
      <c r="A22" s="8" t="s">
        <v>2095</v>
      </c>
      <c r="B22" s="8" t="s">
        <v>2072</v>
      </c>
      <c r="C22" s="2" t="s">
        <v>408</v>
      </c>
      <c r="D22" s="2" t="s">
        <v>39</v>
      </c>
      <c r="E22" s="2" t="s">
        <v>39</v>
      </c>
      <c r="F22" s="8"/>
      <c r="G22" s="8"/>
      <c r="H22" s="8"/>
    </row>
    <row r="23" spans="1:8" x14ac:dyDescent="0.25">
      <c r="A23" s="8" t="s">
        <v>2096</v>
      </c>
      <c r="B23" s="8" t="s">
        <v>2072</v>
      </c>
      <c r="C23" s="8" t="s">
        <v>2097</v>
      </c>
      <c r="D23" s="14">
        <v>44510</v>
      </c>
      <c r="E23" s="2" t="s">
        <v>39</v>
      </c>
      <c r="F23" s="8"/>
      <c r="G23" s="8"/>
      <c r="H23" s="8"/>
    </row>
    <row r="24" spans="1:8" x14ac:dyDescent="0.25">
      <c r="A24" s="8" t="s">
        <v>2098</v>
      </c>
      <c r="B24" s="8" t="s">
        <v>2072</v>
      </c>
      <c r="C24" s="8" t="s">
        <v>2073</v>
      </c>
      <c r="D24" s="2" t="s">
        <v>39</v>
      </c>
      <c r="E24" s="2" t="s">
        <v>39</v>
      </c>
      <c r="F24" s="8"/>
      <c r="G24" s="8"/>
      <c r="H24" s="8"/>
    </row>
    <row r="25" spans="1:8" x14ac:dyDescent="0.25">
      <c r="A25" s="8" t="s">
        <v>2099</v>
      </c>
      <c r="B25" s="8" t="s">
        <v>2072</v>
      </c>
      <c r="C25" s="12" t="s">
        <v>2100</v>
      </c>
      <c r="D25" s="2" t="s">
        <v>39</v>
      </c>
      <c r="E25" s="2" t="s">
        <v>39</v>
      </c>
      <c r="F25" s="8"/>
      <c r="G25" s="8"/>
      <c r="H25" s="8"/>
    </row>
    <row r="26" spans="1:8" x14ac:dyDescent="0.25">
      <c r="A26" s="8" t="s">
        <v>2101</v>
      </c>
      <c r="B26" s="8" t="s">
        <v>2072</v>
      </c>
      <c r="C26" s="8" t="s">
        <v>2073</v>
      </c>
      <c r="D26" s="2" t="s">
        <v>39</v>
      </c>
      <c r="E26" s="2" t="s">
        <v>39</v>
      </c>
      <c r="F26" s="8"/>
      <c r="G26" s="8"/>
      <c r="H26" s="8"/>
    </row>
    <row r="27" spans="1:8" x14ac:dyDescent="0.25">
      <c r="A27" s="8" t="s">
        <v>2102</v>
      </c>
      <c r="B27" s="8" t="s">
        <v>2072</v>
      </c>
      <c r="C27" s="8" t="s">
        <v>2073</v>
      </c>
      <c r="D27" s="2" t="s">
        <v>39</v>
      </c>
      <c r="E27" s="2" t="s">
        <v>39</v>
      </c>
      <c r="F27" s="8"/>
      <c r="G27" s="8"/>
      <c r="H27" s="8"/>
    </row>
    <row r="28" spans="1:8" x14ac:dyDescent="0.25">
      <c r="A28" s="8" t="s">
        <v>2103</v>
      </c>
      <c r="B28" s="8" t="s">
        <v>2072</v>
      </c>
      <c r="C28" s="12" t="s">
        <v>2100</v>
      </c>
      <c r="D28" s="2" t="s">
        <v>39</v>
      </c>
      <c r="E28" s="2" t="s">
        <v>39</v>
      </c>
      <c r="F28" s="8"/>
      <c r="G28" s="8"/>
      <c r="H28" s="8"/>
    </row>
    <row r="29" spans="1:8" x14ac:dyDescent="0.25">
      <c r="A29" s="8" t="s">
        <v>2104</v>
      </c>
      <c r="B29" s="8" t="s">
        <v>2072</v>
      </c>
      <c r="C29" s="8" t="s">
        <v>2073</v>
      </c>
      <c r="D29" s="2" t="s">
        <v>39</v>
      </c>
      <c r="E29" s="2" t="s">
        <v>39</v>
      </c>
      <c r="F29" s="8"/>
      <c r="G29" s="8"/>
      <c r="H29" s="8"/>
    </row>
    <row r="30" spans="1:8" x14ac:dyDescent="0.25">
      <c r="A30" s="8" t="s">
        <v>2105</v>
      </c>
      <c r="B30" s="8" t="s">
        <v>2072</v>
      </c>
      <c r="C30" s="8" t="s">
        <v>2073</v>
      </c>
      <c r="D30" s="2" t="s">
        <v>39</v>
      </c>
      <c r="E30" s="2" t="s">
        <v>39</v>
      </c>
      <c r="F30" s="8"/>
      <c r="G30" s="8"/>
      <c r="H30" s="8"/>
    </row>
    <row r="31" spans="1:8" x14ac:dyDescent="0.25">
      <c r="A31" s="8" t="s">
        <v>2106</v>
      </c>
      <c r="B31" s="8" t="s">
        <v>2072</v>
      </c>
      <c r="C31" s="8" t="s">
        <v>2073</v>
      </c>
      <c r="D31" s="2" t="s">
        <v>39</v>
      </c>
      <c r="E31" s="2" t="s">
        <v>39</v>
      </c>
      <c r="F31" s="8"/>
      <c r="G31" s="8"/>
      <c r="H31" s="8"/>
    </row>
    <row r="32" spans="1:8" x14ac:dyDescent="0.25">
      <c r="A32" s="8" t="s">
        <v>2107</v>
      </c>
      <c r="B32" s="8" t="s">
        <v>2072</v>
      </c>
      <c r="C32" s="8" t="s">
        <v>2073</v>
      </c>
      <c r="D32" s="2" t="s">
        <v>39</v>
      </c>
      <c r="E32" s="2" t="s">
        <v>39</v>
      </c>
      <c r="F32" s="8"/>
      <c r="G32" s="8"/>
      <c r="H32" s="8"/>
    </row>
    <row r="33" spans="1:8" x14ac:dyDescent="0.25">
      <c r="A33" s="8" t="s">
        <v>2108</v>
      </c>
      <c r="B33" s="8" t="s">
        <v>2072</v>
      </c>
      <c r="C33" s="8" t="s">
        <v>2073</v>
      </c>
      <c r="D33" s="2" t="s">
        <v>39</v>
      </c>
      <c r="E33" s="2" t="s">
        <v>39</v>
      </c>
      <c r="F33" s="8"/>
      <c r="G33" s="8"/>
      <c r="H33" s="8"/>
    </row>
    <row r="34" spans="1:8" x14ac:dyDescent="0.25">
      <c r="A34" s="8" t="s">
        <v>2109</v>
      </c>
      <c r="B34" s="8" t="s">
        <v>2072</v>
      </c>
      <c r="C34" s="8" t="s">
        <v>2073</v>
      </c>
      <c r="D34" s="2" t="s">
        <v>39</v>
      </c>
      <c r="E34" s="2" t="s">
        <v>39</v>
      </c>
      <c r="F34" s="8"/>
      <c r="G34" s="8"/>
      <c r="H34" s="8"/>
    </row>
    <row r="35" spans="1:8" x14ac:dyDescent="0.25">
      <c r="A35" s="8" t="s">
        <v>2110</v>
      </c>
      <c r="B35" s="8" t="s">
        <v>2072</v>
      </c>
      <c r="C35" s="8" t="s">
        <v>2073</v>
      </c>
      <c r="D35" s="2" t="s">
        <v>39</v>
      </c>
      <c r="E35" s="2" t="s">
        <v>39</v>
      </c>
      <c r="F35" s="8"/>
      <c r="G35" s="8"/>
      <c r="H35" s="8"/>
    </row>
    <row r="36" spans="1:8" x14ac:dyDescent="0.25">
      <c r="A36" s="8" t="s">
        <v>2111</v>
      </c>
      <c r="B36" s="8" t="s">
        <v>2072</v>
      </c>
      <c r="C36" s="8" t="s">
        <v>2073</v>
      </c>
      <c r="D36" s="2" t="s">
        <v>39</v>
      </c>
      <c r="E36" s="2" t="s">
        <v>39</v>
      </c>
      <c r="F36" s="8"/>
      <c r="G36" s="8"/>
      <c r="H36" s="8"/>
    </row>
    <row r="37" spans="1:8" x14ac:dyDescent="0.25">
      <c r="A37" s="8" t="s">
        <v>2112</v>
      </c>
      <c r="B37" s="8" t="s">
        <v>2072</v>
      </c>
      <c r="C37" s="8" t="s">
        <v>2073</v>
      </c>
      <c r="D37" s="2" t="s">
        <v>39</v>
      </c>
      <c r="E37" s="2" t="s">
        <v>39</v>
      </c>
      <c r="F37" s="8"/>
      <c r="G37" s="8"/>
      <c r="H37" s="8"/>
    </row>
    <row r="38" spans="1:8" x14ac:dyDescent="0.25">
      <c r="A38" s="8" t="s">
        <v>2113</v>
      </c>
      <c r="B38" s="8" t="s">
        <v>2072</v>
      </c>
      <c r="C38" s="8" t="s">
        <v>2073</v>
      </c>
      <c r="D38" s="2" t="s">
        <v>39</v>
      </c>
      <c r="E38" s="2" t="s">
        <v>39</v>
      </c>
      <c r="F38" s="8"/>
      <c r="G38" s="8"/>
      <c r="H38" s="8"/>
    </row>
    <row r="39" spans="1:8" x14ac:dyDescent="0.25">
      <c r="A39" s="8" t="s">
        <v>2114</v>
      </c>
      <c r="B39" s="8" t="s">
        <v>2072</v>
      </c>
      <c r="C39" s="12" t="s">
        <v>2115</v>
      </c>
      <c r="D39" s="2" t="s">
        <v>39</v>
      </c>
      <c r="E39" s="2" t="s">
        <v>39</v>
      </c>
      <c r="F39" s="8"/>
      <c r="G39" s="8"/>
      <c r="H39" s="8"/>
    </row>
    <row r="40" spans="1:8" x14ac:dyDescent="0.25">
      <c r="A40" s="8" t="s">
        <v>2116</v>
      </c>
      <c r="B40" s="8" t="s">
        <v>2072</v>
      </c>
      <c r="C40" s="8" t="s">
        <v>2073</v>
      </c>
      <c r="D40" s="2" t="s">
        <v>39</v>
      </c>
      <c r="E40" s="2" t="s">
        <v>39</v>
      </c>
      <c r="F40" s="8"/>
      <c r="G40" s="8"/>
      <c r="H40" s="8"/>
    </row>
    <row r="41" spans="1:8" x14ac:dyDescent="0.25">
      <c r="A41" s="8" t="s">
        <v>2116</v>
      </c>
      <c r="B41" s="8" t="s">
        <v>272</v>
      </c>
      <c r="C41" s="8" t="s">
        <v>2080</v>
      </c>
      <c r="D41" s="14">
        <v>44039</v>
      </c>
      <c r="E41" s="2" t="s">
        <v>39</v>
      </c>
      <c r="F41" s="8"/>
      <c r="G41" s="8"/>
      <c r="H41" s="8"/>
    </row>
    <row r="42" spans="1:8" x14ac:dyDescent="0.25">
      <c r="A42" s="8" t="s">
        <v>2117</v>
      </c>
      <c r="B42" s="8" t="s">
        <v>2072</v>
      </c>
      <c r="C42" s="8" t="s">
        <v>2073</v>
      </c>
      <c r="D42" s="2" t="s">
        <v>39</v>
      </c>
      <c r="E42" s="2" t="s">
        <v>39</v>
      </c>
      <c r="F42" s="8"/>
      <c r="G42" s="8"/>
      <c r="H42" s="8"/>
    </row>
    <row r="43" spans="1:8" x14ac:dyDescent="0.25">
      <c r="A43" s="8" t="s">
        <v>2118</v>
      </c>
      <c r="B43" s="8" t="s">
        <v>2072</v>
      </c>
      <c r="C43" s="8" t="s">
        <v>2073</v>
      </c>
      <c r="D43" s="2" t="s">
        <v>39</v>
      </c>
      <c r="E43" s="2" t="s">
        <v>39</v>
      </c>
      <c r="F43" s="8"/>
      <c r="G43" s="8"/>
      <c r="H43" s="8"/>
    </row>
    <row r="44" spans="1:8" x14ac:dyDescent="0.25">
      <c r="A44" s="8" t="s">
        <v>2119</v>
      </c>
      <c r="B44" s="8" t="s">
        <v>2072</v>
      </c>
      <c r="C44" s="12" t="s">
        <v>2100</v>
      </c>
      <c r="D44" s="2" t="s">
        <v>39</v>
      </c>
      <c r="E44" s="2" t="s">
        <v>39</v>
      </c>
      <c r="F44" s="8"/>
      <c r="G44" s="8"/>
      <c r="H44" s="8"/>
    </row>
    <row r="45" spans="1:8" x14ac:dyDescent="0.25">
      <c r="A45" s="8" t="s">
        <v>2120</v>
      </c>
      <c r="B45" s="8" t="s">
        <v>2072</v>
      </c>
      <c r="C45" s="8" t="s">
        <v>2073</v>
      </c>
      <c r="D45" s="2" t="s">
        <v>39</v>
      </c>
      <c r="E45" s="2" t="s">
        <v>39</v>
      </c>
      <c r="F45" s="8"/>
      <c r="G45" s="8"/>
      <c r="H45" s="8"/>
    </row>
    <row r="46" spans="1:8" x14ac:dyDescent="0.25">
      <c r="A46" s="8" t="s">
        <v>2121</v>
      </c>
      <c r="B46" s="8" t="s">
        <v>2072</v>
      </c>
      <c r="C46" s="8" t="s">
        <v>2073</v>
      </c>
      <c r="D46" s="2" t="s">
        <v>39</v>
      </c>
      <c r="E46" s="2" t="s">
        <v>39</v>
      </c>
      <c r="F46" s="8"/>
      <c r="G46" s="8"/>
      <c r="H46" s="8"/>
    </row>
    <row r="47" spans="1:8" x14ac:dyDescent="0.25">
      <c r="A47" s="8" t="s">
        <v>2122</v>
      </c>
      <c r="B47" s="8" t="s">
        <v>2072</v>
      </c>
      <c r="C47" s="8" t="s">
        <v>2073</v>
      </c>
      <c r="D47" s="2" t="s">
        <v>39</v>
      </c>
      <c r="E47" s="2" t="s">
        <v>39</v>
      </c>
      <c r="F47" s="8"/>
      <c r="G47" s="8"/>
      <c r="H47" s="8"/>
    </row>
    <row r="48" spans="1:8" x14ac:dyDescent="0.25">
      <c r="A48" s="8" t="s">
        <v>2123</v>
      </c>
      <c r="B48" s="8" t="s">
        <v>2072</v>
      </c>
      <c r="C48" s="8" t="s">
        <v>2073</v>
      </c>
      <c r="D48" s="2" t="s">
        <v>39</v>
      </c>
      <c r="E48" s="2" t="s">
        <v>39</v>
      </c>
      <c r="F48" s="8"/>
      <c r="G48" s="8"/>
      <c r="H48" s="8"/>
    </row>
    <row r="49" spans="1:8" x14ac:dyDescent="0.25">
      <c r="A49" s="8" t="s">
        <v>2124</v>
      </c>
      <c r="B49" s="8" t="s">
        <v>2072</v>
      </c>
      <c r="C49" s="8" t="s">
        <v>2073</v>
      </c>
      <c r="D49" s="2" t="s">
        <v>39</v>
      </c>
      <c r="E49" s="2" t="s">
        <v>39</v>
      </c>
      <c r="F49" s="8"/>
      <c r="G49" s="8"/>
      <c r="H49" s="8"/>
    </row>
    <row r="50" spans="1:8" x14ac:dyDescent="0.25">
      <c r="A50" s="8" t="s">
        <v>2125</v>
      </c>
      <c r="B50" s="8" t="s">
        <v>2072</v>
      </c>
      <c r="C50" s="8" t="s">
        <v>2080</v>
      </c>
      <c r="D50" s="14">
        <v>42487</v>
      </c>
      <c r="E50" s="14">
        <v>44375</v>
      </c>
      <c r="F50" s="8"/>
      <c r="G50" s="8"/>
      <c r="H50" s="8"/>
    </row>
    <row r="51" spans="1:8" x14ac:dyDescent="0.25">
      <c r="A51" s="8" t="s">
        <v>2125</v>
      </c>
      <c r="B51" s="8" t="s">
        <v>272</v>
      </c>
      <c r="C51" s="8" t="s">
        <v>2080</v>
      </c>
      <c r="D51" s="14">
        <v>44530</v>
      </c>
      <c r="E51" s="2" t="s">
        <v>39</v>
      </c>
      <c r="F51" s="8"/>
      <c r="G51" s="8"/>
      <c r="H51" s="8"/>
    </row>
    <row r="52" spans="1:8" x14ac:dyDescent="0.25">
      <c r="A52" s="8" t="s">
        <v>2126</v>
      </c>
      <c r="B52" s="8" t="s">
        <v>2072</v>
      </c>
      <c r="C52" s="8" t="s">
        <v>2080</v>
      </c>
      <c r="D52" s="14" t="s">
        <v>2127</v>
      </c>
      <c r="E52" s="14" t="s">
        <v>2127</v>
      </c>
      <c r="F52" s="8"/>
      <c r="G52" s="8"/>
      <c r="H52" s="8"/>
    </row>
    <row r="53" spans="1:8" x14ac:dyDescent="0.25">
      <c r="A53" s="8" t="s">
        <v>2128</v>
      </c>
      <c r="B53" s="8" t="s">
        <v>272</v>
      </c>
      <c r="C53" s="8" t="s">
        <v>2080</v>
      </c>
      <c r="D53" s="14">
        <v>42535</v>
      </c>
      <c r="E53" s="14">
        <v>44320</v>
      </c>
      <c r="F53" s="8"/>
      <c r="G53" s="8"/>
      <c r="H53" s="8"/>
    </row>
    <row r="54" spans="1:8" x14ac:dyDescent="0.25">
      <c r="A54" s="8" t="s">
        <v>2081</v>
      </c>
      <c r="B54" s="8" t="s">
        <v>272</v>
      </c>
      <c r="C54" s="8" t="s">
        <v>2080</v>
      </c>
      <c r="D54" s="14">
        <v>43151</v>
      </c>
      <c r="E54" s="2" t="s">
        <v>39</v>
      </c>
      <c r="F54" s="8"/>
      <c r="G54" s="8"/>
      <c r="H54" s="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D8230-010D-4853-BA98-FB64C42B0612}">
  <sheetPr codeName="Sheet20">
    <tabColor theme="8"/>
  </sheetPr>
  <dimension ref="B1:BR1633"/>
  <sheetViews>
    <sheetView showGridLines="0" topLeftCell="AU225" zoomScale="85" zoomScaleNormal="85" workbookViewId="0">
      <selection activeCell="AW272" sqref="AW272"/>
    </sheetView>
  </sheetViews>
  <sheetFormatPr defaultRowHeight="15" x14ac:dyDescent="0.25"/>
  <cols>
    <col min="1" max="2" width="9.140625" customWidth="1"/>
    <col min="3" max="3" width="66.7109375" customWidth="1"/>
    <col min="4" max="4" width="17" customWidth="1"/>
    <col min="5" max="5" width="83.140625" customWidth="1"/>
    <col min="6" max="6" width="9.140625" customWidth="1"/>
    <col min="8" max="8" width="66.7109375" bestFit="1" customWidth="1"/>
    <col min="9" max="9" width="17" bestFit="1" customWidth="1"/>
    <col min="10" max="10" width="83.140625" bestFit="1" customWidth="1"/>
    <col min="11" max="11" width="74.140625" bestFit="1" customWidth="1"/>
    <col min="14" max="14" width="4.5703125" bestFit="1" customWidth="1"/>
    <col min="15" max="15" width="59.28515625" bestFit="1" customWidth="1"/>
    <col min="16" max="16" width="10.7109375" bestFit="1" customWidth="1"/>
    <col min="17" max="17" width="19" bestFit="1" customWidth="1"/>
    <col min="19" max="23" width="9.140625" customWidth="1"/>
    <col min="24" max="24" width="32" customWidth="1"/>
    <col min="25" max="25" width="145.7109375" customWidth="1"/>
    <col min="26" max="26" width="41.85546875" customWidth="1"/>
    <col min="27" max="27" width="10.5703125" customWidth="1"/>
    <col min="28" max="30" width="9.140625" customWidth="1"/>
    <col min="31" max="31" width="32" customWidth="1"/>
    <col min="32" max="32" width="97.85546875" customWidth="1"/>
    <col min="33" max="33" width="44.85546875" customWidth="1"/>
    <col min="34" max="37" width="9.140625" customWidth="1"/>
    <col min="39" max="39" width="36.5703125" bestFit="1" customWidth="1"/>
    <col min="40" max="40" width="79.85546875" bestFit="1" customWidth="1"/>
    <col min="41" max="41" width="71.42578125" bestFit="1" customWidth="1"/>
    <col min="47" max="47" width="16.7109375" bestFit="1" customWidth="1"/>
    <col min="48" max="48" width="44.7109375" bestFit="1" customWidth="1"/>
    <col min="49" max="49" width="133.5703125" customWidth="1"/>
    <col min="50" max="50" width="18.140625" bestFit="1" customWidth="1"/>
    <col min="51" max="51" width="43.42578125" bestFit="1" customWidth="1"/>
    <col min="52" max="52" width="29.7109375" bestFit="1" customWidth="1"/>
    <col min="53" max="53" width="8.7109375" customWidth="1"/>
  </cols>
  <sheetData>
    <row r="1" spans="2:50" ht="15.75" thickBot="1" x14ac:dyDescent="0.3">
      <c r="B1" s="175"/>
      <c r="C1" s="175"/>
      <c r="D1" s="175"/>
      <c r="E1" s="175"/>
      <c r="F1" s="175"/>
      <c r="G1" s="175"/>
      <c r="H1" s="175"/>
      <c r="I1" s="175"/>
      <c r="J1" s="175"/>
      <c r="N1" s="179"/>
      <c r="O1" s="179"/>
      <c r="P1" s="179"/>
      <c r="Q1" s="179"/>
      <c r="X1" s="183"/>
      <c r="Y1" s="183"/>
      <c r="Z1" s="183"/>
      <c r="AA1" s="183"/>
      <c r="AB1" s="183"/>
      <c r="AC1" s="183"/>
      <c r="AD1" s="183"/>
      <c r="AE1" s="183"/>
      <c r="AF1" s="183"/>
      <c r="AG1" s="183"/>
      <c r="AM1" s="278" t="s">
        <v>1972</v>
      </c>
      <c r="AN1" s="278"/>
      <c r="AO1" s="278"/>
      <c r="AU1" s="234" t="s">
        <v>3237</v>
      </c>
      <c r="AV1" s="234" t="s">
        <v>3238</v>
      </c>
      <c r="AW1" s="234" t="s">
        <v>3239</v>
      </c>
      <c r="AX1" s="234" t="s">
        <v>1250</v>
      </c>
    </row>
    <row r="2" spans="2:50" ht="15.75" thickBot="1" x14ac:dyDescent="0.3">
      <c r="B2" s="157" t="s">
        <v>1219</v>
      </c>
      <c r="C2" s="158" t="s">
        <v>159</v>
      </c>
      <c r="D2" s="158" t="s">
        <v>159</v>
      </c>
      <c r="E2" s="159" t="s">
        <v>773</v>
      </c>
      <c r="N2" s="157" t="s">
        <v>1219</v>
      </c>
      <c r="O2" s="158" t="s">
        <v>159</v>
      </c>
      <c r="P2" s="158" t="s">
        <v>159</v>
      </c>
      <c r="Q2" s="159" t="s">
        <v>773</v>
      </c>
      <c r="X2" s="152" t="s">
        <v>1219</v>
      </c>
      <c r="Y2" s="153" t="s">
        <v>1246</v>
      </c>
      <c r="Z2" s="154" t="s">
        <v>773</v>
      </c>
      <c r="AE2" s="152" t="s">
        <v>1219</v>
      </c>
      <c r="AF2" s="153" t="s">
        <v>1246</v>
      </c>
      <c r="AG2" s="154" t="s">
        <v>773</v>
      </c>
      <c r="AM2" s="152" t="s">
        <v>1219</v>
      </c>
      <c r="AN2" s="153" t="s">
        <v>1246</v>
      </c>
      <c r="AO2" s="154" t="s">
        <v>773</v>
      </c>
      <c r="AU2" s="235" t="s">
        <v>3240</v>
      </c>
      <c r="AV2" s="236" t="s">
        <v>1825</v>
      </c>
      <c r="AW2" s="179" t="s">
        <v>287</v>
      </c>
      <c r="AX2" t="s">
        <v>1827</v>
      </c>
    </row>
    <row r="3" spans="2:50" ht="15.75" thickBot="1" x14ac:dyDescent="0.3">
      <c r="B3" s="161" t="s">
        <v>1220</v>
      </c>
      <c r="C3" s="162"/>
      <c r="D3" s="162"/>
      <c r="E3" s="163"/>
      <c r="N3" s="180" t="s">
        <v>115</v>
      </c>
      <c r="O3" s="181"/>
      <c r="P3" s="181"/>
      <c r="Q3" s="182"/>
      <c r="X3" t="s">
        <v>114</v>
      </c>
      <c r="AE3" t="s">
        <v>114</v>
      </c>
      <c r="AM3" t="s">
        <v>114</v>
      </c>
      <c r="AU3" s="235"/>
      <c r="AV3" s="236"/>
      <c r="AX3" t="s">
        <v>613</v>
      </c>
    </row>
    <row r="4" spans="2:50" x14ac:dyDescent="0.25">
      <c r="B4" s="160" t="s">
        <v>612</v>
      </c>
      <c r="C4" s="160" t="s">
        <v>1221</v>
      </c>
      <c r="D4" s="160" t="s">
        <v>1222</v>
      </c>
      <c r="E4" s="160" t="s">
        <v>1223</v>
      </c>
      <c r="N4" s="165"/>
      <c r="O4" s="8" t="s">
        <v>1224</v>
      </c>
      <c r="P4" s="8" t="s">
        <v>1222</v>
      </c>
      <c r="Q4" s="166"/>
      <c r="X4" t="s">
        <v>613</v>
      </c>
      <c r="Y4" t="s">
        <v>1489</v>
      </c>
      <c r="Z4" t="s">
        <v>613</v>
      </c>
      <c r="AE4" t="s">
        <v>613</v>
      </c>
      <c r="AF4" t="s">
        <v>1276</v>
      </c>
      <c r="AG4" t="s">
        <v>1694</v>
      </c>
      <c r="AM4" t="s">
        <v>613</v>
      </c>
      <c r="AN4" t="s">
        <v>1276</v>
      </c>
      <c r="AO4" t="s">
        <v>1694</v>
      </c>
      <c r="AU4" s="235"/>
      <c r="AV4" s="236"/>
    </row>
    <row r="5" spans="2:50" ht="15.75" thickBot="1" x14ac:dyDescent="0.3">
      <c r="B5" s="8" t="s">
        <v>612</v>
      </c>
      <c r="C5" s="8" t="s">
        <v>1224</v>
      </c>
      <c r="D5" s="8" t="s">
        <v>1222</v>
      </c>
      <c r="E5" s="8" t="s">
        <v>1225</v>
      </c>
      <c r="N5" s="165" t="s">
        <v>414</v>
      </c>
      <c r="O5" s="8"/>
      <c r="P5" s="8"/>
      <c r="Q5" s="166"/>
      <c r="X5" t="s">
        <v>613</v>
      </c>
      <c r="Y5" t="s">
        <v>1269</v>
      </c>
      <c r="Z5" t="s">
        <v>1736</v>
      </c>
      <c r="AE5" t="s">
        <v>613</v>
      </c>
      <c r="AF5" t="s">
        <v>1506</v>
      </c>
      <c r="AG5" t="s">
        <v>1697</v>
      </c>
      <c r="AM5" t="s">
        <v>613</v>
      </c>
      <c r="AN5" t="s">
        <v>1516</v>
      </c>
      <c r="AO5" t="s">
        <v>1698</v>
      </c>
      <c r="AU5" s="235"/>
      <c r="AV5" s="236"/>
    </row>
    <row r="6" spans="2:50" ht="15.75" thickBot="1" x14ac:dyDescent="0.3">
      <c r="B6" s="164" t="s">
        <v>612</v>
      </c>
      <c r="C6" s="164" t="s">
        <v>1226</v>
      </c>
      <c r="D6" s="164" t="s">
        <v>1227</v>
      </c>
      <c r="E6" s="164" t="s">
        <v>1228</v>
      </c>
      <c r="H6" s="172" t="s">
        <v>1246</v>
      </c>
      <c r="I6" s="173" t="s">
        <v>159</v>
      </c>
      <c r="J6" s="174" t="s">
        <v>1247</v>
      </c>
      <c r="K6" s="174" t="s">
        <v>1974</v>
      </c>
      <c r="N6" s="165"/>
      <c r="O6" s="8" t="s">
        <v>1224</v>
      </c>
      <c r="P6" s="8" t="s">
        <v>1222</v>
      </c>
      <c r="Q6" s="166"/>
      <c r="X6" t="s">
        <v>613</v>
      </c>
      <c r="Y6" t="s">
        <v>1270</v>
      </c>
      <c r="Z6" t="s">
        <v>1693</v>
      </c>
      <c r="AE6" t="s">
        <v>613</v>
      </c>
      <c r="AF6" t="s">
        <v>1516</v>
      </c>
      <c r="AG6" t="s">
        <v>1698</v>
      </c>
      <c r="AM6" t="s">
        <v>613</v>
      </c>
      <c r="AN6" t="s">
        <v>1519</v>
      </c>
      <c r="AO6" t="s">
        <v>1699</v>
      </c>
      <c r="AU6" s="235"/>
      <c r="AV6" s="236"/>
    </row>
    <row r="7" spans="2:50" ht="15.75" thickBot="1" x14ac:dyDescent="0.3">
      <c r="B7" s="161" t="s">
        <v>300</v>
      </c>
      <c r="C7" s="162"/>
      <c r="D7" s="162"/>
      <c r="E7" s="163"/>
      <c r="H7" s="170" t="s">
        <v>1242</v>
      </c>
      <c r="I7" s="160" t="s">
        <v>1243</v>
      </c>
      <c r="J7" s="171" t="s">
        <v>1244</v>
      </c>
      <c r="K7" s="190" t="s">
        <v>1975</v>
      </c>
      <c r="N7" s="165" t="s">
        <v>118</v>
      </c>
      <c r="O7" s="8"/>
      <c r="P7" s="8"/>
      <c r="Q7" s="166"/>
      <c r="X7" t="s">
        <v>613</v>
      </c>
      <c r="Y7" t="s">
        <v>1271</v>
      </c>
      <c r="Z7" t="s">
        <v>613</v>
      </c>
      <c r="AE7" t="s">
        <v>613</v>
      </c>
      <c r="AF7" t="s">
        <v>1519</v>
      </c>
      <c r="AG7" t="s">
        <v>1699</v>
      </c>
      <c r="AM7" t="s">
        <v>613</v>
      </c>
      <c r="AN7" t="s">
        <v>1520</v>
      </c>
      <c r="AO7" t="s">
        <v>1699</v>
      </c>
      <c r="AU7" s="235"/>
      <c r="AV7" s="236"/>
    </row>
    <row r="8" spans="2:50" ht="15.75" thickBot="1" x14ac:dyDescent="0.3">
      <c r="B8" s="160" t="s">
        <v>612</v>
      </c>
      <c r="C8" s="160" t="s">
        <v>1221</v>
      </c>
      <c r="D8" s="160" t="s">
        <v>1222</v>
      </c>
      <c r="E8" s="160" t="s">
        <v>1223</v>
      </c>
      <c r="H8" s="165" t="s">
        <v>1226</v>
      </c>
      <c r="I8" s="8" t="s">
        <v>1227</v>
      </c>
      <c r="J8" s="166" t="s">
        <v>1228</v>
      </c>
      <c r="K8" s="193" t="s">
        <v>1976</v>
      </c>
      <c r="N8" s="167"/>
      <c r="O8" s="168" t="s">
        <v>1248</v>
      </c>
      <c r="P8" s="168" t="s">
        <v>1222</v>
      </c>
      <c r="Q8" s="169" t="s">
        <v>1256</v>
      </c>
      <c r="X8" t="s">
        <v>613</v>
      </c>
      <c r="Y8" t="s">
        <v>1272</v>
      </c>
      <c r="Z8" t="s">
        <v>613</v>
      </c>
      <c r="AE8" t="s">
        <v>613</v>
      </c>
      <c r="AF8" t="s">
        <v>1520</v>
      </c>
      <c r="AG8" t="s">
        <v>1699</v>
      </c>
      <c r="AM8" t="s">
        <v>613</v>
      </c>
      <c r="AN8" t="s">
        <v>1521</v>
      </c>
      <c r="AO8" t="s">
        <v>1699</v>
      </c>
      <c r="AU8" s="235"/>
      <c r="AV8" s="236"/>
    </row>
    <row r="9" spans="2:50" x14ac:dyDescent="0.25">
      <c r="B9" s="8" t="s">
        <v>612</v>
      </c>
      <c r="C9" s="8" t="s">
        <v>1229</v>
      </c>
      <c r="D9" s="8" t="s">
        <v>1222</v>
      </c>
      <c r="E9" s="8" t="s">
        <v>1230</v>
      </c>
      <c r="H9" s="165" t="s">
        <v>1245</v>
      </c>
      <c r="I9" s="8" t="s">
        <v>1222</v>
      </c>
      <c r="J9" s="166" t="s">
        <v>1225</v>
      </c>
      <c r="K9" s="193" t="s">
        <v>2009</v>
      </c>
      <c r="X9" t="s">
        <v>613</v>
      </c>
      <c r="Y9" t="s">
        <v>1273</v>
      </c>
      <c r="Z9" t="s">
        <v>613</v>
      </c>
      <c r="AE9" t="s">
        <v>613</v>
      </c>
      <c r="AF9" t="s">
        <v>1521</v>
      </c>
      <c r="AG9" t="s">
        <v>1699</v>
      </c>
      <c r="AM9" t="s">
        <v>613</v>
      </c>
      <c r="AN9" t="s">
        <v>1522</v>
      </c>
      <c r="AO9" t="s">
        <v>1699</v>
      </c>
      <c r="AU9" s="235" t="s">
        <v>3241</v>
      </c>
      <c r="AV9" s="236" t="s">
        <v>1834</v>
      </c>
      <c r="AW9" s="179" t="s">
        <v>287</v>
      </c>
      <c r="AX9" t="s">
        <v>1836</v>
      </c>
    </row>
    <row r="10" spans="2:50" ht="29.25" customHeight="1" x14ac:dyDescent="0.25">
      <c r="B10" s="8" t="s">
        <v>612</v>
      </c>
      <c r="C10" s="8" t="s">
        <v>1224</v>
      </c>
      <c r="D10" s="8" t="s">
        <v>1222</v>
      </c>
      <c r="E10" s="8" t="s">
        <v>1231</v>
      </c>
      <c r="H10" s="165" t="s">
        <v>1232</v>
      </c>
      <c r="I10" s="8" t="s">
        <v>1222</v>
      </c>
      <c r="J10" s="166" t="s">
        <v>1233</v>
      </c>
      <c r="K10" s="190" t="s">
        <v>2010</v>
      </c>
      <c r="X10" t="s">
        <v>613</v>
      </c>
      <c r="Y10" t="s">
        <v>1274</v>
      </c>
      <c r="Z10" t="s">
        <v>613</v>
      </c>
      <c r="AE10" t="s">
        <v>613</v>
      </c>
      <c r="AF10" t="s">
        <v>1522</v>
      </c>
      <c r="AG10" t="s">
        <v>1699</v>
      </c>
      <c r="AM10" t="s">
        <v>613</v>
      </c>
      <c r="AN10" t="s">
        <v>1353</v>
      </c>
      <c r="AO10" t="s">
        <v>1695</v>
      </c>
      <c r="AU10" s="235"/>
      <c r="AV10" t="s">
        <v>3405</v>
      </c>
      <c r="AW10" t="s">
        <v>3404</v>
      </c>
      <c r="AX10" t="s">
        <v>613</v>
      </c>
    </row>
    <row r="11" spans="2:50" ht="29.25" customHeight="1" x14ac:dyDescent="0.25">
      <c r="B11" s="8" t="s">
        <v>612</v>
      </c>
      <c r="C11" s="8" t="s">
        <v>1232</v>
      </c>
      <c r="D11" s="8" t="s">
        <v>1222</v>
      </c>
      <c r="E11" s="8" t="s">
        <v>1233</v>
      </c>
      <c r="H11" s="165" t="s">
        <v>1224</v>
      </c>
      <c r="I11" s="8" t="s">
        <v>1222</v>
      </c>
      <c r="J11" s="166" t="s">
        <v>1241</v>
      </c>
      <c r="K11" s="193" t="s">
        <v>2009</v>
      </c>
      <c r="X11" t="s">
        <v>613</v>
      </c>
      <c r="Y11" t="s">
        <v>1275</v>
      </c>
      <c r="Z11" t="s">
        <v>613</v>
      </c>
      <c r="AE11" t="s">
        <v>613</v>
      </c>
      <c r="AF11" t="s">
        <v>1353</v>
      </c>
      <c r="AG11" t="s">
        <v>1695</v>
      </c>
      <c r="AM11" t="s">
        <v>613</v>
      </c>
      <c r="AN11" t="s">
        <v>1354</v>
      </c>
      <c r="AO11" t="s">
        <v>1695</v>
      </c>
      <c r="AU11" s="235"/>
      <c r="AV11" s="236" t="s">
        <v>3407</v>
      </c>
      <c r="AW11" t="s">
        <v>3406</v>
      </c>
      <c r="AX11" t="s">
        <v>613</v>
      </c>
    </row>
    <row r="12" spans="2:50" ht="29.25" customHeight="1" thickBot="1" x14ac:dyDescent="0.3">
      <c r="B12" s="8" t="s">
        <v>612</v>
      </c>
      <c r="C12" s="8" t="s">
        <v>1226</v>
      </c>
      <c r="D12" s="8" t="s">
        <v>1227</v>
      </c>
      <c r="E12" s="8" t="s">
        <v>1228</v>
      </c>
      <c r="H12" s="165" t="s">
        <v>1224</v>
      </c>
      <c r="I12" s="8" t="s">
        <v>1222</v>
      </c>
      <c r="J12" s="166" t="s">
        <v>1225</v>
      </c>
      <c r="K12" s="193" t="s">
        <v>2009</v>
      </c>
      <c r="X12" t="s">
        <v>613</v>
      </c>
      <c r="Y12" t="s">
        <v>1276</v>
      </c>
      <c r="Z12" t="s">
        <v>1694</v>
      </c>
      <c r="AE12" t="s">
        <v>613</v>
      </c>
      <c r="AF12" t="s">
        <v>1354</v>
      </c>
      <c r="AG12" t="s">
        <v>1695</v>
      </c>
      <c r="AM12" t="s">
        <v>613</v>
      </c>
      <c r="AN12" t="s">
        <v>1355</v>
      </c>
      <c r="AO12" t="s">
        <v>1695</v>
      </c>
      <c r="AU12" s="235"/>
      <c r="AV12" s="236" t="s">
        <v>3402</v>
      </c>
      <c r="AW12" t="s">
        <v>3457</v>
      </c>
      <c r="AX12" t="s">
        <v>613</v>
      </c>
    </row>
    <row r="13" spans="2:50" ht="29.25" customHeight="1" thickBot="1" x14ac:dyDescent="0.3">
      <c r="B13" s="161" t="s">
        <v>119</v>
      </c>
      <c r="C13" s="162"/>
      <c r="D13" s="162"/>
      <c r="E13" s="163"/>
      <c r="H13" s="165" t="s">
        <v>1224</v>
      </c>
      <c r="I13" s="8" t="s">
        <v>1222</v>
      </c>
      <c r="J13" s="166" t="s">
        <v>1231</v>
      </c>
      <c r="K13" s="193" t="s">
        <v>2009</v>
      </c>
      <c r="X13" t="s">
        <v>613</v>
      </c>
      <c r="Y13" t="s">
        <v>1277</v>
      </c>
      <c r="Z13" t="s">
        <v>1691</v>
      </c>
      <c r="AE13" t="s">
        <v>613</v>
      </c>
      <c r="AF13" t="s">
        <v>1355</v>
      </c>
      <c r="AG13" t="s">
        <v>1695</v>
      </c>
      <c r="AM13" t="s">
        <v>613</v>
      </c>
      <c r="AN13" t="s">
        <v>1356</v>
      </c>
      <c r="AO13" t="s">
        <v>1695</v>
      </c>
      <c r="AU13" s="235"/>
      <c r="AV13" s="236" t="s">
        <v>3477</v>
      </c>
      <c r="AW13" t="s">
        <v>3408</v>
      </c>
      <c r="AX13" t="s">
        <v>613</v>
      </c>
    </row>
    <row r="14" spans="2:50" ht="29.25" customHeight="1" x14ac:dyDescent="0.25">
      <c r="B14" s="8" t="s">
        <v>612</v>
      </c>
      <c r="C14" s="8" t="s">
        <v>1221</v>
      </c>
      <c r="D14" s="8" t="s">
        <v>1222</v>
      </c>
      <c r="E14" s="8" t="s">
        <v>1223</v>
      </c>
      <c r="H14" s="165" t="s">
        <v>1224</v>
      </c>
      <c r="I14" s="8" t="s">
        <v>1222</v>
      </c>
      <c r="J14" s="166" t="s">
        <v>1240</v>
      </c>
      <c r="K14" s="193" t="s">
        <v>2009</v>
      </c>
      <c r="X14" t="s">
        <v>613</v>
      </c>
      <c r="Y14" t="s">
        <v>1278</v>
      </c>
      <c r="Z14" t="s">
        <v>1691</v>
      </c>
      <c r="AE14" t="s">
        <v>613</v>
      </c>
      <c r="AF14" t="s">
        <v>1356</v>
      </c>
      <c r="AG14" t="s">
        <v>1695</v>
      </c>
      <c r="AM14" t="s">
        <v>613</v>
      </c>
      <c r="AN14" t="s">
        <v>1357</v>
      </c>
      <c r="AO14" t="s">
        <v>1695</v>
      </c>
      <c r="AU14" s="235"/>
      <c r="AV14" s="236"/>
      <c r="AW14" t="s">
        <v>3253</v>
      </c>
      <c r="AX14" t="s">
        <v>3413</v>
      </c>
    </row>
    <row r="15" spans="2:50" ht="29.25" customHeight="1" x14ac:dyDescent="0.25">
      <c r="B15" s="8" t="s">
        <v>612</v>
      </c>
      <c r="C15" s="8" t="s">
        <v>1229</v>
      </c>
      <c r="D15" s="8" t="s">
        <v>1222</v>
      </c>
      <c r="E15" s="8" t="s">
        <v>1230</v>
      </c>
      <c r="H15" s="165" t="s">
        <v>1239</v>
      </c>
      <c r="I15" s="8" t="s">
        <v>1222</v>
      </c>
      <c r="J15" s="166" t="s">
        <v>1238</v>
      </c>
      <c r="K15" s="166"/>
      <c r="X15" t="s">
        <v>613</v>
      </c>
      <c r="Y15" t="s">
        <v>1279</v>
      </c>
      <c r="Z15" t="s">
        <v>1691</v>
      </c>
      <c r="AE15" t="s">
        <v>613</v>
      </c>
      <c r="AF15" t="s">
        <v>1357</v>
      </c>
      <c r="AG15" t="s">
        <v>1695</v>
      </c>
      <c r="AM15" t="s">
        <v>613</v>
      </c>
      <c r="AN15" t="s">
        <v>1358</v>
      </c>
      <c r="AO15" t="s">
        <v>1695</v>
      </c>
      <c r="AU15" s="235"/>
      <c r="AV15" s="236"/>
      <c r="AW15" t="s">
        <v>3254</v>
      </c>
      <c r="AX15" t="s">
        <v>3413</v>
      </c>
    </row>
    <row r="16" spans="2:50" ht="29.25" customHeight="1" x14ac:dyDescent="0.25">
      <c r="B16" s="8" t="s">
        <v>612</v>
      </c>
      <c r="C16" s="8" t="s">
        <v>1224</v>
      </c>
      <c r="D16" s="8" t="s">
        <v>1222</v>
      </c>
      <c r="E16" s="8" t="s">
        <v>1231</v>
      </c>
      <c r="H16" s="165" t="s">
        <v>1237</v>
      </c>
      <c r="I16" s="8" t="s">
        <v>1222</v>
      </c>
      <c r="J16" s="166" t="s">
        <v>1238</v>
      </c>
      <c r="K16" s="166"/>
      <c r="X16" t="s">
        <v>613</v>
      </c>
      <c r="Y16" t="s">
        <v>1280</v>
      </c>
      <c r="Z16" t="s">
        <v>1691</v>
      </c>
      <c r="AE16" t="s">
        <v>613</v>
      </c>
      <c r="AF16" t="s">
        <v>1358</v>
      </c>
      <c r="AG16" t="s">
        <v>1695</v>
      </c>
      <c r="AM16" t="s">
        <v>613</v>
      </c>
      <c r="AN16" t="s">
        <v>1359</v>
      </c>
      <c r="AO16" t="s">
        <v>1695</v>
      </c>
      <c r="AU16" s="235"/>
      <c r="AV16" s="236"/>
      <c r="AW16" t="s">
        <v>3255</v>
      </c>
      <c r="AX16" t="s">
        <v>3413</v>
      </c>
    </row>
    <row r="17" spans="2:50" ht="29.25" customHeight="1" thickBot="1" x14ac:dyDescent="0.3">
      <c r="B17" s="8" t="s">
        <v>612</v>
      </c>
      <c r="C17" s="8" t="s">
        <v>1226</v>
      </c>
      <c r="D17" s="8" t="s">
        <v>1227</v>
      </c>
      <c r="E17" s="8" t="s">
        <v>1228</v>
      </c>
      <c r="H17" s="165" t="s">
        <v>1229</v>
      </c>
      <c r="I17" s="8" t="s">
        <v>1222</v>
      </c>
      <c r="J17" s="166" t="s">
        <v>1230</v>
      </c>
      <c r="K17" s="166"/>
      <c r="X17" t="s">
        <v>613</v>
      </c>
      <c r="Y17" t="s">
        <v>1281</v>
      </c>
      <c r="Z17" t="s">
        <v>1691</v>
      </c>
      <c r="AE17" t="s">
        <v>613</v>
      </c>
      <c r="AF17" t="s">
        <v>1359</v>
      </c>
      <c r="AG17" t="s">
        <v>1695</v>
      </c>
      <c r="AM17" t="s">
        <v>613</v>
      </c>
      <c r="AN17" t="s">
        <v>1360</v>
      </c>
      <c r="AO17" t="s">
        <v>1695</v>
      </c>
      <c r="AU17" s="235"/>
      <c r="AV17" s="236" t="s">
        <v>3409</v>
      </c>
      <c r="AW17" s="50" t="s">
        <v>3256</v>
      </c>
      <c r="AX17" t="s">
        <v>3410</v>
      </c>
    </row>
    <row r="18" spans="2:50" ht="29.25" customHeight="1" thickBot="1" x14ac:dyDescent="0.3">
      <c r="B18" s="161" t="s">
        <v>118</v>
      </c>
      <c r="C18" s="162"/>
      <c r="D18" s="162"/>
      <c r="E18" s="163"/>
      <c r="H18" s="165" t="s">
        <v>1234</v>
      </c>
      <c r="I18" s="8" t="s">
        <v>1235</v>
      </c>
      <c r="J18" s="166" t="s">
        <v>1236</v>
      </c>
      <c r="K18" s="166"/>
      <c r="X18" t="s">
        <v>613</v>
      </c>
      <c r="Y18" t="s">
        <v>1282</v>
      </c>
      <c r="Z18" t="s">
        <v>1691</v>
      </c>
      <c r="AE18" t="s">
        <v>613</v>
      </c>
      <c r="AF18" t="s">
        <v>1360</v>
      </c>
      <c r="AG18" t="s">
        <v>1695</v>
      </c>
      <c r="AM18" t="s">
        <v>613</v>
      </c>
      <c r="AN18" t="s">
        <v>1361</v>
      </c>
      <c r="AO18" t="s">
        <v>1695</v>
      </c>
      <c r="AU18" s="235" t="s">
        <v>3242</v>
      </c>
      <c r="AV18" s="236" t="s">
        <v>1860</v>
      </c>
      <c r="AW18" s="179" t="s">
        <v>287</v>
      </c>
      <c r="AX18" t="s">
        <v>1862</v>
      </c>
    </row>
    <row r="19" spans="2:50" ht="29.25" customHeight="1" thickBot="1" x14ac:dyDescent="0.3">
      <c r="B19" s="8" t="s">
        <v>612</v>
      </c>
      <c r="C19" s="8" t="s">
        <v>1221</v>
      </c>
      <c r="D19" s="8" t="s">
        <v>1222</v>
      </c>
      <c r="E19" s="8" t="s">
        <v>1223</v>
      </c>
      <c r="H19" s="167" t="s">
        <v>1221</v>
      </c>
      <c r="I19" s="168" t="s">
        <v>1222</v>
      </c>
      <c r="J19" s="169" t="s">
        <v>1223</v>
      </c>
      <c r="K19" s="169"/>
      <c r="X19" t="s">
        <v>613</v>
      </c>
      <c r="Y19" t="s">
        <v>1283</v>
      </c>
      <c r="Z19" t="s">
        <v>1691</v>
      </c>
      <c r="AE19" t="s">
        <v>613</v>
      </c>
      <c r="AF19" t="s">
        <v>1361</v>
      </c>
      <c r="AG19" t="s">
        <v>1695</v>
      </c>
      <c r="AM19" t="s">
        <v>613</v>
      </c>
      <c r="AN19" t="s">
        <v>1362</v>
      </c>
      <c r="AO19" t="s">
        <v>1695</v>
      </c>
      <c r="AU19" s="235"/>
      <c r="AV19" s="236" t="s">
        <v>3397</v>
      </c>
      <c r="AW19" s="50" t="s">
        <v>3257</v>
      </c>
      <c r="AX19" t="s">
        <v>3411</v>
      </c>
    </row>
    <row r="20" spans="2:50" ht="29.25" customHeight="1" x14ac:dyDescent="0.25">
      <c r="B20" s="8" t="s">
        <v>612</v>
      </c>
      <c r="C20" s="8" t="s">
        <v>1234</v>
      </c>
      <c r="D20" s="8" t="s">
        <v>1235</v>
      </c>
      <c r="E20" s="8" t="s">
        <v>1236</v>
      </c>
      <c r="X20" t="s">
        <v>613</v>
      </c>
      <c r="Y20" t="s">
        <v>1284</v>
      </c>
      <c r="Z20" t="s">
        <v>1691</v>
      </c>
      <c r="AE20" t="s">
        <v>613</v>
      </c>
      <c r="AF20" t="s">
        <v>1362</v>
      </c>
      <c r="AG20" t="s">
        <v>1695</v>
      </c>
      <c r="AM20" t="s">
        <v>613</v>
      </c>
      <c r="AN20" t="s">
        <v>1460</v>
      </c>
      <c r="AO20" t="s">
        <v>1732</v>
      </c>
      <c r="AU20" s="235"/>
      <c r="AV20" s="236" t="s">
        <v>3412</v>
      </c>
      <c r="AW20" s="50" t="s">
        <v>3258</v>
      </c>
      <c r="AX20" t="s">
        <v>3280</v>
      </c>
    </row>
    <row r="21" spans="2:50" ht="29.25" customHeight="1" x14ac:dyDescent="0.25">
      <c r="B21" s="8" t="s">
        <v>612</v>
      </c>
      <c r="C21" s="8" t="s">
        <v>1237</v>
      </c>
      <c r="D21" s="8" t="s">
        <v>1222</v>
      </c>
      <c r="E21" s="8" t="s">
        <v>1238</v>
      </c>
      <c r="X21" t="s">
        <v>613</v>
      </c>
      <c r="Y21" t="s">
        <v>1285</v>
      </c>
      <c r="Z21" t="s">
        <v>1691</v>
      </c>
      <c r="AE21" t="s">
        <v>613</v>
      </c>
      <c r="AF21" t="s">
        <v>1460</v>
      </c>
      <c r="AG21" t="s">
        <v>1732</v>
      </c>
      <c r="AM21" t="s">
        <v>613</v>
      </c>
      <c r="AN21" t="s">
        <v>1535</v>
      </c>
      <c r="AO21" t="s">
        <v>1737</v>
      </c>
      <c r="AU21" s="235"/>
      <c r="AV21" s="236"/>
      <c r="AW21" s="50" t="s">
        <v>3259</v>
      </c>
      <c r="AX21" t="s">
        <v>3413</v>
      </c>
    </row>
    <row r="22" spans="2:50" ht="60" x14ac:dyDescent="0.25">
      <c r="B22" s="8" t="s">
        <v>612</v>
      </c>
      <c r="C22" s="8" t="s">
        <v>1239</v>
      </c>
      <c r="D22" s="8" t="s">
        <v>1222</v>
      </c>
      <c r="E22" s="8" t="s">
        <v>1238</v>
      </c>
      <c r="X22" t="s">
        <v>613</v>
      </c>
      <c r="Y22" t="s">
        <v>1286</v>
      </c>
      <c r="Z22" t="s">
        <v>1691</v>
      </c>
      <c r="AE22" t="s">
        <v>613</v>
      </c>
      <c r="AF22" t="s">
        <v>1535</v>
      </c>
      <c r="AG22" t="s">
        <v>1737</v>
      </c>
      <c r="AM22" t="s">
        <v>613</v>
      </c>
      <c r="AN22" t="s">
        <v>1464</v>
      </c>
      <c r="AO22" t="s">
        <v>1730</v>
      </c>
      <c r="AU22" s="235"/>
      <c r="AV22" s="236"/>
      <c r="AW22" s="50" t="s">
        <v>3260</v>
      </c>
      <c r="AX22" t="s">
        <v>3413</v>
      </c>
    </row>
    <row r="23" spans="2:50" ht="13.5" customHeight="1" x14ac:dyDescent="0.25">
      <c r="B23" s="8" t="s">
        <v>612</v>
      </c>
      <c r="C23" s="8" t="s">
        <v>1224</v>
      </c>
      <c r="D23" s="8" t="s">
        <v>1222</v>
      </c>
      <c r="E23" s="8" t="s">
        <v>1225</v>
      </c>
      <c r="X23" t="s">
        <v>613</v>
      </c>
      <c r="Y23" t="s">
        <v>1287</v>
      </c>
      <c r="Z23" t="s">
        <v>1691</v>
      </c>
      <c r="AE23" t="s">
        <v>613</v>
      </c>
      <c r="AF23" t="s">
        <v>1536</v>
      </c>
      <c r="AG23" t="s">
        <v>1734</v>
      </c>
      <c r="AM23" t="s">
        <v>613</v>
      </c>
      <c r="AN23" t="s">
        <v>1466</v>
      </c>
      <c r="AO23" t="s">
        <v>1738</v>
      </c>
      <c r="AU23" s="235"/>
      <c r="AV23" s="236" t="s">
        <v>3414</v>
      </c>
      <c r="AW23" s="50" t="s">
        <v>3261</v>
      </c>
      <c r="AX23" t="s">
        <v>3280</v>
      </c>
    </row>
    <row r="24" spans="2:50" ht="30.75" customHeight="1" thickBot="1" x14ac:dyDescent="0.3">
      <c r="B24" s="8" t="s">
        <v>612</v>
      </c>
      <c r="C24" s="8" t="s">
        <v>1226</v>
      </c>
      <c r="D24" s="8" t="s">
        <v>1227</v>
      </c>
      <c r="E24" s="8" t="s">
        <v>1228</v>
      </c>
      <c r="X24" t="s">
        <v>613</v>
      </c>
      <c r="Y24" t="s">
        <v>1288</v>
      </c>
      <c r="Z24" t="s">
        <v>1691</v>
      </c>
      <c r="AE24" t="s">
        <v>613</v>
      </c>
      <c r="AF24" t="s">
        <v>1464</v>
      </c>
      <c r="AG24" t="s">
        <v>1730</v>
      </c>
      <c r="AM24" t="s">
        <v>613</v>
      </c>
      <c r="AN24" t="s">
        <v>1468</v>
      </c>
      <c r="AO24" t="s">
        <v>1732</v>
      </c>
      <c r="AU24" s="235"/>
      <c r="AV24" s="236" t="s">
        <v>3415</v>
      </c>
      <c r="AW24" s="50" t="s">
        <v>3262</v>
      </c>
      <c r="AX24" t="s">
        <v>3413</v>
      </c>
    </row>
    <row r="25" spans="2:50" ht="74.25" customHeight="1" thickBot="1" x14ac:dyDescent="0.3">
      <c r="B25" s="161" t="s">
        <v>414</v>
      </c>
      <c r="C25" s="162"/>
      <c r="D25" s="162"/>
      <c r="E25" s="163"/>
      <c r="X25" t="s">
        <v>613</v>
      </c>
      <c r="Y25" t="s">
        <v>1289</v>
      </c>
      <c r="Z25" t="s">
        <v>1691</v>
      </c>
      <c r="AE25" t="s">
        <v>613</v>
      </c>
      <c r="AF25" t="s">
        <v>1466</v>
      </c>
      <c r="AG25" t="s">
        <v>1738</v>
      </c>
      <c r="AM25" t="s">
        <v>613</v>
      </c>
      <c r="AN25" t="s">
        <v>1469</v>
      </c>
      <c r="AO25" t="s">
        <v>1732</v>
      </c>
      <c r="AU25" s="235"/>
      <c r="AV25" s="236" t="s">
        <v>3414</v>
      </c>
      <c r="AW25" s="50" t="s">
        <v>3263</v>
      </c>
      <c r="AX25" t="s">
        <v>3280</v>
      </c>
    </row>
    <row r="26" spans="2:50" ht="87.75" customHeight="1" x14ac:dyDescent="0.25">
      <c r="B26" s="8" t="s">
        <v>612</v>
      </c>
      <c r="C26" s="8" t="s">
        <v>1221</v>
      </c>
      <c r="D26" s="8" t="s">
        <v>1222</v>
      </c>
      <c r="E26" s="8" t="s">
        <v>1223</v>
      </c>
      <c r="X26" t="s">
        <v>613</v>
      </c>
      <c r="Y26" t="s">
        <v>1290</v>
      </c>
      <c r="Z26" t="s">
        <v>1696</v>
      </c>
      <c r="AE26" t="s">
        <v>613</v>
      </c>
      <c r="AF26" t="s">
        <v>1537</v>
      </c>
      <c r="AG26" t="s">
        <v>1733</v>
      </c>
      <c r="AM26" t="s">
        <v>613</v>
      </c>
      <c r="AN26" t="s">
        <v>1470</v>
      </c>
      <c r="AO26" t="s">
        <v>1732</v>
      </c>
      <c r="AU26" s="235"/>
      <c r="AV26" s="236" t="s">
        <v>3416</v>
      </c>
      <c r="AW26" s="50" t="s">
        <v>3264</v>
      </c>
      <c r="AX26" t="s">
        <v>613</v>
      </c>
    </row>
    <row r="27" spans="2:50" ht="104.25" customHeight="1" x14ac:dyDescent="0.25">
      <c r="B27" s="8" t="s">
        <v>612</v>
      </c>
      <c r="C27" s="8" t="s">
        <v>1224</v>
      </c>
      <c r="D27" s="8" t="s">
        <v>1222</v>
      </c>
      <c r="E27" s="8" t="s">
        <v>1240</v>
      </c>
      <c r="X27" t="s">
        <v>613</v>
      </c>
      <c r="Y27" t="s">
        <v>1291</v>
      </c>
      <c r="Z27" t="s">
        <v>613</v>
      </c>
      <c r="AE27" t="s">
        <v>613</v>
      </c>
      <c r="AF27" t="s">
        <v>1468</v>
      </c>
      <c r="AG27" t="s">
        <v>1732</v>
      </c>
      <c r="AM27" t="s">
        <v>613</v>
      </c>
      <c r="AN27" t="s">
        <v>1471</v>
      </c>
      <c r="AO27" t="s">
        <v>1732</v>
      </c>
      <c r="AU27" s="235"/>
      <c r="AV27" s="236" t="s">
        <v>3471</v>
      </c>
      <c r="AW27" s="50" t="s">
        <v>3265</v>
      </c>
      <c r="AX27" t="s">
        <v>3280</v>
      </c>
    </row>
    <row r="28" spans="2:50" ht="74.25" customHeight="1" thickBot="1" x14ac:dyDescent="0.3">
      <c r="B28" s="8" t="s">
        <v>612</v>
      </c>
      <c r="C28" s="8" t="s">
        <v>1226</v>
      </c>
      <c r="D28" s="8" t="s">
        <v>1227</v>
      </c>
      <c r="E28" s="8" t="s">
        <v>1228</v>
      </c>
      <c r="X28" t="s">
        <v>613</v>
      </c>
      <c r="Y28" t="s">
        <v>1490</v>
      </c>
      <c r="Z28" t="s">
        <v>613</v>
      </c>
      <c r="AE28" t="s">
        <v>613</v>
      </c>
      <c r="AF28" t="s">
        <v>1469</v>
      </c>
      <c r="AG28" t="s">
        <v>1732</v>
      </c>
      <c r="AM28" t="s">
        <v>613</v>
      </c>
      <c r="AN28" t="s">
        <v>1481</v>
      </c>
      <c r="AO28" t="s">
        <v>1726</v>
      </c>
      <c r="AU28" s="235"/>
      <c r="AV28" s="236" t="s">
        <v>3470</v>
      </c>
      <c r="AW28" s="50" t="s">
        <v>3266</v>
      </c>
    </row>
    <row r="29" spans="2:50" ht="74.25" customHeight="1" thickBot="1" x14ac:dyDescent="0.3">
      <c r="B29" s="161" t="s">
        <v>298</v>
      </c>
      <c r="C29" s="162"/>
      <c r="D29" s="162"/>
      <c r="E29" s="163"/>
      <c r="X29" t="s">
        <v>613</v>
      </c>
      <c r="Y29" t="s">
        <v>1491</v>
      </c>
      <c r="Z29" t="s">
        <v>1691</v>
      </c>
      <c r="AE29" t="s">
        <v>613</v>
      </c>
      <c r="AF29" t="s">
        <v>1470</v>
      </c>
      <c r="AG29" t="s">
        <v>1732</v>
      </c>
      <c r="AM29" t="s">
        <v>613</v>
      </c>
      <c r="AN29" t="s">
        <v>1544</v>
      </c>
      <c r="AO29" t="s">
        <v>1729</v>
      </c>
      <c r="AU29" s="235"/>
      <c r="AV29" s="236">
        <v>526</v>
      </c>
      <c r="AW29" s="50" t="s">
        <v>3267</v>
      </c>
      <c r="AX29" t="s">
        <v>3391</v>
      </c>
    </row>
    <row r="30" spans="2:50" ht="74.25" customHeight="1" thickBot="1" x14ac:dyDescent="0.3">
      <c r="B30" s="164" t="s">
        <v>612</v>
      </c>
      <c r="C30" s="164" t="s">
        <v>1221</v>
      </c>
      <c r="D30" s="164" t="s">
        <v>1222</v>
      </c>
      <c r="E30" s="164" t="s">
        <v>1223</v>
      </c>
      <c r="X30" t="s">
        <v>613</v>
      </c>
      <c r="Y30" t="s">
        <v>1492</v>
      </c>
      <c r="Z30" t="s">
        <v>1691</v>
      </c>
      <c r="AE30" t="s">
        <v>613</v>
      </c>
      <c r="AF30" t="s">
        <v>1471</v>
      </c>
      <c r="AG30" t="s">
        <v>1732</v>
      </c>
      <c r="AM30" t="s">
        <v>613</v>
      </c>
      <c r="AN30" t="s">
        <v>1545</v>
      </c>
      <c r="AO30" t="s">
        <v>1729</v>
      </c>
      <c r="AU30" s="235"/>
      <c r="AV30" s="236" t="s">
        <v>3472</v>
      </c>
      <c r="AW30" s="50" t="s">
        <v>3269</v>
      </c>
      <c r="AX30" t="s">
        <v>613</v>
      </c>
    </row>
    <row r="31" spans="2:50" ht="74.25" customHeight="1" thickBot="1" x14ac:dyDescent="0.3">
      <c r="B31" s="161" t="s">
        <v>116</v>
      </c>
      <c r="C31" s="162"/>
      <c r="D31" s="162"/>
      <c r="E31" s="163"/>
      <c r="X31" t="s">
        <v>613</v>
      </c>
      <c r="Y31" t="s">
        <v>1493</v>
      </c>
      <c r="Z31" t="s">
        <v>1691</v>
      </c>
      <c r="AE31" t="s">
        <v>613</v>
      </c>
      <c r="AF31" t="s">
        <v>1481</v>
      </c>
      <c r="AG31" t="s">
        <v>1726</v>
      </c>
      <c r="AM31" t="s">
        <v>613</v>
      </c>
      <c r="AN31" t="s">
        <v>1546</v>
      </c>
      <c r="AO31" t="s">
        <v>1732</v>
      </c>
      <c r="AU31" s="235"/>
      <c r="AV31" s="236" t="s">
        <v>3472</v>
      </c>
      <c r="AW31" s="50" t="s">
        <v>3268</v>
      </c>
      <c r="AX31" t="s">
        <v>613</v>
      </c>
    </row>
    <row r="32" spans="2:50" ht="74.25" customHeight="1" x14ac:dyDescent="0.25">
      <c r="B32" s="160" t="s">
        <v>612</v>
      </c>
      <c r="C32" s="160" t="s">
        <v>1221</v>
      </c>
      <c r="D32" s="160" t="s">
        <v>1222</v>
      </c>
      <c r="E32" s="160" t="s">
        <v>1223</v>
      </c>
      <c r="X32" t="s">
        <v>613</v>
      </c>
      <c r="Y32" t="s">
        <v>1494</v>
      </c>
      <c r="Z32" t="s">
        <v>1691</v>
      </c>
      <c r="AE32" t="s">
        <v>613</v>
      </c>
      <c r="AF32" t="s">
        <v>1544</v>
      </c>
      <c r="AG32" t="s">
        <v>1729</v>
      </c>
      <c r="AM32" t="s">
        <v>613</v>
      </c>
      <c r="AN32" t="s">
        <v>1549</v>
      </c>
      <c r="AO32" t="s">
        <v>1695</v>
      </c>
      <c r="AU32" s="235"/>
      <c r="AV32" s="236" t="s">
        <v>3472</v>
      </c>
      <c r="AW32" s="50" t="s">
        <v>3270</v>
      </c>
      <c r="AX32" t="s">
        <v>613</v>
      </c>
    </row>
    <row r="33" spans="2:50" ht="74.25" customHeight="1" thickBot="1" x14ac:dyDescent="0.3">
      <c r="B33" s="164" t="s">
        <v>612</v>
      </c>
      <c r="C33" s="164" t="s">
        <v>1226</v>
      </c>
      <c r="D33" s="164" t="s">
        <v>1227</v>
      </c>
      <c r="E33" s="164" t="s">
        <v>1228</v>
      </c>
      <c r="X33" t="s">
        <v>613</v>
      </c>
      <c r="Y33" t="s">
        <v>1495</v>
      </c>
      <c r="Z33" t="s">
        <v>1691</v>
      </c>
      <c r="AE33" t="s">
        <v>613</v>
      </c>
      <c r="AF33" t="s">
        <v>1545</v>
      </c>
      <c r="AG33" t="s">
        <v>1729</v>
      </c>
      <c r="AM33" t="s">
        <v>613</v>
      </c>
      <c r="AN33" t="s">
        <v>1550</v>
      </c>
      <c r="AO33" t="s">
        <v>1695</v>
      </c>
      <c r="AU33" s="235"/>
      <c r="AV33" s="236" t="s">
        <v>3472</v>
      </c>
      <c r="AW33" s="50" t="s">
        <v>3271</v>
      </c>
      <c r="AX33" t="s">
        <v>613</v>
      </c>
    </row>
    <row r="34" spans="2:50" ht="74.25" customHeight="1" thickBot="1" x14ac:dyDescent="0.3">
      <c r="B34" s="161" t="s">
        <v>115</v>
      </c>
      <c r="C34" s="162"/>
      <c r="D34" s="162"/>
      <c r="E34" s="163"/>
      <c r="X34" t="s">
        <v>613</v>
      </c>
      <c r="Y34" t="s">
        <v>1496</v>
      </c>
      <c r="Z34" t="s">
        <v>1691</v>
      </c>
      <c r="AE34" t="s">
        <v>613</v>
      </c>
      <c r="AF34" t="s">
        <v>1546</v>
      </c>
      <c r="AG34" t="s">
        <v>1732</v>
      </c>
      <c r="AM34" t="s">
        <v>613</v>
      </c>
      <c r="AN34" t="s">
        <v>1551</v>
      </c>
      <c r="AO34" t="s">
        <v>1695</v>
      </c>
      <c r="AU34" s="235"/>
      <c r="AV34" s="236">
        <v>533</v>
      </c>
      <c r="AW34" s="50" t="s">
        <v>3272</v>
      </c>
      <c r="AX34" t="s">
        <v>613</v>
      </c>
    </row>
    <row r="35" spans="2:50" ht="74.25" customHeight="1" x14ac:dyDescent="0.25">
      <c r="B35" s="160" t="s">
        <v>612</v>
      </c>
      <c r="C35" s="160" t="s">
        <v>1221</v>
      </c>
      <c r="D35" s="160" t="s">
        <v>1222</v>
      </c>
      <c r="E35" s="160" t="s">
        <v>1223</v>
      </c>
      <c r="X35" t="s">
        <v>613</v>
      </c>
      <c r="Y35" t="s">
        <v>1497</v>
      </c>
      <c r="Z35" t="s">
        <v>1691</v>
      </c>
      <c r="AE35" t="s">
        <v>613</v>
      </c>
      <c r="AF35" t="s">
        <v>1549</v>
      </c>
      <c r="AG35" t="s">
        <v>1695</v>
      </c>
      <c r="AM35" t="s">
        <v>112</v>
      </c>
      <c r="AU35" s="235"/>
      <c r="AV35" s="236" t="s">
        <v>3401</v>
      </c>
      <c r="AW35" s="50" t="s">
        <v>3273</v>
      </c>
      <c r="AX35" t="s">
        <v>3391</v>
      </c>
    </row>
    <row r="36" spans="2:50" ht="74.25" customHeight="1" x14ac:dyDescent="0.25">
      <c r="B36" s="8" t="s">
        <v>612</v>
      </c>
      <c r="C36" s="8" t="s">
        <v>1229</v>
      </c>
      <c r="D36" s="8" t="s">
        <v>1222</v>
      </c>
      <c r="E36" s="8" t="s">
        <v>1230</v>
      </c>
      <c r="X36" t="s">
        <v>613</v>
      </c>
      <c r="Y36" t="s">
        <v>1498</v>
      </c>
      <c r="Z36" t="s">
        <v>1691</v>
      </c>
      <c r="AE36" t="s">
        <v>613</v>
      </c>
      <c r="AF36" t="s">
        <v>1550</v>
      </c>
      <c r="AG36" t="s">
        <v>1695</v>
      </c>
      <c r="AM36" t="s">
        <v>613</v>
      </c>
      <c r="AN36" t="s">
        <v>1321</v>
      </c>
      <c r="AO36" t="s">
        <v>1699</v>
      </c>
      <c r="AU36" s="235"/>
      <c r="AV36" s="236" t="s">
        <v>3474</v>
      </c>
      <c r="AW36" s="50" t="s">
        <v>3275</v>
      </c>
      <c r="AX36" t="s">
        <v>613</v>
      </c>
    </row>
    <row r="37" spans="2:50" ht="74.25" customHeight="1" x14ac:dyDescent="0.25">
      <c r="B37" s="8" t="s">
        <v>612</v>
      </c>
      <c r="C37" s="8" t="s">
        <v>1224</v>
      </c>
      <c r="D37" s="8" t="s">
        <v>1222</v>
      </c>
      <c r="E37" s="8" t="s">
        <v>1241</v>
      </c>
      <c r="X37" t="s">
        <v>613</v>
      </c>
      <c r="Y37" t="s">
        <v>1499</v>
      </c>
      <c r="Z37" t="s">
        <v>1691</v>
      </c>
      <c r="AE37" t="s">
        <v>613</v>
      </c>
      <c r="AF37" t="s">
        <v>1551</v>
      </c>
      <c r="AG37" t="s">
        <v>1695</v>
      </c>
      <c r="AM37" t="s">
        <v>613</v>
      </c>
      <c r="AN37" t="s">
        <v>1322</v>
      </c>
      <c r="AO37" t="s">
        <v>1699</v>
      </c>
      <c r="AU37" s="235"/>
      <c r="AV37" s="236" t="s">
        <v>3401</v>
      </c>
      <c r="AW37" s="50" t="s">
        <v>3277</v>
      </c>
    </row>
    <row r="38" spans="2:50" ht="74.25" customHeight="1" thickBot="1" x14ac:dyDescent="0.3">
      <c r="B38" s="164" t="s">
        <v>612</v>
      </c>
      <c r="C38" s="164" t="s">
        <v>1226</v>
      </c>
      <c r="D38" s="164" t="s">
        <v>1227</v>
      </c>
      <c r="E38" s="164" t="s">
        <v>1228</v>
      </c>
      <c r="X38" t="s">
        <v>613</v>
      </c>
      <c r="Y38" t="s">
        <v>1500</v>
      </c>
      <c r="Z38" t="s">
        <v>1691</v>
      </c>
      <c r="AE38" t="s">
        <v>112</v>
      </c>
      <c r="AM38" t="s">
        <v>613</v>
      </c>
      <c r="AN38" t="s">
        <v>1323</v>
      </c>
      <c r="AO38" t="s">
        <v>1699</v>
      </c>
      <c r="AU38" s="235"/>
      <c r="AV38" s="236" t="s">
        <v>3475</v>
      </c>
      <c r="AW38" s="50" t="s">
        <v>3278</v>
      </c>
      <c r="AX38" t="s">
        <v>613</v>
      </c>
    </row>
    <row r="39" spans="2:50" ht="74.25" customHeight="1" thickBot="1" x14ac:dyDescent="0.3">
      <c r="B39" s="161" t="s">
        <v>114</v>
      </c>
      <c r="C39" s="162"/>
      <c r="D39" s="162"/>
      <c r="E39" s="163"/>
      <c r="X39" t="s">
        <v>613</v>
      </c>
      <c r="Y39" t="s">
        <v>1501</v>
      </c>
      <c r="Z39" t="s">
        <v>1691</v>
      </c>
      <c r="AE39" t="s">
        <v>613</v>
      </c>
      <c r="AF39" t="s">
        <v>1308</v>
      </c>
      <c r="AG39" t="s">
        <v>1697</v>
      </c>
      <c r="AM39" t="s">
        <v>613</v>
      </c>
      <c r="AN39" t="s">
        <v>1324</v>
      </c>
      <c r="AO39" t="s">
        <v>1699</v>
      </c>
      <c r="AU39" s="235"/>
      <c r="AV39" s="236" t="s">
        <v>3389</v>
      </c>
      <c r="AW39" s="50" t="s">
        <v>3279</v>
      </c>
      <c r="AX39" t="s">
        <v>613</v>
      </c>
    </row>
    <row r="40" spans="2:50" ht="74.25" customHeight="1" x14ac:dyDescent="0.25">
      <c r="B40" s="160" t="s">
        <v>612</v>
      </c>
      <c r="C40" s="160" t="s">
        <v>1224</v>
      </c>
      <c r="D40" s="160" t="s">
        <v>1222</v>
      </c>
      <c r="E40" s="160" t="s">
        <v>1225</v>
      </c>
      <c r="X40" t="s">
        <v>613</v>
      </c>
      <c r="Y40" t="s">
        <v>1502</v>
      </c>
      <c r="Z40" t="s">
        <v>1691</v>
      </c>
      <c r="AE40" t="s">
        <v>613</v>
      </c>
      <c r="AF40" t="s">
        <v>1321</v>
      </c>
      <c r="AG40" t="s">
        <v>1699</v>
      </c>
      <c r="AM40" t="s">
        <v>613</v>
      </c>
      <c r="AN40" t="s">
        <v>1347</v>
      </c>
      <c r="AO40" t="s">
        <v>1715</v>
      </c>
      <c r="AU40" s="235"/>
      <c r="AV40" s="236"/>
      <c r="AW40" t="s">
        <v>3281</v>
      </c>
    </row>
    <row r="41" spans="2:50" ht="74.25" customHeight="1" x14ac:dyDescent="0.25">
      <c r="B41" s="8" t="s">
        <v>612</v>
      </c>
      <c r="C41" s="8" t="s">
        <v>1226</v>
      </c>
      <c r="D41" s="8" t="s">
        <v>1227</v>
      </c>
      <c r="E41" s="8" t="s">
        <v>1228</v>
      </c>
      <c r="X41" t="s">
        <v>613</v>
      </c>
      <c r="Y41" t="s">
        <v>1503</v>
      </c>
      <c r="Z41" t="s">
        <v>1691</v>
      </c>
      <c r="AE41" t="s">
        <v>613</v>
      </c>
      <c r="AF41" t="s">
        <v>1322</v>
      </c>
      <c r="AG41" t="s">
        <v>1699</v>
      </c>
      <c r="AM41" t="s">
        <v>613</v>
      </c>
      <c r="AN41" t="s">
        <v>1353</v>
      </c>
      <c r="AO41" t="s">
        <v>1695</v>
      </c>
      <c r="AU41" s="235"/>
      <c r="AV41" s="236" t="s">
        <v>3476</v>
      </c>
      <c r="AW41" t="s">
        <v>3282</v>
      </c>
      <c r="AX41" t="s">
        <v>3390</v>
      </c>
    </row>
    <row r="42" spans="2:50" ht="74.25" customHeight="1" thickBot="1" x14ac:dyDescent="0.3">
      <c r="B42" s="164" t="s">
        <v>612</v>
      </c>
      <c r="C42" s="164" t="s">
        <v>1242</v>
      </c>
      <c r="D42" s="164" t="s">
        <v>1243</v>
      </c>
      <c r="E42" s="164" t="s">
        <v>1244</v>
      </c>
      <c r="X42" t="s">
        <v>613</v>
      </c>
      <c r="Y42" t="s">
        <v>1504</v>
      </c>
      <c r="Z42" t="s">
        <v>1691</v>
      </c>
      <c r="AE42" t="s">
        <v>613</v>
      </c>
      <c r="AF42" t="s">
        <v>1323</v>
      </c>
      <c r="AG42" t="s">
        <v>1699</v>
      </c>
      <c r="AM42" t="s">
        <v>613</v>
      </c>
      <c r="AN42" t="s">
        <v>1354</v>
      </c>
      <c r="AO42" t="s">
        <v>1695</v>
      </c>
      <c r="AU42" s="235"/>
      <c r="AW42" t="s">
        <v>3283</v>
      </c>
      <c r="AX42" t="s">
        <v>3413</v>
      </c>
    </row>
    <row r="43" spans="2:50" ht="51" customHeight="1" thickBot="1" x14ac:dyDescent="0.3">
      <c r="B43" s="161" t="s">
        <v>112</v>
      </c>
      <c r="C43" s="162"/>
      <c r="D43" s="162"/>
      <c r="E43" s="163"/>
      <c r="X43" t="s">
        <v>613</v>
      </c>
      <c r="Y43" t="s">
        <v>1505</v>
      </c>
      <c r="Z43" t="s">
        <v>1691</v>
      </c>
      <c r="AE43" t="s">
        <v>613</v>
      </c>
      <c r="AF43" t="s">
        <v>1324</v>
      </c>
      <c r="AG43" t="s">
        <v>1699</v>
      </c>
      <c r="AM43" t="s">
        <v>613</v>
      </c>
      <c r="AN43" t="s">
        <v>1355</v>
      </c>
      <c r="AO43" t="s">
        <v>1695</v>
      </c>
      <c r="AU43" s="235"/>
      <c r="AW43" s="50" t="s">
        <v>3284</v>
      </c>
      <c r="AX43" t="s">
        <v>3391</v>
      </c>
    </row>
    <row r="44" spans="2:50" ht="48" customHeight="1" x14ac:dyDescent="0.25">
      <c r="B44" s="160" t="s">
        <v>612</v>
      </c>
      <c r="C44" s="160" t="s">
        <v>1237</v>
      </c>
      <c r="D44" s="160" t="s">
        <v>1222</v>
      </c>
      <c r="E44" s="160" t="s">
        <v>1238</v>
      </c>
      <c r="X44" t="s">
        <v>613</v>
      </c>
      <c r="Y44" t="s">
        <v>1506</v>
      </c>
      <c r="Z44" t="s">
        <v>1697</v>
      </c>
      <c r="AE44" t="s">
        <v>613</v>
      </c>
      <c r="AF44" t="s">
        <v>1332</v>
      </c>
      <c r="AG44" t="s">
        <v>1708</v>
      </c>
      <c r="AM44" t="s">
        <v>613</v>
      </c>
      <c r="AN44" t="s">
        <v>1356</v>
      </c>
      <c r="AO44" t="s">
        <v>1695</v>
      </c>
      <c r="AU44" s="235"/>
      <c r="AV44" t="s">
        <v>3393</v>
      </c>
      <c r="AW44" s="50" t="s">
        <v>3285</v>
      </c>
      <c r="AX44" t="s">
        <v>3392</v>
      </c>
    </row>
    <row r="45" spans="2:50" ht="48" customHeight="1" x14ac:dyDescent="0.25">
      <c r="B45" s="8" t="s">
        <v>612</v>
      </c>
      <c r="C45" s="8" t="s">
        <v>1239</v>
      </c>
      <c r="D45" s="8" t="s">
        <v>1222</v>
      </c>
      <c r="E45" s="8" t="s">
        <v>1238</v>
      </c>
      <c r="X45" t="s">
        <v>613</v>
      </c>
      <c r="Y45" t="s">
        <v>1507</v>
      </c>
      <c r="Z45" t="s">
        <v>1691</v>
      </c>
      <c r="AE45" t="s">
        <v>613</v>
      </c>
      <c r="AF45" t="s">
        <v>1333</v>
      </c>
      <c r="AG45" t="s">
        <v>613</v>
      </c>
      <c r="AM45" t="s">
        <v>613</v>
      </c>
      <c r="AN45" t="s">
        <v>1357</v>
      </c>
      <c r="AO45" t="s">
        <v>1695</v>
      </c>
      <c r="AW45" s="50" t="s">
        <v>3286</v>
      </c>
      <c r="AX45" t="s">
        <v>3391</v>
      </c>
    </row>
    <row r="46" spans="2:50" ht="48" customHeight="1" x14ac:dyDescent="0.25">
      <c r="B46" s="8" t="s">
        <v>612</v>
      </c>
      <c r="C46" s="8" t="s">
        <v>1224</v>
      </c>
      <c r="D46" s="8" t="s">
        <v>1222</v>
      </c>
      <c r="E46" s="8" t="s">
        <v>1225</v>
      </c>
      <c r="X46" t="s">
        <v>613</v>
      </c>
      <c r="Y46" t="s">
        <v>1508</v>
      </c>
      <c r="Z46" t="s">
        <v>1691</v>
      </c>
      <c r="AE46" t="s">
        <v>613</v>
      </c>
      <c r="AF46" t="s">
        <v>1337</v>
      </c>
      <c r="AG46" t="s">
        <v>1708</v>
      </c>
      <c r="AM46" t="s">
        <v>613</v>
      </c>
      <c r="AN46" t="s">
        <v>1358</v>
      </c>
      <c r="AO46" t="s">
        <v>1695</v>
      </c>
      <c r="AV46" t="s">
        <v>3394</v>
      </c>
      <c r="AW46" s="50" t="s">
        <v>3287</v>
      </c>
      <c r="AX46" t="s">
        <v>3280</v>
      </c>
    </row>
    <row r="47" spans="2:50" ht="48" customHeight="1" x14ac:dyDescent="0.25">
      <c r="B47" s="8" t="s">
        <v>612</v>
      </c>
      <c r="C47" s="8" t="s">
        <v>1245</v>
      </c>
      <c r="D47" s="8" t="s">
        <v>1222</v>
      </c>
      <c r="E47" s="8" t="s">
        <v>1225</v>
      </c>
      <c r="X47" t="s">
        <v>613</v>
      </c>
      <c r="Y47" t="s">
        <v>1509</v>
      </c>
      <c r="Z47" t="s">
        <v>1691</v>
      </c>
      <c r="AE47" t="s">
        <v>613</v>
      </c>
      <c r="AF47" t="s">
        <v>1340</v>
      </c>
      <c r="AG47" t="s">
        <v>1708</v>
      </c>
      <c r="AM47" t="s">
        <v>613</v>
      </c>
      <c r="AN47" t="s">
        <v>1359</v>
      </c>
      <c r="AO47" t="s">
        <v>1695</v>
      </c>
      <c r="AW47" s="50" t="s">
        <v>3288</v>
      </c>
    </row>
    <row r="48" spans="2:50" ht="48" customHeight="1" x14ac:dyDescent="0.25">
      <c r="B48" s="8" t="s">
        <v>612</v>
      </c>
      <c r="C48" s="8" t="s">
        <v>1226</v>
      </c>
      <c r="D48" s="8" t="s">
        <v>1227</v>
      </c>
      <c r="E48" s="8" t="s">
        <v>1228</v>
      </c>
      <c r="X48" t="s">
        <v>613</v>
      </c>
      <c r="Y48" t="s">
        <v>1510</v>
      </c>
      <c r="Z48" t="s">
        <v>1691</v>
      </c>
      <c r="AE48" t="s">
        <v>613</v>
      </c>
      <c r="AF48" t="s">
        <v>1341</v>
      </c>
      <c r="AG48" t="s">
        <v>1708</v>
      </c>
      <c r="AM48" t="s">
        <v>613</v>
      </c>
      <c r="AN48" t="s">
        <v>1360</v>
      </c>
      <c r="AO48" t="s">
        <v>1695</v>
      </c>
      <c r="AW48" s="50" t="s">
        <v>3289</v>
      </c>
      <c r="AX48" t="s">
        <v>3395</v>
      </c>
    </row>
    <row r="49" spans="24:50" ht="48" customHeight="1" x14ac:dyDescent="0.25">
      <c r="X49" t="s">
        <v>613</v>
      </c>
      <c r="Y49" t="s">
        <v>1511</v>
      </c>
      <c r="Z49" t="s">
        <v>1691</v>
      </c>
      <c r="AE49" t="s">
        <v>613</v>
      </c>
      <c r="AF49" t="s">
        <v>1342</v>
      </c>
      <c r="AG49" t="s">
        <v>1691</v>
      </c>
      <c r="AM49" t="s">
        <v>613</v>
      </c>
      <c r="AN49" t="s">
        <v>1361</v>
      </c>
      <c r="AO49" t="s">
        <v>1695</v>
      </c>
      <c r="AV49" t="s">
        <v>3397</v>
      </c>
      <c r="AW49" s="50" t="s">
        <v>3290</v>
      </c>
      <c r="AX49" t="s">
        <v>3396</v>
      </c>
    </row>
    <row r="50" spans="24:50" ht="48" customHeight="1" x14ac:dyDescent="0.25">
      <c r="X50" t="s">
        <v>613</v>
      </c>
      <c r="Y50" t="s">
        <v>1512</v>
      </c>
      <c r="Z50" t="s">
        <v>1691</v>
      </c>
      <c r="AE50" t="s">
        <v>613</v>
      </c>
      <c r="AF50" t="s">
        <v>1343</v>
      </c>
      <c r="AG50" t="s">
        <v>1708</v>
      </c>
      <c r="AM50" t="s">
        <v>613</v>
      </c>
      <c r="AN50" t="s">
        <v>1362</v>
      </c>
      <c r="AO50" t="s">
        <v>1695</v>
      </c>
      <c r="AV50" t="s">
        <v>3398</v>
      </c>
      <c r="AW50" s="50" t="s">
        <v>3291</v>
      </c>
      <c r="AX50" t="s">
        <v>613</v>
      </c>
    </row>
    <row r="51" spans="24:50" ht="48" customHeight="1" x14ac:dyDescent="0.25">
      <c r="X51" t="s">
        <v>613</v>
      </c>
      <c r="Y51" t="s">
        <v>1513</v>
      </c>
      <c r="Z51" t="s">
        <v>1691</v>
      </c>
      <c r="AE51" t="s">
        <v>613</v>
      </c>
      <c r="AF51" t="s">
        <v>1347</v>
      </c>
      <c r="AG51" t="s">
        <v>1715</v>
      </c>
      <c r="AM51" t="s">
        <v>613</v>
      </c>
      <c r="AN51" t="s">
        <v>1381</v>
      </c>
      <c r="AO51" t="s">
        <v>1755</v>
      </c>
      <c r="AW51" s="50" t="s">
        <v>3292</v>
      </c>
      <c r="AX51" t="s">
        <v>3413</v>
      </c>
    </row>
    <row r="52" spans="24:50" ht="48" customHeight="1" x14ac:dyDescent="0.25">
      <c r="X52" t="s">
        <v>613</v>
      </c>
      <c r="Y52" t="s">
        <v>1514</v>
      </c>
      <c r="Z52" t="s">
        <v>1691</v>
      </c>
      <c r="AE52" t="s">
        <v>613</v>
      </c>
      <c r="AF52" t="s">
        <v>1348</v>
      </c>
      <c r="AG52" t="s">
        <v>1716</v>
      </c>
      <c r="AM52" t="s">
        <v>613</v>
      </c>
      <c r="AN52" t="s">
        <v>1405</v>
      </c>
      <c r="AO52" t="s">
        <v>1750</v>
      </c>
      <c r="AW52" s="50" t="s">
        <v>3293</v>
      </c>
      <c r="AX52" t="s">
        <v>3413</v>
      </c>
    </row>
    <row r="53" spans="24:50" ht="48" customHeight="1" x14ac:dyDescent="0.25">
      <c r="X53" t="s">
        <v>613</v>
      </c>
      <c r="Y53" t="s">
        <v>1515</v>
      </c>
      <c r="Z53" t="s">
        <v>1691</v>
      </c>
      <c r="AE53" t="s">
        <v>613</v>
      </c>
      <c r="AF53" t="s">
        <v>1349</v>
      </c>
      <c r="AG53" t="s">
        <v>1691</v>
      </c>
      <c r="AM53" t="s">
        <v>613</v>
      </c>
      <c r="AN53" t="s">
        <v>1406</v>
      </c>
      <c r="AO53" t="s">
        <v>1750</v>
      </c>
      <c r="AW53" s="50" t="s">
        <v>3294</v>
      </c>
      <c r="AX53" t="s">
        <v>3413</v>
      </c>
    </row>
    <row r="54" spans="24:50" ht="48" customHeight="1" x14ac:dyDescent="0.25">
      <c r="X54" t="s">
        <v>613</v>
      </c>
      <c r="Y54" t="s">
        <v>1516</v>
      </c>
      <c r="Z54" t="s">
        <v>1698</v>
      </c>
      <c r="AE54" t="s">
        <v>613</v>
      </c>
      <c r="AF54" t="s">
        <v>1350</v>
      </c>
      <c r="AG54" t="s">
        <v>1708</v>
      </c>
      <c r="AM54" t="s">
        <v>613</v>
      </c>
      <c r="AN54" t="s">
        <v>1407</v>
      </c>
      <c r="AO54" t="s">
        <v>1750</v>
      </c>
      <c r="AW54" s="50" t="s">
        <v>3295</v>
      </c>
      <c r="AX54" t="s">
        <v>3413</v>
      </c>
    </row>
    <row r="55" spans="24:50" ht="79.5" customHeight="1" x14ac:dyDescent="0.25">
      <c r="X55" t="s">
        <v>613</v>
      </c>
      <c r="Y55" t="s">
        <v>1517</v>
      </c>
      <c r="Z55" t="s">
        <v>1691</v>
      </c>
      <c r="AE55" t="s">
        <v>613</v>
      </c>
      <c r="AF55" t="s">
        <v>1353</v>
      </c>
      <c r="AG55" t="s">
        <v>1695</v>
      </c>
      <c r="AM55" t="s">
        <v>613</v>
      </c>
      <c r="AN55" t="s">
        <v>1408</v>
      </c>
      <c r="AO55" t="s">
        <v>1750</v>
      </c>
      <c r="AW55" s="50" t="s">
        <v>3296</v>
      </c>
      <c r="AX55" t="s">
        <v>3413</v>
      </c>
    </row>
    <row r="56" spans="24:50" ht="48" customHeight="1" x14ac:dyDescent="0.25">
      <c r="X56" t="s">
        <v>613</v>
      </c>
      <c r="Y56" t="s">
        <v>1518</v>
      </c>
      <c r="Z56" t="s">
        <v>1691</v>
      </c>
      <c r="AE56" t="s">
        <v>613</v>
      </c>
      <c r="AF56" t="s">
        <v>1354</v>
      </c>
      <c r="AG56" t="s">
        <v>1695</v>
      </c>
      <c r="AM56" t="s">
        <v>613</v>
      </c>
      <c r="AN56" t="s">
        <v>1409</v>
      </c>
      <c r="AO56" t="s">
        <v>1750</v>
      </c>
      <c r="AW56" s="50" t="s">
        <v>3297</v>
      </c>
      <c r="AX56" t="s">
        <v>3413</v>
      </c>
    </row>
    <row r="57" spans="24:50" ht="48" customHeight="1" x14ac:dyDescent="0.25">
      <c r="X57" t="s">
        <v>613</v>
      </c>
      <c r="Y57" t="s">
        <v>1519</v>
      </c>
      <c r="Z57" t="s">
        <v>1699</v>
      </c>
      <c r="AE57" t="s">
        <v>613</v>
      </c>
      <c r="AF57" t="s">
        <v>1355</v>
      </c>
      <c r="AG57" t="s">
        <v>1695</v>
      </c>
      <c r="AM57" t="s">
        <v>613</v>
      </c>
      <c r="AN57" t="s">
        <v>1410</v>
      </c>
      <c r="AO57" t="s">
        <v>1750</v>
      </c>
      <c r="AW57" s="50" t="s">
        <v>3298</v>
      </c>
    </row>
    <row r="58" spans="24:50" ht="48" customHeight="1" x14ac:dyDescent="0.25">
      <c r="X58" t="s">
        <v>613</v>
      </c>
      <c r="Y58" t="s">
        <v>1520</v>
      </c>
      <c r="Z58" t="s">
        <v>1699</v>
      </c>
      <c r="AE58" t="s">
        <v>613</v>
      </c>
      <c r="AF58" t="s">
        <v>1356</v>
      </c>
      <c r="AG58" t="s">
        <v>1695</v>
      </c>
      <c r="AM58" t="s">
        <v>613</v>
      </c>
      <c r="AN58" t="s">
        <v>1411</v>
      </c>
      <c r="AO58" t="s">
        <v>1750</v>
      </c>
      <c r="AW58" s="50" t="s">
        <v>3299</v>
      </c>
      <c r="AX58" t="s">
        <v>3413</v>
      </c>
    </row>
    <row r="59" spans="24:50" ht="48" customHeight="1" x14ac:dyDescent="0.25">
      <c r="X59" t="s">
        <v>613</v>
      </c>
      <c r="Y59" t="s">
        <v>1521</v>
      </c>
      <c r="Z59" t="s">
        <v>1699</v>
      </c>
      <c r="AE59" t="s">
        <v>613</v>
      </c>
      <c r="AF59" t="s">
        <v>1357</v>
      </c>
      <c r="AG59" t="s">
        <v>1695</v>
      </c>
      <c r="AM59" t="s">
        <v>613</v>
      </c>
      <c r="AN59" t="s">
        <v>1412</v>
      </c>
      <c r="AO59" t="s">
        <v>1750</v>
      </c>
      <c r="AV59" t="s">
        <v>3399</v>
      </c>
      <c r="AW59" s="50" t="s">
        <v>3302</v>
      </c>
      <c r="AX59" t="s">
        <v>613</v>
      </c>
    </row>
    <row r="60" spans="24:50" x14ac:dyDescent="0.25">
      <c r="X60" t="s">
        <v>613</v>
      </c>
      <c r="Y60" t="s">
        <v>1522</v>
      </c>
      <c r="Z60" t="s">
        <v>1699</v>
      </c>
      <c r="AE60" t="s">
        <v>613</v>
      </c>
      <c r="AF60" t="s">
        <v>1358</v>
      </c>
      <c r="AG60" t="s">
        <v>1695</v>
      </c>
      <c r="AM60" t="s">
        <v>613</v>
      </c>
      <c r="AN60" t="s">
        <v>1413</v>
      </c>
      <c r="AO60" t="s">
        <v>1750</v>
      </c>
      <c r="AW60" s="50" t="s">
        <v>3300</v>
      </c>
    </row>
    <row r="61" spans="24:50" x14ac:dyDescent="0.25">
      <c r="X61" t="s">
        <v>613</v>
      </c>
      <c r="Y61" t="s">
        <v>1523</v>
      </c>
      <c r="Z61" t="s">
        <v>1691</v>
      </c>
      <c r="AE61" t="s">
        <v>613</v>
      </c>
      <c r="AF61" t="s">
        <v>1359</v>
      </c>
      <c r="AG61" t="s">
        <v>1695</v>
      </c>
      <c r="AM61" t="s">
        <v>613</v>
      </c>
      <c r="AN61" t="s">
        <v>1414</v>
      </c>
      <c r="AO61" t="s">
        <v>1750</v>
      </c>
      <c r="AW61" s="50" t="s">
        <v>3301</v>
      </c>
    </row>
    <row r="62" spans="24:50" x14ac:dyDescent="0.25">
      <c r="X62" t="s">
        <v>613</v>
      </c>
      <c r="Y62" t="s">
        <v>1524</v>
      </c>
      <c r="Z62" t="s">
        <v>1691</v>
      </c>
      <c r="AE62" t="s">
        <v>613</v>
      </c>
      <c r="AF62" t="s">
        <v>1360</v>
      </c>
      <c r="AG62" t="s">
        <v>1695</v>
      </c>
      <c r="AM62" t="s">
        <v>613</v>
      </c>
      <c r="AN62" t="s">
        <v>1415</v>
      </c>
      <c r="AO62" t="s">
        <v>1750</v>
      </c>
      <c r="AV62" t="s">
        <v>3400</v>
      </c>
      <c r="AW62" s="50" t="s">
        <v>3276</v>
      </c>
      <c r="AX62" t="s">
        <v>613</v>
      </c>
    </row>
    <row r="63" spans="24:50" ht="30" x14ac:dyDescent="0.25">
      <c r="X63" t="s">
        <v>613</v>
      </c>
      <c r="Y63" t="s">
        <v>1525</v>
      </c>
      <c r="Z63" t="s">
        <v>1691</v>
      </c>
      <c r="AE63" t="s">
        <v>613</v>
      </c>
      <c r="AF63" t="s">
        <v>1361</v>
      </c>
      <c r="AG63" t="s">
        <v>1695</v>
      </c>
      <c r="AM63" t="s">
        <v>613</v>
      </c>
      <c r="AN63" t="s">
        <v>1416</v>
      </c>
      <c r="AO63" t="s">
        <v>1750</v>
      </c>
      <c r="AV63" t="s">
        <v>3401</v>
      </c>
      <c r="AW63" s="50" t="s">
        <v>3303</v>
      </c>
      <c r="AX63" t="s">
        <v>613</v>
      </c>
    </row>
    <row r="64" spans="24:50" ht="30" x14ac:dyDescent="0.25">
      <c r="X64" t="s">
        <v>613</v>
      </c>
      <c r="Y64" t="s">
        <v>1526</v>
      </c>
      <c r="Z64" t="s">
        <v>1691</v>
      </c>
      <c r="AE64" t="s">
        <v>613</v>
      </c>
      <c r="AF64" t="s">
        <v>1362</v>
      </c>
      <c r="AG64" t="s">
        <v>1695</v>
      </c>
      <c r="AM64" t="s">
        <v>613</v>
      </c>
      <c r="AN64" t="s">
        <v>1417</v>
      </c>
      <c r="AO64" t="s">
        <v>1750</v>
      </c>
      <c r="AW64" s="50" t="s">
        <v>3304</v>
      </c>
    </row>
    <row r="65" spans="24:50" x14ac:dyDescent="0.25">
      <c r="X65" t="s">
        <v>613</v>
      </c>
      <c r="Y65" t="s">
        <v>1527</v>
      </c>
      <c r="Z65" t="s">
        <v>1691</v>
      </c>
      <c r="AE65" t="s">
        <v>613</v>
      </c>
      <c r="AF65" t="s">
        <v>1381</v>
      </c>
      <c r="AG65" t="s">
        <v>1755</v>
      </c>
      <c r="AM65" t="s">
        <v>613</v>
      </c>
      <c r="AN65" t="s">
        <v>1418</v>
      </c>
      <c r="AO65" t="s">
        <v>1750</v>
      </c>
      <c r="AV65" t="s">
        <v>3402</v>
      </c>
      <c r="AW65" s="50" t="s">
        <v>3305</v>
      </c>
      <c r="AX65" t="s">
        <v>613</v>
      </c>
    </row>
    <row r="66" spans="24:50" x14ac:dyDescent="0.25">
      <c r="X66" t="s">
        <v>613</v>
      </c>
      <c r="Y66" t="s">
        <v>1528</v>
      </c>
      <c r="Z66" t="s">
        <v>1691</v>
      </c>
      <c r="AE66" t="s">
        <v>613</v>
      </c>
      <c r="AF66" t="s">
        <v>1405</v>
      </c>
      <c r="AG66" t="s">
        <v>1750</v>
      </c>
      <c r="AM66" t="s">
        <v>613</v>
      </c>
      <c r="AN66" t="s">
        <v>1419</v>
      </c>
      <c r="AO66" t="s">
        <v>1750</v>
      </c>
      <c r="AV66" t="s">
        <v>3403</v>
      </c>
      <c r="AW66" s="50" t="s">
        <v>3306</v>
      </c>
      <c r="AX66" t="s">
        <v>613</v>
      </c>
    </row>
    <row r="67" spans="24:50" x14ac:dyDescent="0.25">
      <c r="X67" t="s">
        <v>613</v>
      </c>
      <c r="Y67" t="s">
        <v>1529</v>
      </c>
      <c r="Z67" t="s">
        <v>1691</v>
      </c>
      <c r="AE67" t="s">
        <v>613</v>
      </c>
      <c r="AF67" t="s">
        <v>1406</v>
      </c>
      <c r="AG67" t="s">
        <v>1750</v>
      </c>
      <c r="AM67" t="s">
        <v>613</v>
      </c>
      <c r="AN67" t="s">
        <v>1420</v>
      </c>
      <c r="AO67" t="s">
        <v>1750</v>
      </c>
      <c r="AW67" s="50" t="s">
        <v>3307</v>
      </c>
    </row>
    <row r="68" spans="24:50" x14ac:dyDescent="0.25">
      <c r="X68" t="s">
        <v>613</v>
      </c>
      <c r="Y68" t="s">
        <v>1332</v>
      </c>
      <c r="Z68" t="s">
        <v>1708</v>
      </c>
      <c r="AE68" t="s">
        <v>613</v>
      </c>
      <c r="AF68" t="s">
        <v>1407</v>
      </c>
      <c r="AG68" t="s">
        <v>1750</v>
      </c>
      <c r="AM68" t="s">
        <v>613</v>
      </c>
      <c r="AN68" t="s">
        <v>1421</v>
      </c>
      <c r="AO68" t="s">
        <v>1750</v>
      </c>
      <c r="AU68" s="235" t="s">
        <v>3243</v>
      </c>
      <c r="AV68" s="236" t="s">
        <v>1855</v>
      </c>
      <c r="AW68" s="179" t="s">
        <v>287</v>
      </c>
      <c r="AX68" t="s">
        <v>1857</v>
      </c>
    </row>
    <row r="69" spans="24:50" x14ac:dyDescent="0.25">
      <c r="X69" t="s">
        <v>613</v>
      </c>
      <c r="Y69" t="s">
        <v>1530</v>
      </c>
      <c r="Z69" t="s">
        <v>613</v>
      </c>
      <c r="AE69" t="s">
        <v>613</v>
      </c>
      <c r="AF69" t="s">
        <v>1408</v>
      </c>
      <c r="AG69" t="s">
        <v>1750</v>
      </c>
      <c r="AM69" t="s">
        <v>613</v>
      </c>
      <c r="AN69" t="s">
        <v>1425</v>
      </c>
      <c r="AO69" t="s">
        <v>1750</v>
      </c>
      <c r="AU69" s="235"/>
      <c r="AV69">
        <v>506</v>
      </c>
      <c r="AW69" s="50" t="s">
        <v>3313</v>
      </c>
      <c r="AX69" t="s">
        <v>3391</v>
      </c>
    </row>
    <row r="70" spans="24:50" x14ac:dyDescent="0.25">
      <c r="X70" t="s">
        <v>613</v>
      </c>
      <c r="Y70" t="s">
        <v>1334</v>
      </c>
      <c r="Z70" t="s">
        <v>1691</v>
      </c>
      <c r="AE70" t="s">
        <v>613</v>
      </c>
      <c r="AF70" t="s">
        <v>1409</v>
      </c>
      <c r="AG70" t="s">
        <v>1750</v>
      </c>
      <c r="AM70" t="s">
        <v>613</v>
      </c>
      <c r="AN70" t="s">
        <v>1426</v>
      </c>
      <c r="AO70" t="s">
        <v>1750</v>
      </c>
      <c r="AU70" s="235"/>
      <c r="AV70">
        <v>507</v>
      </c>
      <c r="AW70" s="50" t="s">
        <v>3314</v>
      </c>
      <c r="AX70" t="s">
        <v>613</v>
      </c>
    </row>
    <row r="71" spans="24:50" ht="30" x14ac:dyDescent="0.25">
      <c r="X71" t="s">
        <v>613</v>
      </c>
      <c r="Y71" t="s">
        <v>1335</v>
      </c>
      <c r="Z71" t="s">
        <v>1691</v>
      </c>
      <c r="AE71" t="s">
        <v>613</v>
      </c>
      <c r="AF71" t="s">
        <v>1410</v>
      </c>
      <c r="AG71" t="s">
        <v>1750</v>
      </c>
      <c r="AM71" t="s">
        <v>613</v>
      </c>
      <c r="AN71" t="s">
        <v>1427</v>
      </c>
      <c r="AO71" t="s">
        <v>1750</v>
      </c>
      <c r="AU71" s="235"/>
      <c r="AV71">
        <v>509</v>
      </c>
      <c r="AW71" s="50" t="s">
        <v>3315</v>
      </c>
      <c r="AX71" t="s">
        <v>3391</v>
      </c>
    </row>
    <row r="72" spans="24:50" ht="45" x14ac:dyDescent="0.25">
      <c r="X72" t="s">
        <v>613</v>
      </c>
      <c r="Y72" t="s">
        <v>1336</v>
      </c>
      <c r="Z72" t="s">
        <v>1691</v>
      </c>
      <c r="AE72" t="s">
        <v>613</v>
      </c>
      <c r="AF72" t="s">
        <v>1411</v>
      </c>
      <c r="AG72" t="s">
        <v>1750</v>
      </c>
      <c r="AM72" t="s">
        <v>613</v>
      </c>
      <c r="AN72" t="s">
        <v>1428</v>
      </c>
      <c r="AO72" t="s">
        <v>1750</v>
      </c>
      <c r="AU72" s="235"/>
      <c r="AV72">
        <v>511</v>
      </c>
      <c r="AW72" s="50" t="s">
        <v>3316</v>
      </c>
      <c r="AX72" t="s">
        <v>613</v>
      </c>
    </row>
    <row r="73" spans="24:50" ht="15.75" customHeight="1" x14ac:dyDescent="0.25">
      <c r="X73" t="s">
        <v>613</v>
      </c>
      <c r="Y73" t="s">
        <v>1337</v>
      </c>
      <c r="Z73" t="s">
        <v>1708</v>
      </c>
      <c r="AE73" t="s">
        <v>613</v>
      </c>
      <c r="AF73" t="s">
        <v>1412</v>
      </c>
      <c r="AG73" t="s">
        <v>1750</v>
      </c>
      <c r="AM73" t="s">
        <v>613</v>
      </c>
      <c r="AN73" t="s">
        <v>1429</v>
      </c>
      <c r="AO73" t="s">
        <v>1750</v>
      </c>
      <c r="AU73" s="235"/>
      <c r="AW73" s="50" t="s">
        <v>3317</v>
      </c>
    </row>
    <row r="74" spans="24:50" ht="45" x14ac:dyDescent="0.25">
      <c r="X74" t="s">
        <v>613</v>
      </c>
      <c r="Y74" t="s">
        <v>1338</v>
      </c>
      <c r="Z74" t="s">
        <v>1691</v>
      </c>
      <c r="AE74" t="s">
        <v>613</v>
      </c>
      <c r="AF74" t="s">
        <v>1413</v>
      </c>
      <c r="AG74" t="s">
        <v>1750</v>
      </c>
      <c r="AM74" t="s">
        <v>613</v>
      </c>
      <c r="AN74" t="s">
        <v>1430</v>
      </c>
      <c r="AO74" t="s">
        <v>1750</v>
      </c>
      <c r="AU74" s="235"/>
      <c r="AV74">
        <v>513</v>
      </c>
      <c r="AW74" s="50" t="s">
        <v>3318</v>
      </c>
      <c r="AX74" t="s">
        <v>3391</v>
      </c>
    </row>
    <row r="75" spans="24:50" ht="20.25" customHeight="1" x14ac:dyDescent="0.25">
      <c r="X75" t="s">
        <v>613</v>
      </c>
      <c r="Y75" t="s">
        <v>1339</v>
      </c>
      <c r="Z75" t="s">
        <v>1691</v>
      </c>
      <c r="AE75" t="s">
        <v>613</v>
      </c>
      <c r="AF75" t="s">
        <v>1414</v>
      </c>
      <c r="AG75" t="s">
        <v>1750</v>
      </c>
      <c r="AM75" t="s">
        <v>613</v>
      </c>
      <c r="AN75" t="s">
        <v>1431</v>
      </c>
      <c r="AO75" t="s">
        <v>1750</v>
      </c>
      <c r="AU75" s="235"/>
      <c r="AV75" t="s">
        <v>3497</v>
      </c>
      <c r="AW75" s="50" t="s">
        <v>3308</v>
      </c>
      <c r="AX75" t="s">
        <v>613</v>
      </c>
    </row>
    <row r="76" spans="24:50" ht="25.5" customHeight="1" x14ac:dyDescent="0.25">
      <c r="X76" t="s">
        <v>613</v>
      </c>
      <c r="Y76" t="s">
        <v>1340</v>
      </c>
      <c r="Z76" t="s">
        <v>1708</v>
      </c>
      <c r="AE76" t="s">
        <v>613</v>
      </c>
      <c r="AF76" t="s">
        <v>1415</v>
      </c>
      <c r="AG76" t="s">
        <v>1750</v>
      </c>
      <c r="AM76" t="s">
        <v>613</v>
      </c>
      <c r="AN76" t="s">
        <v>1432</v>
      </c>
      <c r="AO76" t="s">
        <v>1750</v>
      </c>
      <c r="AU76" s="235"/>
      <c r="AV76" s="236"/>
      <c r="AW76" s="50" t="s">
        <v>3309</v>
      </c>
    </row>
    <row r="77" spans="24:50" x14ac:dyDescent="0.25">
      <c r="X77" t="s">
        <v>613</v>
      </c>
      <c r="Y77" t="s">
        <v>1341</v>
      </c>
      <c r="Z77" t="s">
        <v>1708</v>
      </c>
      <c r="AE77" t="s">
        <v>613</v>
      </c>
      <c r="AF77" t="s">
        <v>1416</v>
      </c>
      <c r="AG77" t="s">
        <v>1750</v>
      </c>
      <c r="AM77" t="s">
        <v>613</v>
      </c>
      <c r="AN77" t="s">
        <v>1433</v>
      </c>
      <c r="AO77" t="s">
        <v>1750</v>
      </c>
      <c r="AU77" s="235"/>
      <c r="AV77" s="236" t="s">
        <v>3498</v>
      </c>
      <c r="AW77" s="50" t="s">
        <v>3310</v>
      </c>
      <c r="AX77" t="s">
        <v>613</v>
      </c>
    </row>
    <row r="78" spans="24:50" ht="210" x14ac:dyDescent="0.25">
      <c r="X78" t="s">
        <v>613</v>
      </c>
      <c r="Y78" t="s">
        <v>1342</v>
      </c>
      <c r="Z78" t="s">
        <v>1691</v>
      </c>
      <c r="AE78" t="s">
        <v>613</v>
      </c>
      <c r="AF78" t="s">
        <v>1417</v>
      </c>
      <c r="AG78" t="s">
        <v>1750</v>
      </c>
      <c r="AM78" t="s">
        <v>613</v>
      </c>
      <c r="AN78" t="s">
        <v>1434</v>
      </c>
      <c r="AO78" t="s">
        <v>1750</v>
      </c>
      <c r="AU78" s="235"/>
      <c r="AV78" s="236"/>
      <c r="AW78" s="50" t="s">
        <v>3311</v>
      </c>
    </row>
    <row r="79" spans="24:50" x14ac:dyDescent="0.25">
      <c r="X79" t="s">
        <v>613</v>
      </c>
      <c r="Y79" t="s">
        <v>1343</v>
      </c>
      <c r="Z79" t="s">
        <v>1708</v>
      </c>
      <c r="AE79" t="s">
        <v>613</v>
      </c>
      <c r="AF79" t="s">
        <v>1418</v>
      </c>
      <c r="AG79" t="s">
        <v>1750</v>
      </c>
      <c r="AM79" t="s">
        <v>613</v>
      </c>
      <c r="AN79" t="s">
        <v>1435</v>
      </c>
      <c r="AO79" t="s">
        <v>1750</v>
      </c>
      <c r="AU79" s="235"/>
      <c r="AV79" s="236"/>
      <c r="AW79" s="50" t="s">
        <v>3274</v>
      </c>
    </row>
    <row r="80" spans="24:50" ht="45" x14ac:dyDescent="0.25">
      <c r="X80" t="s">
        <v>613</v>
      </c>
      <c r="Y80" t="s">
        <v>1344</v>
      </c>
      <c r="Z80" t="s">
        <v>1691</v>
      </c>
      <c r="AE80" t="s">
        <v>613</v>
      </c>
      <c r="AF80" t="s">
        <v>1419</v>
      </c>
      <c r="AG80" t="s">
        <v>1750</v>
      </c>
      <c r="AM80" t="s">
        <v>613</v>
      </c>
      <c r="AN80" t="s">
        <v>1436</v>
      </c>
      <c r="AO80" t="s">
        <v>1750</v>
      </c>
      <c r="AU80" s="235"/>
      <c r="AV80" s="236">
        <f>-18.14-2.47-7+10</f>
        <v>-17.61</v>
      </c>
      <c r="AW80" s="50" t="s">
        <v>3319</v>
      </c>
    </row>
    <row r="81" spans="24:49" x14ac:dyDescent="0.25">
      <c r="X81" t="s">
        <v>613</v>
      </c>
      <c r="Y81" t="s">
        <v>1345</v>
      </c>
      <c r="Z81" t="s">
        <v>1691</v>
      </c>
      <c r="AE81" t="s">
        <v>613</v>
      </c>
      <c r="AF81" t="s">
        <v>1420</v>
      </c>
      <c r="AG81" t="s">
        <v>1750</v>
      </c>
      <c r="AM81" t="s">
        <v>613</v>
      </c>
      <c r="AN81" t="s">
        <v>1437</v>
      </c>
      <c r="AO81" t="s">
        <v>1750</v>
      </c>
      <c r="AU81" s="235"/>
      <c r="AV81" s="236"/>
      <c r="AW81" s="50" t="s">
        <v>3320</v>
      </c>
    </row>
    <row r="82" spans="24:49" x14ac:dyDescent="0.25">
      <c r="X82" t="s">
        <v>613</v>
      </c>
      <c r="Y82" t="s">
        <v>1531</v>
      </c>
      <c r="Z82" t="s">
        <v>1708</v>
      </c>
      <c r="AE82" t="s">
        <v>613</v>
      </c>
      <c r="AF82" t="s">
        <v>1421</v>
      </c>
      <c r="AG82" t="s">
        <v>1750</v>
      </c>
      <c r="AM82" t="s">
        <v>613</v>
      </c>
      <c r="AN82" t="s">
        <v>1438</v>
      </c>
      <c r="AO82" t="s">
        <v>1750</v>
      </c>
      <c r="AU82" s="235"/>
      <c r="AV82" s="236">
        <f>13.93+17.14+0.68</f>
        <v>31.75</v>
      </c>
      <c r="AW82" s="50" t="s">
        <v>3321</v>
      </c>
    </row>
    <row r="83" spans="24:49" ht="30" x14ac:dyDescent="0.25">
      <c r="X83" t="s">
        <v>613</v>
      </c>
      <c r="Y83" t="s">
        <v>1347</v>
      </c>
      <c r="Z83" t="s">
        <v>1715</v>
      </c>
      <c r="AE83" t="s">
        <v>613</v>
      </c>
      <c r="AF83" t="s">
        <v>1425</v>
      </c>
      <c r="AG83" t="s">
        <v>1750</v>
      </c>
      <c r="AM83" t="s">
        <v>613</v>
      </c>
      <c r="AN83" t="s">
        <v>1439</v>
      </c>
      <c r="AO83" t="s">
        <v>1750</v>
      </c>
      <c r="AU83" s="235"/>
      <c r="AV83" s="236"/>
      <c r="AW83" s="50" t="s">
        <v>3303</v>
      </c>
    </row>
    <row r="84" spans="24:49" x14ac:dyDescent="0.25">
      <c r="X84" t="s">
        <v>613</v>
      </c>
      <c r="Y84" t="s">
        <v>1348</v>
      </c>
      <c r="Z84" t="s">
        <v>1716</v>
      </c>
      <c r="AE84" t="s">
        <v>613</v>
      </c>
      <c r="AF84" t="s">
        <v>1426</v>
      </c>
      <c r="AG84" t="s">
        <v>1750</v>
      </c>
      <c r="AM84" t="s">
        <v>613</v>
      </c>
      <c r="AN84" t="s">
        <v>1440</v>
      </c>
      <c r="AO84" t="s">
        <v>1750</v>
      </c>
      <c r="AU84" s="235"/>
      <c r="AV84" s="236"/>
      <c r="AW84" s="50" t="s">
        <v>3322</v>
      </c>
    </row>
    <row r="85" spans="24:49" ht="45" x14ac:dyDescent="0.25">
      <c r="X85" t="s">
        <v>613</v>
      </c>
      <c r="Y85" t="s">
        <v>1349</v>
      </c>
      <c r="Z85" t="s">
        <v>1691</v>
      </c>
      <c r="AE85" t="s">
        <v>613</v>
      </c>
      <c r="AF85" t="s">
        <v>1427</v>
      </c>
      <c r="AG85" t="s">
        <v>1750</v>
      </c>
      <c r="AM85" t="s">
        <v>613</v>
      </c>
      <c r="AN85" t="s">
        <v>1441</v>
      </c>
      <c r="AO85" t="s">
        <v>1750</v>
      </c>
      <c r="AU85" s="235"/>
      <c r="AV85" s="236">
        <f>139.04-24.65+18.91</f>
        <v>133.29999999999998</v>
      </c>
      <c r="AW85" s="50" t="s">
        <v>3323</v>
      </c>
    </row>
    <row r="86" spans="24:49" x14ac:dyDescent="0.25">
      <c r="X86" t="s">
        <v>613</v>
      </c>
      <c r="Y86" t="s">
        <v>1350</v>
      </c>
      <c r="Z86" t="s">
        <v>1708</v>
      </c>
      <c r="AE86" t="s">
        <v>613</v>
      </c>
      <c r="AF86" t="s">
        <v>1428</v>
      </c>
      <c r="AG86" t="s">
        <v>1750</v>
      </c>
      <c r="AM86" t="s">
        <v>613</v>
      </c>
      <c r="AN86" t="s">
        <v>1442</v>
      </c>
      <c r="AO86" t="s">
        <v>1750</v>
      </c>
      <c r="AU86" s="235"/>
      <c r="AV86" s="236"/>
      <c r="AW86" s="50" t="s">
        <v>3324</v>
      </c>
    </row>
    <row r="87" spans="24:49" x14ac:dyDescent="0.25">
      <c r="X87" t="s">
        <v>613</v>
      </c>
      <c r="Y87" t="s">
        <v>1532</v>
      </c>
      <c r="Z87" t="s">
        <v>1691</v>
      </c>
      <c r="AE87" t="s">
        <v>613</v>
      </c>
      <c r="AF87" t="s">
        <v>1429</v>
      </c>
      <c r="AG87" t="s">
        <v>1750</v>
      </c>
      <c r="AM87" t="s">
        <v>613</v>
      </c>
      <c r="AN87" t="s">
        <v>1443</v>
      </c>
      <c r="AO87" t="s">
        <v>1750</v>
      </c>
      <c r="AU87" s="235"/>
      <c r="AV87" s="236"/>
      <c r="AW87" s="50" t="s">
        <v>3282</v>
      </c>
    </row>
    <row r="88" spans="24:49" x14ac:dyDescent="0.25">
      <c r="X88" t="s">
        <v>613</v>
      </c>
      <c r="Y88" t="s">
        <v>1533</v>
      </c>
      <c r="Z88" t="s">
        <v>1691</v>
      </c>
      <c r="AE88" t="s">
        <v>613</v>
      </c>
      <c r="AF88" t="s">
        <v>1430</v>
      </c>
      <c r="AG88" t="s">
        <v>1750</v>
      </c>
      <c r="AM88" t="s">
        <v>613</v>
      </c>
      <c r="AN88" t="s">
        <v>1444</v>
      </c>
      <c r="AO88" t="s">
        <v>1750</v>
      </c>
      <c r="AU88" s="235"/>
      <c r="AV88" s="236"/>
      <c r="AW88" s="50" t="s">
        <v>3283</v>
      </c>
    </row>
    <row r="89" spans="24:49" ht="45" x14ac:dyDescent="0.25">
      <c r="X89" t="s">
        <v>613</v>
      </c>
      <c r="Y89" t="s">
        <v>1226</v>
      </c>
      <c r="Z89" t="s">
        <v>613</v>
      </c>
      <c r="AE89" t="s">
        <v>613</v>
      </c>
      <c r="AF89" t="s">
        <v>1431</v>
      </c>
      <c r="AG89" t="s">
        <v>1750</v>
      </c>
      <c r="AM89" t="s">
        <v>613</v>
      </c>
      <c r="AN89" t="s">
        <v>1229</v>
      </c>
      <c r="AO89" t="s">
        <v>1755</v>
      </c>
      <c r="AU89" s="235"/>
      <c r="AV89" s="236"/>
      <c r="AW89" s="50" t="s">
        <v>3325</v>
      </c>
    </row>
    <row r="90" spans="24:49" ht="45" x14ac:dyDescent="0.25">
      <c r="X90" t="s">
        <v>613</v>
      </c>
      <c r="Y90" t="s">
        <v>1353</v>
      </c>
      <c r="Z90" t="s">
        <v>1695</v>
      </c>
      <c r="AE90" t="s">
        <v>613</v>
      </c>
      <c r="AF90" t="s">
        <v>1432</v>
      </c>
      <c r="AG90" t="s">
        <v>1750</v>
      </c>
      <c r="AM90" t="s">
        <v>613</v>
      </c>
      <c r="AN90" t="s">
        <v>1477</v>
      </c>
      <c r="AO90" t="s">
        <v>1726</v>
      </c>
      <c r="AU90" s="235"/>
      <c r="AV90" s="236"/>
      <c r="AW90" s="50" t="s">
        <v>3285</v>
      </c>
    </row>
    <row r="91" spans="24:49" ht="45" x14ac:dyDescent="0.25">
      <c r="X91" t="s">
        <v>613</v>
      </c>
      <c r="Y91" t="s">
        <v>1354</v>
      </c>
      <c r="Z91" t="s">
        <v>1695</v>
      </c>
      <c r="AE91" t="s">
        <v>613</v>
      </c>
      <c r="AF91" t="s">
        <v>1433</v>
      </c>
      <c r="AG91" t="s">
        <v>1750</v>
      </c>
      <c r="AM91" t="s">
        <v>613</v>
      </c>
      <c r="AN91" t="s">
        <v>1481</v>
      </c>
      <c r="AO91" t="s">
        <v>1726</v>
      </c>
      <c r="AU91" s="235"/>
      <c r="AV91" s="236"/>
      <c r="AW91" s="50" t="s">
        <v>3326</v>
      </c>
    </row>
    <row r="92" spans="24:49" ht="30" x14ac:dyDescent="0.25">
      <c r="X92" t="s">
        <v>613</v>
      </c>
      <c r="Y92" t="s">
        <v>1355</v>
      </c>
      <c r="Z92" t="s">
        <v>1695</v>
      </c>
      <c r="AE92" t="s">
        <v>613</v>
      </c>
      <c r="AF92" t="s">
        <v>1434</v>
      </c>
      <c r="AG92" t="s">
        <v>1750</v>
      </c>
      <c r="AM92" t="s">
        <v>613</v>
      </c>
      <c r="AN92" t="s">
        <v>1267</v>
      </c>
      <c r="AO92" t="s">
        <v>1755</v>
      </c>
      <c r="AU92" s="235"/>
      <c r="AV92" s="236"/>
      <c r="AW92" s="50" t="s">
        <v>3327</v>
      </c>
    </row>
    <row r="93" spans="24:49" x14ac:dyDescent="0.25">
      <c r="X93" t="s">
        <v>613</v>
      </c>
      <c r="Y93" t="s">
        <v>1356</v>
      </c>
      <c r="Z93" t="s">
        <v>1695</v>
      </c>
      <c r="AE93" t="s">
        <v>613</v>
      </c>
      <c r="AF93" t="s">
        <v>1435</v>
      </c>
      <c r="AG93" t="s">
        <v>1750</v>
      </c>
      <c r="AM93" t="s">
        <v>115</v>
      </c>
      <c r="AU93" s="235"/>
      <c r="AV93" s="236"/>
      <c r="AW93" s="50" t="s">
        <v>3328</v>
      </c>
    </row>
    <row r="94" spans="24:49" ht="30" x14ac:dyDescent="0.25">
      <c r="X94" t="s">
        <v>613</v>
      </c>
      <c r="Y94" t="s">
        <v>1357</v>
      </c>
      <c r="Z94" t="s">
        <v>1695</v>
      </c>
      <c r="AE94" t="s">
        <v>613</v>
      </c>
      <c r="AF94" t="s">
        <v>1436</v>
      </c>
      <c r="AG94" t="s">
        <v>1750</v>
      </c>
      <c r="AM94" t="s">
        <v>613</v>
      </c>
      <c r="AN94" t="s">
        <v>1552</v>
      </c>
      <c r="AO94" t="s">
        <v>1695</v>
      </c>
      <c r="AU94" s="235"/>
      <c r="AV94" s="236"/>
      <c r="AW94" s="50" t="s">
        <v>3329</v>
      </c>
    </row>
    <row r="95" spans="24:49" ht="30" x14ac:dyDescent="0.25">
      <c r="X95" t="s">
        <v>613</v>
      </c>
      <c r="Y95" t="s">
        <v>1358</v>
      </c>
      <c r="Z95" t="s">
        <v>1695</v>
      </c>
      <c r="AE95" t="s">
        <v>613</v>
      </c>
      <c r="AF95" t="s">
        <v>1437</v>
      </c>
      <c r="AG95" t="s">
        <v>1750</v>
      </c>
      <c r="AM95" t="s">
        <v>613</v>
      </c>
      <c r="AN95" t="s">
        <v>1553</v>
      </c>
      <c r="AO95" t="s">
        <v>1695</v>
      </c>
      <c r="AU95" s="235"/>
      <c r="AV95" s="236"/>
      <c r="AW95" s="50" t="s">
        <v>3290</v>
      </c>
    </row>
    <row r="96" spans="24:49" ht="45" x14ac:dyDescent="0.25">
      <c r="X96" t="s">
        <v>613</v>
      </c>
      <c r="Y96" t="s">
        <v>1359</v>
      </c>
      <c r="Z96" t="s">
        <v>1695</v>
      </c>
      <c r="AE96" t="s">
        <v>613</v>
      </c>
      <c r="AF96" t="s">
        <v>1438</v>
      </c>
      <c r="AG96" t="s">
        <v>1750</v>
      </c>
      <c r="AM96" t="s">
        <v>613</v>
      </c>
      <c r="AN96" t="s">
        <v>1554</v>
      </c>
      <c r="AO96" t="s">
        <v>1695</v>
      </c>
      <c r="AU96" s="235"/>
      <c r="AV96" s="236"/>
      <c r="AW96" s="50" t="s">
        <v>3291</v>
      </c>
    </row>
    <row r="97" spans="24:49" ht="75" x14ac:dyDescent="0.25">
      <c r="X97" t="s">
        <v>613</v>
      </c>
      <c r="Y97" t="s">
        <v>1360</v>
      </c>
      <c r="Z97" t="s">
        <v>1695</v>
      </c>
      <c r="AE97" t="s">
        <v>613</v>
      </c>
      <c r="AF97" t="s">
        <v>1439</v>
      </c>
      <c r="AG97" t="s">
        <v>1750</v>
      </c>
      <c r="AM97" t="s">
        <v>613</v>
      </c>
      <c r="AN97" t="s">
        <v>1555</v>
      </c>
      <c r="AO97" t="s">
        <v>1695</v>
      </c>
      <c r="AU97" s="235"/>
      <c r="AV97" s="236"/>
      <c r="AW97" s="50" t="s">
        <v>3330</v>
      </c>
    </row>
    <row r="98" spans="24:49" ht="105" x14ac:dyDescent="0.25">
      <c r="X98" t="s">
        <v>613</v>
      </c>
      <c r="Y98" t="s">
        <v>1361</v>
      </c>
      <c r="Z98" t="s">
        <v>1695</v>
      </c>
      <c r="AE98" t="s">
        <v>613</v>
      </c>
      <c r="AF98" t="s">
        <v>1440</v>
      </c>
      <c r="AG98" t="s">
        <v>1750</v>
      </c>
      <c r="AM98" t="s">
        <v>613</v>
      </c>
      <c r="AN98" t="s">
        <v>1556</v>
      </c>
      <c r="AO98" t="s">
        <v>1695</v>
      </c>
      <c r="AU98" s="235"/>
      <c r="AV98" s="236"/>
      <c r="AW98" s="50" t="s">
        <v>3331</v>
      </c>
    </row>
    <row r="99" spans="24:49" ht="75" x14ac:dyDescent="0.25">
      <c r="X99" t="s">
        <v>613</v>
      </c>
      <c r="Y99" t="s">
        <v>1362</v>
      </c>
      <c r="Z99" t="s">
        <v>1695</v>
      </c>
      <c r="AE99" t="s">
        <v>613</v>
      </c>
      <c r="AF99" t="s">
        <v>1441</v>
      </c>
      <c r="AG99" t="s">
        <v>1750</v>
      </c>
      <c r="AM99" t="s">
        <v>613</v>
      </c>
      <c r="AN99" t="s">
        <v>1557</v>
      </c>
      <c r="AO99" t="s">
        <v>1695</v>
      </c>
      <c r="AU99" s="235"/>
      <c r="AV99" s="236"/>
      <c r="AW99" s="50" t="s">
        <v>3332</v>
      </c>
    </row>
    <row r="100" spans="24:49" ht="30" x14ac:dyDescent="0.25">
      <c r="X100" t="s">
        <v>613</v>
      </c>
      <c r="Y100" t="s">
        <v>1385</v>
      </c>
      <c r="Z100" t="s">
        <v>613</v>
      </c>
      <c r="AE100" t="s">
        <v>613</v>
      </c>
      <c r="AF100" t="s">
        <v>1442</v>
      </c>
      <c r="AG100" t="s">
        <v>1750</v>
      </c>
      <c r="AM100" t="s">
        <v>613</v>
      </c>
      <c r="AN100" t="s">
        <v>1558</v>
      </c>
      <c r="AO100" t="s">
        <v>1695</v>
      </c>
      <c r="AU100" s="235"/>
      <c r="AV100" s="236"/>
      <c r="AW100" s="50" t="s">
        <v>3333</v>
      </c>
    </row>
    <row r="101" spans="24:49" ht="60" x14ac:dyDescent="0.25">
      <c r="X101" t="s">
        <v>613</v>
      </c>
      <c r="Y101" t="s">
        <v>1388</v>
      </c>
      <c r="Z101" t="s">
        <v>613</v>
      </c>
      <c r="AE101" t="s">
        <v>613</v>
      </c>
      <c r="AF101" t="s">
        <v>1443</v>
      </c>
      <c r="AG101" t="s">
        <v>1750</v>
      </c>
      <c r="AM101" t="s">
        <v>613</v>
      </c>
      <c r="AN101" t="s">
        <v>1381</v>
      </c>
      <c r="AO101" t="s">
        <v>1755</v>
      </c>
      <c r="AU101" s="235"/>
      <c r="AV101" s="236"/>
      <c r="AW101" s="50" t="s">
        <v>3334</v>
      </c>
    </row>
    <row r="102" spans="24:49" ht="30" x14ac:dyDescent="0.25">
      <c r="X102" t="s">
        <v>613</v>
      </c>
      <c r="Y102" t="s">
        <v>1224</v>
      </c>
      <c r="Z102" t="s">
        <v>613</v>
      </c>
      <c r="AE102" t="s">
        <v>613</v>
      </c>
      <c r="AF102" t="s">
        <v>1444</v>
      </c>
      <c r="AG102" t="s">
        <v>1750</v>
      </c>
      <c r="AM102" t="s">
        <v>613</v>
      </c>
      <c r="AN102" t="s">
        <v>1394</v>
      </c>
      <c r="AO102" t="s">
        <v>1700</v>
      </c>
      <c r="AU102" s="235"/>
      <c r="AV102" s="236"/>
      <c r="AW102" s="50" t="s">
        <v>3335</v>
      </c>
    </row>
    <row r="103" spans="24:49" ht="60" x14ac:dyDescent="0.25">
      <c r="X103" t="s">
        <v>613</v>
      </c>
      <c r="Y103" t="s">
        <v>1460</v>
      </c>
      <c r="Z103" t="s">
        <v>1732</v>
      </c>
      <c r="AE103" t="s">
        <v>613</v>
      </c>
      <c r="AF103" t="s">
        <v>1229</v>
      </c>
      <c r="AG103" t="s">
        <v>1755</v>
      </c>
      <c r="AM103" t="s">
        <v>613</v>
      </c>
      <c r="AN103" t="s">
        <v>1395</v>
      </c>
      <c r="AO103" t="s">
        <v>1700</v>
      </c>
      <c r="AU103" s="235"/>
      <c r="AV103" s="236"/>
      <c r="AW103" s="50" t="s">
        <v>3336</v>
      </c>
    </row>
    <row r="104" spans="24:49" ht="60" x14ac:dyDescent="0.25">
      <c r="X104" t="s">
        <v>613</v>
      </c>
      <c r="Y104" t="s">
        <v>1534</v>
      </c>
      <c r="Z104" t="s">
        <v>1723</v>
      </c>
      <c r="AE104" t="s">
        <v>613</v>
      </c>
      <c r="AF104" t="s">
        <v>1477</v>
      </c>
      <c r="AG104" t="s">
        <v>1726</v>
      </c>
      <c r="AM104" t="s">
        <v>613</v>
      </c>
      <c r="AN104" t="s">
        <v>1396</v>
      </c>
      <c r="AO104" t="s">
        <v>1700</v>
      </c>
      <c r="AU104" s="235"/>
      <c r="AV104" s="236"/>
      <c r="AW104" s="50" t="s">
        <v>3337</v>
      </c>
    </row>
    <row r="105" spans="24:49" ht="45" x14ac:dyDescent="0.25">
      <c r="X105" t="s">
        <v>613</v>
      </c>
      <c r="Y105" t="s">
        <v>1535</v>
      </c>
      <c r="Z105" t="s">
        <v>1737</v>
      </c>
      <c r="AE105" t="s">
        <v>613</v>
      </c>
      <c r="AF105" t="s">
        <v>1481</v>
      </c>
      <c r="AG105" t="s">
        <v>1726</v>
      </c>
      <c r="AM105" t="s">
        <v>613</v>
      </c>
      <c r="AN105" t="s">
        <v>1397</v>
      </c>
      <c r="AO105" t="s">
        <v>1700</v>
      </c>
      <c r="AU105" s="235"/>
      <c r="AV105" s="236"/>
      <c r="AW105" s="50" t="s">
        <v>3338</v>
      </c>
    </row>
    <row r="106" spans="24:49" ht="30" x14ac:dyDescent="0.25">
      <c r="X106" t="s">
        <v>613</v>
      </c>
      <c r="Y106" t="s">
        <v>1536</v>
      </c>
      <c r="Z106" t="s">
        <v>1734</v>
      </c>
      <c r="AE106" t="s">
        <v>613</v>
      </c>
      <c r="AF106" t="s">
        <v>1267</v>
      </c>
      <c r="AG106" t="s">
        <v>1755</v>
      </c>
      <c r="AM106" t="s">
        <v>613</v>
      </c>
      <c r="AN106" t="s">
        <v>1468</v>
      </c>
      <c r="AO106" t="s">
        <v>1732</v>
      </c>
      <c r="AU106" s="235"/>
      <c r="AV106" s="236"/>
      <c r="AW106" s="50" t="s">
        <v>3339</v>
      </c>
    </row>
    <row r="107" spans="24:49" ht="30" x14ac:dyDescent="0.25">
      <c r="X107" t="s">
        <v>613</v>
      </c>
      <c r="Y107" t="s">
        <v>1464</v>
      </c>
      <c r="Z107" t="s">
        <v>1730</v>
      </c>
      <c r="AE107" t="s">
        <v>115</v>
      </c>
      <c r="AM107" t="s">
        <v>613</v>
      </c>
      <c r="AN107" t="s">
        <v>1469</v>
      </c>
      <c r="AO107" t="s">
        <v>1732</v>
      </c>
      <c r="AU107" s="235"/>
      <c r="AV107" s="236"/>
      <c r="AW107" s="50" t="s">
        <v>3340</v>
      </c>
    </row>
    <row r="108" spans="24:49" x14ac:dyDescent="0.25">
      <c r="X108" t="s">
        <v>613</v>
      </c>
      <c r="Y108" t="s">
        <v>1465</v>
      </c>
      <c r="Z108" t="s">
        <v>1723</v>
      </c>
      <c r="AE108" t="s">
        <v>613</v>
      </c>
      <c r="AF108" t="s">
        <v>1552</v>
      </c>
      <c r="AG108" t="s">
        <v>1695</v>
      </c>
      <c r="AM108" t="s">
        <v>613</v>
      </c>
      <c r="AN108" t="s">
        <v>1470</v>
      </c>
      <c r="AO108" t="s">
        <v>1732</v>
      </c>
      <c r="AU108" s="235"/>
      <c r="AV108" s="236"/>
      <c r="AW108" s="50" t="s">
        <v>3341</v>
      </c>
    </row>
    <row r="109" spans="24:49" x14ac:dyDescent="0.25">
      <c r="X109" t="s">
        <v>613</v>
      </c>
      <c r="Y109" t="s">
        <v>1466</v>
      </c>
      <c r="Z109" t="s">
        <v>1738</v>
      </c>
      <c r="AE109" t="s">
        <v>613</v>
      </c>
      <c r="AF109" t="s">
        <v>1553</v>
      </c>
      <c r="AG109" t="s">
        <v>1695</v>
      </c>
      <c r="AM109" t="s">
        <v>613</v>
      </c>
      <c r="AN109" t="s">
        <v>1471</v>
      </c>
      <c r="AO109" t="s">
        <v>1732</v>
      </c>
      <c r="AU109" s="235"/>
      <c r="AV109" s="236"/>
      <c r="AW109" s="50" t="s">
        <v>3342</v>
      </c>
    </row>
    <row r="110" spans="24:49" x14ac:dyDescent="0.25">
      <c r="X110" t="s">
        <v>613</v>
      </c>
      <c r="Y110" t="s">
        <v>1537</v>
      </c>
      <c r="Z110" t="s">
        <v>1733</v>
      </c>
      <c r="AE110" t="s">
        <v>613</v>
      </c>
      <c r="AF110" t="s">
        <v>1554</v>
      </c>
      <c r="AG110" t="s">
        <v>1695</v>
      </c>
      <c r="AM110" t="s">
        <v>613</v>
      </c>
      <c r="AN110" t="s">
        <v>1582</v>
      </c>
      <c r="AO110" t="s">
        <v>1744</v>
      </c>
      <c r="AU110" s="235"/>
      <c r="AV110" s="236"/>
      <c r="AW110" s="50" t="s">
        <v>3343</v>
      </c>
    </row>
    <row r="111" spans="24:49" ht="30" x14ac:dyDescent="0.25">
      <c r="X111" t="s">
        <v>613</v>
      </c>
      <c r="Y111" t="s">
        <v>1468</v>
      </c>
      <c r="Z111" t="s">
        <v>1732</v>
      </c>
      <c r="AE111" t="s">
        <v>613</v>
      </c>
      <c r="AF111" t="s">
        <v>1555</v>
      </c>
      <c r="AG111" t="s">
        <v>1695</v>
      </c>
      <c r="AM111" t="s">
        <v>613</v>
      </c>
      <c r="AN111" t="s">
        <v>1267</v>
      </c>
      <c r="AO111" t="s">
        <v>1752</v>
      </c>
      <c r="AU111" s="235"/>
      <c r="AV111" s="236"/>
      <c r="AW111" s="50" t="s">
        <v>3344</v>
      </c>
    </row>
    <row r="112" spans="24:49" x14ac:dyDescent="0.25">
      <c r="X112" t="s">
        <v>613</v>
      </c>
      <c r="Y112" t="s">
        <v>1469</v>
      </c>
      <c r="Z112" t="s">
        <v>1732</v>
      </c>
      <c r="AE112" t="s">
        <v>613</v>
      </c>
      <c r="AF112" t="s">
        <v>1556</v>
      </c>
      <c r="AG112" t="s">
        <v>1695</v>
      </c>
      <c r="AM112" t="s">
        <v>613</v>
      </c>
      <c r="AN112" t="s">
        <v>1268</v>
      </c>
      <c r="AO112" t="s">
        <v>1752</v>
      </c>
      <c r="AU112" s="235"/>
      <c r="AV112" s="236"/>
      <c r="AW112" s="50" t="s">
        <v>3345</v>
      </c>
    </row>
    <row r="113" spans="24:50" x14ac:dyDescent="0.25">
      <c r="X113" t="s">
        <v>613</v>
      </c>
      <c r="Y113" t="s">
        <v>1470</v>
      </c>
      <c r="Z113" t="s">
        <v>1732</v>
      </c>
      <c r="AE113" t="s">
        <v>613</v>
      </c>
      <c r="AF113" t="s">
        <v>1557</v>
      </c>
      <c r="AG113" t="s">
        <v>1695</v>
      </c>
      <c r="AM113" t="s">
        <v>116</v>
      </c>
      <c r="AU113" s="235"/>
      <c r="AV113" s="236"/>
      <c r="AW113" s="50" t="s">
        <v>3346</v>
      </c>
    </row>
    <row r="114" spans="24:50" x14ac:dyDescent="0.25">
      <c r="X114" t="s">
        <v>613</v>
      </c>
      <c r="Y114" t="s">
        <v>1471</v>
      </c>
      <c r="Z114" t="s">
        <v>1732</v>
      </c>
      <c r="AE114" t="s">
        <v>613</v>
      </c>
      <c r="AF114" t="s">
        <v>1558</v>
      </c>
      <c r="AG114" t="s">
        <v>1695</v>
      </c>
      <c r="AM114" t="s">
        <v>613</v>
      </c>
      <c r="AN114" t="s">
        <v>1290</v>
      </c>
      <c r="AO114" t="s">
        <v>1751</v>
      </c>
      <c r="AU114" s="235"/>
      <c r="AV114" s="236"/>
      <c r="AW114" s="50" t="s">
        <v>3347</v>
      </c>
    </row>
    <row r="115" spans="24:50" x14ac:dyDescent="0.25">
      <c r="X115" t="s">
        <v>613</v>
      </c>
      <c r="Y115" t="s">
        <v>1538</v>
      </c>
      <c r="Z115" t="s">
        <v>1723</v>
      </c>
      <c r="AE115" t="s">
        <v>613</v>
      </c>
      <c r="AF115" t="s">
        <v>1381</v>
      </c>
      <c r="AG115" t="s">
        <v>1755</v>
      </c>
      <c r="AM115" t="s">
        <v>613</v>
      </c>
      <c r="AN115" t="s">
        <v>1317</v>
      </c>
      <c r="AO115" t="s">
        <v>1699</v>
      </c>
      <c r="AU115" s="235"/>
      <c r="AV115" s="237"/>
      <c r="AW115" t="s">
        <v>3348</v>
      </c>
    </row>
    <row r="116" spans="24:50" x14ac:dyDescent="0.25">
      <c r="X116" t="s">
        <v>613</v>
      </c>
      <c r="Y116" t="s">
        <v>1472</v>
      </c>
      <c r="Z116" t="s">
        <v>613</v>
      </c>
      <c r="AE116" t="s">
        <v>613</v>
      </c>
      <c r="AF116" t="s">
        <v>1394</v>
      </c>
      <c r="AG116" t="s">
        <v>1700</v>
      </c>
      <c r="AM116" t="s">
        <v>613</v>
      </c>
      <c r="AN116" t="s">
        <v>1318</v>
      </c>
      <c r="AO116" t="s">
        <v>1699</v>
      </c>
      <c r="AU116" s="235"/>
      <c r="AV116" s="236"/>
      <c r="AW116" s="50" t="s">
        <v>3349</v>
      </c>
    </row>
    <row r="117" spans="24:50" x14ac:dyDescent="0.25">
      <c r="X117" t="s">
        <v>613</v>
      </c>
      <c r="Y117" t="s">
        <v>1474</v>
      </c>
      <c r="Z117" t="s">
        <v>613</v>
      </c>
      <c r="AE117" t="s">
        <v>613</v>
      </c>
      <c r="AF117" t="s">
        <v>1395</v>
      </c>
      <c r="AG117" t="s">
        <v>1700</v>
      </c>
      <c r="AM117" t="s">
        <v>613</v>
      </c>
      <c r="AN117" t="s">
        <v>1323</v>
      </c>
      <c r="AO117" t="s">
        <v>1699</v>
      </c>
      <c r="AU117" s="235"/>
      <c r="AV117" s="236"/>
      <c r="AW117" s="50" t="s">
        <v>3350</v>
      </c>
    </row>
    <row r="118" spans="24:50" x14ac:dyDescent="0.25">
      <c r="X118" t="s">
        <v>613</v>
      </c>
      <c r="Y118" t="s">
        <v>1475</v>
      </c>
      <c r="Z118" t="s">
        <v>1691</v>
      </c>
      <c r="AE118" t="s">
        <v>613</v>
      </c>
      <c r="AF118" t="s">
        <v>1396</v>
      </c>
      <c r="AG118" t="s">
        <v>1700</v>
      </c>
      <c r="AM118" t="s">
        <v>613</v>
      </c>
      <c r="AN118" t="s">
        <v>1340</v>
      </c>
      <c r="AO118" t="s">
        <v>1709</v>
      </c>
      <c r="AU118" s="235"/>
      <c r="AV118" s="236"/>
      <c r="AW118" s="50" t="s">
        <v>3321</v>
      </c>
    </row>
    <row r="119" spans="24:50" ht="30" x14ac:dyDescent="0.25">
      <c r="X119" t="s">
        <v>613</v>
      </c>
      <c r="Y119" t="s">
        <v>1478</v>
      </c>
      <c r="Z119" t="s">
        <v>1691</v>
      </c>
      <c r="AE119" t="s">
        <v>613</v>
      </c>
      <c r="AF119" t="s">
        <v>1397</v>
      </c>
      <c r="AG119" t="s">
        <v>1700</v>
      </c>
      <c r="AM119" t="s">
        <v>613</v>
      </c>
      <c r="AN119" t="s">
        <v>1341</v>
      </c>
      <c r="AO119" t="s">
        <v>1709</v>
      </c>
      <c r="AU119" s="235"/>
      <c r="AV119" s="236"/>
      <c r="AW119" s="50" t="s">
        <v>3303</v>
      </c>
    </row>
    <row r="120" spans="24:50" ht="30" x14ac:dyDescent="0.25">
      <c r="X120" t="s">
        <v>613</v>
      </c>
      <c r="Y120" t="s">
        <v>1479</v>
      </c>
      <c r="Z120" t="s">
        <v>1691</v>
      </c>
      <c r="AE120" t="s">
        <v>613</v>
      </c>
      <c r="AF120" t="s">
        <v>1468</v>
      </c>
      <c r="AG120" t="s">
        <v>1732</v>
      </c>
      <c r="AM120" t="s">
        <v>613</v>
      </c>
      <c r="AN120" t="s">
        <v>1342</v>
      </c>
      <c r="AO120" t="s">
        <v>1709</v>
      </c>
      <c r="AU120" s="235"/>
      <c r="AV120" s="236"/>
      <c r="AW120" s="50" t="s">
        <v>3351</v>
      </c>
    </row>
    <row r="121" spans="24:50" x14ac:dyDescent="0.25">
      <c r="X121" t="s">
        <v>613</v>
      </c>
      <c r="Y121" t="s">
        <v>1481</v>
      </c>
      <c r="Z121" t="s">
        <v>1726</v>
      </c>
      <c r="AE121" t="s">
        <v>613</v>
      </c>
      <c r="AF121" t="s">
        <v>1469</v>
      </c>
      <c r="AG121" t="s">
        <v>1732</v>
      </c>
      <c r="AM121" t="s">
        <v>613</v>
      </c>
      <c r="AN121" t="s">
        <v>1343</v>
      </c>
      <c r="AO121" t="s">
        <v>1709</v>
      </c>
      <c r="AU121" s="235"/>
      <c r="AV121" s="236"/>
      <c r="AW121" s="50" t="s">
        <v>3352</v>
      </c>
    </row>
    <row r="122" spans="24:50" x14ac:dyDescent="0.25">
      <c r="X122" t="s">
        <v>613</v>
      </c>
      <c r="Y122" t="s">
        <v>1539</v>
      </c>
      <c r="Z122" t="s">
        <v>1691</v>
      </c>
      <c r="AE122" t="s">
        <v>613</v>
      </c>
      <c r="AF122" t="s">
        <v>1470</v>
      </c>
      <c r="AG122" t="s">
        <v>1732</v>
      </c>
      <c r="AM122" t="s">
        <v>613</v>
      </c>
      <c r="AN122" t="s">
        <v>1344</v>
      </c>
      <c r="AO122" t="s">
        <v>1709</v>
      </c>
      <c r="AU122" s="235"/>
      <c r="AV122" s="236"/>
      <c r="AW122" s="50" t="s">
        <v>3306</v>
      </c>
    </row>
    <row r="123" spans="24:50" x14ac:dyDescent="0.25">
      <c r="X123" t="s">
        <v>613</v>
      </c>
      <c r="Y123" t="s">
        <v>1540</v>
      </c>
      <c r="Z123" t="s">
        <v>1691</v>
      </c>
      <c r="AE123" t="s">
        <v>613</v>
      </c>
      <c r="AF123" t="s">
        <v>1471</v>
      </c>
      <c r="AG123" t="s">
        <v>1732</v>
      </c>
      <c r="AM123" t="s">
        <v>613</v>
      </c>
      <c r="AN123" t="s">
        <v>1353</v>
      </c>
      <c r="AO123" t="s">
        <v>1695</v>
      </c>
      <c r="AU123" s="235"/>
      <c r="AV123" s="236"/>
      <c r="AW123" s="50" t="s">
        <v>3353</v>
      </c>
    </row>
    <row r="124" spans="24:50" x14ac:dyDescent="0.25">
      <c r="X124" t="s">
        <v>613</v>
      </c>
      <c r="Y124" t="s">
        <v>1541</v>
      </c>
      <c r="Z124" t="s">
        <v>1691</v>
      </c>
      <c r="AE124" t="s">
        <v>613</v>
      </c>
      <c r="AF124" t="s">
        <v>1582</v>
      </c>
      <c r="AG124" t="s">
        <v>1744</v>
      </c>
      <c r="AM124" t="s">
        <v>613</v>
      </c>
      <c r="AN124" t="s">
        <v>1354</v>
      </c>
      <c r="AO124" t="s">
        <v>1695</v>
      </c>
      <c r="AT124" s="238"/>
      <c r="AU124" s="235" t="s">
        <v>3244</v>
      </c>
      <c r="AV124" s="236" t="s">
        <v>1831</v>
      </c>
      <c r="AW124" s="179" t="s">
        <v>287</v>
      </c>
      <c r="AX124" t="s">
        <v>1833</v>
      </c>
    </row>
    <row r="125" spans="24:50" ht="30" x14ac:dyDescent="0.25">
      <c r="X125" t="s">
        <v>613</v>
      </c>
      <c r="Y125" t="s">
        <v>1542</v>
      </c>
      <c r="Z125" t="s">
        <v>1691</v>
      </c>
      <c r="AE125" t="s">
        <v>613</v>
      </c>
      <c r="AF125" t="s">
        <v>1267</v>
      </c>
      <c r="AG125" t="s">
        <v>1752</v>
      </c>
      <c r="AM125" t="s">
        <v>613</v>
      </c>
      <c r="AN125" t="s">
        <v>1355</v>
      </c>
      <c r="AO125" t="s">
        <v>1695</v>
      </c>
      <c r="AU125" s="235"/>
      <c r="AV125" s="236"/>
      <c r="AW125" s="50" t="s">
        <v>3312</v>
      </c>
    </row>
    <row r="126" spans="24:50" x14ac:dyDescent="0.25">
      <c r="X126" t="s">
        <v>613</v>
      </c>
      <c r="Y126" t="s">
        <v>1543</v>
      </c>
      <c r="Z126" t="s">
        <v>1691</v>
      </c>
      <c r="AE126" t="s">
        <v>613</v>
      </c>
      <c r="AF126" t="s">
        <v>1268</v>
      </c>
      <c r="AG126" t="s">
        <v>1752</v>
      </c>
      <c r="AM126" t="s">
        <v>613</v>
      </c>
      <c r="AN126" t="s">
        <v>1356</v>
      </c>
      <c r="AO126" t="s">
        <v>1695</v>
      </c>
      <c r="AU126" s="235"/>
      <c r="AV126" s="236"/>
      <c r="AW126" s="50" t="s">
        <v>3354</v>
      </c>
    </row>
    <row r="127" spans="24:50" x14ac:dyDescent="0.25">
      <c r="X127" t="s">
        <v>613</v>
      </c>
      <c r="Y127" t="s">
        <v>1544</v>
      </c>
      <c r="Z127" t="s">
        <v>1729</v>
      </c>
      <c r="AE127" t="s">
        <v>116</v>
      </c>
      <c r="AM127" t="s">
        <v>613</v>
      </c>
      <c r="AN127" t="s">
        <v>1357</v>
      </c>
      <c r="AO127" t="s">
        <v>1695</v>
      </c>
      <c r="AU127" s="235"/>
      <c r="AV127" s="236"/>
      <c r="AW127" s="50" t="s">
        <v>3355</v>
      </c>
    </row>
    <row r="128" spans="24:50" ht="30" x14ac:dyDescent="0.25">
      <c r="X128" t="s">
        <v>613</v>
      </c>
      <c r="Y128" t="s">
        <v>1545</v>
      </c>
      <c r="Z128" t="s">
        <v>1729</v>
      </c>
      <c r="AE128" t="s">
        <v>613</v>
      </c>
      <c r="AF128" t="s">
        <v>1290</v>
      </c>
      <c r="AG128" t="s">
        <v>1751</v>
      </c>
      <c r="AM128" t="s">
        <v>613</v>
      </c>
      <c r="AN128" t="s">
        <v>1358</v>
      </c>
      <c r="AO128" t="s">
        <v>1695</v>
      </c>
      <c r="AU128" s="235"/>
      <c r="AV128" s="236"/>
      <c r="AW128" s="50" t="s">
        <v>3356</v>
      </c>
    </row>
    <row r="129" spans="24:50" ht="30" x14ac:dyDescent="0.25">
      <c r="X129" t="s">
        <v>613</v>
      </c>
      <c r="Y129" t="s">
        <v>1546</v>
      </c>
      <c r="Z129" t="s">
        <v>1732</v>
      </c>
      <c r="AE129" t="s">
        <v>613</v>
      </c>
      <c r="AF129" t="s">
        <v>1317</v>
      </c>
      <c r="AG129" t="s">
        <v>1699</v>
      </c>
      <c r="AM129" t="s">
        <v>613</v>
      </c>
      <c r="AN129" t="s">
        <v>1359</v>
      </c>
      <c r="AO129" t="s">
        <v>1695</v>
      </c>
      <c r="AU129" s="235"/>
      <c r="AV129" s="236"/>
      <c r="AW129" s="50" t="s">
        <v>3357</v>
      </c>
    </row>
    <row r="130" spans="24:50" ht="210" x14ac:dyDescent="0.25">
      <c r="X130" t="s">
        <v>613</v>
      </c>
      <c r="Y130" t="s">
        <v>1372</v>
      </c>
      <c r="Z130" t="s">
        <v>1691</v>
      </c>
      <c r="AE130" t="s">
        <v>613</v>
      </c>
      <c r="AF130" t="s">
        <v>1318</v>
      </c>
      <c r="AG130" t="s">
        <v>1699</v>
      </c>
      <c r="AM130" t="s">
        <v>613</v>
      </c>
      <c r="AN130" t="s">
        <v>1360</v>
      </c>
      <c r="AO130" t="s">
        <v>1695</v>
      </c>
      <c r="AU130" s="235"/>
      <c r="AV130" s="236"/>
      <c r="AW130" s="50" t="s">
        <v>3358</v>
      </c>
    </row>
    <row r="131" spans="24:50" x14ac:dyDescent="0.25">
      <c r="X131" t="s">
        <v>613</v>
      </c>
      <c r="Y131" t="s">
        <v>1373</v>
      </c>
      <c r="Z131" t="s">
        <v>1691</v>
      </c>
      <c r="AE131" t="s">
        <v>613</v>
      </c>
      <c r="AF131" t="s">
        <v>1323</v>
      </c>
      <c r="AG131" t="s">
        <v>1699</v>
      </c>
      <c r="AM131" t="s">
        <v>613</v>
      </c>
      <c r="AN131" t="s">
        <v>1361</v>
      </c>
      <c r="AO131" t="s">
        <v>1695</v>
      </c>
      <c r="AU131" s="235"/>
      <c r="AV131" s="236"/>
      <c r="AW131" s="50" t="s">
        <v>3359</v>
      </c>
    </row>
    <row r="132" spans="24:50" ht="18.75" customHeight="1" x14ac:dyDescent="0.25">
      <c r="X132" t="s">
        <v>613</v>
      </c>
      <c r="Y132" t="s">
        <v>1547</v>
      </c>
      <c r="Z132" t="s">
        <v>1735</v>
      </c>
      <c r="AE132" t="s">
        <v>613</v>
      </c>
      <c r="AF132" t="s">
        <v>1340</v>
      </c>
      <c r="AG132" t="s">
        <v>1709</v>
      </c>
      <c r="AM132" t="s">
        <v>613</v>
      </c>
      <c r="AN132" t="s">
        <v>1362</v>
      </c>
      <c r="AO132" t="s">
        <v>1695</v>
      </c>
      <c r="AU132" s="235"/>
      <c r="AV132" s="236"/>
      <c r="AW132" s="50" t="s">
        <v>3360</v>
      </c>
    </row>
    <row r="133" spans="24:50" ht="16.5" customHeight="1" x14ac:dyDescent="0.25">
      <c r="X133" t="s">
        <v>613</v>
      </c>
      <c r="Y133" t="s">
        <v>1548</v>
      </c>
      <c r="Z133" t="s">
        <v>613</v>
      </c>
      <c r="AE133" t="s">
        <v>613</v>
      </c>
      <c r="AF133" t="s">
        <v>1341</v>
      </c>
      <c r="AG133" t="s">
        <v>1709</v>
      </c>
      <c r="AM133" t="s">
        <v>613</v>
      </c>
      <c r="AN133" t="s">
        <v>1381</v>
      </c>
      <c r="AO133" t="s">
        <v>1755</v>
      </c>
      <c r="AU133" s="235"/>
      <c r="AV133" s="236"/>
      <c r="AW133" s="50" t="s">
        <v>3361</v>
      </c>
    </row>
    <row r="134" spans="24:50" ht="20.25" customHeight="1" x14ac:dyDescent="0.25">
      <c r="X134" t="s">
        <v>613</v>
      </c>
      <c r="Y134" t="s">
        <v>1269</v>
      </c>
      <c r="Z134" t="s">
        <v>1736</v>
      </c>
      <c r="AE134" t="s">
        <v>613</v>
      </c>
      <c r="AF134" t="s">
        <v>1342</v>
      </c>
      <c r="AG134" t="s">
        <v>1709</v>
      </c>
      <c r="AM134" t="s">
        <v>613</v>
      </c>
      <c r="AN134" t="s">
        <v>1584</v>
      </c>
      <c r="AO134" t="s">
        <v>1750</v>
      </c>
      <c r="AU134" s="235"/>
      <c r="AV134" s="236"/>
      <c r="AW134" s="50" t="s">
        <v>3362</v>
      </c>
    </row>
    <row r="135" spans="24:50" x14ac:dyDescent="0.25">
      <c r="X135" t="s">
        <v>613</v>
      </c>
      <c r="Y135" t="s">
        <v>1270</v>
      </c>
      <c r="Z135" t="s">
        <v>613</v>
      </c>
      <c r="AE135" t="s">
        <v>613</v>
      </c>
      <c r="AF135" t="s">
        <v>1343</v>
      </c>
      <c r="AG135" t="s">
        <v>1709</v>
      </c>
      <c r="AM135" t="s">
        <v>613</v>
      </c>
      <c r="AN135" t="s">
        <v>1585</v>
      </c>
      <c r="AO135" t="s">
        <v>1750</v>
      </c>
      <c r="AU135" s="235"/>
      <c r="AV135" s="236"/>
      <c r="AW135" s="50" t="s">
        <v>3363</v>
      </c>
    </row>
    <row r="136" spans="24:50" x14ac:dyDescent="0.25">
      <c r="X136" t="s">
        <v>613</v>
      </c>
      <c r="Y136" t="s">
        <v>1242</v>
      </c>
      <c r="Z136" t="s">
        <v>613</v>
      </c>
      <c r="AE136" t="s">
        <v>613</v>
      </c>
      <c r="AF136" t="s">
        <v>1344</v>
      </c>
      <c r="AG136" t="s">
        <v>1709</v>
      </c>
      <c r="AM136" t="s">
        <v>613</v>
      </c>
      <c r="AN136" t="s">
        <v>1586</v>
      </c>
      <c r="AO136" t="s">
        <v>1750</v>
      </c>
      <c r="AU136" s="235"/>
      <c r="AV136" s="236"/>
      <c r="AW136" s="50" t="s">
        <v>3364</v>
      </c>
    </row>
    <row r="137" spans="24:50" ht="15.75" customHeight="1" x14ac:dyDescent="0.25">
      <c r="X137" t="s">
        <v>613</v>
      </c>
      <c r="Y137" t="s">
        <v>1226</v>
      </c>
      <c r="Z137" t="s">
        <v>613</v>
      </c>
      <c r="AE137" t="s">
        <v>613</v>
      </c>
      <c r="AF137" t="s">
        <v>1347</v>
      </c>
      <c r="AG137" t="s">
        <v>1717</v>
      </c>
      <c r="AM137" t="s">
        <v>613</v>
      </c>
      <c r="AN137" t="s">
        <v>1587</v>
      </c>
      <c r="AO137" t="s">
        <v>1750</v>
      </c>
      <c r="AU137" s="235"/>
      <c r="AV137" s="236"/>
      <c r="AW137" s="50" t="s">
        <v>3365</v>
      </c>
    </row>
    <row r="138" spans="24:50" x14ac:dyDescent="0.25">
      <c r="X138" t="s">
        <v>613</v>
      </c>
      <c r="Y138" t="s">
        <v>1549</v>
      </c>
      <c r="Z138" t="s">
        <v>1695</v>
      </c>
      <c r="AE138" t="s">
        <v>613</v>
      </c>
      <c r="AF138" t="s">
        <v>1348</v>
      </c>
      <c r="AG138" t="s">
        <v>1718</v>
      </c>
      <c r="AM138" t="s">
        <v>613</v>
      </c>
      <c r="AN138" t="s">
        <v>1588</v>
      </c>
      <c r="AO138" t="s">
        <v>1750</v>
      </c>
      <c r="AU138" s="235"/>
      <c r="AV138" s="236"/>
      <c r="AW138" s="50" t="s">
        <v>3352</v>
      </c>
    </row>
    <row r="139" spans="24:50" ht="30" x14ac:dyDescent="0.25">
      <c r="X139" t="s">
        <v>613</v>
      </c>
      <c r="Y139" t="s">
        <v>1550</v>
      </c>
      <c r="Z139" t="s">
        <v>1695</v>
      </c>
      <c r="AE139" t="s">
        <v>613</v>
      </c>
      <c r="AF139" t="s">
        <v>1353</v>
      </c>
      <c r="AG139" t="s">
        <v>1695</v>
      </c>
      <c r="AM139" t="s">
        <v>613</v>
      </c>
      <c r="AN139" t="s">
        <v>1589</v>
      </c>
      <c r="AO139" t="s">
        <v>1750</v>
      </c>
      <c r="AU139" s="235"/>
      <c r="AV139" s="236"/>
      <c r="AW139" s="50" t="s">
        <v>3366</v>
      </c>
    </row>
    <row r="140" spans="24:50" x14ac:dyDescent="0.25">
      <c r="X140" t="s">
        <v>613</v>
      </c>
      <c r="Y140" t="s">
        <v>1551</v>
      </c>
      <c r="Z140" t="s">
        <v>1695</v>
      </c>
      <c r="AE140" t="s">
        <v>613</v>
      </c>
      <c r="AF140" t="s">
        <v>1354</v>
      </c>
      <c r="AG140" t="s">
        <v>1695</v>
      </c>
      <c r="AM140" t="s">
        <v>613</v>
      </c>
      <c r="AN140" t="s">
        <v>1590</v>
      </c>
      <c r="AO140" t="s">
        <v>1750</v>
      </c>
      <c r="AU140" s="235" t="s">
        <v>3245</v>
      </c>
      <c r="AV140" s="236" t="s">
        <v>1898</v>
      </c>
      <c r="AW140" s="179" t="s">
        <v>287</v>
      </c>
      <c r="AX140" t="s">
        <v>1900</v>
      </c>
    </row>
    <row r="141" spans="24:50" x14ac:dyDescent="0.25">
      <c r="X141" t="s">
        <v>112</v>
      </c>
      <c r="AE141" t="s">
        <v>613</v>
      </c>
      <c r="AF141" t="s">
        <v>1355</v>
      </c>
      <c r="AG141" t="s">
        <v>1695</v>
      </c>
      <c r="AM141" t="s">
        <v>613</v>
      </c>
      <c r="AN141" t="s">
        <v>1591</v>
      </c>
      <c r="AO141" t="s">
        <v>1750</v>
      </c>
      <c r="AU141" s="235"/>
      <c r="AV141" s="236"/>
      <c r="AW141" s="50" t="s">
        <v>3354</v>
      </c>
    </row>
    <row r="142" spans="24:50" x14ac:dyDescent="0.25">
      <c r="X142" t="s">
        <v>613</v>
      </c>
      <c r="Y142" t="s">
        <v>1267</v>
      </c>
      <c r="Z142" t="s">
        <v>613</v>
      </c>
      <c r="AE142" t="s">
        <v>613</v>
      </c>
      <c r="AF142" t="s">
        <v>1356</v>
      </c>
      <c r="AG142" t="s">
        <v>1695</v>
      </c>
      <c r="AM142" t="s">
        <v>613</v>
      </c>
      <c r="AN142" t="s">
        <v>1592</v>
      </c>
      <c r="AO142" t="s">
        <v>1750</v>
      </c>
      <c r="AU142" s="235"/>
      <c r="AV142" s="236"/>
      <c r="AW142" s="50" t="s">
        <v>3355</v>
      </c>
    </row>
    <row r="143" spans="24:50" x14ac:dyDescent="0.25">
      <c r="X143" t="s">
        <v>613</v>
      </c>
      <c r="Y143" t="s">
        <v>1268</v>
      </c>
      <c r="Z143" t="s">
        <v>1723</v>
      </c>
      <c r="AE143" t="s">
        <v>613</v>
      </c>
      <c r="AF143" t="s">
        <v>1357</v>
      </c>
      <c r="AG143" t="s">
        <v>1695</v>
      </c>
      <c r="AM143" t="s">
        <v>613</v>
      </c>
      <c r="AN143" t="s">
        <v>1593</v>
      </c>
      <c r="AO143" t="s">
        <v>1750</v>
      </c>
      <c r="AU143" s="235"/>
      <c r="AV143" s="236"/>
      <c r="AW143" s="50" t="s">
        <v>3367</v>
      </c>
    </row>
    <row r="144" spans="24:50" ht="30" x14ac:dyDescent="0.25">
      <c r="X144" t="s">
        <v>613</v>
      </c>
      <c r="Y144" t="s">
        <v>1269</v>
      </c>
      <c r="Z144" t="s">
        <v>1736</v>
      </c>
      <c r="AE144" t="s">
        <v>613</v>
      </c>
      <c r="AF144" t="s">
        <v>1358</v>
      </c>
      <c r="AG144" t="s">
        <v>1695</v>
      </c>
      <c r="AM144" t="s">
        <v>613</v>
      </c>
      <c r="AN144" t="s">
        <v>1594</v>
      </c>
      <c r="AO144" t="s">
        <v>1750</v>
      </c>
      <c r="AU144" s="235"/>
      <c r="AV144" s="236"/>
      <c r="AW144" s="50" t="s">
        <v>3356</v>
      </c>
    </row>
    <row r="145" spans="24:50" ht="30" x14ac:dyDescent="0.25">
      <c r="X145" t="s">
        <v>613</v>
      </c>
      <c r="Y145" t="s">
        <v>1270</v>
      </c>
      <c r="Z145" t="s">
        <v>613</v>
      </c>
      <c r="AE145" t="s">
        <v>613</v>
      </c>
      <c r="AF145" t="s">
        <v>1359</v>
      </c>
      <c r="AG145" t="s">
        <v>1695</v>
      </c>
      <c r="AM145" t="s">
        <v>613</v>
      </c>
      <c r="AN145" t="s">
        <v>1595</v>
      </c>
      <c r="AO145" t="s">
        <v>1750</v>
      </c>
      <c r="AU145" s="235"/>
      <c r="AV145" s="236"/>
      <c r="AW145" s="50" t="s">
        <v>3357</v>
      </c>
    </row>
    <row r="146" spans="24:50" ht="210" x14ac:dyDescent="0.25">
      <c r="X146" t="s">
        <v>613</v>
      </c>
      <c r="Y146" t="s">
        <v>1242</v>
      </c>
      <c r="Z146" t="s">
        <v>613</v>
      </c>
      <c r="AE146" t="s">
        <v>613</v>
      </c>
      <c r="AF146" t="s">
        <v>1360</v>
      </c>
      <c r="AG146" t="s">
        <v>1695</v>
      </c>
      <c r="AM146" t="s">
        <v>613</v>
      </c>
      <c r="AN146" t="s">
        <v>1596</v>
      </c>
      <c r="AO146" t="s">
        <v>1750</v>
      </c>
      <c r="AU146" s="235"/>
      <c r="AV146" s="236"/>
      <c r="AW146" s="239" t="s">
        <v>3358</v>
      </c>
    </row>
    <row r="147" spans="24:50" x14ac:dyDescent="0.25">
      <c r="X147" t="s">
        <v>613</v>
      </c>
      <c r="Y147" t="s">
        <v>1271</v>
      </c>
      <c r="Z147" t="s">
        <v>1707</v>
      </c>
      <c r="AE147" t="s">
        <v>613</v>
      </c>
      <c r="AF147" t="s">
        <v>1361</v>
      </c>
      <c r="AG147" t="s">
        <v>1695</v>
      </c>
      <c r="AM147" t="s">
        <v>613</v>
      </c>
      <c r="AN147" t="s">
        <v>1597</v>
      </c>
      <c r="AO147" t="s">
        <v>1750</v>
      </c>
      <c r="AU147" s="235"/>
      <c r="AV147" s="236"/>
      <c r="AW147" s="50" t="s">
        <v>3359</v>
      </c>
    </row>
    <row r="148" spans="24:50" ht="30" x14ac:dyDescent="0.25">
      <c r="X148" t="s">
        <v>613</v>
      </c>
      <c r="Y148" t="s">
        <v>1272</v>
      </c>
      <c r="Z148" t="s">
        <v>613</v>
      </c>
      <c r="AE148" t="s">
        <v>613</v>
      </c>
      <c r="AF148" t="s">
        <v>1362</v>
      </c>
      <c r="AG148" t="s">
        <v>1695</v>
      </c>
      <c r="AM148" t="s">
        <v>613</v>
      </c>
      <c r="AN148" t="s">
        <v>1598</v>
      </c>
      <c r="AO148" t="s">
        <v>1750</v>
      </c>
      <c r="AU148" s="235"/>
      <c r="AV148" s="236"/>
      <c r="AW148" s="50" t="s">
        <v>3360</v>
      </c>
    </row>
    <row r="149" spans="24:50" ht="105" x14ac:dyDescent="0.25">
      <c r="X149" t="s">
        <v>613</v>
      </c>
      <c r="Y149" t="s">
        <v>1273</v>
      </c>
      <c r="Z149" t="s">
        <v>613</v>
      </c>
      <c r="AE149" t="s">
        <v>613</v>
      </c>
      <c r="AF149" t="s">
        <v>1381</v>
      </c>
      <c r="AG149" t="s">
        <v>1755</v>
      </c>
      <c r="AM149" t="s">
        <v>613</v>
      </c>
      <c r="AN149" t="s">
        <v>1599</v>
      </c>
      <c r="AO149" t="s">
        <v>1750</v>
      </c>
      <c r="AU149" s="235"/>
      <c r="AV149" s="236"/>
      <c r="AW149" s="239" t="s">
        <v>3361</v>
      </c>
    </row>
    <row r="150" spans="24:50" ht="18.75" customHeight="1" x14ac:dyDescent="0.25">
      <c r="X150" t="s">
        <v>613</v>
      </c>
      <c r="Y150" t="s">
        <v>1274</v>
      </c>
      <c r="Z150" t="s">
        <v>613</v>
      </c>
      <c r="AE150" t="s">
        <v>613</v>
      </c>
      <c r="AF150" t="s">
        <v>1584</v>
      </c>
      <c r="AG150" t="s">
        <v>1750</v>
      </c>
      <c r="AM150" t="s">
        <v>613</v>
      </c>
      <c r="AN150" t="s">
        <v>1600</v>
      </c>
      <c r="AO150" t="s">
        <v>1750</v>
      </c>
      <c r="AU150" s="235"/>
      <c r="AV150" s="236"/>
      <c r="AW150" s="50" t="s">
        <v>3362</v>
      </c>
    </row>
    <row r="151" spans="24:50" x14ac:dyDescent="0.25">
      <c r="X151" t="s">
        <v>613</v>
      </c>
      <c r="Y151" t="s">
        <v>1275</v>
      </c>
      <c r="Z151" t="s">
        <v>613</v>
      </c>
      <c r="AE151" t="s">
        <v>613</v>
      </c>
      <c r="AF151" t="s">
        <v>1585</v>
      </c>
      <c r="AG151" t="s">
        <v>1750</v>
      </c>
      <c r="AM151" t="s">
        <v>613</v>
      </c>
      <c r="AN151" t="s">
        <v>1229</v>
      </c>
      <c r="AO151" t="s">
        <v>1755</v>
      </c>
      <c r="AU151" s="235"/>
      <c r="AV151" s="236"/>
      <c r="AW151" s="50" t="s">
        <v>3363</v>
      </c>
    </row>
    <row r="152" spans="24:50" x14ac:dyDescent="0.25">
      <c r="X152" t="s">
        <v>613</v>
      </c>
      <c r="Y152" t="s">
        <v>1276</v>
      </c>
      <c r="Z152" t="s">
        <v>1707</v>
      </c>
      <c r="AE152" t="s">
        <v>613</v>
      </c>
      <c r="AF152" t="s">
        <v>1586</v>
      </c>
      <c r="AG152" t="s">
        <v>1750</v>
      </c>
      <c r="AM152" t="s">
        <v>613</v>
      </c>
      <c r="AN152" t="s">
        <v>1468</v>
      </c>
      <c r="AO152" t="s">
        <v>1732</v>
      </c>
      <c r="AU152" s="235"/>
      <c r="AV152" s="236"/>
      <c r="AW152" s="50" t="s">
        <v>3364</v>
      </c>
    </row>
    <row r="153" spans="24:50" ht="18" customHeight="1" x14ac:dyDescent="0.25">
      <c r="X153" t="s">
        <v>613</v>
      </c>
      <c r="Y153" t="s">
        <v>1277</v>
      </c>
      <c r="Z153" t="s">
        <v>1691</v>
      </c>
      <c r="AE153" t="s">
        <v>613</v>
      </c>
      <c r="AF153" t="s">
        <v>1587</v>
      </c>
      <c r="AG153" t="s">
        <v>1750</v>
      </c>
      <c r="AM153" t="s">
        <v>613</v>
      </c>
      <c r="AN153" t="s">
        <v>1469</v>
      </c>
      <c r="AO153" t="s">
        <v>1732</v>
      </c>
      <c r="AU153" s="235"/>
      <c r="AV153" s="236"/>
      <c r="AW153" s="50" t="s">
        <v>3365</v>
      </c>
    </row>
    <row r="154" spans="24:50" x14ac:dyDescent="0.25">
      <c r="X154" t="s">
        <v>613</v>
      </c>
      <c r="Y154" t="s">
        <v>1278</v>
      </c>
      <c r="Z154" t="s">
        <v>1691</v>
      </c>
      <c r="AE154" t="s">
        <v>613</v>
      </c>
      <c r="AF154" t="s">
        <v>1588</v>
      </c>
      <c r="AG154" t="s">
        <v>1750</v>
      </c>
      <c r="AM154" t="s">
        <v>613</v>
      </c>
      <c r="AN154" t="s">
        <v>1470</v>
      </c>
      <c r="AO154" t="s">
        <v>1732</v>
      </c>
      <c r="AU154" s="235"/>
      <c r="AV154" s="236"/>
      <c r="AW154" s="50" t="s">
        <v>3352</v>
      </c>
    </row>
    <row r="155" spans="24:50" ht="30" x14ac:dyDescent="0.25">
      <c r="X155" t="s">
        <v>613</v>
      </c>
      <c r="Y155" t="s">
        <v>1279</v>
      </c>
      <c r="Z155" t="s">
        <v>1691</v>
      </c>
      <c r="AE155" t="s">
        <v>613</v>
      </c>
      <c r="AF155" t="s">
        <v>1589</v>
      </c>
      <c r="AG155" t="s">
        <v>1750</v>
      </c>
      <c r="AM155" t="s">
        <v>613</v>
      </c>
      <c r="AN155" t="s">
        <v>1471</v>
      </c>
      <c r="AO155" t="s">
        <v>1732</v>
      </c>
      <c r="AU155" s="235"/>
      <c r="AV155" s="236"/>
      <c r="AW155" s="50" t="s">
        <v>3366</v>
      </c>
    </row>
    <row r="156" spans="24:50" x14ac:dyDescent="0.25">
      <c r="X156" t="s">
        <v>613</v>
      </c>
      <c r="Y156" t="s">
        <v>1280</v>
      </c>
      <c r="Z156" t="s">
        <v>1691</v>
      </c>
      <c r="AE156" t="s">
        <v>613</v>
      </c>
      <c r="AF156" t="s">
        <v>1590</v>
      </c>
      <c r="AG156" t="s">
        <v>1750</v>
      </c>
      <c r="AM156" t="s">
        <v>613</v>
      </c>
      <c r="AN156" t="s">
        <v>1603</v>
      </c>
      <c r="AO156" t="s">
        <v>1746</v>
      </c>
      <c r="AU156" s="235" t="s">
        <v>2812</v>
      </c>
      <c r="AV156" s="236" t="s">
        <v>1878</v>
      </c>
      <c r="AW156" s="179" t="s">
        <v>287</v>
      </c>
      <c r="AX156" t="s">
        <v>1880</v>
      </c>
    </row>
    <row r="157" spans="24:50" ht="42" customHeight="1" x14ac:dyDescent="0.25">
      <c r="X157" t="s">
        <v>613</v>
      </c>
      <c r="Y157" t="s">
        <v>1281</v>
      </c>
      <c r="Z157" t="s">
        <v>1691</v>
      </c>
      <c r="AE157" t="s">
        <v>613</v>
      </c>
      <c r="AF157" t="s">
        <v>1591</v>
      </c>
      <c r="AG157" t="s">
        <v>1750</v>
      </c>
      <c r="AM157" t="s">
        <v>613</v>
      </c>
      <c r="AN157" t="s">
        <v>1472</v>
      </c>
      <c r="AO157" t="s">
        <v>1746</v>
      </c>
      <c r="AW157" s="50" t="s">
        <v>3368</v>
      </c>
      <c r="AX157" t="s">
        <v>3413</v>
      </c>
    </row>
    <row r="158" spans="24:50" ht="75" x14ac:dyDescent="0.25">
      <c r="X158" t="s">
        <v>613</v>
      </c>
      <c r="Y158" t="s">
        <v>1282</v>
      </c>
      <c r="Z158" t="s">
        <v>1691</v>
      </c>
      <c r="AE158" t="s">
        <v>613</v>
      </c>
      <c r="AF158" t="s">
        <v>1592</v>
      </c>
      <c r="AG158" t="s">
        <v>1750</v>
      </c>
      <c r="AM158" t="s">
        <v>613</v>
      </c>
      <c r="AN158" t="s">
        <v>1475</v>
      </c>
      <c r="AO158" t="s">
        <v>1747</v>
      </c>
      <c r="AV158" t="s">
        <v>3416</v>
      </c>
      <c r="AW158" s="50" t="s">
        <v>3369</v>
      </c>
      <c r="AX158" t="s">
        <v>3417</v>
      </c>
    </row>
    <row r="159" spans="24:50" ht="30" x14ac:dyDescent="0.25">
      <c r="X159" t="s">
        <v>613</v>
      </c>
      <c r="Y159" t="s">
        <v>1283</v>
      </c>
      <c r="Z159" t="s">
        <v>1691</v>
      </c>
      <c r="AE159" t="s">
        <v>613</v>
      </c>
      <c r="AF159" t="s">
        <v>1593</v>
      </c>
      <c r="AG159" t="s">
        <v>1750</v>
      </c>
      <c r="AM159" t="s">
        <v>613</v>
      </c>
      <c r="AN159" t="s">
        <v>1476</v>
      </c>
      <c r="AO159" t="s">
        <v>1700</v>
      </c>
      <c r="AV159" t="s">
        <v>3412</v>
      </c>
      <c r="AW159" s="50" t="s">
        <v>3370</v>
      </c>
      <c r="AX159" t="s">
        <v>3418</v>
      </c>
    </row>
    <row r="160" spans="24:50" ht="45" x14ac:dyDescent="0.25">
      <c r="X160" t="s">
        <v>613</v>
      </c>
      <c r="Y160" t="s">
        <v>1284</v>
      </c>
      <c r="Z160" t="s">
        <v>1691</v>
      </c>
      <c r="AE160" t="s">
        <v>613</v>
      </c>
      <c r="AF160" t="s">
        <v>1594</v>
      </c>
      <c r="AG160" t="s">
        <v>1750</v>
      </c>
      <c r="AM160" t="s">
        <v>613</v>
      </c>
      <c r="AN160" t="s">
        <v>1477</v>
      </c>
      <c r="AO160" t="s">
        <v>1745</v>
      </c>
      <c r="AV160" t="s">
        <v>3407</v>
      </c>
      <c r="AW160" s="50" t="s">
        <v>3419</v>
      </c>
      <c r="AX160" t="s">
        <v>3448</v>
      </c>
    </row>
    <row r="161" spans="24:50" ht="60" x14ac:dyDescent="0.25">
      <c r="X161" t="s">
        <v>613</v>
      </c>
      <c r="Y161" t="s">
        <v>1285</v>
      </c>
      <c r="Z161" t="s">
        <v>1691</v>
      </c>
      <c r="AE161" t="s">
        <v>613</v>
      </c>
      <c r="AF161" t="s">
        <v>1595</v>
      </c>
      <c r="AG161" t="s">
        <v>1750</v>
      </c>
      <c r="AM161" t="s">
        <v>613</v>
      </c>
      <c r="AN161" t="s">
        <v>1607</v>
      </c>
      <c r="AO161" t="s">
        <v>1746</v>
      </c>
      <c r="AV161" t="s">
        <v>3445</v>
      </c>
      <c r="AW161" s="50" t="s">
        <v>3420</v>
      </c>
      <c r="AX161" t="s">
        <v>613</v>
      </c>
    </row>
    <row r="162" spans="24:50" ht="45" x14ac:dyDescent="0.25">
      <c r="X162" t="s">
        <v>613</v>
      </c>
      <c r="Y162" t="s">
        <v>1286</v>
      </c>
      <c r="Z162" t="s">
        <v>1691</v>
      </c>
      <c r="AE162" t="s">
        <v>613</v>
      </c>
      <c r="AF162" t="s">
        <v>1596</v>
      </c>
      <c r="AG162" t="s">
        <v>1750</v>
      </c>
      <c r="AM162" t="s">
        <v>613</v>
      </c>
      <c r="AN162" t="s">
        <v>1608</v>
      </c>
      <c r="AO162" t="s">
        <v>1746</v>
      </c>
      <c r="AV162" t="s">
        <v>3446</v>
      </c>
      <c r="AW162" s="50" t="s">
        <v>3421</v>
      </c>
      <c r="AX162" t="s">
        <v>3447</v>
      </c>
    </row>
    <row r="163" spans="24:50" ht="30" x14ac:dyDescent="0.25">
      <c r="X163" t="s">
        <v>613</v>
      </c>
      <c r="Y163" t="s">
        <v>1287</v>
      </c>
      <c r="Z163" t="s">
        <v>1691</v>
      </c>
      <c r="AE163" t="s">
        <v>613</v>
      </c>
      <c r="AF163" t="s">
        <v>1597</v>
      </c>
      <c r="AG163" t="s">
        <v>1750</v>
      </c>
      <c r="AM163" t="s">
        <v>613</v>
      </c>
      <c r="AN163" t="s">
        <v>1221</v>
      </c>
      <c r="AO163" t="s">
        <v>1748</v>
      </c>
      <c r="AV163" t="s">
        <v>3415</v>
      </c>
      <c r="AW163" s="50" t="s">
        <v>3449</v>
      </c>
      <c r="AX163" t="s">
        <v>613</v>
      </c>
    </row>
    <row r="164" spans="24:50" ht="30" x14ac:dyDescent="0.25">
      <c r="X164" t="s">
        <v>613</v>
      </c>
      <c r="Y164" t="s">
        <v>1288</v>
      </c>
      <c r="Z164" t="s">
        <v>1691</v>
      </c>
      <c r="AE164" t="s">
        <v>613</v>
      </c>
      <c r="AF164" t="s">
        <v>1598</v>
      </c>
      <c r="AG164" t="s">
        <v>1750</v>
      </c>
      <c r="AV164" t="s">
        <v>3450</v>
      </c>
      <c r="AW164" s="50" t="s">
        <v>3422</v>
      </c>
      <c r="AX164" t="s">
        <v>3451</v>
      </c>
    </row>
    <row r="165" spans="24:50" ht="162.75" customHeight="1" x14ac:dyDescent="0.25">
      <c r="X165" t="s">
        <v>613</v>
      </c>
      <c r="Y165" t="s">
        <v>1289</v>
      </c>
      <c r="Z165" t="s">
        <v>1691</v>
      </c>
      <c r="AE165" t="s">
        <v>613</v>
      </c>
      <c r="AF165" t="s">
        <v>1599</v>
      </c>
      <c r="AG165" t="s">
        <v>1750</v>
      </c>
      <c r="AW165" s="50" t="s">
        <v>3423</v>
      </c>
      <c r="AX165" t="s">
        <v>3413</v>
      </c>
    </row>
    <row r="166" spans="24:50" ht="75" x14ac:dyDescent="0.25">
      <c r="X166" t="s">
        <v>613</v>
      </c>
      <c r="Y166" t="s">
        <v>1290</v>
      </c>
      <c r="Z166" t="s">
        <v>1696</v>
      </c>
      <c r="AE166" t="s">
        <v>613</v>
      </c>
      <c r="AF166" t="s">
        <v>1600</v>
      </c>
      <c r="AG166" t="s">
        <v>1750</v>
      </c>
      <c r="AW166" s="50" t="s">
        <v>3371</v>
      </c>
      <c r="AX166" t="s">
        <v>3413</v>
      </c>
    </row>
    <row r="167" spans="24:50" ht="30" x14ac:dyDescent="0.25">
      <c r="X167" t="s">
        <v>613</v>
      </c>
      <c r="Y167" t="s">
        <v>1291</v>
      </c>
      <c r="Z167" t="s">
        <v>613</v>
      </c>
      <c r="AE167" t="s">
        <v>613</v>
      </c>
      <c r="AF167" t="s">
        <v>1229</v>
      </c>
      <c r="AG167" t="s">
        <v>1755</v>
      </c>
      <c r="AM167" t="s">
        <v>298</v>
      </c>
      <c r="AW167" s="50" t="s">
        <v>3424</v>
      </c>
      <c r="AX167" t="s">
        <v>3413</v>
      </c>
    </row>
    <row r="168" spans="24:50" ht="75" x14ac:dyDescent="0.25">
      <c r="X168" t="s">
        <v>613</v>
      </c>
      <c r="Y168" t="s">
        <v>1292</v>
      </c>
      <c r="Z168" t="s">
        <v>613</v>
      </c>
      <c r="AE168" t="s">
        <v>613</v>
      </c>
      <c r="AF168" t="s">
        <v>1468</v>
      </c>
      <c r="AG168" t="s">
        <v>1732</v>
      </c>
      <c r="AM168" t="s">
        <v>613</v>
      </c>
      <c r="AN168" t="s">
        <v>1381</v>
      </c>
      <c r="AO168" t="s">
        <v>1755</v>
      </c>
      <c r="AW168" s="50" t="s">
        <v>3372</v>
      </c>
      <c r="AX168" t="s">
        <v>3413</v>
      </c>
    </row>
    <row r="169" spans="24:50" ht="30" x14ac:dyDescent="0.25">
      <c r="X169" t="s">
        <v>613</v>
      </c>
      <c r="Y169" t="s">
        <v>1293</v>
      </c>
      <c r="Z169" t="s">
        <v>1691</v>
      </c>
      <c r="AE169" t="s">
        <v>613</v>
      </c>
      <c r="AF169" t="s">
        <v>1469</v>
      </c>
      <c r="AG169" t="s">
        <v>1732</v>
      </c>
      <c r="AM169" t="s">
        <v>613</v>
      </c>
      <c r="AN169" t="s">
        <v>1229</v>
      </c>
      <c r="AO169" t="s">
        <v>1755</v>
      </c>
      <c r="AW169" s="50" t="s">
        <v>3425</v>
      </c>
      <c r="AX169" t="s">
        <v>3413</v>
      </c>
    </row>
    <row r="170" spans="24:50" ht="60" x14ac:dyDescent="0.25">
      <c r="X170" t="s">
        <v>613</v>
      </c>
      <c r="Y170" t="s">
        <v>1294</v>
      </c>
      <c r="Z170" t="s">
        <v>1691</v>
      </c>
      <c r="AE170" t="s">
        <v>613</v>
      </c>
      <c r="AF170" t="s">
        <v>1470</v>
      </c>
      <c r="AG170" t="s">
        <v>1732</v>
      </c>
      <c r="AM170" t="s">
        <v>613</v>
      </c>
      <c r="AN170" t="s">
        <v>1221</v>
      </c>
      <c r="AO170" t="s">
        <v>1748</v>
      </c>
      <c r="AW170" s="50" t="s">
        <v>3373</v>
      </c>
      <c r="AX170" t="s">
        <v>3413</v>
      </c>
    </row>
    <row r="171" spans="24:50" ht="45" x14ac:dyDescent="0.25">
      <c r="X171" t="s">
        <v>613</v>
      </c>
      <c r="Y171" t="s">
        <v>1295</v>
      </c>
      <c r="Z171" t="s">
        <v>1691</v>
      </c>
      <c r="AE171" t="s">
        <v>613</v>
      </c>
      <c r="AF171" t="s">
        <v>1471</v>
      </c>
      <c r="AG171" t="s">
        <v>1732</v>
      </c>
      <c r="AW171" s="50" t="s">
        <v>3426</v>
      </c>
      <c r="AX171" t="s">
        <v>3413</v>
      </c>
    </row>
    <row r="172" spans="24:50" ht="45" x14ac:dyDescent="0.25">
      <c r="X172" t="s">
        <v>613</v>
      </c>
      <c r="Y172" t="s">
        <v>1296</v>
      </c>
      <c r="Z172" t="s">
        <v>1691</v>
      </c>
      <c r="AE172" t="s">
        <v>613</v>
      </c>
      <c r="AF172" t="s">
        <v>1603</v>
      </c>
      <c r="AG172" t="s">
        <v>1746</v>
      </c>
      <c r="AW172" s="50" t="s">
        <v>3427</v>
      </c>
      <c r="AX172" t="s">
        <v>3413</v>
      </c>
    </row>
    <row r="173" spans="24:50" ht="60" x14ac:dyDescent="0.25">
      <c r="X173" t="s">
        <v>613</v>
      </c>
      <c r="Y173" t="s">
        <v>1297</v>
      </c>
      <c r="Z173" t="s">
        <v>1691</v>
      </c>
      <c r="AE173" t="s">
        <v>613</v>
      </c>
      <c r="AF173" t="s">
        <v>1472</v>
      </c>
      <c r="AG173" t="s">
        <v>1746</v>
      </c>
      <c r="AM173" t="s">
        <v>414</v>
      </c>
      <c r="AW173" s="50" t="s">
        <v>3428</v>
      </c>
      <c r="AX173" t="s">
        <v>3413</v>
      </c>
    </row>
    <row r="174" spans="24:50" ht="45" x14ac:dyDescent="0.25">
      <c r="X174" t="s">
        <v>613</v>
      </c>
      <c r="Y174" t="s">
        <v>1298</v>
      </c>
      <c r="Z174" t="s">
        <v>1691</v>
      </c>
      <c r="AE174" t="s">
        <v>613</v>
      </c>
      <c r="AF174" t="s">
        <v>1475</v>
      </c>
      <c r="AG174" t="s">
        <v>1747</v>
      </c>
      <c r="AM174" t="s">
        <v>613</v>
      </c>
      <c r="AN174" t="s">
        <v>1308</v>
      </c>
      <c r="AO174" t="s">
        <v>1756</v>
      </c>
      <c r="AU174" s="235"/>
      <c r="AV174" s="236" t="s">
        <v>3467</v>
      </c>
      <c r="AW174" s="239" t="s">
        <v>3374</v>
      </c>
      <c r="AX174" t="s">
        <v>3390</v>
      </c>
    </row>
    <row r="175" spans="24:50" ht="30" x14ac:dyDescent="0.25">
      <c r="X175" t="s">
        <v>613</v>
      </c>
      <c r="Y175" t="s">
        <v>1299</v>
      </c>
      <c r="Z175" t="s">
        <v>1691</v>
      </c>
      <c r="AE175" t="s">
        <v>613</v>
      </c>
      <c r="AF175" t="s">
        <v>1476</v>
      </c>
      <c r="AG175" t="s">
        <v>1700</v>
      </c>
      <c r="AM175" t="s">
        <v>613</v>
      </c>
      <c r="AN175" t="s">
        <v>1323</v>
      </c>
      <c r="AO175" t="s">
        <v>1699</v>
      </c>
      <c r="AU175" s="235"/>
      <c r="AV175" s="236" t="s">
        <v>3401</v>
      </c>
      <c r="AW175" s="239" t="s">
        <v>3429</v>
      </c>
      <c r="AX175" t="s">
        <v>613</v>
      </c>
    </row>
    <row r="176" spans="24:50" ht="30" x14ac:dyDescent="0.25">
      <c r="X176" t="s">
        <v>613</v>
      </c>
      <c r="Y176" t="s">
        <v>1300</v>
      </c>
      <c r="Z176" t="s">
        <v>1691</v>
      </c>
      <c r="AE176" t="s">
        <v>613</v>
      </c>
      <c r="AF176" t="s">
        <v>1477</v>
      </c>
      <c r="AG176" t="s">
        <v>1745</v>
      </c>
      <c r="AM176" t="s">
        <v>613</v>
      </c>
      <c r="AN176" t="s">
        <v>1350</v>
      </c>
      <c r="AO176" t="s">
        <v>1756</v>
      </c>
      <c r="AU176" s="235"/>
      <c r="AV176" s="236" t="s">
        <v>3416</v>
      </c>
      <c r="AW176" s="239" t="s">
        <v>3430</v>
      </c>
      <c r="AX176" t="s">
        <v>613</v>
      </c>
    </row>
    <row r="177" spans="24:50" ht="30" x14ac:dyDescent="0.25">
      <c r="X177" t="s">
        <v>613</v>
      </c>
      <c r="Y177" t="s">
        <v>1301</v>
      </c>
      <c r="Z177" t="s">
        <v>1691</v>
      </c>
      <c r="AE177" t="s">
        <v>613</v>
      </c>
      <c r="AF177" t="s">
        <v>1607</v>
      </c>
      <c r="AG177" t="s">
        <v>1746</v>
      </c>
      <c r="AM177" t="s">
        <v>613</v>
      </c>
      <c r="AN177" t="s">
        <v>1353</v>
      </c>
      <c r="AO177" t="s">
        <v>1695</v>
      </c>
      <c r="AU177" s="235"/>
      <c r="AV177" s="236" t="s">
        <v>3452</v>
      </c>
      <c r="AW177" s="239" t="s">
        <v>3431</v>
      </c>
      <c r="AX177" t="s">
        <v>3390</v>
      </c>
    </row>
    <row r="178" spans="24:50" ht="45" x14ac:dyDescent="0.25">
      <c r="X178" t="s">
        <v>613</v>
      </c>
      <c r="Y178" t="s">
        <v>1302</v>
      </c>
      <c r="Z178" t="s">
        <v>1691</v>
      </c>
      <c r="AE178" t="s">
        <v>613</v>
      </c>
      <c r="AF178" t="s">
        <v>1608</v>
      </c>
      <c r="AG178" t="s">
        <v>1746</v>
      </c>
      <c r="AM178" t="s">
        <v>613</v>
      </c>
      <c r="AN178" t="s">
        <v>1354</v>
      </c>
      <c r="AO178" t="s">
        <v>1695</v>
      </c>
      <c r="AU178" s="235"/>
      <c r="AV178" s="236" t="s">
        <v>3453</v>
      </c>
      <c r="AW178" s="239" t="s">
        <v>3432</v>
      </c>
      <c r="AX178" t="s">
        <v>613</v>
      </c>
    </row>
    <row r="179" spans="24:50" x14ac:dyDescent="0.25">
      <c r="X179" t="s">
        <v>613</v>
      </c>
      <c r="Y179" t="s">
        <v>1303</v>
      </c>
      <c r="Z179" t="s">
        <v>1691</v>
      </c>
      <c r="AE179" t="s">
        <v>613</v>
      </c>
      <c r="AF179" t="s">
        <v>1221</v>
      </c>
      <c r="AG179" t="s">
        <v>1748</v>
      </c>
      <c r="AM179" t="s">
        <v>613</v>
      </c>
      <c r="AN179" t="s">
        <v>1355</v>
      </c>
      <c r="AO179" t="s">
        <v>1695</v>
      </c>
      <c r="AU179" s="235"/>
      <c r="AV179" s="236" t="s">
        <v>3454</v>
      </c>
      <c r="AW179" s="236" t="s">
        <v>3433</v>
      </c>
      <c r="AX179" t="s">
        <v>613</v>
      </c>
    </row>
    <row r="180" spans="24:50" x14ac:dyDescent="0.25">
      <c r="X180" t="s">
        <v>613</v>
      </c>
      <c r="Y180" t="s">
        <v>1304</v>
      </c>
      <c r="Z180" t="s">
        <v>1691</v>
      </c>
      <c r="AM180" t="s">
        <v>613</v>
      </c>
      <c r="AN180" t="s">
        <v>1356</v>
      </c>
      <c r="AO180" t="s">
        <v>1695</v>
      </c>
      <c r="AU180" s="235"/>
      <c r="AV180" s="236" t="s">
        <v>3400</v>
      </c>
      <c r="AW180" s="236" t="s">
        <v>3321</v>
      </c>
      <c r="AX180" t="s">
        <v>613</v>
      </c>
    </row>
    <row r="181" spans="24:50" ht="30" x14ac:dyDescent="0.25">
      <c r="X181" t="s">
        <v>613</v>
      </c>
      <c r="Y181" t="s">
        <v>1305</v>
      </c>
      <c r="Z181" t="s">
        <v>1691</v>
      </c>
      <c r="AM181" t="s">
        <v>613</v>
      </c>
      <c r="AN181" t="s">
        <v>1357</v>
      </c>
      <c r="AO181" t="s">
        <v>1695</v>
      </c>
      <c r="AU181" s="235"/>
      <c r="AV181" s="236" t="s">
        <v>3401</v>
      </c>
      <c r="AW181" s="239" t="s">
        <v>3277</v>
      </c>
      <c r="AX181" t="s">
        <v>613</v>
      </c>
    </row>
    <row r="182" spans="24:50" x14ac:dyDescent="0.25">
      <c r="X182" t="s">
        <v>613</v>
      </c>
      <c r="Y182" t="s">
        <v>1306</v>
      </c>
      <c r="Z182" t="s">
        <v>1691</v>
      </c>
      <c r="AM182" t="s">
        <v>613</v>
      </c>
      <c r="AN182" t="s">
        <v>1358</v>
      </c>
      <c r="AO182" t="s">
        <v>1695</v>
      </c>
      <c r="AU182" s="235"/>
      <c r="AV182" s="236" t="s">
        <v>3454</v>
      </c>
      <c r="AW182" s="239" t="s">
        <v>3434</v>
      </c>
      <c r="AX182" t="s">
        <v>613</v>
      </c>
    </row>
    <row r="183" spans="24:50" ht="30" x14ac:dyDescent="0.25">
      <c r="X183" t="s">
        <v>613</v>
      </c>
      <c r="Y183" t="s">
        <v>1307</v>
      </c>
      <c r="Z183" t="s">
        <v>1691</v>
      </c>
      <c r="AE183" t="s">
        <v>298</v>
      </c>
      <c r="AM183" t="s">
        <v>613</v>
      </c>
      <c r="AN183" t="s">
        <v>1359</v>
      </c>
      <c r="AO183" t="s">
        <v>1695</v>
      </c>
      <c r="AU183" s="235"/>
      <c r="AV183" s="236"/>
      <c r="AW183" s="239" t="s">
        <v>3435</v>
      </c>
      <c r="AX183" t="s">
        <v>3413</v>
      </c>
    </row>
    <row r="184" spans="24:50" x14ac:dyDescent="0.25">
      <c r="X184" t="s">
        <v>613</v>
      </c>
      <c r="Y184" t="s">
        <v>1308</v>
      </c>
      <c r="Z184" t="s">
        <v>1697</v>
      </c>
      <c r="AE184" t="s">
        <v>613</v>
      </c>
      <c r="AF184" t="s">
        <v>1268</v>
      </c>
      <c r="AG184" t="s">
        <v>1758</v>
      </c>
      <c r="AM184" t="s">
        <v>613</v>
      </c>
      <c r="AN184" t="s">
        <v>1360</v>
      </c>
      <c r="AO184" t="s">
        <v>1695</v>
      </c>
      <c r="AU184" s="235"/>
      <c r="AV184" s="236"/>
      <c r="AW184" s="239" t="s">
        <v>3375</v>
      </c>
      <c r="AX184" t="s">
        <v>3413</v>
      </c>
    </row>
    <row r="185" spans="24:50" ht="30" x14ac:dyDescent="0.25">
      <c r="X185" t="s">
        <v>613</v>
      </c>
      <c r="Y185" t="s">
        <v>1309</v>
      </c>
      <c r="Z185" t="s">
        <v>1691</v>
      </c>
      <c r="AE185" t="s">
        <v>613</v>
      </c>
      <c r="AF185" t="s">
        <v>1547</v>
      </c>
      <c r="AG185" t="s">
        <v>1735</v>
      </c>
      <c r="AM185" t="s">
        <v>613</v>
      </c>
      <c r="AN185" t="s">
        <v>1361</v>
      </c>
      <c r="AO185" t="s">
        <v>1695</v>
      </c>
      <c r="AU185" s="235"/>
      <c r="AV185" s="236" t="s">
        <v>3469</v>
      </c>
      <c r="AW185" s="239" t="s">
        <v>3436</v>
      </c>
      <c r="AX185" t="s">
        <v>613</v>
      </c>
    </row>
    <row r="186" spans="24:50" x14ac:dyDescent="0.25">
      <c r="X186" t="s">
        <v>613</v>
      </c>
      <c r="Y186" t="s">
        <v>1310</v>
      </c>
      <c r="Z186" t="s">
        <v>1691</v>
      </c>
      <c r="AE186" t="s">
        <v>613</v>
      </c>
      <c r="AF186" t="s">
        <v>1548</v>
      </c>
      <c r="AG186" t="s">
        <v>1707</v>
      </c>
      <c r="AM186" t="s">
        <v>613</v>
      </c>
      <c r="AN186" t="s">
        <v>1362</v>
      </c>
      <c r="AO186" t="s">
        <v>1695</v>
      </c>
      <c r="AU186" s="235"/>
      <c r="AV186" s="236" t="s">
        <v>3468</v>
      </c>
      <c r="AW186" s="236" t="s">
        <v>3437</v>
      </c>
      <c r="AX186" t="s">
        <v>613</v>
      </c>
    </row>
    <row r="187" spans="24:50" ht="60" x14ac:dyDescent="0.25">
      <c r="X187" t="s">
        <v>613</v>
      </c>
      <c r="Y187" t="s">
        <v>1311</v>
      </c>
      <c r="Z187" t="s">
        <v>1691</v>
      </c>
      <c r="AE187" t="s">
        <v>613</v>
      </c>
      <c r="AF187" t="s">
        <v>1269</v>
      </c>
      <c r="AG187" t="s">
        <v>1736</v>
      </c>
      <c r="AM187" t="s">
        <v>613</v>
      </c>
      <c r="AN187" t="s">
        <v>1381</v>
      </c>
      <c r="AO187" t="s">
        <v>1755</v>
      </c>
      <c r="AU187" s="235"/>
      <c r="AV187" s="236" t="s">
        <v>3473</v>
      </c>
      <c r="AW187" s="50" t="s">
        <v>3438</v>
      </c>
      <c r="AX187" t="s">
        <v>3466</v>
      </c>
    </row>
    <row r="188" spans="24:50" ht="60" x14ac:dyDescent="0.25">
      <c r="X188" t="s">
        <v>613</v>
      </c>
      <c r="Y188" t="s">
        <v>1312</v>
      </c>
      <c r="Z188" t="s">
        <v>1691</v>
      </c>
      <c r="AE188" t="s">
        <v>613</v>
      </c>
      <c r="AF188" t="s">
        <v>1270</v>
      </c>
      <c r="AG188" t="s">
        <v>613</v>
      </c>
      <c r="AM188" t="s">
        <v>613</v>
      </c>
      <c r="AN188" t="s">
        <v>1584</v>
      </c>
      <c r="AO188" t="s">
        <v>1750</v>
      </c>
      <c r="AU188" s="235"/>
      <c r="AV188" s="236"/>
      <c r="AW188" s="50" t="s">
        <v>3376</v>
      </c>
      <c r="AX188" t="s">
        <v>3413</v>
      </c>
    </row>
    <row r="189" spans="24:50" ht="45" x14ac:dyDescent="0.25">
      <c r="X189" t="s">
        <v>613</v>
      </c>
      <c r="Y189" t="s">
        <v>1313</v>
      </c>
      <c r="Z189" t="s">
        <v>1691</v>
      </c>
      <c r="AE189" t="s">
        <v>613</v>
      </c>
      <c r="AF189" t="s">
        <v>1242</v>
      </c>
      <c r="AG189" t="s">
        <v>613</v>
      </c>
      <c r="AM189" t="s">
        <v>613</v>
      </c>
      <c r="AN189" t="s">
        <v>1585</v>
      </c>
      <c r="AO189" t="s">
        <v>1750</v>
      </c>
      <c r="AU189" s="235"/>
      <c r="AV189" s="236" t="s">
        <v>3464</v>
      </c>
      <c r="AW189" s="50" t="s">
        <v>3439</v>
      </c>
      <c r="AX189" t="s">
        <v>3465</v>
      </c>
    </row>
    <row r="190" spans="24:50" ht="45" x14ac:dyDescent="0.25">
      <c r="X190" t="s">
        <v>613</v>
      </c>
      <c r="Y190" t="s">
        <v>1314</v>
      </c>
      <c r="Z190" t="s">
        <v>1691</v>
      </c>
      <c r="AE190" t="s">
        <v>613</v>
      </c>
      <c r="AF190" t="s">
        <v>1381</v>
      </c>
      <c r="AG190" t="s">
        <v>1755</v>
      </c>
      <c r="AM190" t="s">
        <v>613</v>
      </c>
      <c r="AN190" t="s">
        <v>1586</v>
      </c>
      <c r="AO190" t="s">
        <v>1750</v>
      </c>
      <c r="AU190" s="235"/>
      <c r="AV190" s="236" t="s">
        <v>3407</v>
      </c>
      <c r="AW190" s="50" t="s">
        <v>3440</v>
      </c>
      <c r="AX190" t="s">
        <v>3463</v>
      </c>
    </row>
    <row r="191" spans="24:50" ht="30" x14ac:dyDescent="0.25">
      <c r="X191" t="s">
        <v>613</v>
      </c>
      <c r="Y191" t="s">
        <v>1315</v>
      </c>
      <c r="Z191" t="s">
        <v>1691</v>
      </c>
      <c r="AE191" t="s">
        <v>613</v>
      </c>
      <c r="AF191" t="s">
        <v>1229</v>
      </c>
      <c r="AG191" t="s">
        <v>1755</v>
      </c>
      <c r="AM191" t="s">
        <v>613</v>
      </c>
      <c r="AN191" t="s">
        <v>1587</v>
      </c>
      <c r="AO191" t="s">
        <v>1750</v>
      </c>
      <c r="AU191" s="235"/>
      <c r="AV191" s="236" t="s">
        <v>3454</v>
      </c>
      <c r="AW191" s="50" t="s">
        <v>3441</v>
      </c>
      <c r="AX191" t="s">
        <v>3462</v>
      </c>
    </row>
    <row r="192" spans="24:50" x14ac:dyDescent="0.25">
      <c r="X192" t="s">
        <v>613</v>
      </c>
      <c r="Y192" t="s">
        <v>1316</v>
      </c>
      <c r="Z192" t="s">
        <v>1691</v>
      </c>
      <c r="AE192" t="s">
        <v>613</v>
      </c>
      <c r="AF192" t="s">
        <v>1221</v>
      </c>
      <c r="AG192" t="s">
        <v>1748</v>
      </c>
      <c r="AM192" t="s">
        <v>613</v>
      </c>
      <c r="AN192" t="s">
        <v>1588</v>
      </c>
      <c r="AO192" t="s">
        <v>1750</v>
      </c>
      <c r="AU192" s="235"/>
      <c r="AV192" s="236" t="s">
        <v>3461</v>
      </c>
      <c r="AW192" s="50" t="s">
        <v>3377</v>
      </c>
      <c r="AX192" t="s">
        <v>613</v>
      </c>
    </row>
    <row r="193" spans="24:52" ht="30" x14ac:dyDescent="0.25">
      <c r="X193" t="s">
        <v>613</v>
      </c>
      <c r="Y193" t="s">
        <v>1317</v>
      </c>
      <c r="Z193" t="s">
        <v>1691</v>
      </c>
      <c r="AM193" t="s">
        <v>613</v>
      </c>
      <c r="AN193" t="s">
        <v>1589</v>
      </c>
      <c r="AO193" t="s">
        <v>1750</v>
      </c>
      <c r="AU193" s="235"/>
      <c r="AV193" s="236" t="s">
        <v>3460</v>
      </c>
      <c r="AW193" s="50" t="s">
        <v>3442</v>
      </c>
      <c r="AX193" t="s">
        <v>613</v>
      </c>
    </row>
    <row r="194" spans="24:52" ht="45" x14ac:dyDescent="0.25">
      <c r="X194" t="s">
        <v>613</v>
      </c>
      <c r="Y194" t="s">
        <v>1318</v>
      </c>
      <c r="Z194" t="s">
        <v>1691</v>
      </c>
      <c r="AM194" t="s">
        <v>613</v>
      </c>
      <c r="AN194" t="s">
        <v>1590</v>
      </c>
      <c r="AO194" t="s">
        <v>1750</v>
      </c>
      <c r="AU194" s="235"/>
      <c r="AV194" s="236" t="s">
        <v>3459</v>
      </c>
      <c r="AW194" s="50" t="s">
        <v>3443</v>
      </c>
      <c r="AX194" t="s">
        <v>613</v>
      </c>
    </row>
    <row r="195" spans="24:52" ht="45" x14ac:dyDescent="0.25">
      <c r="X195" t="s">
        <v>613</v>
      </c>
      <c r="Y195" t="s">
        <v>1319</v>
      </c>
      <c r="Z195" t="s">
        <v>1691</v>
      </c>
      <c r="AE195" t="s">
        <v>414</v>
      </c>
      <c r="AM195" t="s">
        <v>613</v>
      </c>
      <c r="AN195" t="s">
        <v>1591</v>
      </c>
      <c r="AO195" t="s">
        <v>1750</v>
      </c>
      <c r="AU195" s="235"/>
      <c r="AV195" s="236" t="s">
        <v>3398</v>
      </c>
      <c r="AW195" s="50" t="s">
        <v>3444</v>
      </c>
      <c r="AX195" t="s">
        <v>613</v>
      </c>
    </row>
    <row r="196" spans="24:52" ht="75" x14ac:dyDescent="0.25">
      <c r="X196" t="s">
        <v>613</v>
      </c>
      <c r="Y196" t="s">
        <v>1320</v>
      </c>
      <c r="Z196" t="s">
        <v>1691</v>
      </c>
      <c r="AE196" t="s">
        <v>613</v>
      </c>
      <c r="AF196" t="s">
        <v>1308</v>
      </c>
      <c r="AG196" t="s">
        <v>1756</v>
      </c>
      <c r="AM196" t="s">
        <v>613</v>
      </c>
      <c r="AN196" t="s">
        <v>1592</v>
      </c>
      <c r="AO196" t="s">
        <v>1750</v>
      </c>
      <c r="AU196" s="235"/>
      <c r="AV196" s="236"/>
      <c r="AW196" s="50" t="s">
        <v>3378</v>
      </c>
      <c r="AX196" t="s">
        <v>3458</v>
      </c>
    </row>
    <row r="197" spans="24:52" x14ac:dyDescent="0.25">
      <c r="X197" t="s">
        <v>613</v>
      </c>
      <c r="Y197" t="s">
        <v>1321</v>
      </c>
      <c r="Z197" t="s">
        <v>1699</v>
      </c>
      <c r="AE197" t="s">
        <v>613</v>
      </c>
      <c r="AF197" t="s">
        <v>1323</v>
      </c>
      <c r="AG197" t="s">
        <v>1699</v>
      </c>
      <c r="AM197" t="s">
        <v>613</v>
      </c>
      <c r="AN197" t="s">
        <v>1593</v>
      </c>
      <c r="AO197" t="s">
        <v>1750</v>
      </c>
      <c r="AU197" s="235"/>
      <c r="AV197" s="236"/>
      <c r="AW197" s="50" t="s">
        <v>3341</v>
      </c>
      <c r="AX197" t="s">
        <v>3458</v>
      </c>
    </row>
    <row r="198" spans="24:52" x14ac:dyDescent="0.25">
      <c r="X198" t="s">
        <v>613</v>
      </c>
      <c r="Y198" t="s">
        <v>1322</v>
      </c>
      <c r="Z198" t="s">
        <v>1699</v>
      </c>
      <c r="AE198" t="s">
        <v>613</v>
      </c>
      <c r="AF198" t="s">
        <v>1350</v>
      </c>
      <c r="AG198" t="s">
        <v>1756</v>
      </c>
      <c r="AM198" t="s">
        <v>613</v>
      </c>
      <c r="AN198" t="s">
        <v>1594</v>
      </c>
      <c r="AO198" t="s">
        <v>1750</v>
      </c>
      <c r="AU198" s="235"/>
      <c r="AV198" s="236"/>
      <c r="AW198" s="50" t="s">
        <v>3342</v>
      </c>
      <c r="AX198" t="s">
        <v>3458</v>
      </c>
    </row>
    <row r="199" spans="24:52" x14ac:dyDescent="0.25">
      <c r="X199" t="s">
        <v>613</v>
      </c>
      <c r="Y199" t="s">
        <v>1323</v>
      </c>
      <c r="Z199" t="s">
        <v>1699</v>
      </c>
      <c r="AE199" t="s">
        <v>613</v>
      </c>
      <c r="AF199" t="s">
        <v>1353</v>
      </c>
      <c r="AG199" t="s">
        <v>1695</v>
      </c>
      <c r="AM199" t="s">
        <v>613</v>
      </c>
      <c r="AN199" t="s">
        <v>1595</v>
      </c>
      <c r="AO199" t="s">
        <v>1750</v>
      </c>
      <c r="AU199" s="235"/>
      <c r="AV199" s="236"/>
      <c r="AW199" s="50" t="s">
        <v>3343</v>
      </c>
      <c r="AX199" t="s">
        <v>3458</v>
      </c>
    </row>
    <row r="200" spans="24:52" ht="30" x14ac:dyDescent="0.25">
      <c r="X200" t="s">
        <v>613</v>
      </c>
      <c r="Y200" t="s">
        <v>1324</v>
      </c>
      <c r="Z200" t="s">
        <v>1699</v>
      </c>
      <c r="AE200" t="s">
        <v>613</v>
      </c>
      <c r="AF200" t="s">
        <v>1354</v>
      </c>
      <c r="AG200" t="s">
        <v>1695</v>
      </c>
      <c r="AM200" t="s">
        <v>613</v>
      </c>
      <c r="AN200" t="s">
        <v>1596</v>
      </c>
      <c r="AO200" t="s">
        <v>1750</v>
      </c>
      <c r="AU200" s="235"/>
      <c r="AV200" s="236"/>
      <c r="AW200" s="50" t="s">
        <v>3344</v>
      </c>
      <c r="AX200" t="s">
        <v>3458</v>
      </c>
      <c r="AZ200" s="50"/>
    </row>
    <row r="201" spans="24:52" x14ac:dyDescent="0.25">
      <c r="X201" t="s">
        <v>613</v>
      </c>
      <c r="Y201" t="s">
        <v>1325</v>
      </c>
      <c r="Z201" t="s">
        <v>1691</v>
      </c>
      <c r="AE201" t="s">
        <v>613</v>
      </c>
      <c r="AF201" t="s">
        <v>1355</v>
      </c>
      <c r="AG201" t="s">
        <v>1695</v>
      </c>
      <c r="AM201" t="s">
        <v>613</v>
      </c>
      <c r="AN201" t="s">
        <v>1597</v>
      </c>
      <c r="AO201" t="s">
        <v>1750</v>
      </c>
      <c r="AU201" s="235"/>
      <c r="AV201" s="236"/>
      <c r="AW201" s="50" t="s">
        <v>3379</v>
      </c>
      <c r="AX201" t="s">
        <v>3458</v>
      </c>
      <c r="AZ201" s="50"/>
    </row>
    <row r="202" spans="24:52" x14ac:dyDescent="0.25">
      <c r="X202" t="s">
        <v>613</v>
      </c>
      <c r="Y202" t="s">
        <v>1326</v>
      </c>
      <c r="Z202" t="s">
        <v>1691</v>
      </c>
      <c r="AE202" t="s">
        <v>613</v>
      </c>
      <c r="AF202" t="s">
        <v>1356</v>
      </c>
      <c r="AG202" t="s">
        <v>1695</v>
      </c>
      <c r="AM202" t="s">
        <v>613</v>
      </c>
      <c r="AN202" t="s">
        <v>1598</v>
      </c>
      <c r="AO202" t="s">
        <v>1750</v>
      </c>
      <c r="AU202" s="235"/>
      <c r="AV202" s="236"/>
      <c r="AW202" s="50" t="s">
        <v>3346</v>
      </c>
      <c r="AX202" t="s">
        <v>3458</v>
      </c>
      <c r="AZ202" s="50"/>
    </row>
    <row r="203" spans="24:52" x14ac:dyDescent="0.25">
      <c r="X203" t="s">
        <v>613</v>
      </c>
      <c r="Y203" t="s">
        <v>1327</v>
      </c>
      <c r="Z203" t="s">
        <v>1691</v>
      </c>
      <c r="AE203" t="s">
        <v>613</v>
      </c>
      <c r="AF203" t="s">
        <v>1357</v>
      </c>
      <c r="AG203" t="s">
        <v>1695</v>
      </c>
      <c r="AM203" t="s">
        <v>613</v>
      </c>
      <c r="AN203" t="s">
        <v>1599</v>
      </c>
      <c r="AO203" t="s">
        <v>1750</v>
      </c>
      <c r="AU203" s="235"/>
      <c r="AV203" s="236"/>
      <c r="AW203" s="50" t="s">
        <v>3380</v>
      </c>
      <c r="AX203" t="s">
        <v>3458</v>
      </c>
      <c r="AZ203" s="50"/>
    </row>
    <row r="204" spans="24:52" x14ac:dyDescent="0.25">
      <c r="X204" t="s">
        <v>613</v>
      </c>
      <c r="Y204" t="s">
        <v>1328</v>
      </c>
      <c r="Z204" t="s">
        <v>1691</v>
      </c>
      <c r="AE204" t="s">
        <v>613</v>
      </c>
      <c r="AF204" t="s">
        <v>1358</v>
      </c>
      <c r="AG204" t="s">
        <v>1695</v>
      </c>
      <c r="AM204" t="s">
        <v>613</v>
      </c>
      <c r="AN204" t="s">
        <v>1600</v>
      </c>
      <c r="AO204" t="s">
        <v>1750</v>
      </c>
      <c r="AU204" s="235"/>
      <c r="AV204" s="236" t="s">
        <v>3399</v>
      </c>
      <c r="AW204" t="s">
        <v>3382</v>
      </c>
      <c r="AX204" t="s">
        <v>613</v>
      </c>
      <c r="AZ204" s="50"/>
    </row>
    <row r="205" spans="24:52" x14ac:dyDescent="0.25">
      <c r="X205" t="s">
        <v>613</v>
      </c>
      <c r="Y205" t="s">
        <v>1329</v>
      </c>
      <c r="Z205" t="s">
        <v>1691</v>
      </c>
      <c r="AE205" t="s">
        <v>613</v>
      </c>
      <c r="AF205" t="s">
        <v>1359</v>
      </c>
      <c r="AG205" t="s">
        <v>1695</v>
      </c>
      <c r="AM205" t="s">
        <v>613</v>
      </c>
      <c r="AN205" t="s">
        <v>1229</v>
      </c>
      <c r="AO205" t="s">
        <v>1755</v>
      </c>
      <c r="AU205" s="235"/>
      <c r="AV205" s="236" t="s">
        <v>3452</v>
      </c>
      <c r="AW205" s="50" t="s">
        <v>3349</v>
      </c>
      <c r="AX205" t="s">
        <v>613</v>
      </c>
      <c r="AZ205" s="50"/>
    </row>
    <row r="206" spans="24:52" x14ac:dyDescent="0.25">
      <c r="X206" t="s">
        <v>613</v>
      </c>
      <c r="Y206" t="s">
        <v>1330</v>
      </c>
      <c r="Z206" t="s">
        <v>1691</v>
      </c>
      <c r="AE206" t="s">
        <v>613</v>
      </c>
      <c r="AF206" t="s">
        <v>1360</v>
      </c>
      <c r="AG206" t="s">
        <v>1695</v>
      </c>
      <c r="AM206" t="s">
        <v>613</v>
      </c>
      <c r="AN206" t="s">
        <v>1468</v>
      </c>
      <c r="AO206" t="s">
        <v>1732</v>
      </c>
      <c r="AU206" s="235"/>
      <c r="AV206" s="236" t="s">
        <v>3446</v>
      </c>
      <c r="AW206" s="50" t="s">
        <v>3381</v>
      </c>
      <c r="AX206" t="s">
        <v>613</v>
      </c>
      <c r="AZ206" s="50"/>
    </row>
    <row r="207" spans="24:52" x14ac:dyDescent="0.25">
      <c r="X207" t="s">
        <v>613</v>
      </c>
      <c r="Y207" t="s">
        <v>1331</v>
      </c>
      <c r="Z207" t="s">
        <v>1691</v>
      </c>
      <c r="AE207" t="s">
        <v>613</v>
      </c>
      <c r="AF207" t="s">
        <v>1361</v>
      </c>
      <c r="AG207" t="s">
        <v>1695</v>
      </c>
      <c r="AM207" t="s">
        <v>613</v>
      </c>
      <c r="AN207" t="s">
        <v>1469</v>
      </c>
      <c r="AO207" t="s">
        <v>1732</v>
      </c>
      <c r="AU207" s="235"/>
      <c r="AV207" s="236" t="s">
        <v>3400</v>
      </c>
      <c r="AW207" s="50" t="s">
        <v>3321</v>
      </c>
      <c r="AX207" t="s">
        <v>3391</v>
      </c>
    </row>
    <row r="208" spans="24:52" ht="45" x14ac:dyDescent="0.25">
      <c r="X208" t="s">
        <v>613</v>
      </c>
      <c r="Y208" t="s">
        <v>1332</v>
      </c>
      <c r="Z208" t="s">
        <v>1708</v>
      </c>
      <c r="AE208" t="s">
        <v>613</v>
      </c>
      <c r="AF208" t="s">
        <v>1362</v>
      </c>
      <c r="AG208" t="s">
        <v>1695</v>
      </c>
      <c r="AM208" t="s">
        <v>613</v>
      </c>
      <c r="AN208" t="s">
        <v>1470</v>
      </c>
      <c r="AO208" t="s">
        <v>1732</v>
      </c>
      <c r="AU208" s="235"/>
      <c r="AV208" s="236" t="s">
        <v>3401</v>
      </c>
      <c r="AW208" s="50" t="s">
        <v>3383</v>
      </c>
      <c r="AX208" t="s">
        <v>613</v>
      </c>
      <c r="AZ208" s="50"/>
    </row>
    <row r="209" spans="24:52" ht="30" x14ac:dyDescent="0.25">
      <c r="X209" t="s">
        <v>613</v>
      </c>
      <c r="Y209" t="s">
        <v>1333</v>
      </c>
      <c r="Z209" t="s">
        <v>613</v>
      </c>
      <c r="AE209" t="s">
        <v>613</v>
      </c>
      <c r="AF209" t="s">
        <v>1381</v>
      </c>
      <c r="AG209" t="s">
        <v>1755</v>
      </c>
      <c r="AM209" t="s">
        <v>613</v>
      </c>
      <c r="AN209" t="s">
        <v>1471</v>
      </c>
      <c r="AO209" t="s">
        <v>1732</v>
      </c>
      <c r="AU209" s="235"/>
      <c r="AV209" s="236"/>
      <c r="AW209" s="50" t="s">
        <v>3384</v>
      </c>
      <c r="AZ209" s="50"/>
    </row>
    <row r="210" spans="24:52" x14ac:dyDescent="0.25">
      <c r="X210" t="s">
        <v>613</v>
      </c>
      <c r="Y210" t="s">
        <v>1334</v>
      </c>
      <c r="Z210" t="s">
        <v>1691</v>
      </c>
      <c r="AE210" t="s">
        <v>613</v>
      </c>
      <c r="AF210" t="s">
        <v>1584</v>
      </c>
      <c r="AG210" t="s">
        <v>1750</v>
      </c>
      <c r="AM210" t="s">
        <v>613</v>
      </c>
      <c r="AN210" t="s">
        <v>1630</v>
      </c>
      <c r="AO210" t="s">
        <v>1745</v>
      </c>
      <c r="AU210" s="235"/>
      <c r="AV210" s="236" t="s">
        <v>3456</v>
      </c>
      <c r="AW210" s="50" t="s">
        <v>3385</v>
      </c>
      <c r="AX210" t="s">
        <v>3391</v>
      </c>
      <c r="AZ210" s="50"/>
    </row>
    <row r="211" spans="24:52" x14ac:dyDescent="0.25">
      <c r="X211" t="s">
        <v>613</v>
      </c>
      <c r="Y211" t="s">
        <v>1335</v>
      </c>
      <c r="Z211" t="s">
        <v>1691</v>
      </c>
      <c r="AE211" t="s">
        <v>613</v>
      </c>
      <c r="AF211" t="s">
        <v>1585</v>
      </c>
      <c r="AG211" t="s">
        <v>1750</v>
      </c>
      <c r="AM211" t="s">
        <v>613</v>
      </c>
      <c r="AN211" t="s">
        <v>1640</v>
      </c>
      <c r="AO211" t="s">
        <v>1759</v>
      </c>
      <c r="AU211" s="235"/>
      <c r="AV211" s="236" t="s">
        <v>3403</v>
      </c>
      <c r="AW211" s="50" t="s">
        <v>3386</v>
      </c>
      <c r="AX211" t="s">
        <v>613</v>
      </c>
      <c r="AZ211" s="50"/>
    </row>
    <row r="212" spans="24:52" x14ac:dyDescent="0.25">
      <c r="X212" t="s">
        <v>613</v>
      </c>
      <c r="Y212" t="s">
        <v>1336</v>
      </c>
      <c r="Z212" t="s">
        <v>1691</v>
      </c>
      <c r="AE212" t="s">
        <v>613</v>
      </c>
      <c r="AF212" t="s">
        <v>1586</v>
      </c>
      <c r="AG212" t="s">
        <v>1750</v>
      </c>
      <c r="AM212" t="s">
        <v>613</v>
      </c>
      <c r="AN212" t="s">
        <v>1641</v>
      </c>
      <c r="AO212" t="s">
        <v>1759</v>
      </c>
      <c r="AU212" s="235"/>
      <c r="AV212" s="236" t="s">
        <v>3455</v>
      </c>
      <c r="AW212" s="50" t="s">
        <v>3387</v>
      </c>
      <c r="AX212" t="s">
        <v>3391</v>
      </c>
      <c r="AZ212" s="50"/>
    </row>
    <row r="213" spans="24:52" x14ac:dyDescent="0.25">
      <c r="X213" t="s">
        <v>613</v>
      </c>
      <c r="Y213" t="s">
        <v>1337</v>
      </c>
      <c r="Z213" t="s">
        <v>1708</v>
      </c>
      <c r="AE213" t="s">
        <v>613</v>
      </c>
      <c r="AF213" t="s">
        <v>1587</v>
      </c>
      <c r="AG213" t="s">
        <v>1750</v>
      </c>
      <c r="AM213" t="s">
        <v>613</v>
      </c>
      <c r="AN213" t="s">
        <v>1642</v>
      </c>
      <c r="AO213" t="s">
        <v>1759</v>
      </c>
      <c r="AU213" s="235"/>
      <c r="AV213" s="236"/>
      <c r="AW213" s="50" t="s">
        <v>3388</v>
      </c>
    </row>
    <row r="214" spans="24:52" x14ac:dyDescent="0.25">
      <c r="X214" t="s">
        <v>613</v>
      </c>
      <c r="Y214" t="s">
        <v>1338</v>
      </c>
      <c r="Z214" t="s">
        <v>1691</v>
      </c>
      <c r="AE214" t="s">
        <v>613</v>
      </c>
      <c r="AF214" t="s">
        <v>1588</v>
      </c>
      <c r="AG214" t="s">
        <v>1750</v>
      </c>
      <c r="AM214" t="s">
        <v>613</v>
      </c>
      <c r="AN214" t="s">
        <v>1644</v>
      </c>
      <c r="AO214" t="s">
        <v>1759</v>
      </c>
      <c r="AU214" s="235"/>
      <c r="AV214" s="236"/>
    </row>
    <row r="215" spans="24:52" x14ac:dyDescent="0.25">
      <c r="X215" t="s">
        <v>613</v>
      </c>
      <c r="Y215" t="s">
        <v>1339</v>
      </c>
      <c r="Z215" t="s">
        <v>1691</v>
      </c>
      <c r="AE215" t="s">
        <v>613</v>
      </c>
      <c r="AF215" t="s">
        <v>1589</v>
      </c>
      <c r="AG215" t="s">
        <v>1750</v>
      </c>
      <c r="AM215" t="s">
        <v>613</v>
      </c>
      <c r="AN215" t="s">
        <v>1656</v>
      </c>
      <c r="AO215" t="s">
        <v>1760</v>
      </c>
      <c r="AU215" s="235" t="s">
        <v>3246</v>
      </c>
      <c r="AV215" s="236" t="s">
        <v>1887</v>
      </c>
      <c r="AW215" s="179" t="s">
        <v>287</v>
      </c>
      <c r="AX215" t="s">
        <v>1889</v>
      </c>
    </row>
    <row r="216" spans="24:52" ht="75" x14ac:dyDescent="0.25">
      <c r="X216" t="s">
        <v>613</v>
      </c>
      <c r="Y216" t="s">
        <v>1340</v>
      </c>
      <c r="Z216" t="s">
        <v>1708</v>
      </c>
      <c r="AE216" t="s">
        <v>613</v>
      </c>
      <c r="AF216" t="s">
        <v>1590</v>
      </c>
      <c r="AG216" t="s">
        <v>1750</v>
      </c>
      <c r="AM216" t="s">
        <v>613</v>
      </c>
      <c r="AN216" t="s">
        <v>1658</v>
      </c>
      <c r="AO216" t="s">
        <v>1756</v>
      </c>
      <c r="AU216" s="235"/>
      <c r="AV216" s="236" t="s">
        <v>3490</v>
      </c>
      <c r="AW216" s="242" t="s">
        <v>3479</v>
      </c>
      <c r="AX216" t="s">
        <v>3391</v>
      </c>
    </row>
    <row r="217" spans="24:52" ht="60" x14ac:dyDescent="0.25">
      <c r="X217" t="s">
        <v>613</v>
      </c>
      <c r="Y217" t="s">
        <v>1341</v>
      </c>
      <c r="Z217" t="s">
        <v>1708</v>
      </c>
      <c r="AE217" t="s">
        <v>613</v>
      </c>
      <c r="AF217" t="s">
        <v>1591</v>
      </c>
      <c r="AG217" t="s">
        <v>1750</v>
      </c>
      <c r="AM217" t="s">
        <v>613</v>
      </c>
      <c r="AN217" t="s">
        <v>1659</v>
      </c>
      <c r="AO217" t="s">
        <v>1756</v>
      </c>
      <c r="AU217" s="235"/>
      <c r="AV217" s="236" t="s">
        <v>3490</v>
      </c>
      <c r="AW217" s="242" t="s">
        <v>3480</v>
      </c>
      <c r="AX217" t="s">
        <v>3391</v>
      </c>
    </row>
    <row r="218" spans="24:52" x14ac:dyDescent="0.25">
      <c r="X218" t="s">
        <v>613</v>
      </c>
      <c r="Y218" t="s">
        <v>1342</v>
      </c>
      <c r="Z218" t="s">
        <v>1691</v>
      </c>
      <c r="AE218" t="s">
        <v>613</v>
      </c>
      <c r="AF218" t="s">
        <v>1592</v>
      </c>
      <c r="AG218" t="s">
        <v>1750</v>
      </c>
      <c r="AM218" t="s">
        <v>613</v>
      </c>
      <c r="AN218" t="s">
        <v>1660</v>
      </c>
      <c r="AO218" t="s">
        <v>1756</v>
      </c>
      <c r="AU218" s="235"/>
      <c r="AV218" s="236"/>
      <c r="AW218" s="243"/>
    </row>
    <row r="219" spans="24:52" x14ac:dyDescent="0.25">
      <c r="X219" t="s">
        <v>613</v>
      </c>
      <c r="Y219" t="s">
        <v>1343</v>
      </c>
      <c r="Z219" t="s">
        <v>1708</v>
      </c>
      <c r="AE219" t="s">
        <v>613</v>
      </c>
      <c r="AF219" t="s">
        <v>1593</v>
      </c>
      <c r="AG219" t="s">
        <v>1750</v>
      </c>
      <c r="AM219" t="s">
        <v>613</v>
      </c>
      <c r="AN219" t="s">
        <v>1474</v>
      </c>
      <c r="AO219" t="s">
        <v>1756</v>
      </c>
      <c r="AU219" s="235"/>
      <c r="AV219" s="236"/>
      <c r="AW219" s="243"/>
    </row>
    <row r="220" spans="24:52" ht="195" x14ac:dyDescent="0.25">
      <c r="X220" t="s">
        <v>613</v>
      </c>
      <c r="Y220" t="s">
        <v>1344</v>
      </c>
      <c r="Z220" t="s">
        <v>1691</v>
      </c>
      <c r="AE220" t="s">
        <v>613</v>
      </c>
      <c r="AF220" t="s">
        <v>1594</v>
      </c>
      <c r="AG220" t="s">
        <v>1750</v>
      </c>
      <c r="AM220" t="s">
        <v>613</v>
      </c>
      <c r="AN220" t="s">
        <v>1221</v>
      </c>
      <c r="AO220" t="s">
        <v>1749</v>
      </c>
      <c r="AU220" s="235"/>
      <c r="AV220" s="236"/>
      <c r="AW220" s="50" t="s">
        <v>3478</v>
      </c>
    </row>
    <row r="221" spans="24:52" x14ac:dyDescent="0.25">
      <c r="X221" t="s">
        <v>613</v>
      </c>
      <c r="Y221" t="s">
        <v>1345</v>
      </c>
      <c r="Z221" t="s">
        <v>1691</v>
      </c>
      <c r="AE221" t="s">
        <v>613</v>
      </c>
      <c r="AF221" t="s">
        <v>1595</v>
      </c>
      <c r="AG221" t="s">
        <v>1750</v>
      </c>
      <c r="AM221" t="s">
        <v>118</v>
      </c>
      <c r="AU221" s="235"/>
      <c r="AV221" s="236" t="s">
        <v>3450</v>
      </c>
      <c r="AW221" s="50" t="s">
        <v>3274</v>
      </c>
      <c r="AX221" t="s">
        <v>3481</v>
      </c>
    </row>
    <row r="222" spans="24:52" x14ac:dyDescent="0.25">
      <c r="X222" t="s">
        <v>613</v>
      </c>
      <c r="Y222" t="s">
        <v>1346</v>
      </c>
      <c r="Z222" t="s">
        <v>1691</v>
      </c>
      <c r="AE222" t="s">
        <v>613</v>
      </c>
      <c r="AF222" t="s">
        <v>1596</v>
      </c>
      <c r="AG222" t="s">
        <v>1750</v>
      </c>
      <c r="AM222" t="s">
        <v>613</v>
      </c>
      <c r="AN222" t="s">
        <v>1381</v>
      </c>
      <c r="AO222" t="s">
        <v>1755</v>
      </c>
      <c r="AU222" s="235"/>
      <c r="AV222" s="236" t="s">
        <v>3400</v>
      </c>
      <c r="AW222" s="50" t="s">
        <v>3321</v>
      </c>
      <c r="AX222" t="s">
        <v>3481</v>
      </c>
    </row>
    <row r="223" spans="24:52" ht="30" x14ac:dyDescent="0.25">
      <c r="X223" t="s">
        <v>613</v>
      </c>
      <c r="Y223" t="s">
        <v>1347</v>
      </c>
      <c r="Z223" t="s">
        <v>1715</v>
      </c>
      <c r="AE223" t="s">
        <v>613</v>
      </c>
      <c r="AF223" t="s">
        <v>1597</v>
      </c>
      <c r="AG223" t="s">
        <v>1750</v>
      </c>
      <c r="AM223" t="s">
        <v>613</v>
      </c>
      <c r="AN223" t="s">
        <v>1405</v>
      </c>
      <c r="AO223" t="s">
        <v>1750</v>
      </c>
      <c r="AT223" s="200"/>
      <c r="AU223" s="235"/>
      <c r="AV223" s="236" t="s">
        <v>3401</v>
      </c>
      <c r="AW223" s="50" t="s">
        <v>3303</v>
      </c>
      <c r="AX223" t="s">
        <v>3481</v>
      </c>
    </row>
    <row r="224" spans="24:52" x14ac:dyDescent="0.25">
      <c r="X224" t="s">
        <v>613</v>
      </c>
      <c r="Y224" t="s">
        <v>1348</v>
      </c>
      <c r="Z224" t="s">
        <v>1716</v>
      </c>
      <c r="AE224" t="s">
        <v>613</v>
      </c>
      <c r="AF224" t="s">
        <v>1598</v>
      </c>
      <c r="AG224" t="s">
        <v>1750</v>
      </c>
      <c r="AM224" t="s">
        <v>613</v>
      </c>
      <c r="AN224" t="s">
        <v>1406</v>
      </c>
      <c r="AO224" t="s">
        <v>1750</v>
      </c>
      <c r="AT224" s="200"/>
      <c r="AU224" s="235"/>
      <c r="AV224" s="236">
        <v>556</v>
      </c>
      <c r="AW224" s="50" t="s">
        <v>3482</v>
      </c>
      <c r="AX224" t="s">
        <v>3481</v>
      </c>
    </row>
    <row r="225" spans="24:51" x14ac:dyDescent="0.25">
      <c r="X225" t="s">
        <v>613</v>
      </c>
      <c r="Y225" t="s">
        <v>1349</v>
      </c>
      <c r="Z225" t="s">
        <v>1691</v>
      </c>
      <c r="AE225" t="s">
        <v>613</v>
      </c>
      <c r="AF225" t="s">
        <v>1599</v>
      </c>
      <c r="AG225" t="s">
        <v>1750</v>
      </c>
      <c r="AM225" t="s">
        <v>613</v>
      </c>
      <c r="AN225" t="s">
        <v>1407</v>
      </c>
      <c r="AO225" t="s">
        <v>1750</v>
      </c>
      <c r="AU225" s="235"/>
      <c r="AV225" s="236">
        <v>585</v>
      </c>
      <c r="AW225" s="50" t="s">
        <v>3483</v>
      </c>
      <c r="AX225" t="s">
        <v>3481</v>
      </c>
    </row>
    <row r="226" spans="24:51" ht="30" x14ac:dyDescent="0.25">
      <c r="X226" t="s">
        <v>613</v>
      </c>
      <c r="Y226" t="s">
        <v>1350</v>
      </c>
      <c r="Z226" t="s">
        <v>1708</v>
      </c>
      <c r="AE226" t="s">
        <v>613</v>
      </c>
      <c r="AF226" t="s">
        <v>1600</v>
      </c>
      <c r="AG226" t="s">
        <v>1750</v>
      </c>
      <c r="AM226" t="s">
        <v>613</v>
      </c>
      <c r="AN226" t="s">
        <v>1408</v>
      </c>
      <c r="AO226" t="s">
        <v>1750</v>
      </c>
      <c r="AU226" s="235"/>
      <c r="AV226" s="236" t="s">
        <v>3485</v>
      </c>
      <c r="AW226" s="50" t="s">
        <v>3484</v>
      </c>
      <c r="AX226" t="s">
        <v>3481</v>
      </c>
    </row>
    <row r="227" spans="24:51" ht="30" x14ac:dyDescent="0.25">
      <c r="X227" t="s">
        <v>613</v>
      </c>
      <c r="Y227" t="s">
        <v>1351</v>
      </c>
      <c r="Z227" t="s">
        <v>1691</v>
      </c>
      <c r="AE227" t="s">
        <v>613</v>
      </c>
      <c r="AF227" t="s">
        <v>1229</v>
      </c>
      <c r="AG227" t="s">
        <v>1755</v>
      </c>
      <c r="AM227" t="s">
        <v>613</v>
      </c>
      <c r="AN227" t="s">
        <v>1409</v>
      </c>
      <c r="AO227" t="s">
        <v>1750</v>
      </c>
      <c r="AU227" s="240"/>
      <c r="AV227" s="241" t="s">
        <v>3459</v>
      </c>
      <c r="AW227" s="50" t="s">
        <v>3486</v>
      </c>
      <c r="AX227" s="200" t="s">
        <v>3481</v>
      </c>
      <c r="AY227" s="200"/>
    </row>
    <row r="228" spans="24:51" ht="45" x14ac:dyDescent="0.25">
      <c r="X228" t="s">
        <v>613</v>
      </c>
      <c r="Y228" t="s">
        <v>1352</v>
      </c>
      <c r="Z228" t="s">
        <v>1691</v>
      </c>
      <c r="AE228" t="s">
        <v>613</v>
      </c>
      <c r="AF228" t="s">
        <v>1468</v>
      </c>
      <c r="AG228" t="s">
        <v>1732</v>
      </c>
      <c r="AM228" t="s">
        <v>613</v>
      </c>
      <c r="AN228" t="s">
        <v>1410</v>
      </c>
      <c r="AO228" t="s">
        <v>1750</v>
      </c>
      <c r="AU228" s="240"/>
      <c r="AV228" s="241" t="s">
        <v>3487</v>
      </c>
      <c r="AW228" s="50" t="s">
        <v>3291</v>
      </c>
      <c r="AX228" s="200" t="s">
        <v>3481</v>
      </c>
      <c r="AY228" s="200"/>
    </row>
    <row r="229" spans="24:51" x14ac:dyDescent="0.25">
      <c r="X229" t="s">
        <v>613</v>
      </c>
      <c r="Y229" t="s">
        <v>1353</v>
      </c>
      <c r="Z229" t="s">
        <v>1695</v>
      </c>
      <c r="AE229" t="s">
        <v>613</v>
      </c>
      <c r="AF229" t="s">
        <v>1469</v>
      </c>
      <c r="AG229" t="s">
        <v>1732</v>
      </c>
      <c r="AM229" t="s">
        <v>613</v>
      </c>
      <c r="AN229" t="s">
        <v>1411</v>
      </c>
      <c r="AO229" t="s">
        <v>1750</v>
      </c>
      <c r="AU229" s="235"/>
      <c r="AV229" s="236" t="s">
        <v>3490</v>
      </c>
      <c r="AW229" s="50" t="s">
        <v>3488</v>
      </c>
      <c r="AX229" t="s">
        <v>3491</v>
      </c>
    </row>
    <row r="230" spans="24:51" x14ac:dyDescent="0.25">
      <c r="X230" t="s">
        <v>613</v>
      </c>
      <c r="Y230" t="s">
        <v>1354</v>
      </c>
      <c r="Z230" t="s">
        <v>1695</v>
      </c>
      <c r="AE230" t="s">
        <v>613</v>
      </c>
      <c r="AF230" t="s">
        <v>1470</v>
      </c>
      <c r="AG230" t="s">
        <v>1732</v>
      </c>
      <c r="AM230" t="s">
        <v>613</v>
      </c>
      <c r="AN230" t="s">
        <v>1412</v>
      </c>
      <c r="AO230" t="s">
        <v>1750</v>
      </c>
      <c r="AU230" s="235"/>
      <c r="AV230" s="236" t="s">
        <v>3452</v>
      </c>
      <c r="AW230" s="50" t="s">
        <v>3489</v>
      </c>
      <c r="AX230" s="200" t="s">
        <v>3481</v>
      </c>
    </row>
    <row r="231" spans="24:51" x14ac:dyDescent="0.25">
      <c r="X231" t="s">
        <v>613</v>
      </c>
      <c r="Y231" t="s">
        <v>1355</v>
      </c>
      <c r="Z231" t="s">
        <v>1695</v>
      </c>
      <c r="AE231" t="s">
        <v>613</v>
      </c>
      <c r="AF231" t="s">
        <v>1471</v>
      </c>
      <c r="AG231" t="s">
        <v>1732</v>
      </c>
      <c r="AM231" t="s">
        <v>613</v>
      </c>
      <c r="AN231" t="s">
        <v>1413</v>
      </c>
      <c r="AO231" t="s">
        <v>1750</v>
      </c>
      <c r="AU231" s="235"/>
      <c r="AV231" s="236" t="s">
        <v>3400</v>
      </c>
      <c r="AW231" s="50" t="s">
        <v>3276</v>
      </c>
      <c r="AX231" s="200" t="s">
        <v>3481</v>
      </c>
    </row>
    <row r="232" spans="24:51" ht="30" x14ac:dyDescent="0.25">
      <c r="X232" t="s">
        <v>613</v>
      </c>
      <c r="Y232" t="s">
        <v>1356</v>
      </c>
      <c r="Z232" t="s">
        <v>1695</v>
      </c>
      <c r="AE232" t="s">
        <v>613</v>
      </c>
      <c r="AF232" t="s">
        <v>1630</v>
      </c>
      <c r="AG232" t="s">
        <v>1745</v>
      </c>
      <c r="AM232" t="s">
        <v>613</v>
      </c>
      <c r="AN232" t="s">
        <v>1414</v>
      </c>
      <c r="AO232" t="s">
        <v>1750</v>
      </c>
      <c r="AU232" s="235"/>
      <c r="AV232" s="236" t="s">
        <v>3401</v>
      </c>
      <c r="AW232" s="50" t="s">
        <v>3303</v>
      </c>
      <c r="AX232" s="200" t="s">
        <v>3481</v>
      </c>
    </row>
    <row r="233" spans="24:51" x14ac:dyDescent="0.25">
      <c r="X233" t="s">
        <v>613</v>
      </c>
      <c r="Y233" t="s">
        <v>1357</v>
      </c>
      <c r="Z233" t="s">
        <v>1695</v>
      </c>
      <c r="AE233" t="s">
        <v>613</v>
      </c>
      <c r="AF233" t="s">
        <v>1640</v>
      </c>
      <c r="AG233" t="s">
        <v>1759</v>
      </c>
      <c r="AM233" t="s">
        <v>613</v>
      </c>
      <c r="AN233" t="s">
        <v>1415</v>
      </c>
      <c r="AO233" t="s">
        <v>1750</v>
      </c>
      <c r="AU233" s="235"/>
      <c r="AV233" s="236">
        <v>74</v>
      </c>
      <c r="AW233" s="50" t="s">
        <v>3492</v>
      </c>
      <c r="AX233" s="200" t="s">
        <v>3481</v>
      </c>
    </row>
    <row r="234" spans="24:51" x14ac:dyDescent="0.25">
      <c r="X234" t="s">
        <v>613</v>
      </c>
      <c r="Y234" t="s">
        <v>1358</v>
      </c>
      <c r="Z234" t="s">
        <v>1695</v>
      </c>
      <c r="AE234" t="s">
        <v>613</v>
      </c>
      <c r="AF234" t="s">
        <v>1641</v>
      </c>
      <c r="AG234" t="s">
        <v>1759</v>
      </c>
      <c r="AM234" t="s">
        <v>613</v>
      </c>
      <c r="AN234" t="s">
        <v>1416</v>
      </c>
      <c r="AO234" t="s">
        <v>1750</v>
      </c>
      <c r="AU234" s="235"/>
      <c r="AV234" s="236" t="s">
        <v>3494</v>
      </c>
      <c r="AW234" s="50" t="s">
        <v>3493</v>
      </c>
      <c r="AX234" s="200" t="s">
        <v>3481</v>
      </c>
    </row>
    <row r="235" spans="24:51" x14ac:dyDescent="0.25">
      <c r="X235" t="s">
        <v>613</v>
      </c>
      <c r="Y235" t="s">
        <v>1359</v>
      </c>
      <c r="Z235" t="s">
        <v>1695</v>
      </c>
      <c r="AE235" t="s">
        <v>613</v>
      </c>
      <c r="AF235" t="s">
        <v>1642</v>
      </c>
      <c r="AG235" t="s">
        <v>1759</v>
      </c>
      <c r="AM235" t="s">
        <v>613</v>
      </c>
      <c r="AN235" t="s">
        <v>1417</v>
      </c>
      <c r="AO235" t="s">
        <v>1750</v>
      </c>
      <c r="AU235" s="235"/>
      <c r="AV235" s="236" t="s">
        <v>3496</v>
      </c>
      <c r="AW235" s="50" t="s">
        <v>3495</v>
      </c>
      <c r="AX235" s="200" t="s">
        <v>613</v>
      </c>
    </row>
    <row r="236" spans="24:51" x14ac:dyDescent="0.25">
      <c r="X236" t="s">
        <v>613</v>
      </c>
      <c r="Y236" t="s">
        <v>1360</v>
      </c>
      <c r="Z236" t="s">
        <v>1695</v>
      </c>
      <c r="AE236" t="s">
        <v>613</v>
      </c>
      <c r="AF236" t="s">
        <v>1644</v>
      </c>
      <c r="AG236" t="s">
        <v>1759</v>
      </c>
      <c r="AM236" t="s">
        <v>613</v>
      </c>
      <c r="AN236" t="s">
        <v>1418</v>
      </c>
      <c r="AO236" t="s">
        <v>1750</v>
      </c>
      <c r="AU236" s="235"/>
      <c r="AV236" s="236"/>
      <c r="AW236" s="50"/>
      <c r="AX236" s="200"/>
    </row>
    <row r="237" spans="24:51" x14ac:dyDescent="0.25">
      <c r="X237" t="s">
        <v>613</v>
      </c>
      <c r="Y237" t="s">
        <v>1361</v>
      </c>
      <c r="Z237" t="s">
        <v>1695</v>
      </c>
      <c r="AE237" t="s">
        <v>613</v>
      </c>
      <c r="AF237" t="s">
        <v>1656</v>
      </c>
      <c r="AG237" t="s">
        <v>1760</v>
      </c>
      <c r="AM237" t="s">
        <v>613</v>
      </c>
      <c r="AN237" t="s">
        <v>1419</v>
      </c>
      <c r="AO237" t="s">
        <v>1750</v>
      </c>
      <c r="AU237" s="235"/>
      <c r="AV237" s="236"/>
      <c r="AW237" s="50"/>
      <c r="AX237" s="200"/>
    </row>
    <row r="238" spans="24:51" x14ac:dyDescent="0.25">
      <c r="X238" t="s">
        <v>613</v>
      </c>
      <c r="Y238" t="s">
        <v>1362</v>
      </c>
      <c r="Z238" t="s">
        <v>1695</v>
      </c>
      <c r="AE238" t="s">
        <v>613</v>
      </c>
      <c r="AF238" t="s">
        <v>1658</v>
      </c>
      <c r="AG238" t="s">
        <v>1756</v>
      </c>
      <c r="AM238" t="s">
        <v>613</v>
      </c>
      <c r="AN238" t="s">
        <v>1420</v>
      </c>
      <c r="AO238" t="s">
        <v>1750</v>
      </c>
      <c r="AU238" s="235"/>
      <c r="AV238" s="236"/>
    </row>
    <row r="239" spans="24:51" x14ac:dyDescent="0.25">
      <c r="X239" t="s">
        <v>613</v>
      </c>
      <c r="Y239" t="s">
        <v>1363</v>
      </c>
      <c r="Z239" t="s">
        <v>1691</v>
      </c>
      <c r="AE239" t="s">
        <v>613</v>
      </c>
      <c r="AF239" t="s">
        <v>1659</v>
      </c>
      <c r="AG239" t="s">
        <v>1756</v>
      </c>
      <c r="AM239" t="s">
        <v>613</v>
      </c>
      <c r="AN239" t="s">
        <v>1421</v>
      </c>
      <c r="AO239" t="s">
        <v>1750</v>
      </c>
      <c r="AU239" s="235"/>
      <c r="AV239" s="236"/>
    </row>
    <row r="240" spans="24:51" x14ac:dyDescent="0.25">
      <c r="X240" t="s">
        <v>613</v>
      </c>
      <c r="Y240" t="s">
        <v>1364</v>
      </c>
      <c r="Z240" t="s">
        <v>1691</v>
      </c>
      <c r="AE240" t="s">
        <v>613</v>
      </c>
      <c r="AF240" t="s">
        <v>1660</v>
      </c>
      <c r="AG240" t="s">
        <v>1756</v>
      </c>
      <c r="AM240" t="s">
        <v>613</v>
      </c>
      <c r="AN240" t="s">
        <v>1425</v>
      </c>
      <c r="AO240" t="s">
        <v>1750</v>
      </c>
      <c r="AU240" s="235"/>
      <c r="AV240" s="236"/>
    </row>
    <row r="241" spans="24:70" x14ac:dyDescent="0.25">
      <c r="X241" t="s">
        <v>613</v>
      </c>
      <c r="Y241" t="s">
        <v>1365</v>
      </c>
      <c r="Z241" t="s">
        <v>1691</v>
      </c>
      <c r="AE241" t="s">
        <v>613</v>
      </c>
      <c r="AF241" t="s">
        <v>1474</v>
      </c>
      <c r="AG241" t="s">
        <v>1756</v>
      </c>
      <c r="AM241" t="s">
        <v>613</v>
      </c>
      <c r="AN241" t="s">
        <v>1426</v>
      </c>
      <c r="AO241" t="s">
        <v>1750</v>
      </c>
      <c r="AU241" s="235"/>
      <c r="AV241" s="236"/>
    </row>
    <row r="242" spans="24:70" x14ac:dyDescent="0.25">
      <c r="X242" t="s">
        <v>613</v>
      </c>
      <c r="Y242" t="s">
        <v>1366</v>
      </c>
      <c r="Z242" t="s">
        <v>1691</v>
      </c>
      <c r="AE242" t="s">
        <v>613</v>
      </c>
      <c r="AF242" t="s">
        <v>1221</v>
      </c>
      <c r="AG242" t="s">
        <v>1749</v>
      </c>
      <c r="AM242" t="s">
        <v>613</v>
      </c>
      <c r="AN242" t="s">
        <v>1427</v>
      </c>
      <c r="AO242" t="s">
        <v>1750</v>
      </c>
      <c r="AU242" s="235" t="s">
        <v>3247</v>
      </c>
      <c r="AV242" s="236" t="s">
        <v>3248</v>
      </c>
      <c r="AW242" s="179" t="s">
        <v>287</v>
      </c>
      <c r="AX242" t="s">
        <v>3249</v>
      </c>
    </row>
    <row r="243" spans="24:70" x14ac:dyDescent="0.25">
      <c r="X243" t="s">
        <v>613</v>
      </c>
      <c r="Y243" t="s">
        <v>1367</v>
      </c>
      <c r="Z243" t="s">
        <v>1691</v>
      </c>
      <c r="AE243" t="s">
        <v>118</v>
      </c>
      <c r="AM243" t="s">
        <v>613</v>
      </c>
      <c r="AN243" t="s">
        <v>1428</v>
      </c>
      <c r="AO243" t="s">
        <v>1750</v>
      </c>
      <c r="AS243" s="200"/>
      <c r="AT243" s="200"/>
      <c r="AU243" s="200"/>
      <c r="AV243" s="200"/>
      <c r="AW243" s="200"/>
      <c r="AX243" s="200"/>
      <c r="AY243" s="200"/>
      <c r="AZ243" s="200"/>
      <c r="BA243" s="200"/>
      <c r="BB243" s="240"/>
      <c r="BC243" s="200"/>
      <c r="BD243" s="244"/>
      <c r="BE243" s="200"/>
      <c r="BF243" s="200"/>
      <c r="BI243" s="235"/>
      <c r="BK243" s="179"/>
      <c r="BP243" s="235"/>
      <c r="BQ243" s="236"/>
      <c r="BR243" s="179"/>
    </row>
    <row r="244" spans="24:70" x14ac:dyDescent="0.25">
      <c r="X244" t="s">
        <v>613</v>
      </c>
      <c r="Y244" t="s">
        <v>1368</v>
      </c>
      <c r="Z244" t="s">
        <v>1222</v>
      </c>
      <c r="AE244" t="s">
        <v>613</v>
      </c>
      <c r="AF244" t="s">
        <v>1381</v>
      </c>
      <c r="AG244" t="s">
        <v>1755</v>
      </c>
      <c r="AM244" t="s">
        <v>613</v>
      </c>
      <c r="AN244" t="s">
        <v>1429</v>
      </c>
      <c r="AO244" t="s">
        <v>1750</v>
      </c>
      <c r="AU244" s="200"/>
      <c r="AV244" s="200"/>
      <c r="AW244" s="200"/>
      <c r="AX244" s="200"/>
    </row>
    <row r="245" spans="24:70" x14ac:dyDescent="0.25">
      <c r="X245" t="s">
        <v>613</v>
      </c>
      <c r="Y245" t="s">
        <v>1369</v>
      </c>
      <c r="Z245" t="s">
        <v>1222</v>
      </c>
      <c r="AE245" t="s">
        <v>613</v>
      </c>
      <c r="AF245" t="s">
        <v>1405</v>
      </c>
      <c r="AG245" t="s">
        <v>1750</v>
      </c>
      <c r="AM245" t="s">
        <v>613</v>
      </c>
      <c r="AN245" t="s">
        <v>1430</v>
      </c>
      <c r="AO245" t="s">
        <v>1750</v>
      </c>
      <c r="AU245" s="200"/>
      <c r="AV245" s="200"/>
      <c r="AW245" s="200"/>
      <c r="AX245" s="200"/>
    </row>
    <row r="246" spans="24:70" x14ac:dyDescent="0.25">
      <c r="X246" t="s">
        <v>613</v>
      </c>
      <c r="Y246" t="s">
        <v>1370</v>
      </c>
      <c r="Z246" t="s">
        <v>1222</v>
      </c>
      <c r="AE246" t="s">
        <v>613</v>
      </c>
      <c r="AF246" t="s">
        <v>1406</v>
      </c>
      <c r="AG246" t="s">
        <v>1750</v>
      </c>
      <c r="AM246" t="s">
        <v>613</v>
      </c>
      <c r="AN246" t="s">
        <v>1431</v>
      </c>
      <c r="AO246" t="s">
        <v>1750</v>
      </c>
      <c r="AU246" s="200"/>
      <c r="AV246" s="200"/>
      <c r="AW246" s="200"/>
      <c r="AX246" s="200"/>
    </row>
    <row r="247" spans="24:70" x14ac:dyDescent="0.25">
      <c r="X247" t="s">
        <v>613</v>
      </c>
      <c r="Y247" t="s">
        <v>1371</v>
      </c>
      <c r="Z247" t="s">
        <v>1222</v>
      </c>
      <c r="AE247" t="s">
        <v>613</v>
      </c>
      <c r="AF247" t="s">
        <v>1407</v>
      </c>
      <c r="AG247" t="s">
        <v>1750</v>
      </c>
      <c r="AM247" t="s">
        <v>613</v>
      </c>
      <c r="AN247" t="s">
        <v>1432</v>
      </c>
      <c r="AO247" t="s">
        <v>1750</v>
      </c>
      <c r="AU247" s="200"/>
      <c r="AV247" s="200"/>
      <c r="AW247" s="200"/>
      <c r="AX247" s="200"/>
    </row>
    <row r="248" spans="24:70" x14ac:dyDescent="0.25">
      <c r="X248" t="s">
        <v>613</v>
      </c>
      <c r="Y248" t="s">
        <v>1372</v>
      </c>
      <c r="Z248" t="s">
        <v>1691</v>
      </c>
      <c r="AE248" t="s">
        <v>613</v>
      </c>
      <c r="AF248" t="s">
        <v>1408</v>
      </c>
      <c r="AG248" t="s">
        <v>1750</v>
      </c>
      <c r="AM248" t="s">
        <v>613</v>
      </c>
      <c r="AN248" t="s">
        <v>1433</v>
      </c>
      <c r="AO248" t="s">
        <v>1750</v>
      </c>
      <c r="AU248" s="200"/>
      <c r="AV248" s="200"/>
      <c r="AW248" s="200"/>
      <c r="AX248" s="200"/>
    </row>
    <row r="249" spans="24:70" x14ac:dyDescent="0.25">
      <c r="X249" t="s">
        <v>613</v>
      </c>
      <c r="Y249" t="s">
        <v>1375</v>
      </c>
      <c r="Z249" t="s">
        <v>1222</v>
      </c>
      <c r="AE249" t="s">
        <v>613</v>
      </c>
      <c r="AF249" t="s">
        <v>1409</v>
      </c>
      <c r="AG249" t="s">
        <v>1750</v>
      </c>
      <c r="AM249" t="s">
        <v>613</v>
      </c>
      <c r="AN249" t="s">
        <v>1434</v>
      </c>
      <c r="AO249" t="s">
        <v>1750</v>
      </c>
      <c r="AU249" s="200"/>
      <c r="AV249" s="200"/>
      <c r="AW249" s="200"/>
      <c r="AX249" s="200"/>
    </row>
    <row r="250" spans="24:70" x14ac:dyDescent="0.25">
      <c r="X250" t="s">
        <v>613</v>
      </c>
      <c r="Y250" t="s">
        <v>1376</v>
      </c>
      <c r="Z250" t="s">
        <v>1222</v>
      </c>
      <c r="AE250" t="s">
        <v>613</v>
      </c>
      <c r="AF250" t="s">
        <v>1410</v>
      </c>
      <c r="AG250" t="s">
        <v>1750</v>
      </c>
      <c r="AM250" t="s">
        <v>613</v>
      </c>
      <c r="AN250" t="s">
        <v>1435</v>
      </c>
      <c r="AO250" t="s">
        <v>1750</v>
      </c>
      <c r="AU250" s="200"/>
      <c r="AV250" s="200"/>
      <c r="AW250" s="200"/>
      <c r="AX250" s="200"/>
    </row>
    <row r="251" spans="24:70" x14ac:dyDescent="0.25">
      <c r="X251" t="s">
        <v>613</v>
      </c>
      <c r="Y251" t="s">
        <v>1245</v>
      </c>
      <c r="Z251" t="s">
        <v>1222</v>
      </c>
      <c r="AE251" t="s">
        <v>613</v>
      </c>
      <c r="AF251" t="s">
        <v>1411</v>
      </c>
      <c r="AG251" t="s">
        <v>1750</v>
      </c>
      <c r="AM251" t="s">
        <v>613</v>
      </c>
      <c r="AN251" t="s">
        <v>1436</v>
      </c>
      <c r="AO251" t="s">
        <v>1750</v>
      </c>
      <c r="AU251" s="200"/>
      <c r="AV251" s="200"/>
      <c r="AW251" s="200"/>
      <c r="AX251" s="200"/>
    </row>
    <row r="252" spans="24:70" x14ac:dyDescent="0.25">
      <c r="X252" t="s">
        <v>613</v>
      </c>
      <c r="Y252" t="s">
        <v>1377</v>
      </c>
      <c r="Z252" t="s">
        <v>1222</v>
      </c>
      <c r="AE252" t="s">
        <v>613</v>
      </c>
      <c r="AF252" t="s">
        <v>1412</v>
      </c>
      <c r="AG252" t="s">
        <v>1750</v>
      </c>
      <c r="AM252" t="s">
        <v>613</v>
      </c>
      <c r="AN252" t="s">
        <v>1437</v>
      </c>
      <c r="AO252" t="s">
        <v>1750</v>
      </c>
      <c r="AU252" s="200"/>
      <c r="AV252" s="200"/>
      <c r="AW252" s="200"/>
      <c r="AX252" s="200"/>
    </row>
    <row r="253" spans="24:70" x14ac:dyDescent="0.25">
      <c r="X253" t="s">
        <v>613</v>
      </c>
      <c r="Y253" t="s">
        <v>1378</v>
      </c>
      <c r="Z253" t="s">
        <v>1222</v>
      </c>
      <c r="AE253" t="s">
        <v>613</v>
      </c>
      <c r="AF253" t="s">
        <v>1413</v>
      </c>
      <c r="AG253" t="s">
        <v>1750</v>
      </c>
      <c r="AM253" t="s">
        <v>613</v>
      </c>
      <c r="AN253" t="s">
        <v>1438</v>
      </c>
      <c r="AO253" t="s">
        <v>1750</v>
      </c>
      <c r="AU253" s="200"/>
      <c r="AV253" s="200"/>
      <c r="AW253" s="200"/>
      <c r="AX253" s="200"/>
    </row>
    <row r="254" spans="24:70" x14ac:dyDescent="0.25">
      <c r="X254" t="s">
        <v>613</v>
      </c>
      <c r="Y254" t="s">
        <v>1379</v>
      </c>
      <c r="Z254" t="s">
        <v>1222</v>
      </c>
      <c r="AE254" t="s">
        <v>613</v>
      </c>
      <c r="AF254" t="s">
        <v>1414</v>
      </c>
      <c r="AG254" t="s">
        <v>1750</v>
      </c>
      <c r="AM254" t="s">
        <v>613</v>
      </c>
      <c r="AN254" t="s">
        <v>1439</v>
      </c>
      <c r="AO254" t="s">
        <v>1750</v>
      </c>
      <c r="AU254" s="200"/>
      <c r="AV254" s="200"/>
      <c r="AW254" s="200"/>
      <c r="AX254" s="200"/>
    </row>
    <row r="255" spans="24:70" x14ac:dyDescent="0.25">
      <c r="X255" t="s">
        <v>613</v>
      </c>
      <c r="Y255" t="s">
        <v>1380</v>
      </c>
      <c r="Z255" t="s">
        <v>1222</v>
      </c>
      <c r="AE255" t="s">
        <v>613</v>
      </c>
      <c r="AF255" t="s">
        <v>1415</v>
      </c>
      <c r="AG255" t="s">
        <v>1750</v>
      </c>
      <c r="AM255" t="s">
        <v>613</v>
      </c>
      <c r="AN255" t="s">
        <v>1440</v>
      </c>
      <c r="AO255" t="s">
        <v>1750</v>
      </c>
      <c r="AU255" s="200"/>
      <c r="AV255" s="200"/>
      <c r="AW255" s="200"/>
      <c r="AX255" s="200"/>
    </row>
    <row r="256" spans="24:70" x14ac:dyDescent="0.25">
      <c r="X256" t="s">
        <v>613</v>
      </c>
      <c r="Y256" t="s">
        <v>1381</v>
      </c>
      <c r="Z256" t="s">
        <v>1755</v>
      </c>
      <c r="AE256" t="s">
        <v>613</v>
      </c>
      <c r="AF256" t="s">
        <v>1416</v>
      </c>
      <c r="AG256" t="s">
        <v>1750</v>
      </c>
      <c r="AM256" t="s">
        <v>613</v>
      </c>
      <c r="AN256" t="s">
        <v>1468</v>
      </c>
      <c r="AO256" t="s">
        <v>1732</v>
      </c>
      <c r="AU256" s="200"/>
      <c r="AV256" s="200"/>
      <c r="AW256" s="200"/>
      <c r="AX256" s="200"/>
    </row>
    <row r="257" spans="24:50" x14ac:dyDescent="0.25">
      <c r="X257" t="s">
        <v>613</v>
      </c>
      <c r="Y257" t="s">
        <v>1382</v>
      </c>
      <c r="Z257" t="s">
        <v>1222</v>
      </c>
      <c r="AE257" t="s">
        <v>613</v>
      </c>
      <c r="AF257" t="s">
        <v>1417</v>
      </c>
      <c r="AG257" t="s">
        <v>1750</v>
      </c>
      <c r="AM257" t="s">
        <v>613</v>
      </c>
      <c r="AN257" t="s">
        <v>1469</v>
      </c>
      <c r="AO257" t="s">
        <v>1732</v>
      </c>
      <c r="AU257" s="200"/>
      <c r="AV257" s="200"/>
      <c r="AW257" s="200"/>
      <c r="AX257" s="200"/>
    </row>
    <row r="258" spans="24:50" x14ac:dyDescent="0.25">
      <c r="X258" t="s">
        <v>613</v>
      </c>
      <c r="Y258" t="s">
        <v>1383</v>
      </c>
      <c r="Z258" t="s">
        <v>1222</v>
      </c>
      <c r="AE258" t="s">
        <v>613</v>
      </c>
      <c r="AF258" t="s">
        <v>1418</v>
      </c>
      <c r="AG258" t="s">
        <v>1750</v>
      </c>
      <c r="AM258" t="s">
        <v>613</v>
      </c>
      <c r="AN258" t="s">
        <v>1470</v>
      </c>
      <c r="AO258" t="s">
        <v>1732</v>
      </c>
      <c r="AU258" s="200"/>
      <c r="AV258" s="200"/>
      <c r="AW258" s="200"/>
      <c r="AX258" s="200"/>
    </row>
    <row r="259" spans="24:50" x14ac:dyDescent="0.25">
      <c r="X259" t="s">
        <v>613</v>
      </c>
      <c r="Y259" t="s">
        <v>1384</v>
      </c>
      <c r="Z259" t="s">
        <v>1222</v>
      </c>
      <c r="AE259" t="s">
        <v>613</v>
      </c>
      <c r="AF259" t="s">
        <v>1419</v>
      </c>
      <c r="AG259" t="s">
        <v>1750</v>
      </c>
      <c r="AM259" t="s">
        <v>613</v>
      </c>
      <c r="AN259" t="s">
        <v>1471</v>
      </c>
      <c r="AO259" t="s">
        <v>1732</v>
      </c>
      <c r="AU259" s="200"/>
      <c r="AV259" s="200"/>
      <c r="AW259" s="200"/>
      <c r="AX259" s="200"/>
    </row>
    <row r="260" spans="24:50" x14ac:dyDescent="0.25">
      <c r="X260" t="s">
        <v>613</v>
      </c>
      <c r="Y260" t="s">
        <v>1385</v>
      </c>
      <c r="Z260" t="s">
        <v>613</v>
      </c>
      <c r="AE260" t="s">
        <v>613</v>
      </c>
      <c r="AF260" t="s">
        <v>1420</v>
      </c>
      <c r="AG260" t="s">
        <v>1750</v>
      </c>
      <c r="AM260" t="s">
        <v>613</v>
      </c>
      <c r="AN260" t="s">
        <v>1628</v>
      </c>
      <c r="AO260" t="s">
        <v>1730</v>
      </c>
      <c r="AU260" s="200"/>
      <c r="AV260" s="200"/>
      <c r="AW260" s="200"/>
      <c r="AX260" s="200"/>
    </row>
    <row r="261" spans="24:50" x14ac:dyDescent="0.25">
      <c r="X261" t="s">
        <v>613</v>
      </c>
      <c r="Y261" t="s">
        <v>1386</v>
      </c>
      <c r="Z261" t="s">
        <v>613</v>
      </c>
      <c r="AE261" t="s">
        <v>613</v>
      </c>
      <c r="AF261" t="s">
        <v>1421</v>
      </c>
      <c r="AG261" t="s">
        <v>1750</v>
      </c>
      <c r="AM261" t="s">
        <v>613</v>
      </c>
      <c r="AN261" t="s">
        <v>1629</v>
      </c>
      <c r="AO261" t="s">
        <v>1740</v>
      </c>
      <c r="AU261" s="200"/>
      <c r="AV261" s="200"/>
      <c r="AW261" s="200"/>
      <c r="AX261" s="200"/>
    </row>
    <row r="262" spans="24:50" x14ac:dyDescent="0.25">
      <c r="X262" t="s">
        <v>613</v>
      </c>
      <c r="Y262" t="s">
        <v>1388</v>
      </c>
      <c r="Z262" t="s">
        <v>613</v>
      </c>
      <c r="AE262" t="s">
        <v>613</v>
      </c>
      <c r="AF262" t="s">
        <v>1425</v>
      </c>
      <c r="AG262" t="s">
        <v>1750</v>
      </c>
      <c r="AM262" t="s">
        <v>613</v>
      </c>
      <c r="AN262" t="s">
        <v>1630</v>
      </c>
      <c r="AO262" t="s">
        <v>1741</v>
      </c>
      <c r="AU262" s="200"/>
      <c r="AV262" s="200"/>
      <c r="AW262" s="200"/>
      <c r="AX262" s="200"/>
    </row>
    <row r="263" spans="24:50" x14ac:dyDescent="0.25">
      <c r="X263" t="s">
        <v>613</v>
      </c>
      <c r="Y263" t="s">
        <v>1232</v>
      </c>
      <c r="Z263" t="s">
        <v>1222</v>
      </c>
      <c r="AE263" t="s">
        <v>613</v>
      </c>
      <c r="AF263" t="s">
        <v>1426</v>
      </c>
      <c r="AG263" t="s">
        <v>1750</v>
      </c>
      <c r="AM263" t="s">
        <v>613</v>
      </c>
      <c r="AN263" t="s">
        <v>1634</v>
      </c>
      <c r="AO263" t="s">
        <v>1743</v>
      </c>
      <c r="AU263" s="200"/>
      <c r="AV263" s="200"/>
      <c r="AW263" s="200"/>
      <c r="AX263" s="200"/>
    </row>
    <row r="264" spans="24:50" x14ac:dyDescent="0.25">
      <c r="X264" t="s">
        <v>613</v>
      </c>
      <c r="Y264" t="s">
        <v>1224</v>
      </c>
      <c r="Z264" t="s">
        <v>613</v>
      </c>
      <c r="AE264" t="s">
        <v>613</v>
      </c>
      <c r="AF264" t="s">
        <v>1427</v>
      </c>
      <c r="AG264" t="s">
        <v>1750</v>
      </c>
      <c r="AM264" t="s">
        <v>613</v>
      </c>
      <c r="AN264" t="s">
        <v>1635</v>
      </c>
      <c r="AO264" t="s">
        <v>1742</v>
      </c>
      <c r="AU264" s="200"/>
      <c r="AV264" s="200"/>
      <c r="AW264" s="200"/>
      <c r="AX264" s="200"/>
    </row>
    <row r="265" spans="24:50" x14ac:dyDescent="0.25">
      <c r="X265" t="s">
        <v>613</v>
      </c>
      <c r="Y265" t="s">
        <v>1389</v>
      </c>
      <c r="Z265" t="s">
        <v>1222</v>
      </c>
      <c r="AE265" t="s">
        <v>613</v>
      </c>
      <c r="AF265" t="s">
        <v>1428</v>
      </c>
      <c r="AG265" t="s">
        <v>1750</v>
      </c>
      <c r="AM265" t="s">
        <v>613</v>
      </c>
      <c r="AN265" t="s">
        <v>1640</v>
      </c>
      <c r="AO265" t="s">
        <v>1759</v>
      </c>
      <c r="AU265" s="200"/>
      <c r="AV265" s="200"/>
      <c r="AW265" s="200"/>
      <c r="AX265" s="200"/>
    </row>
    <row r="266" spans="24:50" x14ac:dyDescent="0.25">
      <c r="X266" t="s">
        <v>613</v>
      </c>
      <c r="Y266" t="s">
        <v>1390</v>
      </c>
      <c r="Z266" t="s">
        <v>1222</v>
      </c>
      <c r="AE266" t="s">
        <v>613</v>
      </c>
      <c r="AF266" t="s">
        <v>1429</v>
      </c>
      <c r="AG266" t="s">
        <v>1750</v>
      </c>
      <c r="AM266" t="s">
        <v>613</v>
      </c>
      <c r="AN266" t="s">
        <v>1641</v>
      </c>
      <c r="AO266" t="s">
        <v>1759</v>
      </c>
      <c r="AU266" s="200"/>
      <c r="AV266" s="200"/>
      <c r="AW266" s="200"/>
      <c r="AX266" s="200"/>
    </row>
    <row r="267" spans="24:50" x14ac:dyDescent="0.25">
      <c r="X267" t="s">
        <v>613</v>
      </c>
      <c r="Y267" t="s">
        <v>1392</v>
      </c>
      <c r="Z267" t="s">
        <v>613</v>
      </c>
      <c r="AE267" t="s">
        <v>613</v>
      </c>
      <c r="AF267" t="s">
        <v>1430</v>
      </c>
      <c r="AG267" t="s">
        <v>1750</v>
      </c>
      <c r="AM267" t="s">
        <v>613</v>
      </c>
      <c r="AN267" t="s">
        <v>1642</v>
      </c>
      <c r="AO267" t="s">
        <v>1759</v>
      </c>
      <c r="AU267" s="200"/>
      <c r="AV267" s="200"/>
      <c r="AW267" s="200"/>
      <c r="AX267" s="200"/>
    </row>
    <row r="268" spans="24:50" x14ac:dyDescent="0.25">
      <c r="X268" t="s">
        <v>613</v>
      </c>
      <c r="Y268" t="s">
        <v>1394</v>
      </c>
      <c r="Z268" t="s">
        <v>613</v>
      </c>
      <c r="AE268" t="s">
        <v>613</v>
      </c>
      <c r="AF268" t="s">
        <v>1431</v>
      </c>
      <c r="AG268" t="s">
        <v>1750</v>
      </c>
      <c r="AM268" t="s">
        <v>613</v>
      </c>
      <c r="AN268" t="s">
        <v>1644</v>
      </c>
      <c r="AO268" t="s">
        <v>1759</v>
      </c>
      <c r="AU268" s="200"/>
      <c r="AV268" s="200"/>
      <c r="AW268" s="200"/>
      <c r="AX268" s="200"/>
    </row>
    <row r="269" spans="24:50" x14ac:dyDescent="0.25">
      <c r="X269" t="s">
        <v>613</v>
      </c>
      <c r="Y269" t="s">
        <v>1395</v>
      </c>
      <c r="Z269" t="s">
        <v>613</v>
      </c>
      <c r="AE269" t="s">
        <v>613</v>
      </c>
      <c r="AF269" t="s">
        <v>1432</v>
      </c>
      <c r="AG269" t="s">
        <v>1750</v>
      </c>
      <c r="AM269" t="s">
        <v>613</v>
      </c>
      <c r="AN269" t="s">
        <v>1655</v>
      </c>
      <c r="AO269" t="s">
        <v>1760</v>
      </c>
      <c r="AU269" s="200"/>
      <c r="AV269" s="200"/>
      <c r="AW269" s="200"/>
      <c r="AX269" s="200"/>
    </row>
    <row r="270" spans="24:50" x14ac:dyDescent="0.25">
      <c r="X270" t="s">
        <v>613</v>
      </c>
      <c r="Y270" t="s">
        <v>1396</v>
      </c>
      <c r="Z270" t="s">
        <v>613</v>
      </c>
      <c r="AE270" t="s">
        <v>613</v>
      </c>
      <c r="AF270" t="s">
        <v>1433</v>
      </c>
      <c r="AG270" t="s">
        <v>1750</v>
      </c>
      <c r="AM270" t="s">
        <v>613</v>
      </c>
      <c r="AN270" t="s">
        <v>1657</v>
      </c>
      <c r="AO270" t="s">
        <v>1756</v>
      </c>
      <c r="AU270" s="200"/>
      <c r="AV270" s="200"/>
      <c r="AW270" s="200"/>
      <c r="AX270" s="200"/>
    </row>
    <row r="271" spans="24:50" x14ac:dyDescent="0.25">
      <c r="X271" t="s">
        <v>613</v>
      </c>
      <c r="Y271" t="s">
        <v>1397</v>
      </c>
      <c r="Z271" t="s">
        <v>613</v>
      </c>
      <c r="AE271" t="s">
        <v>613</v>
      </c>
      <c r="AF271" t="s">
        <v>1434</v>
      </c>
      <c r="AG271" t="s">
        <v>1750</v>
      </c>
      <c r="AM271" t="s">
        <v>613</v>
      </c>
      <c r="AN271" t="s">
        <v>1658</v>
      </c>
      <c r="AO271" t="s">
        <v>1756</v>
      </c>
      <c r="AU271" s="200"/>
      <c r="AV271" s="200"/>
      <c r="AW271" s="200"/>
      <c r="AX271" s="200"/>
    </row>
    <row r="272" spans="24:50" x14ac:dyDescent="0.25">
      <c r="X272" t="s">
        <v>613</v>
      </c>
      <c r="Y272" t="s">
        <v>1398</v>
      </c>
      <c r="Z272" t="s">
        <v>1222</v>
      </c>
      <c r="AE272" t="s">
        <v>613</v>
      </c>
      <c r="AF272" t="s">
        <v>1435</v>
      </c>
      <c r="AG272" t="s">
        <v>1750</v>
      </c>
      <c r="AM272" t="s">
        <v>613</v>
      </c>
      <c r="AN272" t="s">
        <v>1659</v>
      </c>
      <c r="AO272" t="s">
        <v>1756</v>
      </c>
      <c r="AU272" s="200"/>
      <c r="AV272" s="200"/>
      <c r="AW272" s="200"/>
      <c r="AX272" s="200"/>
    </row>
    <row r="273" spans="24:50" x14ac:dyDescent="0.25">
      <c r="X273" t="s">
        <v>613</v>
      </c>
      <c r="Y273" t="s">
        <v>1399</v>
      </c>
      <c r="Z273" t="s">
        <v>1222</v>
      </c>
      <c r="AE273" t="s">
        <v>613</v>
      </c>
      <c r="AF273" t="s">
        <v>1436</v>
      </c>
      <c r="AG273" t="s">
        <v>1750</v>
      </c>
      <c r="AM273" t="s">
        <v>613</v>
      </c>
      <c r="AN273" t="s">
        <v>1660</v>
      </c>
      <c r="AO273" t="s">
        <v>1756</v>
      </c>
      <c r="AU273" s="200"/>
      <c r="AV273" s="200"/>
      <c r="AW273" s="200"/>
      <c r="AX273" s="200"/>
    </row>
    <row r="274" spans="24:50" x14ac:dyDescent="0.25">
      <c r="X274" t="s">
        <v>613</v>
      </c>
      <c r="Y274" t="s">
        <v>1400</v>
      </c>
      <c r="Z274" t="s">
        <v>1222</v>
      </c>
      <c r="AE274" t="s">
        <v>613</v>
      </c>
      <c r="AF274" t="s">
        <v>1437</v>
      </c>
      <c r="AG274" t="s">
        <v>1750</v>
      </c>
      <c r="AM274" t="s">
        <v>613</v>
      </c>
      <c r="AN274" t="s">
        <v>1221</v>
      </c>
      <c r="AO274" t="s">
        <v>1728</v>
      </c>
      <c r="AU274" s="200"/>
      <c r="AV274" s="200"/>
      <c r="AW274" s="200"/>
      <c r="AX274" s="200"/>
    </row>
    <row r="275" spans="24:50" x14ac:dyDescent="0.25">
      <c r="X275" t="s">
        <v>613</v>
      </c>
      <c r="Y275" t="s">
        <v>1401</v>
      </c>
      <c r="Z275" t="s">
        <v>1222</v>
      </c>
      <c r="AE275" t="s">
        <v>613</v>
      </c>
      <c r="AF275" t="s">
        <v>1438</v>
      </c>
      <c r="AG275" t="s">
        <v>1750</v>
      </c>
      <c r="AM275" t="s">
        <v>119</v>
      </c>
      <c r="AU275" s="200"/>
      <c r="AV275" s="200"/>
      <c r="AW275" s="200"/>
      <c r="AX275" s="200"/>
    </row>
    <row r="276" spans="24:50" x14ac:dyDescent="0.25">
      <c r="X276" t="s">
        <v>613</v>
      </c>
      <c r="Y276" t="s">
        <v>1404</v>
      </c>
      <c r="Z276" t="s">
        <v>1222</v>
      </c>
      <c r="AE276" t="s">
        <v>613</v>
      </c>
      <c r="AF276" t="s">
        <v>1439</v>
      </c>
      <c r="AG276" t="s">
        <v>1750</v>
      </c>
      <c r="AM276" t="s">
        <v>613</v>
      </c>
      <c r="AN276" t="s">
        <v>1226</v>
      </c>
      <c r="AO276" t="s">
        <v>1695</v>
      </c>
    </row>
    <row r="277" spans="24:50" x14ac:dyDescent="0.25">
      <c r="X277" t="s">
        <v>613</v>
      </c>
      <c r="Y277" t="s">
        <v>1405</v>
      </c>
      <c r="Z277" t="s">
        <v>1750</v>
      </c>
      <c r="AE277" t="s">
        <v>613</v>
      </c>
      <c r="AF277" t="s">
        <v>1440</v>
      </c>
      <c r="AG277" t="s">
        <v>1750</v>
      </c>
      <c r="AM277" t="s">
        <v>613</v>
      </c>
      <c r="AN277" t="s">
        <v>1549</v>
      </c>
      <c r="AO277" t="s">
        <v>1695</v>
      </c>
    </row>
    <row r="278" spans="24:50" x14ac:dyDescent="0.25">
      <c r="X278" t="s">
        <v>613</v>
      </c>
      <c r="Y278" t="s">
        <v>1406</v>
      </c>
      <c r="Z278" t="s">
        <v>1750</v>
      </c>
      <c r="AE278" t="s">
        <v>613</v>
      </c>
      <c r="AF278" t="s">
        <v>1468</v>
      </c>
      <c r="AG278" t="s">
        <v>1732</v>
      </c>
      <c r="AM278" t="s">
        <v>613</v>
      </c>
      <c r="AN278" t="s">
        <v>1550</v>
      </c>
      <c r="AO278" t="s">
        <v>1695</v>
      </c>
    </row>
    <row r="279" spans="24:50" x14ac:dyDescent="0.25">
      <c r="X279" t="s">
        <v>613</v>
      </c>
      <c r="Y279" t="s">
        <v>1407</v>
      </c>
      <c r="Z279" t="s">
        <v>1750</v>
      </c>
      <c r="AE279" t="s">
        <v>613</v>
      </c>
      <c r="AF279" t="s">
        <v>1469</v>
      </c>
      <c r="AG279" t="s">
        <v>1732</v>
      </c>
      <c r="AM279" t="s">
        <v>613</v>
      </c>
      <c r="AN279" t="s">
        <v>1551</v>
      </c>
      <c r="AO279" t="s">
        <v>1695</v>
      </c>
      <c r="AU279" s="235"/>
      <c r="AV279" s="236"/>
    </row>
    <row r="280" spans="24:50" x14ac:dyDescent="0.25">
      <c r="X280" t="s">
        <v>613</v>
      </c>
      <c r="Y280" t="s">
        <v>1408</v>
      </c>
      <c r="Z280" t="s">
        <v>1750</v>
      </c>
      <c r="AE280" t="s">
        <v>613</v>
      </c>
      <c r="AF280" t="s">
        <v>1470</v>
      </c>
      <c r="AG280" t="s">
        <v>1732</v>
      </c>
      <c r="AM280" t="s">
        <v>613</v>
      </c>
      <c r="AN280" t="s">
        <v>1552</v>
      </c>
      <c r="AO280" t="s">
        <v>1695</v>
      </c>
      <c r="AU280" s="277" t="s">
        <v>3250</v>
      </c>
      <c r="AV280" s="236" t="s">
        <v>3251</v>
      </c>
      <c r="AW280" s="179" t="s">
        <v>287</v>
      </c>
      <c r="AX280" t="s">
        <v>3252</v>
      </c>
    </row>
    <row r="281" spans="24:50" x14ac:dyDescent="0.25">
      <c r="X281" t="s">
        <v>613</v>
      </c>
      <c r="Y281" t="s">
        <v>1409</v>
      </c>
      <c r="Z281" t="s">
        <v>1750</v>
      </c>
      <c r="AE281" t="s">
        <v>613</v>
      </c>
      <c r="AF281" t="s">
        <v>1471</v>
      </c>
      <c r="AG281" t="s">
        <v>1732</v>
      </c>
      <c r="AM281" t="s">
        <v>613</v>
      </c>
      <c r="AN281" t="s">
        <v>1553</v>
      </c>
      <c r="AO281" t="s">
        <v>1695</v>
      </c>
      <c r="AU281" s="277" t="s">
        <v>3250</v>
      </c>
      <c r="AV281" s="236"/>
    </row>
    <row r="282" spans="24:50" x14ac:dyDescent="0.25">
      <c r="X282" t="s">
        <v>613</v>
      </c>
      <c r="Y282" t="s">
        <v>1410</v>
      </c>
      <c r="Z282" t="s">
        <v>1750</v>
      </c>
      <c r="AE282" t="s">
        <v>613</v>
      </c>
      <c r="AF282" t="s">
        <v>1628</v>
      </c>
      <c r="AG282" t="s">
        <v>1730</v>
      </c>
      <c r="AM282" t="s">
        <v>613</v>
      </c>
      <c r="AN282" t="s">
        <v>1554</v>
      </c>
      <c r="AO282" t="s">
        <v>1695</v>
      </c>
    </row>
    <row r="283" spans="24:50" x14ac:dyDescent="0.25">
      <c r="X283" t="s">
        <v>613</v>
      </c>
      <c r="Y283" t="s">
        <v>1411</v>
      </c>
      <c r="Z283" t="s">
        <v>1750</v>
      </c>
      <c r="AE283" t="s">
        <v>613</v>
      </c>
      <c r="AF283" t="s">
        <v>1629</v>
      </c>
      <c r="AG283" t="s">
        <v>1740</v>
      </c>
      <c r="AM283" t="s">
        <v>613</v>
      </c>
      <c r="AN283" t="s">
        <v>1555</v>
      </c>
      <c r="AO283" t="s">
        <v>1695</v>
      </c>
    </row>
    <row r="284" spans="24:50" x14ac:dyDescent="0.25">
      <c r="X284" t="s">
        <v>613</v>
      </c>
      <c r="Y284" t="s">
        <v>1412</v>
      </c>
      <c r="Z284" t="s">
        <v>1750</v>
      </c>
      <c r="AE284" t="s">
        <v>613</v>
      </c>
      <c r="AF284" t="s">
        <v>1630</v>
      </c>
      <c r="AG284" t="s">
        <v>1741</v>
      </c>
      <c r="AM284" t="s">
        <v>613</v>
      </c>
      <c r="AN284" t="s">
        <v>1556</v>
      </c>
      <c r="AO284" t="s">
        <v>1695</v>
      </c>
    </row>
    <row r="285" spans="24:50" x14ac:dyDescent="0.25">
      <c r="X285" t="s">
        <v>613</v>
      </c>
      <c r="Y285" t="s">
        <v>1413</v>
      </c>
      <c r="Z285" t="s">
        <v>1750</v>
      </c>
      <c r="AE285" t="s">
        <v>613</v>
      </c>
      <c r="AF285" t="s">
        <v>1634</v>
      </c>
      <c r="AG285" t="s">
        <v>1743</v>
      </c>
      <c r="AM285" t="s">
        <v>613</v>
      </c>
      <c r="AN285" t="s">
        <v>1557</v>
      </c>
      <c r="AO285" t="s">
        <v>1695</v>
      </c>
    </row>
    <row r="286" spans="24:50" x14ac:dyDescent="0.25">
      <c r="X286" t="s">
        <v>613</v>
      </c>
      <c r="Y286" t="s">
        <v>1414</v>
      </c>
      <c r="Z286" t="s">
        <v>1750</v>
      </c>
      <c r="AE286" t="s">
        <v>613</v>
      </c>
      <c r="AF286" t="s">
        <v>1635</v>
      </c>
      <c r="AG286" t="s">
        <v>1742</v>
      </c>
      <c r="AM286" t="s">
        <v>613</v>
      </c>
      <c r="AN286" t="s">
        <v>1558</v>
      </c>
      <c r="AO286" t="s">
        <v>1695</v>
      </c>
    </row>
    <row r="287" spans="24:50" x14ac:dyDescent="0.25">
      <c r="X287" t="s">
        <v>613</v>
      </c>
      <c r="Y287" t="s">
        <v>1415</v>
      </c>
      <c r="Z287" t="s">
        <v>1750</v>
      </c>
      <c r="AE287" t="s">
        <v>613</v>
      </c>
      <c r="AF287" t="s">
        <v>1640</v>
      </c>
      <c r="AG287" t="s">
        <v>1759</v>
      </c>
      <c r="AM287" t="s">
        <v>613</v>
      </c>
      <c r="AN287" t="s">
        <v>1381</v>
      </c>
      <c r="AO287" t="s">
        <v>1755</v>
      </c>
    </row>
    <row r="288" spans="24:50" x14ac:dyDescent="0.25">
      <c r="X288" t="s">
        <v>613</v>
      </c>
      <c r="Y288" t="s">
        <v>1416</v>
      </c>
      <c r="Z288" t="s">
        <v>1750</v>
      </c>
      <c r="AE288" t="s">
        <v>613</v>
      </c>
      <c r="AF288" t="s">
        <v>1641</v>
      </c>
      <c r="AG288" t="s">
        <v>1759</v>
      </c>
      <c r="AM288" t="s">
        <v>613</v>
      </c>
      <c r="AN288" t="s">
        <v>1468</v>
      </c>
      <c r="AO288" t="s">
        <v>1732</v>
      </c>
    </row>
    <row r="289" spans="24:41" x14ac:dyDescent="0.25">
      <c r="X289" t="s">
        <v>613</v>
      </c>
      <c r="Y289" t="s">
        <v>1417</v>
      </c>
      <c r="Z289" t="s">
        <v>1750</v>
      </c>
      <c r="AE289" t="s">
        <v>613</v>
      </c>
      <c r="AF289" t="s">
        <v>1642</v>
      </c>
      <c r="AG289" t="s">
        <v>1759</v>
      </c>
      <c r="AM289" t="s">
        <v>613</v>
      </c>
      <c r="AN289" t="s">
        <v>1469</v>
      </c>
      <c r="AO289" t="s">
        <v>1732</v>
      </c>
    </row>
    <row r="290" spans="24:41" x14ac:dyDescent="0.25">
      <c r="X290" t="s">
        <v>613</v>
      </c>
      <c r="Y290" t="s">
        <v>1418</v>
      </c>
      <c r="Z290" t="s">
        <v>1750</v>
      </c>
      <c r="AE290" t="s">
        <v>613</v>
      </c>
      <c r="AF290" t="s">
        <v>1644</v>
      </c>
      <c r="AG290" t="s">
        <v>1759</v>
      </c>
      <c r="AM290" t="s">
        <v>613</v>
      </c>
      <c r="AN290" t="s">
        <v>1470</v>
      </c>
      <c r="AO290" t="s">
        <v>1732</v>
      </c>
    </row>
    <row r="291" spans="24:41" x14ac:dyDescent="0.25">
      <c r="X291" t="s">
        <v>613</v>
      </c>
      <c r="Y291" t="s">
        <v>1419</v>
      </c>
      <c r="Z291" t="s">
        <v>1750</v>
      </c>
      <c r="AE291" t="s">
        <v>613</v>
      </c>
      <c r="AF291" t="s">
        <v>1655</v>
      </c>
      <c r="AG291" t="s">
        <v>1760</v>
      </c>
      <c r="AM291" t="s">
        <v>613</v>
      </c>
      <c r="AN291" t="s">
        <v>1471</v>
      </c>
      <c r="AO291" t="s">
        <v>1732</v>
      </c>
    </row>
    <row r="292" spans="24:41" x14ac:dyDescent="0.25">
      <c r="X292" t="s">
        <v>613</v>
      </c>
      <c r="Y292" t="s">
        <v>1420</v>
      </c>
      <c r="Z292" t="s">
        <v>1750</v>
      </c>
      <c r="AE292" t="s">
        <v>613</v>
      </c>
      <c r="AF292" t="s">
        <v>1656</v>
      </c>
      <c r="AG292" t="s">
        <v>1723</v>
      </c>
      <c r="AM292" t="s">
        <v>613</v>
      </c>
      <c r="AN292" t="s">
        <v>1221</v>
      </c>
      <c r="AO292" t="s">
        <v>1728</v>
      </c>
    </row>
    <row r="293" spans="24:41" x14ac:dyDescent="0.25">
      <c r="X293" t="s">
        <v>613</v>
      </c>
      <c r="Y293" t="s">
        <v>1421</v>
      </c>
      <c r="Z293" t="s">
        <v>1750</v>
      </c>
      <c r="AE293" t="s">
        <v>613</v>
      </c>
      <c r="AF293" t="s">
        <v>1657</v>
      </c>
      <c r="AG293" t="s">
        <v>1756</v>
      </c>
      <c r="AM293" t="s">
        <v>300</v>
      </c>
    </row>
    <row r="294" spans="24:41" x14ac:dyDescent="0.25">
      <c r="X294" t="s">
        <v>613</v>
      </c>
      <c r="Y294" t="s">
        <v>1422</v>
      </c>
      <c r="Z294" t="s">
        <v>1222</v>
      </c>
      <c r="AE294" t="s">
        <v>613</v>
      </c>
      <c r="AF294" t="s">
        <v>1658</v>
      </c>
      <c r="AG294" t="s">
        <v>1756</v>
      </c>
      <c r="AM294" t="s">
        <v>613</v>
      </c>
      <c r="AN294" t="s">
        <v>1226</v>
      </c>
      <c r="AO294" t="s">
        <v>1695</v>
      </c>
    </row>
    <row r="295" spans="24:41" x14ac:dyDescent="0.25">
      <c r="X295" t="s">
        <v>613</v>
      </c>
      <c r="Y295" t="s">
        <v>1423</v>
      </c>
      <c r="Z295" t="s">
        <v>1222</v>
      </c>
      <c r="AE295" t="s">
        <v>613</v>
      </c>
      <c r="AF295" t="s">
        <v>1659</v>
      </c>
      <c r="AG295" t="s">
        <v>1756</v>
      </c>
      <c r="AM295" t="s">
        <v>613</v>
      </c>
      <c r="AN295" t="s">
        <v>1669</v>
      </c>
      <c r="AO295" t="s">
        <v>1695</v>
      </c>
    </row>
    <row r="296" spans="24:41" x14ac:dyDescent="0.25">
      <c r="X296" t="s">
        <v>613</v>
      </c>
      <c r="Y296" t="s">
        <v>1424</v>
      </c>
      <c r="Z296" t="s">
        <v>1222</v>
      </c>
      <c r="AE296" t="s">
        <v>613</v>
      </c>
      <c r="AF296" t="s">
        <v>1660</v>
      </c>
      <c r="AG296" t="s">
        <v>1756</v>
      </c>
      <c r="AM296" t="s">
        <v>613</v>
      </c>
      <c r="AN296" t="s">
        <v>1670</v>
      </c>
      <c r="AO296" t="s">
        <v>1695</v>
      </c>
    </row>
    <row r="297" spans="24:41" x14ac:dyDescent="0.25">
      <c r="X297" t="s">
        <v>613</v>
      </c>
      <c r="Y297" t="s">
        <v>1425</v>
      </c>
      <c r="Z297" t="s">
        <v>1750</v>
      </c>
      <c r="AE297" t="s">
        <v>613</v>
      </c>
      <c r="AF297" t="s">
        <v>1221</v>
      </c>
      <c r="AG297" t="s">
        <v>1728</v>
      </c>
      <c r="AM297" t="s">
        <v>613</v>
      </c>
      <c r="AN297" t="s">
        <v>1671</v>
      </c>
      <c r="AO297" t="s">
        <v>1695</v>
      </c>
    </row>
    <row r="298" spans="24:41" x14ac:dyDescent="0.25">
      <c r="X298" t="s">
        <v>613</v>
      </c>
      <c r="Y298" t="s">
        <v>1426</v>
      </c>
      <c r="Z298" t="s">
        <v>1750</v>
      </c>
      <c r="AE298" t="s">
        <v>119</v>
      </c>
      <c r="AM298" t="s">
        <v>613</v>
      </c>
      <c r="AN298" t="s">
        <v>1672</v>
      </c>
      <c r="AO298" t="s">
        <v>1695</v>
      </c>
    </row>
    <row r="299" spans="24:41" x14ac:dyDescent="0.25">
      <c r="X299" t="s">
        <v>613</v>
      </c>
      <c r="Y299" t="s">
        <v>1427</v>
      </c>
      <c r="Z299" t="s">
        <v>1750</v>
      </c>
      <c r="AE299" t="s">
        <v>613</v>
      </c>
      <c r="AF299" t="s">
        <v>1547</v>
      </c>
      <c r="AG299" t="s">
        <v>1735</v>
      </c>
      <c r="AM299" t="s">
        <v>613</v>
      </c>
      <c r="AN299" t="s">
        <v>1673</v>
      </c>
      <c r="AO299" t="s">
        <v>1695</v>
      </c>
    </row>
    <row r="300" spans="24:41" x14ac:dyDescent="0.25">
      <c r="X300" t="s">
        <v>613</v>
      </c>
      <c r="Y300" t="s">
        <v>1428</v>
      </c>
      <c r="Z300" t="s">
        <v>1750</v>
      </c>
      <c r="AE300" t="s">
        <v>613</v>
      </c>
      <c r="AF300" t="s">
        <v>1548</v>
      </c>
      <c r="AG300" t="s">
        <v>1723</v>
      </c>
      <c r="AM300" t="s">
        <v>613</v>
      </c>
      <c r="AN300" t="s">
        <v>1674</v>
      </c>
      <c r="AO300" t="s">
        <v>1695</v>
      </c>
    </row>
    <row r="301" spans="24:41" x14ac:dyDescent="0.25">
      <c r="X301" t="s">
        <v>613</v>
      </c>
      <c r="Y301" t="s">
        <v>1429</v>
      </c>
      <c r="Z301" t="s">
        <v>1750</v>
      </c>
      <c r="AE301" t="s">
        <v>613</v>
      </c>
      <c r="AF301" t="s">
        <v>1269</v>
      </c>
      <c r="AG301" t="s">
        <v>1736</v>
      </c>
      <c r="AM301" t="s">
        <v>613</v>
      </c>
      <c r="AN301" t="s">
        <v>1675</v>
      </c>
      <c r="AO301" t="s">
        <v>1695</v>
      </c>
    </row>
    <row r="302" spans="24:41" x14ac:dyDescent="0.25">
      <c r="X302" t="s">
        <v>613</v>
      </c>
      <c r="Y302" t="s">
        <v>1430</v>
      </c>
      <c r="Z302" t="s">
        <v>1750</v>
      </c>
      <c r="AE302" t="s">
        <v>613</v>
      </c>
      <c r="AF302" t="s">
        <v>1270</v>
      </c>
      <c r="AG302" t="s">
        <v>613</v>
      </c>
      <c r="AM302" t="s">
        <v>613</v>
      </c>
      <c r="AN302" t="s">
        <v>1676</v>
      </c>
      <c r="AO302" t="s">
        <v>1695</v>
      </c>
    </row>
    <row r="303" spans="24:41" x14ac:dyDescent="0.25">
      <c r="X303" t="s">
        <v>613</v>
      </c>
      <c r="Y303" t="s">
        <v>1431</v>
      </c>
      <c r="Z303" t="s">
        <v>1750</v>
      </c>
      <c r="AE303" t="s">
        <v>613</v>
      </c>
      <c r="AF303" t="s">
        <v>1242</v>
      </c>
      <c r="AG303" t="s">
        <v>613</v>
      </c>
      <c r="AM303" t="s">
        <v>613</v>
      </c>
      <c r="AN303" t="s">
        <v>1677</v>
      </c>
      <c r="AO303" t="s">
        <v>1695</v>
      </c>
    </row>
    <row r="304" spans="24:41" x14ac:dyDescent="0.25">
      <c r="X304" t="s">
        <v>613</v>
      </c>
      <c r="Y304" t="s">
        <v>1432</v>
      </c>
      <c r="Z304" t="s">
        <v>1750</v>
      </c>
      <c r="AE304" t="s">
        <v>613</v>
      </c>
      <c r="AF304" t="s">
        <v>1617</v>
      </c>
      <c r="AG304" t="s">
        <v>1723</v>
      </c>
      <c r="AM304" t="s">
        <v>613</v>
      </c>
      <c r="AN304" t="s">
        <v>1678</v>
      </c>
      <c r="AO304" t="s">
        <v>1695</v>
      </c>
    </row>
    <row r="305" spans="24:41" x14ac:dyDescent="0.25">
      <c r="X305" t="s">
        <v>613</v>
      </c>
      <c r="Y305" t="s">
        <v>1433</v>
      </c>
      <c r="Z305" t="s">
        <v>1750</v>
      </c>
      <c r="AE305" t="s">
        <v>613</v>
      </c>
      <c r="AF305" t="s">
        <v>1226</v>
      </c>
      <c r="AG305" t="s">
        <v>1695</v>
      </c>
      <c r="AM305" t="s">
        <v>613</v>
      </c>
      <c r="AN305" t="s">
        <v>1381</v>
      </c>
      <c r="AO305" t="s">
        <v>1755</v>
      </c>
    </row>
    <row r="306" spans="24:41" x14ac:dyDescent="0.25">
      <c r="X306" t="s">
        <v>613</v>
      </c>
      <c r="Y306" t="s">
        <v>1434</v>
      </c>
      <c r="Z306" t="s">
        <v>1750</v>
      </c>
      <c r="AE306" t="s">
        <v>613</v>
      </c>
      <c r="AF306" t="s">
        <v>1549</v>
      </c>
      <c r="AG306" t="s">
        <v>1695</v>
      </c>
      <c r="AM306" t="s">
        <v>613</v>
      </c>
      <c r="AN306" t="s">
        <v>1468</v>
      </c>
      <c r="AO306" t="s">
        <v>1732</v>
      </c>
    </row>
    <row r="307" spans="24:41" x14ac:dyDescent="0.25">
      <c r="X307" t="s">
        <v>613</v>
      </c>
      <c r="Y307" t="s">
        <v>1435</v>
      </c>
      <c r="Z307" t="s">
        <v>1750</v>
      </c>
      <c r="AE307" t="s">
        <v>613</v>
      </c>
      <c r="AF307" t="s">
        <v>1550</v>
      </c>
      <c r="AG307" t="s">
        <v>1695</v>
      </c>
      <c r="AM307" t="s">
        <v>613</v>
      </c>
      <c r="AN307" t="s">
        <v>1469</v>
      </c>
      <c r="AO307" t="s">
        <v>1732</v>
      </c>
    </row>
    <row r="308" spans="24:41" x14ac:dyDescent="0.25">
      <c r="X308" t="s">
        <v>613</v>
      </c>
      <c r="Y308" t="s">
        <v>1436</v>
      </c>
      <c r="Z308" t="s">
        <v>1750</v>
      </c>
      <c r="AE308" t="s">
        <v>613</v>
      </c>
      <c r="AF308" t="s">
        <v>1551</v>
      </c>
      <c r="AG308" t="s">
        <v>1695</v>
      </c>
      <c r="AM308" t="s">
        <v>613</v>
      </c>
      <c r="AN308" t="s">
        <v>1470</v>
      </c>
      <c r="AO308" t="s">
        <v>1732</v>
      </c>
    </row>
    <row r="309" spans="24:41" x14ac:dyDescent="0.25">
      <c r="X309" t="s">
        <v>613</v>
      </c>
      <c r="Y309" t="s">
        <v>1437</v>
      </c>
      <c r="Z309" t="s">
        <v>1750</v>
      </c>
      <c r="AE309" t="s">
        <v>613</v>
      </c>
      <c r="AF309" t="s">
        <v>1552</v>
      </c>
      <c r="AG309" t="s">
        <v>1695</v>
      </c>
      <c r="AM309" t="s">
        <v>613</v>
      </c>
      <c r="AN309" t="s">
        <v>1471</v>
      </c>
      <c r="AO309" t="s">
        <v>1732</v>
      </c>
    </row>
    <row r="310" spans="24:41" x14ac:dyDescent="0.25">
      <c r="X310" t="s">
        <v>613</v>
      </c>
      <c r="Y310" t="s">
        <v>1438</v>
      </c>
      <c r="Z310" t="s">
        <v>1750</v>
      </c>
      <c r="AE310" t="s">
        <v>613</v>
      </c>
      <c r="AF310" t="s">
        <v>1553</v>
      </c>
      <c r="AG310" t="s">
        <v>1695</v>
      </c>
      <c r="AM310" t="s">
        <v>613</v>
      </c>
      <c r="AN310" t="s">
        <v>1221</v>
      </c>
      <c r="AO310" t="s">
        <v>1748</v>
      </c>
    </row>
    <row r="311" spans="24:41" x14ac:dyDescent="0.25">
      <c r="X311" t="s">
        <v>613</v>
      </c>
      <c r="Y311" t="s">
        <v>1439</v>
      </c>
      <c r="Z311" t="s">
        <v>1750</v>
      </c>
      <c r="AE311" t="s">
        <v>613</v>
      </c>
      <c r="AF311" t="s">
        <v>1554</v>
      </c>
      <c r="AG311" t="s">
        <v>1695</v>
      </c>
      <c r="AM311" t="s">
        <v>120</v>
      </c>
    </row>
    <row r="312" spans="24:41" x14ac:dyDescent="0.25">
      <c r="X312" t="s">
        <v>613</v>
      </c>
      <c r="Y312" t="s">
        <v>1440</v>
      </c>
      <c r="Z312" t="s">
        <v>1750</v>
      </c>
      <c r="AE312" t="s">
        <v>613</v>
      </c>
      <c r="AF312" t="s">
        <v>1555</v>
      </c>
      <c r="AG312" t="s">
        <v>1695</v>
      </c>
      <c r="AM312" t="s">
        <v>613</v>
      </c>
      <c r="AN312" t="s">
        <v>1308</v>
      </c>
      <c r="AO312" t="s">
        <v>1756</v>
      </c>
    </row>
    <row r="313" spans="24:41" x14ac:dyDescent="0.25">
      <c r="X313" t="s">
        <v>613</v>
      </c>
      <c r="Y313" t="s">
        <v>1441</v>
      </c>
      <c r="Z313" t="s">
        <v>1750</v>
      </c>
      <c r="AE313" t="s">
        <v>613</v>
      </c>
      <c r="AF313" t="s">
        <v>1556</v>
      </c>
      <c r="AG313" t="s">
        <v>1695</v>
      </c>
      <c r="AM313" t="s">
        <v>613</v>
      </c>
      <c r="AN313" t="s">
        <v>1323</v>
      </c>
      <c r="AO313" t="s">
        <v>1699</v>
      </c>
    </row>
    <row r="314" spans="24:41" x14ac:dyDescent="0.25">
      <c r="X314" t="s">
        <v>613</v>
      </c>
      <c r="Y314" t="s">
        <v>1442</v>
      </c>
      <c r="Z314" t="s">
        <v>1750</v>
      </c>
      <c r="AE314" t="s">
        <v>613</v>
      </c>
      <c r="AF314" t="s">
        <v>1557</v>
      </c>
      <c r="AG314" t="s">
        <v>1695</v>
      </c>
      <c r="AM314" t="s">
        <v>613</v>
      </c>
      <c r="AN314" t="s">
        <v>1337</v>
      </c>
      <c r="AO314" t="s">
        <v>1712</v>
      </c>
    </row>
    <row r="315" spans="24:41" x14ac:dyDescent="0.25">
      <c r="X315" t="s">
        <v>613</v>
      </c>
      <c r="Y315" t="s">
        <v>1443</v>
      </c>
      <c r="Z315" t="s">
        <v>1750</v>
      </c>
      <c r="AE315" t="s">
        <v>613</v>
      </c>
      <c r="AF315" t="s">
        <v>1558</v>
      </c>
      <c r="AG315" t="s">
        <v>1695</v>
      </c>
      <c r="AM315" t="s">
        <v>613</v>
      </c>
      <c r="AN315" t="s">
        <v>1340</v>
      </c>
      <c r="AO315" t="s">
        <v>1712</v>
      </c>
    </row>
    <row r="316" spans="24:41" x14ac:dyDescent="0.25">
      <c r="X316" t="s">
        <v>613</v>
      </c>
      <c r="Y316" t="s">
        <v>1444</v>
      </c>
      <c r="Z316" t="s">
        <v>1750</v>
      </c>
      <c r="AE316" t="s">
        <v>613</v>
      </c>
      <c r="AF316" t="s">
        <v>1381</v>
      </c>
      <c r="AG316" t="s">
        <v>1755</v>
      </c>
      <c r="AM316" t="s">
        <v>613</v>
      </c>
      <c r="AN316" t="s">
        <v>1341</v>
      </c>
      <c r="AO316" t="s">
        <v>1712</v>
      </c>
    </row>
    <row r="317" spans="24:41" x14ac:dyDescent="0.25">
      <c r="X317" t="s">
        <v>613</v>
      </c>
      <c r="Y317" t="s">
        <v>1445</v>
      </c>
      <c r="Z317" t="s">
        <v>1222</v>
      </c>
      <c r="AE317" t="s">
        <v>613</v>
      </c>
      <c r="AF317" t="s">
        <v>1468</v>
      </c>
      <c r="AG317" t="s">
        <v>1732</v>
      </c>
      <c r="AM317" t="s">
        <v>613</v>
      </c>
      <c r="AN317" t="s">
        <v>1342</v>
      </c>
      <c r="AO317" t="s">
        <v>1712</v>
      </c>
    </row>
    <row r="318" spans="24:41" x14ac:dyDescent="0.25">
      <c r="X318" t="s">
        <v>613</v>
      </c>
      <c r="Y318" t="s">
        <v>1446</v>
      </c>
      <c r="Z318" t="s">
        <v>1222</v>
      </c>
      <c r="AE318" t="s">
        <v>613</v>
      </c>
      <c r="AF318" t="s">
        <v>1469</v>
      </c>
      <c r="AG318" t="s">
        <v>1732</v>
      </c>
      <c r="AM318" t="s">
        <v>613</v>
      </c>
      <c r="AN318" t="s">
        <v>1343</v>
      </c>
      <c r="AO318" t="s">
        <v>1712</v>
      </c>
    </row>
    <row r="319" spans="24:41" x14ac:dyDescent="0.25">
      <c r="X319" t="s">
        <v>613</v>
      </c>
      <c r="Y319" t="s">
        <v>1447</v>
      </c>
      <c r="Z319" t="s">
        <v>1222</v>
      </c>
      <c r="AE319" t="s">
        <v>613</v>
      </c>
      <c r="AF319" t="s">
        <v>1470</v>
      </c>
      <c r="AG319" t="s">
        <v>1732</v>
      </c>
      <c r="AM319" t="s">
        <v>613</v>
      </c>
      <c r="AN319" t="s">
        <v>1226</v>
      </c>
      <c r="AO319" t="s">
        <v>1695</v>
      </c>
    </row>
    <row r="320" spans="24:41" x14ac:dyDescent="0.25">
      <c r="X320" t="s">
        <v>613</v>
      </c>
      <c r="Y320" t="s">
        <v>1448</v>
      </c>
      <c r="Z320" t="s">
        <v>1222</v>
      </c>
      <c r="AE320" t="s">
        <v>613</v>
      </c>
      <c r="AF320" t="s">
        <v>1471</v>
      </c>
      <c r="AG320" t="s">
        <v>1732</v>
      </c>
      <c r="AM320" t="s">
        <v>613</v>
      </c>
      <c r="AN320" t="s">
        <v>1353</v>
      </c>
      <c r="AO320" t="s">
        <v>1695</v>
      </c>
    </row>
    <row r="321" spans="24:41" x14ac:dyDescent="0.25">
      <c r="X321" t="s">
        <v>613</v>
      </c>
      <c r="Y321" t="s">
        <v>1449</v>
      </c>
      <c r="Z321" t="s">
        <v>1222</v>
      </c>
      <c r="AE321" t="s">
        <v>613</v>
      </c>
      <c r="AF321" t="s">
        <v>1623</v>
      </c>
      <c r="AG321" t="s">
        <v>1723</v>
      </c>
      <c r="AM321" t="s">
        <v>613</v>
      </c>
      <c r="AN321" t="s">
        <v>1354</v>
      </c>
      <c r="AO321" t="s">
        <v>1695</v>
      </c>
    </row>
    <row r="322" spans="24:41" x14ac:dyDescent="0.25">
      <c r="X322" t="s">
        <v>613</v>
      </c>
      <c r="Y322" t="s">
        <v>1450</v>
      </c>
      <c r="Z322" t="s">
        <v>1222</v>
      </c>
      <c r="AE322" t="s">
        <v>613</v>
      </c>
      <c r="AF322" t="s">
        <v>1221</v>
      </c>
      <c r="AG322" t="s">
        <v>1728</v>
      </c>
      <c r="AM322" t="s">
        <v>613</v>
      </c>
      <c r="AN322" t="s">
        <v>1355</v>
      </c>
      <c r="AO322" t="s">
        <v>1695</v>
      </c>
    </row>
    <row r="323" spans="24:41" x14ac:dyDescent="0.25">
      <c r="X323" t="s">
        <v>613</v>
      </c>
      <c r="Y323" t="s">
        <v>1451</v>
      </c>
      <c r="Z323" t="s">
        <v>1222</v>
      </c>
      <c r="AE323" t="s">
        <v>300</v>
      </c>
      <c r="AM323" t="s">
        <v>613</v>
      </c>
      <c r="AN323" t="s">
        <v>1356</v>
      </c>
      <c r="AO323" t="s">
        <v>1695</v>
      </c>
    </row>
    <row r="324" spans="24:41" x14ac:dyDescent="0.25">
      <c r="X324" t="s">
        <v>613</v>
      </c>
      <c r="Y324" t="s">
        <v>1452</v>
      </c>
      <c r="Z324" t="s">
        <v>1222</v>
      </c>
      <c r="AE324" t="s">
        <v>613</v>
      </c>
      <c r="AF324" t="s">
        <v>1226</v>
      </c>
      <c r="AG324" t="s">
        <v>1695</v>
      </c>
      <c r="AM324" t="s">
        <v>613</v>
      </c>
      <c r="AN324" t="s">
        <v>1357</v>
      </c>
      <c r="AO324" t="s">
        <v>1695</v>
      </c>
    </row>
    <row r="325" spans="24:41" x14ac:dyDescent="0.25">
      <c r="X325" t="s">
        <v>613</v>
      </c>
      <c r="Y325" t="s">
        <v>1453</v>
      </c>
      <c r="Z325" t="s">
        <v>1222</v>
      </c>
      <c r="AE325" t="s">
        <v>613</v>
      </c>
      <c r="AF325" t="s">
        <v>1669</v>
      </c>
      <c r="AG325" t="s">
        <v>1695</v>
      </c>
      <c r="AM325" t="s">
        <v>613</v>
      </c>
      <c r="AN325" t="s">
        <v>1358</v>
      </c>
      <c r="AO325" t="s">
        <v>1695</v>
      </c>
    </row>
    <row r="326" spans="24:41" x14ac:dyDescent="0.25">
      <c r="X326" t="s">
        <v>613</v>
      </c>
      <c r="Y326" t="s">
        <v>1454</v>
      </c>
      <c r="Z326" t="s">
        <v>1222</v>
      </c>
      <c r="AE326" t="s">
        <v>613</v>
      </c>
      <c r="AF326" t="s">
        <v>1670</v>
      </c>
      <c r="AG326" t="s">
        <v>1695</v>
      </c>
      <c r="AM326" t="s">
        <v>613</v>
      </c>
      <c r="AN326" t="s">
        <v>1359</v>
      </c>
      <c r="AO326" t="s">
        <v>1695</v>
      </c>
    </row>
    <row r="327" spans="24:41" x14ac:dyDescent="0.25">
      <c r="X327" t="s">
        <v>613</v>
      </c>
      <c r="Y327" t="s">
        <v>1455</v>
      </c>
      <c r="Z327" t="s">
        <v>1222</v>
      </c>
      <c r="AE327" t="s">
        <v>613</v>
      </c>
      <c r="AF327" t="s">
        <v>1671</v>
      </c>
      <c r="AG327" t="s">
        <v>1695</v>
      </c>
      <c r="AM327" t="s">
        <v>613</v>
      </c>
      <c r="AN327" t="s">
        <v>1360</v>
      </c>
      <c r="AO327" t="s">
        <v>1695</v>
      </c>
    </row>
    <row r="328" spans="24:41" x14ac:dyDescent="0.25">
      <c r="X328" t="s">
        <v>613</v>
      </c>
      <c r="Y328" t="s">
        <v>1456</v>
      </c>
      <c r="Z328" t="s">
        <v>1222</v>
      </c>
      <c r="AE328" t="s">
        <v>613</v>
      </c>
      <c r="AF328" t="s">
        <v>1672</v>
      </c>
      <c r="AG328" t="s">
        <v>1695</v>
      </c>
      <c r="AM328" t="s">
        <v>613</v>
      </c>
      <c r="AN328" t="s">
        <v>1361</v>
      </c>
      <c r="AO328" t="s">
        <v>1695</v>
      </c>
    </row>
    <row r="329" spans="24:41" x14ac:dyDescent="0.25">
      <c r="X329" t="s">
        <v>613</v>
      </c>
      <c r="Y329" t="s">
        <v>1457</v>
      </c>
      <c r="Z329" t="s">
        <v>1222</v>
      </c>
      <c r="AE329" t="s">
        <v>613</v>
      </c>
      <c r="AF329" t="s">
        <v>1673</v>
      </c>
      <c r="AG329" t="s">
        <v>1695</v>
      </c>
      <c r="AM329" t="s">
        <v>613</v>
      </c>
      <c r="AN329" t="s">
        <v>1362</v>
      </c>
      <c r="AO329" t="s">
        <v>1695</v>
      </c>
    </row>
    <row r="330" spans="24:41" x14ac:dyDescent="0.25">
      <c r="X330" t="s">
        <v>613</v>
      </c>
      <c r="Y330" t="s">
        <v>1458</v>
      </c>
      <c r="Z330" t="s">
        <v>1222</v>
      </c>
      <c r="AE330" t="s">
        <v>613</v>
      </c>
      <c r="AF330" t="s">
        <v>1674</v>
      </c>
      <c r="AG330" t="s">
        <v>1695</v>
      </c>
      <c r="AM330" t="s">
        <v>613</v>
      </c>
      <c r="AN330" t="s">
        <v>1381</v>
      </c>
      <c r="AO330" t="s">
        <v>1755</v>
      </c>
    </row>
    <row r="331" spans="24:41" x14ac:dyDescent="0.25">
      <c r="X331" t="s">
        <v>613</v>
      </c>
      <c r="Y331" t="s">
        <v>1459</v>
      </c>
      <c r="Z331" t="s">
        <v>1222</v>
      </c>
      <c r="AE331" t="s">
        <v>613</v>
      </c>
      <c r="AF331" t="s">
        <v>1675</v>
      </c>
      <c r="AG331" t="s">
        <v>1695</v>
      </c>
      <c r="AM331" t="s">
        <v>613</v>
      </c>
      <c r="AN331" t="s">
        <v>1584</v>
      </c>
      <c r="AO331" t="s">
        <v>1750</v>
      </c>
    </row>
    <row r="332" spans="24:41" x14ac:dyDescent="0.25">
      <c r="X332" t="s">
        <v>613</v>
      </c>
      <c r="Y332" t="s">
        <v>1229</v>
      </c>
      <c r="Z332" t="s">
        <v>1755</v>
      </c>
      <c r="AE332" t="s">
        <v>613</v>
      </c>
      <c r="AF332" t="s">
        <v>1676</v>
      </c>
      <c r="AG332" t="s">
        <v>1695</v>
      </c>
      <c r="AM332" t="s">
        <v>613</v>
      </c>
      <c r="AN332" t="s">
        <v>1585</v>
      </c>
      <c r="AO332" t="s">
        <v>1750</v>
      </c>
    </row>
    <row r="333" spans="24:41" x14ac:dyDescent="0.25">
      <c r="X333" t="s">
        <v>613</v>
      </c>
      <c r="Y333" t="s">
        <v>1460</v>
      </c>
      <c r="Z333" t="s">
        <v>1222</v>
      </c>
      <c r="AE333" t="s">
        <v>613</v>
      </c>
      <c r="AF333" t="s">
        <v>1677</v>
      </c>
      <c r="AG333" t="s">
        <v>1695</v>
      </c>
      <c r="AM333" t="s">
        <v>613</v>
      </c>
      <c r="AN333" t="s">
        <v>1586</v>
      </c>
      <c r="AO333" t="s">
        <v>1750</v>
      </c>
    </row>
    <row r="334" spans="24:41" x14ac:dyDescent="0.25">
      <c r="X334" t="s">
        <v>613</v>
      </c>
      <c r="Y334" t="s">
        <v>1461</v>
      </c>
      <c r="Z334" t="s">
        <v>1739</v>
      </c>
      <c r="AE334" t="s">
        <v>613</v>
      </c>
      <c r="AF334" t="s">
        <v>1678</v>
      </c>
      <c r="AG334" t="s">
        <v>1695</v>
      </c>
      <c r="AM334" t="s">
        <v>613</v>
      </c>
      <c r="AN334" t="s">
        <v>1587</v>
      </c>
      <c r="AO334" t="s">
        <v>1750</v>
      </c>
    </row>
    <row r="335" spans="24:41" x14ac:dyDescent="0.25">
      <c r="X335" t="s">
        <v>613</v>
      </c>
      <c r="Y335" t="s">
        <v>1462</v>
      </c>
      <c r="Z335" t="s">
        <v>1723</v>
      </c>
      <c r="AE335" t="s">
        <v>613</v>
      </c>
      <c r="AF335" t="s">
        <v>1381</v>
      </c>
      <c r="AG335" t="s">
        <v>1755</v>
      </c>
      <c r="AM335" t="s">
        <v>613</v>
      </c>
      <c r="AN335" t="s">
        <v>1588</v>
      </c>
      <c r="AO335" t="s">
        <v>1750</v>
      </c>
    </row>
    <row r="336" spans="24:41" x14ac:dyDescent="0.25">
      <c r="X336" t="s">
        <v>613</v>
      </c>
      <c r="Y336" t="s">
        <v>1463</v>
      </c>
      <c r="Z336" t="s">
        <v>1723</v>
      </c>
      <c r="AE336" t="s">
        <v>613</v>
      </c>
      <c r="AF336" t="s">
        <v>1468</v>
      </c>
      <c r="AG336" t="s">
        <v>1732</v>
      </c>
      <c r="AM336" t="s">
        <v>613</v>
      </c>
      <c r="AN336" t="s">
        <v>1589</v>
      </c>
      <c r="AO336" t="s">
        <v>1750</v>
      </c>
    </row>
    <row r="337" spans="24:41" x14ac:dyDescent="0.25">
      <c r="X337" t="s">
        <v>613</v>
      </c>
      <c r="Y337" t="s">
        <v>1464</v>
      </c>
      <c r="Z337" t="s">
        <v>1723</v>
      </c>
      <c r="AE337" t="s">
        <v>613</v>
      </c>
      <c r="AF337" t="s">
        <v>1469</v>
      </c>
      <c r="AG337" t="s">
        <v>1732</v>
      </c>
      <c r="AM337" t="s">
        <v>613</v>
      </c>
      <c r="AN337" t="s">
        <v>1590</v>
      </c>
      <c r="AO337" t="s">
        <v>1750</v>
      </c>
    </row>
    <row r="338" spans="24:41" x14ac:dyDescent="0.25">
      <c r="X338" t="s">
        <v>613</v>
      </c>
      <c r="Y338" t="s">
        <v>1465</v>
      </c>
      <c r="Z338" t="s">
        <v>1723</v>
      </c>
      <c r="AE338" t="s">
        <v>613</v>
      </c>
      <c r="AF338" t="s">
        <v>1470</v>
      </c>
      <c r="AG338" t="s">
        <v>1732</v>
      </c>
      <c r="AM338" t="s">
        <v>613</v>
      </c>
      <c r="AN338" t="s">
        <v>1591</v>
      </c>
      <c r="AO338" t="s">
        <v>1750</v>
      </c>
    </row>
    <row r="339" spans="24:41" x14ac:dyDescent="0.25">
      <c r="X339" t="s">
        <v>613</v>
      </c>
      <c r="Y339" t="s">
        <v>1466</v>
      </c>
      <c r="Z339" t="s">
        <v>1723</v>
      </c>
      <c r="AE339" t="s">
        <v>613</v>
      </c>
      <c r="AF339" t="s">
        <v>1471</v>
      </c>
      <c r="AG339" t="s">
        <v>1732</v>
      </c>
      <c r="AM339" t="s">
        <v>613</v>
      </c>
      <c r="AN339" t="s">
        <v>1592</v>
      </c>
      <c r="AO339" t="s">
        <v>1750</v>
      </c>
    </row>
    <row r="340" spans="24:41" x14ac:dyDescent="0.25">
      <c r="X340" t="s">
        <v>613</v>
      </c>
      <c r="Y340" t="s">
        <v>1467</v>
      </c>
      <c r="Z340" t="s">
        <v>1723</v>
      </c>
      <c r="AE340" t="s">
        <v>613</v>
      </c>
      <c r="AF340" t="s">
        <v>1221</v>
      </c>
      <c r="AG340" t="s">
        <v>1748</v>
      </c>
      <c r="AM340" t="s">
        <v>613</v>
      </c>
      <c r="AN340" t="s">
        <v>1593</v>
      </c>
      <c r="AO340" t="s">
        <v>1750</v>
      </c>
    </row>
    <row r="341" spans="24:41" x14ac:dyDescent="0.25">
      <c r="X341" t="s">
        <v>613</v>
      </c>
      <c r="Y341" t="s">
        <v>1468</v>
      </c>
      <c r="Z341" t="s">
        <v>1732</v>
      </c>
      <c r="AE341" t="s">
        <v>120</v>
      </c>
      <c r="AM341" t="s">
        <v>613</v>
      </c>
      <c r="AN341" t="s">
        <v>1594</v>
      </c>
      <c r="AO341" t="s">
        <v>1750</v>
      </c>
    </row>
    <row r="342" spans="24:41" x14ac:dyDescent="0.25">
      <c r="X342" t="s">
        <v>613</v>
      </c>
      <c r="Y342" t="s">
        <v>1469</v>
      </c>
      <c r="Z342" t="s">
        <v>1732</v>
      </c>
      <c r="AE342" t="s">
        <v>613</v>
      </c>
      <c r="AF342" t="s">
        <v>1308</v>
      </c>
      <c r="AG342" t="s">
        <v>1756</v>
      </c>
      <c r="AM342" t="s">
        <v>613</v>
      </c>
      <c r="AN342" t="s">
        <v>1595</v>
      </c>
      <c r="AO342" t="s">
        <v>1750</v>
      </c>
    </row>
    <row r="343" spans="24:41" x14ac:dyDescent="0.25">
      <c r="X343" t="s">
        <v>613</v>
      </c>
      <c r="Y343" t="s">
        <v>1470</v>
      </c>
      <c r="Z343" t="s">
        <v>1732</v>
      </c>
      <c r="AE343" t="s">
        <v>613</v>
      </c>
      <c r="AF343" t="s">
        <v>1309</v>
      </c>
      <c r="AG343" t="s">
        <v>1757</v>
      </c>
      <c r="AM343" t="s">
        <v>613</v>
      </c>
      <c r="AN343" t="s">
        <v>1596</v>
      </c>
      <c r="AO343" t="s">
        <v>1750</v>
      </c>
    </row>
    <row r="344" spans="24:41" x14ac:dyDescent="0.25">
      <c r="X344" t="s">
        <v>613</v>
      </c>
      <c r="Y344" t="s">
        <v>1471</v>
      </c>
      <c r="Z344" t="s">
        <v>1732</v>
      </c>
      <c r="AE344" t="s">
        <v>613</v>
      </c>
      <c r="AF344" t="s">
        <v>1310</v>
      </c>
      <c r="AG344" t="s">
        <v>1757</v>
      </c>
      <c r="AM344" t="s">
        <v>613</v>
      </c>
      <c r="AN344" t="s">
        <v>1597</v>
      </c>
      <c r="AO344" t="s">
        <v>1750</v>
      </c>
    </row>
    <row r="345" spans="24:41" x14ac:dyDescent="0.25">
      <c r="X345" t="s">
        <v>613</v>
      </c>
      <c r="Y345" t="s">
        <v>1472</v>
      </c>
      <c r="Z345" t="s">
        <v>613</v>
      </c>
      <c r="AE345" t="s">
        <v>613</v>
      </c>
      <c r="AF345" t="s">
        <v>1311</v>
      </c>
      <c r="AG345" t="s">
        <v>1757</v>
      </c>
      <c r="AM345" t="s">
        <v>613</v>
      </c>
      <c r="AN345" t="s">
        <v>1598</v>
      </c>
      <c r="AO345" t="s">
        <v>1750</v>
      </c>
    </row>
    <row r="346" spans="24:41" x14ac:dyDescent="0.25">
      <c r="X346" t="s">
        <v>613</v>
      </c>
      <c r="Y346" t="s">
        <v>1473</v>
      </c>
      <c r="Z346" t="s">
        <v>613</v>
      </c>
      <c r="AE346" t="s">
        <v>613</v>
      </c>
      <c r="AF346" t="s">
        <v>1312</v>
      </c>
      <c r="AG346" t="s">
        <v>1757</v>
      </c>
      <c r="AM346" t="s">
        <v>613</v>
      </c>
      <c r="AN346" t="s">
        <v>1599</v>
      </c>
      <c r="AO346" t="s">
        <v>1750</v>
      </c>
    </row>
    <row r="347" spans="24:41" x14ac:dyDescent="0.25">
      <c r="X347" t="s">
        <v>613</v>
      </c>
      <c r="Y347" t="s">
        <v>1474</v>
      </c>
      <c r="Z347" t="s">
        <v>1691</v>
      </c>
      <c r="AE347" t="s">
        <v>613</v>
      </c>
      <c r="AF347" t="s">
        <v>1313</v>
      </c>
      <c r="AG347" t="s">
        <v>1757</v>
      </c>
      <c r="AM347" t="s">
        <v>613</v>
      </c>
      <c r="AN347" t="s">
        <v>1600</v>
      </c>
      <c r="AO347" t="s">
        <v>1750</v>
      </c>
    </row>
    <row r="348" spans="24:41" x14ac:dyDescent="0.25">
      <c r="X348" t="s">
        <v>613</v>
      </c>
      <c r="Y348" t="s">
        <v>1475</v>
      </c>
      <c r="Z348" t="s">
        <v>1691</v>
      </c>
      <c r="AE348" t="s">
        <v>613</v>
      </c>
      <c r="AF348" t="s">
        <v>1314</v>
      </c>
      <c r="AG348" t="s">
        <v>1757</v>
      </c>
      <c r="AM348" t="s">
        <v>613</v>
      </c>
      <c r="AN348" t="s">
        <v>1229</v>
      </c>
      <c r="AO348" t="s">
        <v>1755</v>
      </c>
    </row>
    <row r="349" spans="24:41" x14ac:dyDescent="0.25">
      <c r="X349" t="s">
        <v>613</v>
      </c>
      <c r="Y349" t="s">
        <v>1476</v>
      </c>
      <c r="Z349" t="s">
        <v>1691</v>
      </c>
      <c r="AE349" t="s">
        <v>613</v>
      </c>
      <c r="AF349" t="s">
        <v>1315</v>
      </c>
      <c r="AG349" t="s">
        <v>1757</v>
      </c>
      <c r="AM349" t="s">
        <v>613</v>
      </c>
      <c r="AN349" t="s">
        <v>1468</v>
      </c>
      <c r="AO349" t="s">
        <v>1732</v>
      </c>
    </row>
    <row r="350" spans="24:41" x14ac:dyDescent="0.25">
      <c r="X350" t="s">
        <v>613</v>
      </c>
      <c r="Y350" t="s">
        <v>1477</v>
      </c>
      <c r="Z350" t="s">
        <v>1726</v>
      </c>
      <c r="AE350" t="s">
        <v>613</v>
      </c>
      <c r="AF350" t="s">
        <v>1316</v>
      </c>
      <c r="AG350" t="s">
        <v>1691</v>
      </c>
      <c r="AM350" t="s">
        <v>613</v>
      </c>
      <c r="AN350" t="s">
        <v>1469</v>
      </c>
      <c r="AO350" t="s">
        <v>1732</v>
      </c>
    </row>
    <row r="351" spans="24:41" x14ac:dyDescent="0.25">
      <c r="X351" t="s">
        <v>613</v>
      </c>
      <c r="Y351" t="s">
        <v>1478</v>
      </c>
      <c r="Z351" t="s">
        <v>1691</v>
      </c>
      <c r="AE351" t="s">
        <v>613</v>
      </c>
      <c r="AF351" t="s">
        <v>1317</v>
      </c>
      <c r="AG351" t="s">
        <v>1757</v>
      </c>
      <c r="AM351" t="s">
        <v>613</v>
      </c>
      <c r="AN351" t="s">
        <v>1470</v>
      </c>
      <c r="AO351" t="s">
        <v>1732</v>
      </c>
    </row>
    <row r="352" spans="24:41" x14ac:dyDescent="0.25">
      <c r="X352" t="s">
        <v>613</v>
      </c>
      <c r="Y352" t="s">
        <v>1479</v>
      </c>
      <c r="Z352" t="s">
        <v>1691</v>
      </c>
      <c r="AE352" t="s">
        <v>613</v>
      </c>
      <c r="AF352" t="s">
        <v>1318</v>
      </c>
      <c r="AG352" t="s">
        <v>1691</v>
      </c>
      <c r="AM352" t="s">
        <v>613</v>
      </c>
      <c r="AN352" t="s">
        <v>1471</v>
      </c>
      <c r="AO352" t="s">
        <v>1732</v>
      </c>
    </row>
    <row r="353" spans="24:41" x14ac:dyDescent="0.25">
      <c r="X353" t="s">
        <v>613</v>
      </c>
      <c r="Y353" t="s">
        <v>1480</v>
      </c>
      <c r="Z353" t="s">
        <v>1691</v>
      </c>
      <c r="AE353" t="s">
        <v>613</v>
      </c>
      <c r="AF353" t="s">
        <v>1319</v>
      </c>
      <c r="AG353" t="s">
        <v>1691</v>
      </c>
      <c r="AM353" t="s">
        <v>613</v>
      </c>
      <c r="AN353" t="s">
        <v>1687</v>
      </c>
      <c r="AO353" t="s">
        <v>1725</v>
      </c>
    </row>
    <row r="354" spans="24:41" x14ac:dyDescent="0.25">
      <c r="X354" t="s">
        <v>613</v>
      </c>
      <c r="Y354" t="s">
        <v>1481</v>
      </c>
      <c r="Z354" t="s">
        <v>1726</v>
      </c>
      <c r="AE354" t="s">
        <v>613</v>
      </c>
      <c r="AF354" t="s">
        <v>1320</v>
      </c>
      <c r="AG354" t="s">
        <v>1691</v>
      </c>
      <c r="AM354" t="s">
        <v>613</v>
      </c>
      <c r="AN354" t="s">
        <v>1689</v>
      </c>
      <c r="AO354" t="s">
        <v>1726</v>
      </c>
    </row>
    <row r="355" spans="24:41" x14ac:dyDescent="0.25">
      <c r="X355" t="s">
        <v>613</v>
      </c>
      <c r="Y355" t="s">
        <v>1267</v>
      </c>
      <c r="Z355" t="s">
        <v>1755</v>
      </c>
      <c r="AE355" t="s">
        <v>613</v>
      </c>
      <c r="AF355" t="s">
        <v>1321</v>
      </c>
      <c r="AG355" t="s">
        <v>1723</v>
      </c>
      <c r="AM355" t="s">
        <v>613</v>
      </c>
      <c r="AN355" t="s">
        <v>1655</v>
      </c>
      <c r="AO355" t="s">
        <v>1727</v>
      </c>
    </row>
    <row r="356" spans="24:41" x14ac:dyDescent="0.25">
      <c r="X356" t="s">
        <v>613</v>
      </c>
      <c r="Y356" t="s">
        <v>1482</v>
      </c>
      <c r="Z356" t="s">
        <v>1723</v>
      </c>
      <c r="AE356" t="s">
        <v>613</v>
      </c>
      <c r="AF356" t="s">
        <v>1322</v>
      </c>
      <c r="AG356" t="s">
        <v>1757</v>
      </c>
      <c r="AM356" t="s">
        <v>613</v>
      </c>
      <c r="AN356" t="s">
        <v>1660</v>
      </c>
      <c r="AO356" t="s">
        <v>1726</v>
      </c>
    </row>
    <row r="357" spans="24:41" x14ac:dyDescent="0.25">
      <c r="X357" t="s">
        <v>613</v>
      </c>
      <c r="Y357" t="s">
        <v>1483</v>
      </c>
      <c r="Z357" t="s">
        <v>1723</v>
      </c>
      <c r="AE357" t="s">
        <v>613</v>
      </c>
      <c r="AF357" t="s">
        <v>1323</v>
      </c>
      <c r="AG357" t="s">
        <v>1699</v>
      </c>
      <c r="AM357" t="s">
        <v>613</v>
      </c>
      <c r="AN357" t="s">
        <v>1221</v>
      </c>
      <c r="AO357" t="s">
        <v>1728</v>
      </c>
    </row>
    <row r="358" spans="24:41" x14ac:dyDescent="0.25">
      <c r="X358" t="s">
        <v>613</v>
      </c>
      <c r="Y358" t="s">
        <v>1484</v>
      </c>
      <c r="Z358" t="s">
        <v>1723</v>
      </c>
      <c r="AE358" t="s">
        <v>613</v>
      </c>
      <c r="AF358" t="s">
        <v>1324</v>
      </c>
      <c r="AG358" t="s">
        <v>1757</v>
      </c>
    </row>
    <row r="359" spans="24:41" x14ac:dyDescent="0.25">
      <c r="X359" t="s">
        <v>613</v>
      </c>
      <c r="Y359" t="s">
        <v>1485</v>
      </c>
      <c r="Z359" t="s">
        <v>1723</v>
      </c>
      <c r="AE359" t="s">
        <v>613</v>
      </c>
      <c r="AF359" t="s">
        <v>1325</v>
      </c>
      <c r="AG359" t="s">
        <v>1691</v>
      </c>
    </row>
    <row r="360" spans="24:41" x14ac:dyDescent="0.25">
      <c r="X360" t="s">
        <v>613</v>
      </c>
      <c r="Y360" t="s">
        <v>1486</v>
      </c>
      <c r="Z360" t="s">
        <v>1723</v>
      </c>
      <c r="AE360" t="s">
        <v>613</v>
      </c>
      <c r="AF360" t="s">
        <v>1326</v>
      </c>
      <c r="AG360" t="s">
        <v>1757</v>
      </c>
    </row>
    <row r="361" spans="24:41" x14ac:dyDescent="0.25">
      <c r="X361" t="s">
        <v>613</v>
      </c>
      <c r="Y361" t="s">
        <v>1487</v>
      </c>
      <c r="Z361" t="s">
        <v>613</v>
      </c>
      <c r="AE361" t="s">
        <v>613</v>
      </c>
      <c r="AF361" t="s">
        <v>1327</v>
      </c>
      <c r="AG361" t="s">
        <v>1691</v>
      </c>
    </row>
    <row r="362" spans="24:41" x14ac:dyDescent="0.25">
      <c r="X362" t="s">
        <v>613</v>
      </c>
      <c r="Y362" t="s">
        <v>1488</v>
      </c>
      <c r="Z362" t="s">
        <v>1723</v>
      </c>
      <c r="AE362" t="s">
        <v>613</v>
      </c>
      <c r="AF362" t="s">
        <v>1328</v>
      </c>
      <c r="AG362" t="s">
        <v>1691</v>
      </c>
    </row>
    <row r="363" spans="24:41" x14ac:dyDescent="0.25">
      <c r="X363" t="s">
        <v>613</v>
      </c>
      <c r="Y363" t="s">
        <v>1268</v>
      </c>
      <c r="Z363" t="s">
        <v>1723</v>
      </c>
      <c r="AE363" t="s">
        <v>613</v>
      </c>
      <c r="AF363" t="s">
        <v>1329</v>
      </c>
      <c r="AG363" t="s">
        <v>1691</v>
      </c>
    </row>
    <row r="364" spans="24:41" x14ac:dyDescent="0.25">
      <c r="AE364" t="s">
        <v>613</v>
      </c>
      <c r="AF364" t="s">
        <v>1330</v>
      </c>
      <c r="AG364" t="s">
        <v>1691</v>
      </c>
    </row>
    <row r="365" spans="24:41" x14ac:dyDescent="0.25">
      <c r="X365" t="s">
        <v>115</v>
      </c>
      <c r="AE365" t="s">
        <v>613</v>
      </c>
      <c r="AF365" t="s">
        <v>1331</v>
      </c>
      <c r="AG365" t="s">
        <v>1691</v>
      </c>
    </row>
    <row r="366" spans="24:41" x14ac:dyDescent="0.25">
      <c r="X366" t="s">
        <v>613</v>
      </c>
      <c r="Y366" t="s">
        <v>1552</v>
      </c>
      <c r="Z366" t="s">
        <v>1695</v>
      </c>
      <c r="AE366" t="s">
        <v>613</v>
      </c>
      <c r="AF366" t="s">
        <v>1332</v>
      </c>
      <c r="AG366" t="s">
        <v>1708</v>
      </c>
    </row>
    <row r="367" spans="24:41" x14ac:dyDescent="0.25">
      <c r="X367" t="s">
        <v>613</v>
      </c>
      <c r="Y367" t="s">
        <v>1553</v>
      </c>
      <c r="Z367" t="s">
        <v>1695</v>
      </c>
      <c r="AE367" t="s">
        <v>613</v>
      </c>
      <c r="AF367" t="s">
        <v>1333</v>
      </c>
      <c r="AG367" t="s">
        <v>613</v>
      </c>
    </row>
    <row r="368" spans="24:41" x14ac:dyDescent="0.25">
      <c r="X368" t="s">
        <v>613</v>
      </c>
      <c r="Y368" t="s">
        <v>1554</v>
      </c>
      <c r="Z368" t="s">
        <v>1695</v>
      </c>
      <c r="AE368" t="s">
        <v>613</v>
      </c>
      <c r="AF368" t="s">
        <v>1334</v>
      </c>
      <c r="AG368" t="s">
        <v>1691</v>
      </c>
    </row>
    <row r="369" spans="24:33" x14ac:dyDescent="0.25">
      <c r="X369" t="s">
        <v>613</v>
      </c>
      <c r="Y369" t="s">
        <v>1555</v>
      </c>
      <c r="Z369" t="s">
        <v>1695</v>
      </c>
      <c r="AE369" t="s">
        <v>613</v>
      </c>
      <c r="AF369" t="s">
        <v>1335</v>
      </c>
      <c r="AG369" t="s">
        <v>1691</v>
      </c>
    </row>
    <row r="370" spans="24:33" x14ac:dyDescent="0.25">
      <c r="X370" t="s">
        <v>613</v>
      </c>
      <c r="Y370" t="s">
        <v>1556</v>
      </c>
      <c r="Z370" t="s">
        <v>1695</v>
      </c>
      <c r="AE370" t="s">
        <v>613</v>
      </c>
      <c r="AF370" t="s">
        <v>1336</v>
      </c>
      <c r="AG370" t="s">
        <v>1691</v>
      </c>
    </row>
    <row r="371" spans="24:33" x14ac:dyDescent="0.25">
      <c r="X371" t="s">
        <v>613</v>
      </c>
      <c r="Y371" t="s">
        <v>1557</v>
      </c>
      <c r="Z371" t="s">
        <v>1695</v>
      </c>
      <c r="AE371" t="s">
        <v>613</v>
      </c>
      <c r="AF371" t="s">
        <v>1337</v>
      </c>
      <c r="AG371" t="s">
        <v>1712</v>
      </c>
    </row>
    <row r="372" spans="24:33" x14ac:dyDescent="0.25">
      <c r="X372" t="s">
        <v>613</v>
      </c>
      <c r="Y372" t="s">
        <v>1558</v>
      </c>
      <c r="Z372" t="s">
        <v>1695</v>
      </c>
      <c r="AE372" t="s">
        <v>613</v>
      </c>
      <c r="AF372" t="s">
        <v>1338</v>
      </c>
      <c r="AG372" t="s">
        <v>1691</v>
      </c>
    </row>
    <row r="373" spans="24:33" x14ac:dyDescent="0.25">
      <c r="X373" t="s">
        <v>613</v>
      </c>
      <c r="Y373" t="s">
        <v>1559</v>
      </c>
      <c r="Z373" t="s">
        <v>1691</v>
      </c>
      <c r="AE373" t="s">
        <v>613</v>
      </c>
      <c r="AF373" t="s">
        <v>1339</v>
      </c>
      <c r="AG373" t="s">
        <v>1691</v>
      </c>
    </row>
    <row r="374" spans="24:33" x14ac:dyDescent="0.25">
      <c r="X374" t="s">
        <v>613</v>
      </c>
      <c r="Y374" t="s">
        <v>1560</v>
      </c>
      <c r="Z374" t="s">
        <v>1691</v>
      </c>
      <c r="AE374" t="s">
        <v>613</v>
      </c>
      <c r="AF374" t="s">
        <v>1340</v>
      </c>
      <c r="AG374" t="s">
        <v>1712</v>
      </c>
    </row>
    <row r="375" spans="24:33" x14ac:dyDescent="0.25">
      <c r="X375" t="s">
        <v>613</v>
      </c>
      <c r="Y375" t="s">
        <v>1561</v>
      </c>
      <c r="Z375" t="s">
        <v>1691</v>
      </c>
      <c r="AE375" t="s">
        <v>613</v>
      </c>
      <c r="AF375" t="s">
        <v>1341</v>
      </c>
      <c r="AG375" t="s">
        <v>1712</v>
      </c>
    </row>
    <row r="376" spans="24:33" x14ac:dyDescent="0.25">
      <c r="X376" t="s">
        <v>613</v>
      </c>
      <c r="Y376" t="s">
        <v>1562</v>
      </c>
      <c r="Z376" t="s">
        <v>1691</v>
      </c>
      <c r="AE376" t="s">
        <v>613</v>
      </c>
      <c r="AF376" t="s">
        <v>1342</v>
      </c>
      <c r="AG376" t="s">
        <v>1712</v>
      </c>
    </row>
    <row r="377" spans="24:33" x14ac:dyDescent="0.25">
      <c r="X377" t="s">
        <v>613</v>
      </c>
      <c r="Y377" t="s">
        <v>1563</v>
      </c>
      <c r="Z377" t="s">
        <v>1691</v>
      </c>
      <c r="AE377" t="s">
        <v>613</v>
      </c>
      <c r="AF377" t="s">
        <v>1343</v>
      </c>
      <c r="AG377" t="s">
        <v>1712</v>
      </c>
    </row>
    <row r="378" spans="24:33" x14ac:dyDescent="0.25">
      <c r="X378" t="s">
        <v>613</v>
      </c>
      <c r="Y378" t="s">
        <v>1564</v>
      </c>
      <c r="Z378" t="s">
        <v>1222</v>
      </c>
      <c r="AE378" t="s">
        <v>613</v>
      </c>
      <c r="AF378" t="s">
        <v>1226</v>
      </c>
      <c r="AG378" t="s">
        <v>1695</v>
      </c>
    </row>
    <row r="379" spans="24:33" x14ac:dyDescent="0.25">
      <c r="X379" t="s">
        <v>613</v>
      </c>
      <c r="Y379" t="s">
        <v>1565</v>
      </c>
      <c r="Z379" t="s">
        <v>1222</v>
      </c>
      <c r="AE379" t="s">
        <v>613</v>
      </c>
      <c r="AF379" t="s">
        <v>1353</v>
      </c>
      <c r="AG379" t="s">
        <v>1695</v>
      </c>
    </row>
    <row r="380" spans="24:33" x14ac:dyDescent="0.25">
      <c r="X380" t="s">
        <v>613</v>
      </c>
      <c r="Y380" t="s">
        <v>1368</v>
      </c>
      <c r="Z380" t="s">
        <v>1222</v>
      </c>
      <c r="AE380" t="s">
        <v>613</v>
      </c>
      <c r="AF380" t="s">
        <v>1354</v>
      </c>
      <c r="AG380" t="s">
        <v>1695</v>
      </c>
    </row>
    <row r="381" spans="24:33" x14ac:dyDescent="0.25">
      <c r="X381" t="s">
        <v>613</v>
      </c>
      <c r="Y381" t="s">
        <v>1369</v>
      </c>
      <c r="Z381" t="s">
        <v>1222</v>
      </c>
      <c r="AE381" t="s">
        <v>613</v>
      </c>
      <c r="AF381" t="s">
        <v>1355</v>
      </c>
      <c r="AG381" t="s">
        <v>1695</v>
      </c>
    </row>
    <row r="382" spans="24:33" x14ac:dyDescent="0.25">
      <c r="X382" t="s">
        <v>613</v>
      </c>
      <c r="Y382" t="s">
        <v>1370</v>
      </c>
      <c r="Z382" t="s">
        <v>1222</v>
      </c>
      <c r="AE382" t="s">
        <v>613</v>
      </c>
      <c r="AF382" t="s">
        <v>1356</v>
      </c>
      <c r="AG382" t="s">
        <v>1695</v>
      </c>
    </row>
    <row r="383" spans="24:33" x14ac:dyDescent="0.25">
      <c r="X383" t="s">
        <v>613</v>
      </c>
      <c r="Y383" t="s">
        <v>1371</v>
      </c>
      <c r="Z383" t="s">
        <v>1222</v>
      </c>
      <c r="AE383" t="s">
        <v>613</v>
      </c>
      <c r="AF383" t="s">
        <v>1357</v>
      </c>
      <c r="AG383" t="s">
        <v>1695</v>
      </c>
    </row>
    <row r="384" spans="24:33" x14ac:dyDescent="0.25">
      <c r="X384" t="s">
        <v>613</v>
      </c>
      <c r="Y384" t="s">
        <v>1372</v>
      </c>
      <c r="Z384" t="s">
        <v>1222</v>
      </c>
      <c r="AE384" t="s">
        <v>613</v>
      </c>
      <c r="AF384" t="s">
        <v>1358</v>
      </c>
      <c r="AG384" t="s">
        <v>1695</v>
      </c>
    </row>
    <row r="385" spans="24:33" x14ac:dyDescent="0.25">
      <c r="X385" t="s">
        <v>613</v>
      </c>
      <c r="Y385" t="s">
        <v>1373</v>
      </c>
      <c r="Z385" t="s">
        <v>1222</v>
      </c>
      <c r="AE385" t="s">
        <v>613</v>
      </c>
      <c r="AF385" t="s">
        <v>1359</v>
      </c>
      <c r="AG385" t="s">
        <v>1695</v>
      </c>
    </row>
    <row r="386" spans="24:33" x14ac:dyDescent="0.25">
      <c r="X386" t="s">
        <v>613</v>
      </c>
      <c r="Y386" t="s">
        <v>1374</v>
      </c>
      <c r="Z386" t="s">
        <v>1222</v>
      </c>
      <c r="AA386" s="184"/>
      <c r="AE386" t="s">
        <v>613</v>
      </c>
      <c r="AF386" t="s">
        <v>1360</v>
      </c>
      <c r="AG386" t="s">
        <v>1695</v>
      </c>
    </row>
    <row r="387" spans="24:33" x14ac:dyDescent="0.25">
      <c r="X387" t="s">
        <v>613</v>
      </c>
      <c r="Y387" t="s">
        <v>1375</v>
      </c>
      <c r="Z387" t="s">
        <v>1222</v>
      </c>
      <c r="AE387" t="s">
        <v>613</v>
      </c>
      <c r="AF387" t="s">
        <v>1361</v>
      </c>
      <c r="AG387" t="s">
        <v>1695</v>
      </c>
    </row>
    <row r="388" spans="24:33" x14ac:dyDescent="0.25">
      <c r="X388" t="s">
        <v>613</v>
      </c>
      <c r="Y388" t="s">
        <v>1376</v>
      </c>
      <c r="Z388" t="s">
        <v>1222</v>
      </c>
      <c r="AE388" t="s">
        <v>613</v>
      </c>
      <c r="AF388" t="s">
        <v>1362</v>
      </c>
      <c r="AG388" t="s">
        <v>1695</v>
      </c>
    </row>
    <row r="389" spans="24:33" x14ac:dyDescent="0.25">
      <c r="X389" t="s">
        <v>613</v>
      </c>
      <c r="Y389" t="s">
        <v>1245</v>
      </c>
      <c r="Z389" t="s">
        <v>1222</v>
      </c>
      <c r="AE389" t="s">
        <v>613</v>
      </c>
      <c r="AF389" t="s">
        <v>1381</v>
      </c>
      <c r="AG389" t="s">
        <v>1755</v>
      </c>
    </row>
    <row r="390" spans="24:33" x14ac:dyDescent="0.25">
      <c r="X390" t="s">
        <v>613</v>
      </c>
      <c r="Y390" t="s">
        <v>1566</v>
      </c>
      <c r="Z390" t="s">
        <v>1222</v>
      </c>
      <c r="AE390" t="s">
        <v>613</v>
      </c>
      <c r="AF390" t="s">
        <v>1584</v>
      </c>
      <c r="AG390" t="s">
        <v>1750</v>
      </c>
    </row>
    <row r="391" spans="24:33" x14ac:dyDescent="0.25">
      <c r="X391" t="s">
        <v>613</v>
      </c>
      <c r="Y391" t="s">
        <v>1567</v>
      </c>
      <c r="Z391" t="s">
        <v>1222</v>
      </c>
      <c r="AE391" t="s">
        <v>613</v>
      </c>
      <c r="AF391" t="s">
        <v>1585</v>
      </c>
      <c r="AG391" t="s">
        <v>1750</v>
      </c>
    </row>
    <row r="392" spans="24:33" x14ac:dyDescent="0.25">
      <c r="X392" t="s">
        <v>613</v>
      </c>
      <c r="Y392" t="s">
        <v>1378</v>
      </c>
      <c r="Z392" t="s">
        <v>1222</v>
      </c>
      <c r="AE392" t="s">
        <v>613</v>
      </c>
      <c r="AF392" t="s">
        <v>1586</v>
      </c>
      <c r="AG392" t="s">
        <v>1750</v>
      </c>
    </row>
    <row r="393" spans="24:33" x14ac:dyDescent="0.25">
      <c r="X393" t="s">
        <v>613</v>
      </c>
      <c r="Y393" t="s">
        <v>1381</v>
      </c>
      <c r="Z393" t="s">
        <v>1755</v>
      </c>
      <c r="AE393" t="s">
        <v>613</v>
      </c>
      <c r="AF393" t="s">
        <v>1587</v>
      </c>
      <c r="AG393" t="s">
        <v>1750</v>
      </c>
    </row>
    <row r="394" spans="24:33" x14ac:dyDescent="0.25">
      <c r="X394" t="s">
        <v>613</v>
      </c>
      <c r="Y394" t="s">
        <v>1568</v>
      </c>
      <c r="Z394" t="s">
        <v>1222</v>
      </c>
      <c r="AE394" t="s">
        <v>613</v>
      </c>
      <c r="AF394" t="s">
        <v>1588</v>
      </c>
      <c r="AG394" t="s">
        <v>1750</v>
      </c>
    </row>
    <row r="395" spans="24:33" x14ac:dyDescent="0.25">
      <c r="X395" t="s">
        <v>613</v>
      </c>
      <c r="Y395" t="s">
        <v>1569</v>
      </c>
      <c r="Z395" t="s">
        <v>1222</v>
      </c>
      <c r="AE395" t="s">
        <v>613</v>
      </c>
      <c r="AF395" t="s">
        <v>1589</v>
      </c>
      <c r="AG395" t="s">
        <v>1750</v>
      </c>
    </row>
    <row r="396" spans="24:33" x14ac:dyDescent="0.25">
      <c r="X396" t="s">
        <v>613</v>
      </c>
      <c r="Y396" t="s">
        <v>1570</v>
      </c>
      <c r="Z396" t="s">
        <v>1222</v>
      </c>
      <c r="AE396" t="s">
        <v>613</v>
      </c>
      <c r="AF396" t="s">
        <v>1590</v>
      </c>
      <c r="AG396" t="s">
        <v>1750</v>
      </c>
    </row>
    <row r="397" spans="24:33" x14ac:dyDescent="0.25">
      <c r="X397" t="s">
        <v>613</v>
      </c>
      <c r="Y397" t="s">
        <v>1571</v>
      </c>
      <c r="Z397" t="s">
        <v>1222</v>
      </c>
      <c r="AE397" t="s">
        <v>613</v>
      </c>
      <c r="AF397" t="s">
        <v>1591</v>
      </c>
      <c r="AG397" t="s">
        <v>1750</v>
      </c>
    </row>
    <row r="398" spans="24:33" x14ac:dyDescent="0.25">
      <c r="X398" t="s">
        <v>613</v>
      </c>
      <c r="Y398" t="s">
        <v>1572</v>
      </c>
      <c r="Z398" t="s">
        <v>1222</v>
      </c>
      <c r="AE398" t="s">
        <v>613</v>
      </c>
      <c r="AF398" t="s">
        <v>1592</v>
      </c>
      <c r="AG398" t="s">
        <v>1750</v>
      </c>
    </row>
    <row r="399" spans="24:33" x14ac:dyDescent="0.25">
      <c r="X399" t="s">
        <v>613</v>
      </c>
      <c r="Y399" t="s">
        <v>1382</v>
      </c>
      <c r="Z399" t="s">
        <v>1222</v>
      </c>
      <c r="AE399" t="s">
        <v>613</v>
      </c>
      <c r="AF399" t="s">
        <v>1593</v>
      </c>
      <c r="AG399" t="s">
        <v>1750</v>
      </c>
    </row>
    <row r="400" spans="24:33" x14ac:dyDescent="0.25">
      <c r="X400" t="s">
        <v>613</v>
      </c>
      <c r="Y400" t="s">
        <v>1383</v>
      </c>
      <c r="Z400" t="s">
        <v>1222</v>
      </c>
      <c r="AE400" t="s">
        <v>613</v>
      </c>
      <c r="AF400" t="s">
        <v>1594</v>
      </c>
      <c r="AG400" t="s">
        <v>1750</v>
      </c>
    </row>
    <row r="401" spans="24:33" x14ac:dyDescent="0.25">
      <c r="X401" t="s">
        <v>613</v>
      </c>
      <c r="Y401" t="s">
        <v>1384</v>
      </c>
      <c r="Z401" t="s">
        <v>1222</v>
      </c>
      <c r="AE401" t="s">
        <v>613</v>
      </c>
      <c r="AF401" t="s">
        <v>1595</v>
      </c>
      <c r="AG401" t="s">
        <v>1750</v>
      </c>
    </row>
    <row r="402" spans="24:33" x14ac:dyDescent="0.25">
      <c r="X402" t="s">
        <v>613</v>
      </c>
      <c r="Y402" t="s">
        <v>1573</v>
      </c>
      <c r="Z402" t="s">
        <v>1222</v>
      </c>
      <c r="AE402" t="s">
        <v>613</v>
      </c>
      <c r="AF402" t="s">
        <v>1596</v>
      </c>
      <c r="AG402" t="s">
        <v>1750</v>
      </c>
    </row>
    <row r="403" spans="24:33" x14ac:dyDescent="0.25">
      <c r="X403" t="s">
        <v>613</v>
      </c>
      <c r="Y403" t="s">
        <v>1232</v>
      </c>
      <c r="Z403" t="s">
        <v>1222</v>
      </c>
      <c r="AE403" t="s">
        <v>613</v>
      </c>
      <c r="AF403" t="s">
        <v>1597</v>
      </c>
      <c r="AG403" t="s">
        <v>1750</v>
      </c>
    </row>
    <row r="404" spans="24:33" x14ac:dyDescent="0.25">
      <c r="X404" t="s">
        <v>613</v>
      </c>
      <c r="Y404" t="s">
        <v>1224</v>
      </c>
      <c r="Z404" t="s">
        <v>1222</v>
      </c>
      <c r="AE404" t="s">
        <v>613</v>
      </c>
      <c r="AF404" t="s">
        <v>1598</v>
      </c>
      <c r="AG404" t="s">
        <v>1750</v>
      </c>
    </row>
    <row r="405" spans="24:33" x14ac:dyDescent="0.25">
      <c r="X405" t="s">
        <v>613</v>
      </c>
      <c r="Y405" t="s">
        <v>1394</v>
      </c>
      <c r="Z405" t="s">
        <v>1700</v>
      </c>
      <c r="AE405" t="s">
        <v>613</v>
      </c>
      <c r="AF405" t="s">
        <v>1599</v>
      </c>
      <c r="AG405" t="s">
        <v>1750</v>
      </c>
    </row>
    <row r="406" spans="24:33" x14ac:dyDescent="0.25">
      <c r="X406" t="s">
        <v>613</v>
      </c>
      <c r="Y406" t="s">
        <v>1395</v>
      </c>
      <c r="Z406" t="s">
        <v>1700</v>
      </c>
      <c r="AE406" t="s">
        <v>613</v>
      </c>
      <c r="AF406" t="s">
        <v>1600</v>
      </c>
      <c r="AG406" t="s">
        <v>1750</v>
      </c>
    </row>
    <row r="407" spans="24:33" x14ac:dyDescent="0.25">
      <c r="X407" t="s">
        <v>613</v>
      </c>
      <c r="Y407" t="s">
        <v>1396</v>
      </c>
      <c r="Z407" t="s">
        <v>1700</v>
      </c>
      <c r="AE407" t="s">
        <v>613</v>
      </c>
      <c r="AF407" t="s">
        <v>1229</v>
      </c>
      <c r="AG407" t="s">
        <v>1755</v>
      </c>
    </row>
    <row r="408" spans="24:33" x14ac:dyDescent="0.25">
      <c r="X408" t="s">
        <v>613</v>
      </c>
      <c r="Y408" t="s">
        <v>1397</v>
      </c>
      <c r="Z408" t="s">
        <v>1700</v>
      </c>
      <c r="AE408" t="s">
        <v>613</v>
      </c>
      <c r="AF408" t="s">
        <v>1577</v>
      </c>
      <c r="AG408" t="s">
        <v>1222</v>
      </c>
    </row>
    <row r="409" spans="24:33" x14ac:dyDescent="0.25">
      <c r="X409" t="s">
        <v>613</v>
      </c>
      <c r="Y409" t="s">
        <v>1398</v>
      </c>
      <c r="Z409" t="s">
        <v>1222</v>
      </c>
      <c r="AE409" t="s">
        <v>613</v>
      </c>
      <c r="AF409" t="s">
        <v>1460</v>
      </c>
      <c r="AG409" t="s">
        <v>1222</v>
      </c>
    </row>
    <row r="410" spans="24:33" x14ac:dyDescent="0.25">
      <c r="X410" t="s">
        <v>613</v>
      </c>
      <c r="Y410" t="s">
        <v>1399</v>
      </c>
      <c r="Z410" t="s">
        <v>1222</v>
      </c>
      <c r="AE410" t="s">
        <v>613</v>
      </c>
      <c r="AF410" t="s">
        <v>1468</v>
      </c>
      <c r="AG410" t="s">
        <v>1732</v>
      </c>
    </row>
    <row r="411" spans="24:33" x14ac:dyDescent="0.25">
      <c r="X411" t="s">
        <v>613</v>
      </c>
      <c r="Y411" t="s">
        <v>1400</v>
      </c>
      <c r="Z411" t="s">
        <v>1222</v>
      </c>
      <c r="AE411" t="s">
        <v>613</v>
      </c>
      <c r="AF411" t="s">
        <v>1469</v>
      </c>
      <c r="AG411" t="s">
        <v>1732</v>
      </c>
    </row>
    <row r="412" spans="24:33" x14ac:dyDescent="0.25">
      <c r="X412" t="s">
        <v>613</v>
      </c>
      <c r="Y412" t="s">
        <v>1401</v>
      </c>
      <c r="Z412" t="s">
        <v>1222</v>
      </c>
      <c r="AE412" t="s">
        <v>613</v>
      </c>
      <c r="AF412" t="s">
        <v>1470</v>
      </c>
      <c r="AG412" t="s">
        <v>1732</v>
      </c>
    </row>
    <row r="413" spans="24:33" x14ac:dyDescent="0.25">
      <c r="X413" t="s">
        <v>613</v>
      </c>
      <c r="Y413" t="s">
        <v>1402</v>
      </c>
      <c r="Z413" t="s">
        <v>1222</v>
      </c>
      <c r="AE413" t="s">
        <v>613</v>
      </c>
      <c r="AF413" t="s">
        <v>1471</v>
      </c>
      <c r="AG413" t="s">
        <v>1732</v>
      </c>
    </row>
    <row r="414" spans="24:33" x14ac:dyDescent="0.25">
      <c r="X414" t="s">
        <v>613</v>
      </c>
      <c r="Y414" t="s">
        <v>1403</v>
      </c>
      <c r="Z414" t="s">
        <v>1222</v>
      </c>
      <c r="AE414" t="s">
        <v>613</v>
      </c>
      <c r="AF414" t="s">
        <v>1687</v>
      </c>
      <c r="AG414" t="s">
        <v>1725</v>
      </c>
    </row>
    <row r="415" spans="24:33" x14ac:dyDescent="0.25">
      <c r="X415" t="s">
        <v>613</v>
      </c>
      <c r="Y415" t="s">
        <v>1404</v>
      </c>
      <c r="Z415" t="s">
        <v>1222</v>
      </c>
      <c r="AE415" t="s">
        <v>613</v>
      </c>
      <c r="AF415" t="s">
        <v>1689</v>
      </c>
      <c r="AG415" t="s">
        <v>1726</v>
      </c>
    </row>
    <row r="416" spans="24:33" x14ac:dyDescent="0.25">
      <c r="X416" t="s">
        <v>613</v>
      </c>
      <c r="Y416" t="s">
        <v>1574</v>
      </c>
      <c r="Z416" t="s">
        <v>1723</v>
      </c>
      <c r="AE416" t="s">
        <v>613</v>
      </c>
      <c r="AF416" t="s">
        <v>1655</v>
      </c>
      <c r="AG416" t="s">
        <v>1727</v>
      </c>
    </row>
    <row r="417" spans="24:33" x14ac:dyDescent="0.25">
      <c r="X417" t="s">
        <v>613</v>
      </c>
      <c r="Y417" t="s">
        <v>1445</v>
      </c>
      <c r="Z417" t="s">
        <v>1222</v>
      </c>
      <c r="AE417" t="s">
        <v>613</v>
      </c>
      <c r="AF417" t="s">
        <v>1660</v>
      </c>
      <c r="AG417" t="s">
        <v>1726</v>
      </c>
    </row>
    <row r="418" spans="24:33" x14ac:dyDescent="0.25">
      <c r="X418" t="s">
        <v>613</v>
      </c>
      <c r="Y418" t="s">
        <v>1446</v>
      </c>
      <c r="Z418" t="s">
        <v>1222</v>
      </c>
      <c r="AE418" t="s">
        <v>613</v>
      </c>
      <c r="AF418" t="s">
        <v>1221</v>
      </c>
      <c r="AG418" t="s">
        <v>1728</v>
      </c>
    </row>
    <row r="419" spans="24:33" x14ac:dyDescent="0.25">
      <c r="X419" t="s">
        <v>613</v>
      </c>
      <c r="Y419" t="s">
        <v>1447</v>
      </c>
      <c r="Z419" t="s">
        <v>1222</v>
      </c>
    </row>
    <row r="420" spans="24:33" x14ac:dyDescent="0.25">
      <c r="X420" t="s">
        <v>613</v>
      </c>
      <c r="Y420" t="s">
        <v>1448</v>
      </c>
      <c r="Z420" t="s">
        <v>1222</v>
      </c>
    </row>
    <row r="421" spans="24:33" x14ac:dyDescent="0.25">
      <c r="X421" t="s">
        <v>613</v>
      </c>
      <c r="Y421" t="s">
        <v>1449</v>
      </c>
      <c r="Z421" t="s">
        <v>1222</v>
      </c>
    </row>
    <row r="422" spans="24:33" x14ac:dyDescent="0.25">
      <c r="X422" t="s">
        <v>613</v>
      </c>
      <c r="Y422" t="s">
        <v>1450</v>
      </c>
      <c r="Z422" t="s">
        <v>1222</v>
      </c>
    </row>
    <row r="423" spans="24:33" x14ac:dyDescent="0.25">
      <c r="X423" t="s">
        <v>613</v>
      </c>
      <c r="Y423" t="s">
        <v>1451</v>
      </c>
      <c r="Z423" t="s">
        <v>1222</v>
      </c>
    </row>
    <row r="424" spans="24:33" x14ac:dyDescent="0.25">
      <c r="X424" t="s">
        <v>613</v>
      </c>
      <c r="Y424" t="s">
        <v>1452</v>
      </c>
      <c r="Z424" t="s">
        <v>1222</v>
      </c>
    </row>
    <row r="425" spans="24:33" x14ac:dyDescent="0.25">
      <c r="X425" t="s">
        <v>613</v>
      </c>
      <c r="Y425" t="s">
        <v>1453</v>
      </c>
      <c r="Z425" t="s">
        <v>1222</v>
      </c>
    </row>
    <row r="426" spans="24:33" x14ac:dyDescent="0.25">
      <c r="X426" t="s">
        <v>613</v>
      </c>
      <c r="Y426" t="s">
        <v>1454</v>
      </c>
      <c r="Z426" t="s">
        <v>1222</v>
      </c>
    </row>
    <row r="427" spans="24:33" x14ac:dyDescent="0.25">
      <c r="X427" t="s">
        <v>613</v>
      </c>
      <c r="Y427" t="s">
        <v>1455</v>
      </c>
      <c r="Z427" t="s">
        <v>1222</v>
      </c>
    </row>
    <row r="428" spans="24:33" x14ac:dyDescent="0.25">
      <c r="X428" t="s">
        <v>613</v>
      </c>
      <c r="Y428" t="s">
        <v>1456</v>
      </c>
      <c r="Z428" t="s">
        <v>1222</v>
      </c>
    </row>
    <row r="429" spans="24:33" x14ac:dyDescent="0.25">
      <c r="X429" t="s">
        <v>613</v>
      </c>
      <c r="Y429" t="s">
        <v>1575</v>
      </c>
      <c r="Z429" t="s">
        <v>1222</v>
      </c>
    </row>
    <row r="430" spans="24:33" x14ac:dyDescent="0.25">
      <c r="X430" t="s">
        <v>613</v>
      </c>
      <c r="Y430" t="s">
        <v>1457</v>
      </c>
      <c r="Z430" t="s">
        <v>1222</v>
      </c>
    </row>
    <row r="431" spans="24:33" x14ac:dyDescent="0.25">
      <c r="X431" t="s">
        <v>613</v>
      </c>
      <c r="Y431" t="s">
        <v>1458</v>
      </c>
      <c r="Z431" t="s">
        <v>1222</v>
      </c>
    </row>
    <row r="432" spans="24:33" x14ac:dyDescent="0.25">
      <c r="X432" t="s">
        <v>613</v>
      </c>
      <c r="Y432" t="s">
        <v>1459</v>
      </c>
      <c r="Z432" t="s">
        <v>1222</v>
      </c>
    </row>
    <row r="433" spans="24:26" x14ac:dyDescent="0.25">
      <c r="X433" t="s">
        <v>613</v>
      </c>
      <c r="Y433" t="s">
        <v>1576</v>
      </c>
      <c r="Z433" t="s">
        <v>1222</v>
      </c>
    </row>
    <row r="434" spans="24:26" x14ac:dyDescent="0.25">
      <c r="X434" t="s">
        <v>613</v>
      </c>
      <c r="Y434" t="s">
        <v>1577</v>
      </c>
      <c r="Z434" t="s">
        <v>1222</v>
      </c>
    </row>
    <row r="435" spans="24:26" x14ac:dyDescent="0.25">
      <c r="X435" t="s">
        <v>613</v>
      </c>
      <c r="Y435" t="s">
        <v>1460</v>
      </c>
      <c r="Z435" t="s">
        <v>1222</v>
      </c>
    </row>
    <row r="436" spans="24:26" x14ac:dyDescent="0.25">
      <c r="X436" t="s">
        <v>613</v>
      </c>
      <c r="Y436" t="s">
        <v>1534</v>
      </c>
      <c r="Z436" t="s">
        <v>1723</v>
      </c>
    </row>
    <row r="437" spans="24:26" x14ac:dyDescent="0.25">
      <c r="X437" t="s">
        <v>613</v>
      </c>
      <c r="Y437" t="s">
        <v>1578</v>
      </c>
      <c r="Z437" t="s">
        <v>1723</v>
      </c>
    </row>
    <row r="438" spans="24:26" x14ac:dyDescent="0.25">
      <c r="X438" t="s">
        <v>613</v>
      </c>
      <c r="Y438" t="s">
        <v>1579</v>
      </c>
      <c r="Z438" t="s">
        <v>1723</v>
      </c>
    </row>
    <row r="439" spans="24:26" x14ac:dyDescent="0.25">
      <c r="X439" t="s">
        <v>613</v>
      </c>
      <c r="Y439" t="s">
        <v>1465</v>
      </c>
      <c r="Z439" t="s">
        <v>1723</v>
      </c>
    </row>
    <row r="440" spans="24:26" x14ac:dyDescent="0.25">
      <c r="X440" t="s">
        <v>613</v>
      </c>
      <c r="Y440" t="s">
        <v>1580</v>
      </c>
      <c r="Z440" t="s">
        <v>1723</v>
      </c>
    </row>
    <row r="441" spans="24:26" x14ac:dyDescent="0.25">
      <c r="X441" t="s">
        <v>613</v>
      </c>
      <c r="Y441" t="s">
        <v>1468</v>
      </c>
      <c r="Z441" t="s">
        <v>1732</v>
      </c>
    </row>
    <row r="442" spans="24:26" x14ac:dyDescent="0.25">
      <c r="X442" t="s">
        <v>613</v>
      </c>
      <c r="Y442" t="s">
        <v>1469</v>
      </c>
      <c r="Z442" t="s">
        <v>1732</v>
      </c>
    </row>
    <row r="443" spans="24:26" x14ac:dyDescent="0.25">
      <c r="X443" t="s">
        <v>613</v>
      </c>
      <c r="Y443" t="s">
        <v>1470</v>
      </c>
      <c r="Z443" t="s">
        <v>1732</v>
      </c>
    </row>
    <row r="444" spans="24:26" x14ac:dyDescent="0.25">
      <c r="X444" t="s">
        <v>613</v>
      </c>
      <c r="Y444" t="s">
        <v>1471</v>
      </c>
      <c r="Z444" t="s">
        <v>1732</v>
      </c>
    </row>
    <row r="445" spans="24:26" x14ac:dyDescent="0.25">
      <c r="X445" t="s">
        <v>613</v>
      </c>
      <c r="Y445" t="s">
        <v>1581</v>
      </c>
      <c r="Z445" t="s">
        <v>1723</v>
      </c>
    </row>
    <row r="446" spans="24:26" x14ac:dyDescent="0.25">
      <c r="X446" t="s">
        <v>613</v>
      </c>
      <c r="Y446" t="s">
        <v>1582</v>
      </c>
      <c r="Z446" t="s">
        <v>1744</v>
      </c>
    </row>
    <row r="447" spans="24:26" x14ac:dyDescent="0.25">
      <c r="X447" t="s">
        <v>613</v>
      </c>
      <c r="Y447" t="s">
        <v>1221</v>
      </c>
      <c r="Z447" t="s">
        <v>1723</v>
      </c>
    </row>
    <row r="448" spans="24:26" x14ac:dyDescent="0.25">
      <c r="X448" t="s">
        <v>613</v>
      </c>
      <c r="Y448" t="s">
        <v>1267</v>
      </c>
      <c r="Z448" t="s">
        <v>1752</v>
      </c>
    </row>
    <row r="449" spans="24:26" x14ac:dyDescent="0.25">
      <c r="X449" t="s">
        <v>613</v>
      </c>
      <c r="Y449" t="s">
        <v>1268</v>
      </c>
      <c r="Z449" t="s">
        <v>1752</v>
      </c>
    </row>
    <row r="450" spans="24:26" x14ac:dyDescent="0.25">
      <c r="X450" t="s">
        <v>613</v>
      </c>
      <c r="Y450" t="s">
        <v>1269</v>
      </c>
      <c r="Z450" t="s">
        <v>1736</v>
      </c>
    </row>
    <row r="451" spans="24:26" x14ac:dyDescent="0.25">
      <c r="X451" t="s">
        <v>613</v>
      </c>
      <c r="Y451" t="s">
        <v>1270</v>
      </c>
      <c r="Z451" t="s">
        <v>613</v>
      </c>
    </row>
    <row r="452" spans="24:26" x14ac:dyDescent="0.25">
      <c r="X452" t="s">
        <v>613</v>
      </c>
      <c r="Y452" t="s">
        <v>1242</v>
      </c>
      <c r="Z452" t="s">
        <v>613</v>
      </c>
    </row>
    <row r="457" spans="24:26" x14ac:dyDescent="0.25">
      <c r="X457" t="s">
        <v>116</v>
      </c>
    </row>
    <row r="458" spans="24:26" x14ac:dyDescent="0.25">
      <c r="X458" t="s">
        <v>613</v>
      </c>
      <c r="Y458" t="s">
        <v>1271</v>
      </c>
      <c r="Z458" t="s">
        <v>1707</v>
      </c>
    </row>
    <row r="459" spans="24:26" x14ac:dyDescent="0.25">
      <c r="X459" t="s">
        <v>613</v>
      </c>
      <c r="Y459" t="s">
        <v>1272</v>
      </c>
      <c r="Z459" t="s">
        <v>613</v>
      </c>
    </row>
    <row r="460" spans="24:26" x14ac:dyDescent="0.25">
      <c r="X460" t="s">
        <v>613</v>
      </c>
      <c r="Y460" t="s">
        <v>1273</v>
      </c>
      <c r="Z460" t="s">
        <v>613</v>
      </c>
    </row>
    <row r="461" spans="24:26" x14ac:dyDescent="0.25">
      <c r="X461" t="s">
        <v>613</v>
      </c>
      <c r="Y461" t="s">
        <v>1274</v>
      </c>
      <c r="Z461" t="s">
        <v>613</v>
      </c>
    </row>
    <row r="462" spans="24:26" x14ac:dyDescent="0.25">
      <c r="X462" t="s">
        <v>613</v>
      </c>
      <c r="Y462" t="s">
        <v>1275</v>
      </c>
      <c r="Z462" t="s">
        <v>613</v>
      </c>
    </row>
    <row r="463" spans="24:26" x14ac:dyDescent="0.25">
      <c r="X463" t="s">
        <v>613</v>
      </c>
      <c r="Y463" t="s">
        <v>1276</v>
      </c>
      <c r="Z463" t="s">
        <v>1707</v>
      </c>
    </row>
    <row r="464" spans="24:26" x14ac:dyDescent="0.25">
      <c r="X464" t="s">
        <v>613</v>
      </c>
      <c r="Y464" t="s">
        <v>1277</v>
      </c>
      <c r="Z464" t="s">
        <v>1757</v>
      </c>
    </row>
    <row r="465" spans="24:26" x14ac:dyDescent="0.25">
      <c r="X465" t="s">
        <v>613</v>
      </c>
      <c r="Y465" t="s">
        <v>1278</v>
      </c>
      <c r="Z465" t="s">
        <v>1723</v>
      </c>
    </row>
    <row r="466" spans="24:26" x14ac:dyDescent="0.25">
      <c r="X466" t="s">
        <v>613</v>
      </c>
      <c r="Y466" t="s">
        <v>1279</v>
      </c>
      <c r="Z466" t="s">
        <v>1723</v>
      </c>
    </row>
    <row r="467" spans="24:26" x14ac:dyDescent="0.25">
      <c r="X467" t="s">
        <v>613</v>
      </c>
      <c r="Y467" t="s">
        <v>1280</v>
      </c>
      <c r="Z467" t="s">
        <v>1723</v>
      </c>
    </row>
    <row r="468" spans="24:26" x14ac:dyDescent="0.25">
      <c r="X468" t="s">
        <v>613</v>
      </c>
      <c r="Y468" t="s">
        <v>1281</v>
      </c>
      <c r="Z468" t="s">
        <v>1723</v>
      </c>
    </row>
    <row r="469" spans="24:26" x14ac:dyDescent="0.25">
      <c r="X469" t="s">
        <v>613</v>
      </c>
      <c r="Y469" t="s">
        <v>1282</v>
      </c>
      <c r="Z469" t="s">
        <v>1723</v>
      </c>
    </row>
    <row r="470" spans="24:26" x14ac:dyDescent="0.25">
      <c r="X470" t="s">
        <v>613</v>
      </c>
      <c r="Y470" t="s">
        <v>1283</v>
      </c>
      <c r="Z470" t="s">
        <v>1723</v>
      </c>
    </row>
    <row r="471" spans="24:26" x14ac:dyDescent="0.25">
      <c r="X471" t="s">
        <v>613</v>
      </c>
      <c r="Y471" t="s">
        <v>1284</v>
      </c>
      <c r="Z471" t="s">
        <v>1757</v>
      </c>
    </row>
    <row r="472" spans="24:26" x14ac:dyDescent="0.25">
      <c r="X472" t="s">
        <v>613</v>
      </c>
      <c r="Y472" t="s">
        <v>1285</v>
      </c>
      <c r="Z472" t="s">
        <v>1723</v>
      </c>
    </row>
    <row r="473" spans="24:26" x14ac:dyDescent="0.25">
      <c r="X473" t="s">
        <v>613</v>
      </c>
      <c r="Y473" t="s">
        <v>1286</v>
      </c>
      <c r="Z473" t="s">
        <v>1723</v>
      </c>
    </row>
    <row r="474" spans="24:26" x14ac:dyDescent="0.25">
      <c r="X474" t="s">
        <v>613</v>
      </c>
      <c r="Y474" t="s">
        <v>1287</v>
      </c>
      <c r="Z474" t="s">
        <v>1723</v>
      </c>
    </row>
    <row r="475" spans="24:26" x14ac:dyDescent="0.25">
      <c r="X475" t="s">
        <v>613</v>
      </c>
      <c r="Y475" t="s">
        <v>1288</v>
      </c>
      <c r="Z475" t="s">
        <v>1731</v>
      </c>
    </row>
    <row r="476" spans="24:26" x14ac:dyDescent="0.25">
      <c r="X476" t="s">
        <v>613</v>
      </c>
      <c r="Y476" t="s">
        <v>1289</v>
      </c>
      <c r="Z476" t="s">
        <v>1723</v>
      </c>
    </row>
    <row r="477" spans="24:26" x14ac:dyDescent="0.25">
      <c r="X477" t="s">
        <v>613</v>
      </c>
      <c r="Y477" t="s">
        <v>1290</v>
      </c>
      <c r="Z477" t="s">
        <v>1751</v>
      </c>
    </row>
    <row r="478" spans="24:26" x14ac:dyDescent="0.25">
      <c r="X478" t="s">
        <v>613</v>
      </c>
      <c r="Y478" t="s">
        <v>1291</v>
      </c>
      <c r="Z478" t="s">
        <v>613</v>
      </c>
    </row>
    <row r="479" spans="24:26" x14ac:dyDescent="0.25">
      <c r="X479" t="s">
        <v>613</v>
      </c>
      <c r="Y479" t="s">
        <v>1292</v>
      </c>
      <c r="Z479" t="s">
        <v>1757</v>
      </c>
    </row>
    <row r="480" spans="24:26" x14ac:dyDescent="0.25">
      <c r="X480" t="s">
        <v>613</v>
      </c>
      <c r="Y480" t="s">
        <v>1293</v>
      </c>
      <c r="Z480" t="s">
        <v>1723</v>
      </c>
    </row>
    <row r="481" spans="24:26" x14ac:dyDescent="0.25">
      <c r="X481" t="s">
        <v>613</v>
      </c>
      <c r="Y481" t="s">
        <v>1294</v>
      </c>
      <c r="Z481" t="s">
        <v>1723</v>
      </c>
    </row>
    <row r="482" spans="24:26" x14ac:dyDescent="0.25">
      <c r="X482" t="s">
        <v>613</v>
      </c>
      <c r="Y482" t="s">
        <v>1295</v>
      </c>
      <c r="Z482" t="s">
        <v>1723</v>
      </c>
    </row>
    <row r="483" spans="24:26" x14ac:dyDescent="0.25">
      <c r="X483" t="s">
        <v>613</v>
      </c>
      <c r="Y483" t="s">
        <v>1296</v>
      </c>
      <c r="Z483" t="s">
        <v>1723</v>
      </c>
    </row>
    <row r="484" spans="24:26" x14ac:dyDescent="0.25">
      <c r="X484" t="s">
        <v>613</v>
      </c>
      <c r="Y484" t="s">
        <v>1297</v>
      </c>
      <c r="Z484" t="s">
        <v>1723</v>
      </c>
    </row>
    <row r="485" spans="24:26" x14ac:dyDescent="0.25">
      <c r="X485" t="s">
        <v>613</v>
      </c>
      <c r="Y485" t="s">
        <v>1298</v>
      </c>
      <c r="Z485" t="s">
        <v>1723</v>
      </c>
    </row>
    <row r="486" spans="24:26" x14ac:dyDescent="0.25">
      <c r="X486" t="s">
        <v>613</v>
      </c>
      <c r="Y486" t="s">
        <v>1299</v>
      </c>
      <c r="Z486" t="s">
        <v>1723</v>
      </c>
    </row>
    <row r="487" spans="24:26" x14ac:dyDescent="0.25">
      <c r="X487" t="s">
        <v>613</v>
      </c>
      <c r="Y487" t="s">
        <v>1300</v>
      </c>
      <c r="Z487" t="s">
        <v>1723</v>
      </c>
    </row>
    <row r="488" spans="24:26" x14ac:dyDescent="0.25">
      <c r="X488" t="s">
        <v>613</v>
      </c>
      <c r="Y488" t="s">
        <v>1301</v>
      </c>
      <c r="Z488" t="s">
        <v>1723</v>
      </c>
    </row>
    <row r="489" spans="24:26" x14ac:dyDescent="0.25">
      <c r="X489" t="s">
        <v>613</v>
      </c>
      <c r="Y489" t="s">
        <v>1302</v>
      </c>
      <c r="Z489" t="s">
        <v>1723</v>
      </c>
    </row>
    <row r="490" spans="24:26" x14ac:dyDescent="0.25">
      <c r="X490" t="s">
        <v>613</v>
      </c>
      <c r="Y490" t="s">
        <v>1303</v>
      </c>
      <c r="Z490" t="s">
        <v>1723</v>
      </c>
    </row>
    <row r="491" spans="24:26" x14ac:dyDescent="0.25">
      <c r="X491" t="s">
        <v>613</v>
      </c>
      <c r="Y491" t="s">
        <v>1304</v>
      </c>
      <c r="Z491" t="s">
        <v>1723</v>
      </c>
    </row>
    <row r="492" spans="24:26" x14ac:dyDescent="0.25">
      <c r="X492" t="s">
        <v>613</v>
      </c>
      <c r="Y492" t="s">
        <v>1305</v>
      </c>
      <c r="Z492" t="s">
        <v>1723</v>
      </c>
    </row>
    <row r="493" spans="24:26" x14ac:dyDescent="0.25">
      <c r="X493" t="s">
        <v>613</v>
      </c>
      <c r="Y493" t="s">
        <v>1306</v>
      </c>
      <c r="Z493" t="s">
        <v>1723</v>
      </c>
    </row>
    <row r="494" spans="24:26" x14ac:dyDescent="0.25">
      <c r="X494" t="s">
        <v>613</v>
      </c>
      <c r="Y494" t="s">
        <v>1307</v>
      </c>
      <c r="Z494" t="s">
        <v>1723</v>
      </c>
    </row>
    <row r="495" spans="24:26" x14ac:dyDescent="0.25">
      <c r="X495" t="s">
        <v>613</v>
      </c>
      <c r="Y495" t="s">
        <v>1308</v>
      </c>
      <c r="Z495" t="s">
        <v>1723</v>
      </c>
    </row>
    <row r="496" spans="24:26" x14ac:dyDescent="0.25">
      <c r="X496" t="s">
        <v>613</v>
      </c>
      <c r="Y496" t="s">
        <v>1309</v>
      </c>
      <c r="Z496" t="s">
        <v>1723</v>
      </c>
    </row>
    <row r="497" spans="24:26" x14ac:dyDescent="0.25">
      <c r="X497" t="s">
        <v>613</v>
      </c>
      <c r="Y497" t="s">
        <v>1310</v>
      </c>
      <c r="Z497" t="s">
        <v>1691</v>
      </c>
    </row>
    <row r="498" spans="24:26" x14ac:dyDescent="0.25">
      <c r="X498" t="s">
        <v>613</v>
      </c>
      <c r="Y498" t="s">
        <v>1311</v>
      </c>
      <c r="Z498" t="s">
        <v>1691</v>
      </c>
    </row>
    <row r="499" spans="24:26" x14ac:dyDescent="0.25">
      <c r="X499" t="s">
        <v>613</v>
      </c>
      <c r="Y499" t="s">
        <v>1312</v>
      </c>
      <c r="Z499" t="s">
        <v>1691</v>
      </c>
    </row>
    <row r="500" spans="24:26" x14ac:dyDescent="0.25">
      <c r="X500" t="s">
        <v>613</v>
      </c>
      <c r="Y500" t="s">
        <v>1313</v>
      </c>
      <c r="Z500" t="s">
        <v>1691</v>
      </c>
    </row>
    <row r="501" spans="24:26" x14ac:dyDescent="0.25">
      <c r="X501" t="s">
        <v>613</v>
      </c>
      <c r="Y501" t="s">
        <v>1314</v>
      </c>
      <c r="Z501" t="s">
        <v>1691</v>
      </c>
    </row>
    <row r="502" spans="24:26" x14ac:dyDescent="0.25">
      <c r="X502" t="s">
        <v>613</v>
      </c>
      <c r="Y502" t="s">
        <v>1315</v>
      </c>
      <c r="Z502" t="s">
        <v>1691</v>
      </c>
    </row>
    <row r="503" spans="24:26" x14ac:dyDescent="0.25">
      <c r="X503" t="s">
        <v>613</v>
      </c>
      <c r="Y503" t="s">
        <v>1316</v>
      </c>
      <c r="Z503" t="s">
        <v>1691</v>
      </c>
    </row>
    <row r="504" spans="24:26" x14ac:dyDescent="0.25">
      <c r="X504" t="s">
        <v>613</v>
      </c>
      <c r="Y504" t="s">
        <v>1317</v>
      </c>
      <c r="Z504" t="s">
        <v>1699</v>
      </c>
    </row>
    <row r="505" spans="24:26" x14ac:dyDescent="0.25">
      <c r="X505" t="s">
        <v>613</v>
      </c>
      <c r="Y505" t="s">
        <v>1318</v>
      </c>
      <c r="Z505" t="s">
        <v>1699</v>
      </c>
    </row>
    <row r="506" spans="24:26" x14ac:dyDescent="0.25">
      <c r="X506" t="s">
        <v>613</v>
      </c>
      <c r="Y506" t="s">
        <v>1319</v>
      </c>
      <c r="Z506" t="s">
        <v>1691</v>
      </c>
    </row>
    <row r="507" spans="24:26" x14ac:dyDescent="0.25">
      <c r="X507" t="s">
        <v>613</v>
      </c>
      <c r="Y507" t="s">
        <v>1320</v>
      </c>
      <c r="Z507" t="s">
        <v>1691</v>
      </c>
    </row>
    <row r="508" spans="24:26" x14ac:dyDescent="0.25">
      <c r="X508" t="s">
        <v>613</v>
      </c>
      <c r="Y508" t="s">
        <v>1321</v>
      </c>
      <c r="Z508" t="s">
        <v>1723</v>
      </c>
    </row>
    <row r="509" spans="24:26" x14ac:dyDescent="0.25">
      <c r="X509" t="s">
        <v>613</v>
      </c>
      <c r="Y509" t="s">
        <v>1322</v>
      </c>
      <c r="Z509" t="s">
        <v>1723</v>
      </c>
    </row>
    <row r="510" spans="24:26" x14ac:dyDescent="0.25">
      <c r="X510" t="s">
        <v>613</v>
      </c>
      <c r="Y510" t="s">
        <v>1323</v>
      </c>
      <c r="Z510" t="s">
        <v>1699</v>
      </c>
    </row>
    <row r="511" spans="24:26" x14ac:dyDescent="0.25">
      <c r="X511" t="s">
        <v>613</v>
      </c>
      <c r="Y511" t="s">
        <v>1324</v>
      </c>
      <c r="Z511" t="s">
        <v>1723</v>
      </c>
    </row>
    <row r="512" spans="24:26" x14ac:dyDescent="0.25">
      <c r="X512" t="s">
        <v>613</v>
      </c>
      <c r="Y512" t="s">
        <v>1325</v>
      </c>
      <c r="Z512" t="s">
        <v>1691</v>
      </c>
    </row>
    <row r="513" spans="24:26" x14ac:dyDescent="0.25">
      <c r="X513" t="s">
        <v>613</v>
      </c>
      <c r="Y513" t="s">
        <v>1326</v>
      </c>
      <c r="Z513" t="s">
        <v>1723</v>
      </c>
    </row>
    <row r="514" spans="24:26" x14ac:dyDescent="0.25">
      <c r="X514" t="s">
        <v>613</v>
      </c>
      <c r="Y514" t="s">
        <v>1327</v>
      </c>
      <c r="Z514" t="s">
        <v>1691</v>
      </c>
    </row>
    <row r="515" spans="24:26" x14ac:dyDescent="0.25">
      <c r="X515" t="s">
        <v>613</v>
      </c>
      <c r="Y515" t="s">
        <v>1328</v>
      </c>
      <c r="Z515" t="s">
        <v>1691</v>
      </c>
    </row>
    <row r="516" spans="24:26" x14ac:dyDescent="0.25">
      <c r="X516" t="s">
        <v>613</v>
      </c>
      <c r="Y516" t="s">
        <v>1329</v>
      </c>
      <c r="Z516" t="s">
        <v>1691</v>
      </c>
    </row>
    <row r="517" spans="24:26" x14ac:dyDescent="0.25">
      <c r="X517" t="s">
        <v>613</v>
      </c>
      <c r="Y517" t="s">
        <v>1330</v>
      </c>
      <c r="Z517" t="s">
        <v>1691</v>
      </c>
    </row>
    <row r="518" spans="24:26" x14ac:dyDescent="0.25">
      <c r="X518" t="s">
        <v>613</v>
      </c>
      <c r="Y518" t="s">
        <v>1331</v>
      </c>
      <c r="Z518" t="s">
        <v>1691</v>
      </c>
    </row>
    <row r="519" spans="24:26" x14ac:dyDescent="0.25">
      <c r="X519" t="s">
        <v>613</v>
      </c>
      <c r="Y519" t="s">
        <v>1332</v>
      </c>
      <c r="Z519" t="s">
        <v>1708</v>
      </c>
    </row>
    <row r="520" spans="24:26" x14ac:dyDescent="0.25">
      <c r="X520" t="s">
        <v>613</v>
      </c>
      <c r="Y520" t="s">
        <v>1333</v>
      </c>
      <c r="Z520" t="s">
        <v>613</v>
      </c>
    </row>
    <row r="521" spans="24:26" x14ac:dyDescent="0.25">
      <c r="X521" t="s">
        <v>613</v>
      </c>
      <c r="Y521" t="s">
        <v>1334</v>
      </c>
      <c r="Z521" t="s">
        <v>1691</v>
      </c>
    </row>
    <row r="522" spans="24:26" x14ac:dyDescent="0.25">
      <c r="X522" t="s">
        <v>613</v>
      </c>
      <c r="Y522" t="s">
        <v>1335</v>
      </c>
      <c r="Z522" t="s">
        <v>1691</v>
      </c>
    </row>
    <row r="523" spans="24:26" x14ac:dyDescent="0.25">
      <c r="X523" t="s">
        <v>613</v>
      </c>
      <c r="Y523" t="s">
        <v>1336</v>
      </c>
      <c r="Z523" t="s">
        <v>1691</v>
      </c>
    </row>
    <row r="524" spans="24:26" x14ac:dyDescent="0.25">
      <c r="X524" t="s">
        <v>613</v>
      </c>
      <c r="Y524" t="s">
        <v>1337</v>
      </c>
      <c r="Z524" t="s">
        <v>1708</v>
      </c>
    </row>
    <row r="525" spans="24:26" x14ac:dyDescent="0.25">
      <c r="X525" t="s">
        <v>613</v>
      </c>
      <c r="Y525" t="s">
        <v>1338</v>
      </c>
      <c r="Z525" t="s">
        <v>1691</v>
      </c>
    </row>
    <row r="526" spans="24:26" x14ac:dyDescent="0.25">
      <c r="X526" t="s">
        <v>613</v>
      </c>
      <c r="Y526" t="s">
        <v>1339</v>
      </c>
      <c r="Z526" t="s">
        <v>1691</v>
      </c>
    </row>
    <row r="527" spans="24:26" x14ac:dyDescent="0.25">
      <c r="X527" t="s">
        <v>613</v>
      </c>
      <c r="Y527" t="s">
        <v>1340</v>
      </c>
      <c r="Z527" t="s">
        <v>1709</v>
      </c>
    </row>
    <row r="528" spans="24:26" x14ac:dyDescent="0.25">
      <c r="X528" t="s">
        <v>613</v>
      </c>
      <c r="Y528" t="s">
        <v>1341</v>
      </c>
      <c r="Z528" t="s">
        <v>1709</v>
      </c>
    </row>
    <row r="529" spans="24:26" x14ac:dyDescent="0.25">
      <c r="X529" t="s">
        <v>613</v>
      </c>
      <c r="Y529" t="s">
        <v>1342</v>
      </c>
      <c r="Z529" t="s">
        <v>1709</v>
      </c>
    </row>
    <row r="530" spans="24:26" x14ac:dyDescent="0.25">
      <c r="X530" t="s">
        <v>613</v>
      </c>
      <c r="Y530" t="s">
        <v>1343</v>
      </c>
      <c r="Z530" t="s">
        <v>1709</v>
      </c>
    </row>
    <row r="531" spans="24:26" x14ac:dyDescent="0.25">
      <c r="X531" t="s">
        <v>613</v>
      </c>
      <c r="Y531" t="s">
        <v>1344</v>
      </c>
      <c r="Z531" t="s">
        <v>1709</v>
      </c>
    </row>
    <row r="532" spans="24:26" x14ac:dyDescent="0.25">
      <c r="X532" t="s">
        <v>613</v>
      </c>
      <c r="Y532" t="s">
        <v>1345</v>
      </c>
      <c r="Z532" t="s">
        <v>1723</v>
      </c>
    </row>
    <row r="533" spans="24:26" x14ac:dyDescent="0.25">
      <c r="X533" t="s">
        <v>613</v>
      </c>
      <c r="Y533" t="s">
        <v>1346</v>
      </c>
      <c r="Z533" t="s">
        <v>1723</v>
      </c>
    </row>
    <row r="534" spans="24:26" x14ac:dyDescent="0.25">
      <c r="X534" t="s">
        <v>613</v>
      </c>
      <c r="Y534" t="s">
        <v>1347</v>
      </c>
      <c r="Z534" t="s">
        <v>1717</v>
      </c>
    </row>
    <row r="535" spans="24:26" x14ac:dyDescent="0.25">
      <c r="X535" t="s">
        <v>613</v>
      </c>
      <c r="Y535" t="s">
        <v>1348</v>
      </c>
      <c r="Z535" t="s">
        <v>1718</v>
      </c>
    </row>
    <row r="536" spans="24:26" x14ac:dyDescent="0.25">
      <c r="X536" t="s">
        <v>613</v>
      </c>
      <c r="Y536" t="s">
        <v>1349</v>
      </c>
      <c r="Z536" t="s">
        <v>1691</v>
      </c>
    </row>
    <row r="537" spans="24:26" x14ac:dyDescent="0.25">
      <c r="X537" t="s">
        <v>613</v>
      </c>
      <c r="Y537" t="s">
        <v>1350</v>
      </c>
      <c r="Z537" t="s">
        <v>1719</v>
      </c>
    </row>
    <row r="538" spans="24:26" x14ac:dyDescent="0.25">
      <c r="X538" t="s">
        <v>613</v>
      </c>
      <c r="Y538" t="s">
        <v>1351</v>
      </c>
      <c r="Z538" t="s">
        <v>1691</v>
      </c>
    </row>
    <row r="539" spans="24:26" x14ac:dyDescent="0.25">
      <c r="X539" t="s">
        <v>613</v>
      </c>
      <c r="Y539" t="s">
        <v>1352</v>
      </c>
      <c r="Z539" t="s">
        <v>1691</v>
      </c>
    </row>
    <row r="540" spans="24:26" x14ac:dyDescent="0.25">
      <c r="X540" t="s">
        <v>613</v>
      </c>
      <c r="Y540" t="s">
        <v>1353</v>
      </c>
      <c r="Z540" t="s">
        <v>1695</v>
      </c>
    </row>
    <row r="541" spans="24:26" x14ac:dyDescent="0.25">
      <c r="X541" t="s">
        <v>613</v>
      </c>
      <c r="Y541" t="s">
        <v>1354</v>
      </c>
      <c r="Z541" t="s">
        <v>1695</v>
      </c>
    </row>
    <row r="542" spans="24:26" x14ac:dyDescent="0.25">
      <c r="X542" t="s">
        <v>613</v>
      </c>
      <c r="Y542" t="s">
        <v>1355</v>
      </c>
      <c r="Z542" t="s">
        <v>1695</v>
      </c>
    </row>
    <row r="543" spans="24:26" x14ac:dyDescent="0.25">
      <c r="X543" t="s">
        <v>613</v>
      </c>
      <c r="Y543" t="s">
        <v>1356</v>
      </c>
      <c r="Z543" t="s">
        <v>1695</v>
      </c>
    </row>
    <row r="544" spans="24:26" x14ac:dyDescent="0.25">
      <c r="X544" t="s">
        <v>613</v>
      </c>
      <c r="Y544" t="s">
        <v>1357</v>
      </c>
      <c r="Z544" t="s">
        <v>1695</v>
      </c>
    </row>
    <row r="545" spans="24:26" x14ac:dyDescent="0.25">
      <c r="X545" t="s">
        <v>613</v>
      </c>
      <c r="Y545" t="s">
        <v>1358</v>
      </c>
      <c r="Z545" t="s">
        <v>1695</v>
      </c>
    </row>
    <row r="546" spans="24:26" x14ac:dyDescent="0.25">
      <c r="X546" t="s">
        <v>613</v>
      </c>
      <c r="Y546" t="s">
        <v>1359</v>
      </c>
      <c r="Z546" t="s">
        <v>1695</v>
      </c>
    </row>
    <row r="547" spans="24:26" x14ac:dyDescent="0.25">
      <c r="X547" t="s">
        <v>613</v>
      </c>
      <c r="Y547" t="s">
        <v>1360</v>
      </c>
      <c r="Z547" t="s">
        <v>1695</v>
      </c>
    </row>
    <row r="548" spans="24:26" x14ac:dyDescent="0.25">
      <c r="X548" t="s">
        <v>613</v>
      </c>
      <c r="Y548" t="s">
        <v>1361</v>
      </c>
      <c r="Z548" t="s">
        <v>1695</v>
      </c>
    </row>
    <row r="549" spans="24:26" x14ac:dyDescent="0.25">
      <c r="X549" t="s">
        <v>613</v>
      </c>
      <c r="Y549" t="s">
        <v>1362</v>
      </c>
      <c r="Z549" t="s">
        <v>1695</v>
      </c>
    </row>
    <row r="550" spans="24:26" x14ac:dyDescent="0.25">
      <c r="X550" t="s">
        <v>613</v>
      </c>
      <c r="Y550" t="s">
        <v>1363</v>
      </c>
      <c r="Z550" t="s">
        <v>1691</v>
      </c>
    </row>
    <row r="551" spans="24:26" x14ac:dyDescent="0.25">
      <c r="X551" t="s">
        <v>613</v>
      </c>
      <c r="Y551" t="s">
        <v>1364</v>
      </c>
      <c r="Z551" t="s">
        <v>1691</v>
      </c>
    </row>
    <row r="552" spans="24:26" x14ac:dyDescent="0.25">
      <c r="X552" t="s">
        <v>613</v>
      </c>
      <c r="Y552" t="s">
        <v>1366</v>
      </c>
      <c r="Z552" t="s">
        <v>1691</v>
      </c>
    </row>
    <row r="553" spans="24:26" x14ac:dyDescent="0.25">
      <c r="X553" t="s">
        <v>613</v>
      </c>
      <c r="Y553" t="s">
        <v>1367</v>
      </c>
      <c r="Z553" t="s">
        <v>1691</v>
      </c>
    </row>
    <row r="554" spans="24:26" x14ac:dyDescent="0.25">
      <c r="X554" t="s">
        <v>613</v>
      </c>
      <c r="Y554" t="s">
        <v>1564</v>
      </c>
      <c r="Z554" t="s">
        <v>1222</v>
      </c>
    </row>
    <row r="555" spans="24:26" x14ac:dyDescent="0.25">
      <c r="X555" t="s">
        <v>613</v>
      </c>
      <c r="Y555" t="s">
        <v>1565</v>
      </c>
      <c r="Z555" t="s">
        <v>1222</v>
      </c>
    </row>
    <row r="556" spans="24:26" x14ac:dyDescent="0.25">
      <c r="X556" t="s">
        <v>613</v>
      </c>
      <c r="Y556" t="s">
        <v>1368</v>
      </c>
      <c r="Z556" t="s">
        <v>1222</v>
      </c>
    </row>
    <row r="557" spans="24:26" x14ac:dyDescent="0.25">
      <c r="X557" t="s">
        <v>613</v>
      </c>
      <c r="Y557" t="s">
        <v>1369</v>
      </c>
      <c r="Z557" t="s">
        <v>1222</v>
      </c>
    </row>
    <row r="558" spans="24:26" x14ac:dyDescent="0.25">
      <c r="X558" t="s">
        <v>613</v>
      </c>
      <c r="Y558" t="s">
        <v>1370</v>
      </c>
      <c r="Z558" t="s">
        <v>1222</v>
      </c>
    </row>
    <row r="559" spans="24:26" x14ac:dyDescent="0.25">
      <c r="X559" t="s">
        <v>613</v>
      </c>
      <c r="Y559" t="s">
        <v>1371</v>
      </c>
      <c r="Z559" t="s">
        <v>1222</v>
      </c>
    </row>
    <row r="560" spans="24:26" x14ac:dyDescent="0.25">
      <c r="X560" t="s">
        <v>613</v>
      </c>
      <c r="Y560" t="s">
        <v>1372</v>
      </c>
      <c r="Z560" t="s">
        <v>1222</v>
      </c>
    </row>
    <row r="561" spans="24:26" x14ac:dyDescent="0.25">
      <c r="X561" t="s">
        <v>613</v>
      </c>
      <c r="Y561" t="s">
        <v>1373</v>
      </c>
      <c r="Z561" t="s">
        <v>1222</v>
      </c>
    </row>
    <row r="562" spans="24:26" x14ac:dyDescent="0.25">
      <c r="X562" t="s">
        <v>613</v>
      </c>
      <c r="Y562" t="s">
        <v>1374</v>
      </c>
      <c r="Z562" t="s">
        <v>1222</v>
      </c>
    </row>
    <row r="563" spans="24:26" x14ac:dyDescent="0.25">
      <c r="X563" t="s">
        <v>613</v>
      </c>
      <c r="Y563" t="s">
        <v>1375</v>
      </c>
      <c r="Z563" t="s">
        <v>1222</v>
      </c>
    </row>
    <row r="564" spans="24:26" x14ac:dyDescent="0.25">
      <c r="X564" t="s">
        <v>613</v>
      </c>
      <c r="Y564" t="s">
        <v>1376</v>
      </c>
      <c r="Z564" t="s">
        <v>1222</v>
      </c>
    </row>
    <row r="565" spans="24:26" x14ac:dyDescent="0.25">
      <c r="X565" t="s">
        <v>613</v>
      </c>
      <c r="Y565" t="s">
        <v>1245</v>
      </c>
      <c r="Z565" t="s">
        <v>1222</v>
      </c>
    </row>
    <row r="566" spans="24:26" x14ac:dyDescent="0.25">
      <c r="X566" t="s">
        <v>613</v>
      </c>
      <c r="Y566" t="s">
        <v>1566</v>
      </c>
      <c r="Z566" t="s">
        <v>1222</v>
      </c>
    </row>
    <row r="567" spans="24:26" x14ac:dyDescent="0.25">
      <c r="X567" t="s">
        <v>613</v>
      </c>
      <c r="Y567" t="s">
        <v>1567</v>
      </c>
      <c r="Z567" t="s">
        <v>1222</v>
      </c>
    </row>
    <row r="568" spans="24:26" x14ac:dyDescent="0.25">
      <c r="X568" t="s">
        <v>613</v>
      </c>
      <c r="Y568" t="s">
        <v>1378</v>
      </c>
      <c r="Z568" t="s">
        <v>1222</v>
      </c>
    </row>
    <row r="569" spans="24:26" x14ac:dyDescent="0.25">
      <c r="X569" t="s">
        <v>613</v>
      </c>
      <c r="Y569" t="s">
        <v>1379</v>
      </c>
      <c r="Z569" t="s">
        <v>1222</v>
      </c>
    </row>
    <row r="570" spans="24:26" x14ac:dyDescent="0.25">
      <c r="X570" t="s">
        <v>613</v>
      </c>
      <c r="Y570" t="s">
        <v>1380</v>
      </c>
      <c r="Z570" t="s">
        <v>1222</v>
      </c>
    </row>
    <row r="571" spans="24:26" x14ac:dyDescent="0.25">
      <c r="X571" t="s">
        <v>613</v>
      </c>
      <c r="Y571" t="s">
        <v>1381</v>
      </c>
      <c r="Z571" t="s">
        <v>1755</v>
      </c>
    </row>
    <row r="572" spans="24:26" x14ac:dyDescent="0.25">
      <c r="X572" t="s">
        <v>613</v>
      </c>
      <c r="Y572" t="s">
        <v>1382</v>
      </c>
      <c r="Z572" t="s">
        <v>1222</v>
      </c>
    </row>
    <row r="573" spans="24:26" x14ac:dyDescent="0.25">
      <c r="X573" t="s">
        <v>613</v>
      </c>
      <c r="Y573" t="s">
        <v>1383</v>
      </c>
      <c r="Z573" t="s">
        <v>1222</v>
      </c>
    </row>
    <row r="574" spans="24:26" x14ac:dyDescent="0.25">
      <c r="X574" t="s">
        <v>613</v>
      </c>
      <c r="Y574" t="s">
        <v>1384</v>
      </c>
      <c r="Z574" t="s">
        <v>1222</v>
      </c>
    </row>
    <row r="575" spans="24:26" x14ac:dyDescent="0.25">
      <c r="X575" t="s">
        <v>613</v>
      </c>
      <c r="Y575" t="s">
        <v>1385</v>
      </c>
      <c r="Z575" t="s">
        <v>1222</v>
      </c>
    </row>
    <row r="576" spans="24:26" x14ac:dyDescent="0.25">
      <c r="X576" t="s">
        <v>613</v>
      </c>
      <c r="Y576" t="s">
        <v>1386</v>
      </c>
      <c r="Z576" t="s">
        <v>613</v>
      </c>
    </row>
    <row r="577" spans="24:26" x14ac:dyDescent="0.25">
      <c r="X577" t="s">
        <v>613</v>
      </c>
      <c r="Y577" t="s">
        <v>1387</v>
      </c>
      <c r="Z577" t="s">
        <v>613</v>
      </c>
    </row>
    <row r="578" spans="24:26" x14ac:dyDescent="0.25">
      <c r="X578" t="s">
        <v>613</v>
      </c>
      <c r="Y578" t="s">
        <v>1388</v>
      </c>
      <c r="Z578" t="s">
        <v>1222</v>
      </c>
    </row>
    <row r="579" spans="24:26" x14ac:dyDescent="0.25">
      <c r="X579" t="s">
        <v>613</v>
      </c>
      <c r="Y579" t="s">
        <v>1232</v>
      </c>
      <c r="Z579" t="s">
        <v>1222</v>
      </c>
    </row>
    <row r="580" spans="24:26" x14ac:dyDescent="0.25">
      <c r="X580" t="s">
        <v>613</v>
      </c>
      <c r="Y580" t="s">
        <v>1389</v>
      </c>
      <c r="Z580" t="s">
        <v>1222</v>
      </c>
    </row>
    <row r="581" spans="24:26" x14ac:dyDescent="0.25">
      <c r="X581" t="s">
        <v>613</v>
      </c>
      <c r="Y581" t="s">
        <v>1390</v>
      </c>
      <c r="Z581" t="s">
        <v>1222</v>
      </c>
    </row>
    <row r="582" spans="24:26" x14ac:dyDescent="0.25">
      <c r="X582" t="s">
        <v>613</v>
      </c>
      <c r="Y582" t="s">
        <v>1583</v>
      </c>
      <c r="Z582" t="s">
        <v>1222</v>
      </c>
    </row>
    <row r="583" spans="24:26" x14ac:dyDescent="0.25">
      <c r="X583" t="s">
        <v>613</v>
      </c>
      <c r="Y583" t="s">
        <v>1392</v>
      </c>
      <c r="Z583" t="s">
        <v>1222</v>
      </c>
    </row>
    <row r="584" spans="24:26" x14ac:dyDescent="0.25">
      <c r="X584" t="s">
        <v>613</v>
      </c>
      <c r="Y584" t="s">
        <v>1393</v>
      </c>
      <c r="Z584" t="s">
        <v>1222</v>
      </c>
    </row>
    <row r="585" spans="24:26" x14ac:dyDescent="0.25">
      <c r="X585" t="s">
        <v>613</v>
      </c>
      <c r="Y585" t="s">
        <v>1394</v>
      </c>
      <c r="Z585" t="s">
        <v>613</v>
      </c>
    </row>
    <row r="586" spans="24:26" x14ac:dyDescent="0.25">
      <c r="X586" t="s">
        <v>613</v>
      </c>
      <c r="Y586" t="s">
        <v>1395</v>
      </c>
      <c r="Z586" t="s">
        <v>613</v>
      </c>
    </row>
    <row r="587" spans="24:26" x14ac:dyDescent="0.25">
      <c r="X587" t="s">
        <v>613</v>
      </c>
      <c r="Y587" t="s">
        <v>1396</v>
      </c>
      <c r="Z587" t="s">
        <v>613</v>
      </c>
    </row>
    <row r="588" spans="24:26" x14ac:dyDescent="0.25">
      <c r="X588" t="s">
        <v>613</v>
      </c>
      <c r="Y588" t="s">
        <v>1397</v>
      </c>
      <c r="Z588" t="s">
        <v>613</v>
      </c>
    </row>
    <row r="589" spans="24:26" x14ac:dyDescent="0.25">
      <c r="X589" t="s">
        <v>613</v>
      </c>
      <c r="Y589" t="s">
        <v>1398</v>
      </c>
      <c r="Z589" t="s">
        <v>1222</v>
      </c>
    </row>
    <row r="590" spans="24:26" x14ac:dyDescent="0.25">
      <c r="X590" t="s">
        <v>613</v>
      </c>
      <c r="Y590" t="s">
        <v>1399</v>
      </c>
      <c r="Z590" t="s">
        <v>1222</v>
      </c>
    </row>
    <row r="591" spans="24:26" x14ac:dyDescent="0.25">
      <c r="X591" t="s">
        <v>613</v>
      </c>
      <c r="Y591" t="s">
        <v>1400</v>
      </c>
      <c r="Z591" t="s">
        <v>1222</v>
      </c>
    </row>
    <row r="592" spans="24:26" x14ac:dyDescent="0.25">
      <c r="X592" t="s">
        <v>613</v>
      </c>
      <c r="Y592" t="s">
        <v>1401</v>
      </c>
      <c r="Z592" t="s">
        <v>1222</v>
      </c>
    </row>
    <row r="593" spans="24:26" x14ac:dyDescent="0.25">
      <c r="X593" t="s">
        <v>613</v>
      </c>
      <c r="Y593" t="s">
        <v>1402</v>
      </c>
      <c r="Z593" t="s">
        <v>1222</v>
      </c>
    </row>
    <row r="594" spans="24:26" x14ac:dyDescent="0.25">
      <c r="X594" t="s">
        <v>613</v>
      </c>
      <c r="Y594" t="s">
        <v>1403</v>
      </c>
      <c r="Z594" t="s">
        <v>1222</v>
      </c>
    </row>
    <row r="595" spans="24:26" x14ac:dyDescent="0.25">
      <c r="X595" t="s">
        <v>613</v>
      </c>
      <c r="Y595" t="s">
        <v>1404</v>
      </c>
      <c r="Z595" t="s">
        <v>1222</v>
      </c>
    </row>
    <row r="596" spans="24:26" x14ac:dyDescent="0.25">
      <c r="X596" t="s">
        <v>613</v>
      </c>
      <c r="Y596" t="s">
        <v>1442</v>
      </c>
      <c r="Z596" t="s">
        <v>1222</v>
      </c>
    </row>
    <row r="597" spans="24:26" x14ac:dyDescent="0.25">
      <c r="X597" t="s">
        <v>613</v>
      </c>
      <c r="Y597" t="s">
        <v>1443</v>
      </c>
      <c r="Z597" t="s">
        <v>613</v>
      </c>
    </row>
    <row r="598" spans="24:26" x14ac:dyDescent="0.25">
      <c r="X598" t="s">
        <v>613</v>
      </c>
      <c r="Y598" t="s">
        <v>1444</v>
      </c>
      <c r="Z598" t="s">
        <v>613</v>
      </c>
    </row>
    <row r="599" spans="24:26" x14ac:dyDescent="0.25">
      <c r="X599" t="s">
        <v>613</v>
      </c>
      <c r="Y599" t="s">
        <v>1584</v>
      </c>
      <c r="Z599" t="s">
        <v>1750</v>
      </c>
    </row>
    <row r="600" spans="24:26" x14ac:dyDescent="0.25">
      <c r="X600" t="s">
        <v>613</v>
      </c>
      <c r="Y600" t="s">
        <v>1585</v>
      </c>
      <c r="Z600" t="s">
        <v>1750</v>
      </c>
    </row>
    <row r="601" spans="24:26" x14ac:dyDescent="0.25">
      <c r="X601" t="s">
        <v>613</v>
      </c>
      <c r="Y601" t="s">
        <v>1586</v>
      </c>
      <c r="Z601" t="s">
        <v>1750</v>
      </c>
    </row>
    <row r="602" spans="24:26" x14ac:dyDescent="0.25">
      <c r="X602" t="s">
        <v>613</v>
      </c>
      <c r="Y602" t="s">
        <v>1587</v>
      </c>
      <c r="Z602" t="s">
        <v>1750</v>
      </c>
    </row>
    <row r="603" spans="24:26" x14ac:dyDescent="0.25">
      <c r="X603" t="s">
        <v>613</v>
      </c>
      <c r="Y603" t="s">
        <v>1588</v>
      </c>
      <c r="Z603" t="s">
        <v>1750</v>
      </c>
    </row>
    <row r="604" spans="24:26" x14ac:dyDescent="0.25">
      <c r="X604" t="s">
        <v>613</v>
      </c>
      <c r="Y604" t="s">
        <v>1589</v>
      </c>
      <c r="Z604" t="s">
        <v>1750</v>
      </c>
    </row>
    <row r="605" spans="24:26" x14ac:dyDescent="0.25">
      <c r="X605" t="s">
        <v>613</v>
      </c>
      <c r="Y605" t="s">
        <v>1590</v>
      </c>
      <c r="Z605" t="s">
        <v>1750</v>
      </c>
    </row>
    <row r="606" spans="24:26" x14ac:dyDescent="0.25">
      <c r="X606" t="s">
        <v>613</v>
      </c>
      <c r="Y606" t="s">
        <v>1591</v>
      </c>
      <c r="Z606" t="s">
        <v>1750</v>
      </c>
    </row>
    <row r="607" spans="24:26" x14ac:dyDescent="0.25">
      <c r="X607" t="s">
        <v>613</v>
      </c>
      <c r="Y607" t="s">
        <v>1592</v>
      </c>
      <c r="Z607" t="s">
        <v>1750</v>
      </c>
    </row>
    <row r="608" spans="24:26" x14ac:dyDescent="0.25">
      <c r="X608" t="s">
        <v>613</v>
      </c>
      <c r="Y608" t="s">
        <v>1593</v>
      </c>
      <c r="Z608" t="s">
        <v>1750</v>
      </c>
    </row>
    <row r="609" spans="24:26" x14ac:dyDescent="0.25">
      <c r="X609" t="s">
        <v>613</v>
      </c>
      <c r="Y609" t="s">
        <v>1594</v>
      </c>
      <c r="Z609" t="s">
        <v>1750</v>
      </c>
    </row>
    <row r="610" spans="24:26" x14ac:dyDescent="0.25">
      <c r="X610" t="s">
        <v>613</v>
      </c>
      <c r="Y610" t="s">
        <v>1595</v>
      </c>
      <c r="Z610" t="s">
        <v>1750</v>
      </c>
    </row>
    <row r="611" spans="24:26" x14ac:dyDescent="0.25">
      <c r="X611" t="s">
        <v>613</v>
      </c>
      <c r="Y611" t="s">
        <v>1596</v>
      </c>
      <c r="Z611" t="s">
        <v>1750</v>
      </c>
    </row>
    <row r="612" spans="24:26" x14ac:dyDescent="0.25">
      <c r="X612" t="s">
        <v>613</v>
      </c>
      <c r="Y612" t="s">
        <v>1597</v>
      </c>
      <c r="Z612" t="s">
        <v>1750</v>
      </c>
    </row>
    <row r="613" spans="24:26" x14ac:dyDescent="0.25">
      <c r="X613" t="s">
        <v>613</v>
      </c>
      <c r="Y613" t="s">
        <v>1598</v>
      </c>
      <c r="Z613" t="s">
        <v>1750</v>
      </c>
    </row>
    <row r="614" spans="24:26" x14ac:dyDescent="0.25">
      <c r="X614" t="s">
        <v>613</v>
      </c>
      <c r="Y614" t="s">
        <v>1599</v>
      </c>
      <c r="Z614" t="s">
        <v>1750</v>
      </c>
    </row>
    <row r="615" spans="24:26" x14ac:dyDescent="0.25">
      <c r="X615" t="s">
        <v>613</v>
      </c>
      <c r="Y615" t="s">
        <v>1600</v>
      </c>
      <c r="Z615" t="s">
        <v>1750</v>
      </c>
    </row>
    <row r="616" spans="24:26" x14ac:dyDescent="0.25">
      <c r="X616" t="s">
        <v>613</v>
      </c>
      <c r="Y616" t="s">
        <v>1445</v>
      </c>
      <c r="Z616" t="s">
        <v>1222</v>
      </c>
    </row>
    <row r="617" spans="24:26" x14ac:dyDescent="0.25">
      <c r="X617" t="s">
        <v>613</v>
      </c>
      <c r="Y617" t="s">
        <v>1446</v>
      </c>
      <c r="Z617" t="s">
        <v>1222</v>
      </c>
    </row>
    <row r="618" spans="24:26" x14ac:dyDescent="0.25">
      <c r="X618" t="s">
        <v>613</v>
      </c>
      <c r="Y618" t="s">
        <v>1447</v>
      </c>
      <c r="Z618" t="s">
        <v>1222</v>
      </c>
    </row>
    <row r="619" spans="24:26" x14ac:dyDescent="0.25">
      <c r="X619" t="s">
        <v>613</v>
      </c>
      <c r="Y619" t="s">
        <v>1448</v>
      </c>
      <c r="Z619" t="s">
        <v>1222</v>
      </c>
    </row>
    <row r="620" spans="24:26" x14ac:dyDescent="0.25">
      <c r="X620" t="s">
        <v>613</v>
      </c>
      <c r="Y620" t="s">
        <v>1449</v>
      </c>
      <c r="Z620" t="s">
        <v>1222</v>
      </c>
    </row>
    <row r="621" spans="24:26" x14ac:dyDescent="0.25">
      <c r="X621" t="s">
        <v>613</v>
      </c>
      <c r="Y621" t="s">
        <v>1450</v>
      </c>
      <c r="Z621" t="s">
        <v>1222</v>
      </c>
    </row>
    <row r="622" spans="24:26" x14ac:dyDescent="0.25">
      <c r="X622" t="s">
        <v>613</v>
      </c>
      <c r="Y622" t="s">
        <v>1451</v>
      </c>
      <c r="Z622" t="s">
        <v>1222</v>
      </c>
    </row>
    <row r="623" spans="24:26" x14ac:dyDescent="0.25">
      <c r="X623" t="s">
        <v>613</v>
      </c>
      <c r="Y623" t="s">
        <v>1452</v>
      </c>
      <c r="Z623" t="s">
        <v>1222</v>
      </c>
    </row>
    <row r="624" spans="24:26" x14ac:dyDescent="0.25">
      <c r="X624" t="s">
        <v>613</v>
      </c>
      <c r="Y624" t="s">
        <v>1453</v>
      </c>
      <c r="Z624" t="s">
        <v>1222</v>
      </c>
    </row>
    <row r="625" spans="24:26" x14ac:dyDescent="0.25">
      <c r="X625" t="s">
        <v>613</v>
      </c>
      <c r="Y625" t="s">
        <v>1454</v>
      </c>
      <c r="Z625" t="s">
        <v>1222</v>
      </c>
    </row>
    <row r="626" spans="24:26" x14ac:dyDescent="0.25">
      <c r="X626" t="s">
        <v>613</v>
      </c>
      <c r="Y626" t="s">
        <v>1455</v>
      </c>
      <c r="Z626" t="s">
        <v>1222</v>
      </c>
    </row>
    <row r="627" spans="24:26" x14ac:dyDescent="0.25">
      <c r="X627" t="s">
        <v>613</v>
      </c>
      <c r="Y627" t="s">
        <v>1456</v>
      </c>
      <c r="Z627" t="s">
        <v>1222</v>
      </c>
    </row>
    <row r="628" spans="24:26" x14ac:dyDescent="0.25">
      <c r="X628" t="s">
        <v>613</v>
      </c>
      <c r="Y628" t="s">
        <v>1575</v>
      </c>
      <c r="Z628" t="s">
        <v>1222</v>
      </c>
    </row>
    <row r="629" spans="24:26" x14ac:dyDescent="0.25">
      <c r="X629" t="s">
        <v>613</v>
      </c>
      <c r="Y629" t="s">
        <v>1601</v>
      </c>
      <c r="Z629" t="s">
        <v>1222</v>
      </c>
    </row>
    <row r="630" spans="24:26" x14ac:dyDescent="0.25">
      <c r="X630" t="s">
        <v>613</v>
      </c>
      <c r="Y630" t="s">
        <v>1457</v>
      </c>
      <c r="Z630" t="s">
        <v>1222</v>
      </c>
    </row>
    <row r="631" spans="24:26" x14ac:dyDescent="0.25">
      <c r="X631" t="s">
        <v>613</v>
      </c>
      <c r="Y631" t="s">
        <v>1458</v>
      </c>
      <c r="Z631" t="s">
        <v>1222</v>
      </c>
    </row>
    <row r="632" spans="24:26" x14ac:dyDescent="0.25">
      <c r="X632" t="s">
        <v>613</v>
      </c>
      <c r="Y632" t="s">
        <v>1459</v>
      </c>
      <c r="Z632" t="s">
        <v>1222</v>
      </c>
    </row>
    <row r="633" spans="24:26" x14ac:dyDescent="0.25">
      <c r="X633" t="s">
        <v>613</v>
      </c>
      <c r="Y633" t="s">
        <v>1229</v>
      </c>
      <c r="Z633" t="s">
        <v>1755</v>
      </c>
    </row>
    <row r="634" spans="24:26" x14ac:dyDescent="0.25">
      <c r="X634" t="s">
        <v>613</v>
      </c>
      <c r="Y634" t="s">
        <v>1602</v>
      </c>
      <c r="Z634" t="s">
        <v>1222</v>
      </c>
    </row>
    <row r="635" spans="24:26" x14ac:dyDescent="0.25">
      <c r="X635" t="s">
        <v>613</v>
      </c>
      <c r="Y635" t="s">
        <v>1577</v>
      </c>
      <c r="Z635" t="s">
        <v>1222</v>
      </c>
    </row>
    <row r="636" spans="24:26" x14ac:dyDescent="0.25">
      <c r="X636" t="s">
        <v>613</v>
      </c>
      <c r="Y636" t="s">
        <v>1460</v>
      </c>
      <c r="Z636" t="s">
        <v>1222</v>
      </c>
    </row>
    <row r="637" spans="24:26" x14ac:dyDescent="0.25">
      <c r="X637" t="s">
        <v>613</v>
      </c>
      <c r="Y637" t="s">
        <v>1461</v>
      </c>
      <c r="Z637" t="s">
        <v>1723</v>
      </c>
    </row>
    <row r="638" spans="24:26" x14ac:dyDescent="0.25">
      <c r="X638" t="s">
        <v>613</v>
      </c>
      <c r="Y638" t="s">
        <v>1462</v>
      </c>
      <c r="Z638" t="s">
        <v>1723</v>
      </c>
    </row>
    <row r="639" spans="24:26" x14ac:dyDescent="0.25">
      <c r="X639" t="s">
        <v>613</v>
      </c>
      <c r="Y639" t="s">
        <v>1463</v>
      </c>
      <c r="Z639" t="s">
        <v>1723</v>
      </c>
    </row>
    <row r="640" spans="24:26" x14ac:dyDescent="0.25">
      <c r="X640" t="s">
        <v>613</v>
      </c>
      <c r="Y640" t="s">
        <v>1464</v>
      </c>
      <c r="Z640" t="s">
        <v>1723</v>
      </c>
    </row>
    <row r="641" spans="24:26" x14ac:dyDescent="0.25">
      <c r="X641" t="s">
        <v>613</v>
      </c>
      <c r="Y641" t="s">
        <v>1465</v>
      </c>
      <c r="Z641" t="s">
        <v>1723</v>
      </c>
    </row>
    <row r="642" spans="24:26" x14ac:dyDescent="0.25">
      <c r="X642" t="s">
        <v>613</v>
      </c>
      <c r="Y642" t="s">
        <v>1466</v>
      </c>
      <c r="Z642" t="s">
        <v>1723</v>
      </c>
    </row>
    <row r="643" spans="24:26" x14ac:dyDescent="0.25">
      <c r="X643" t="s">
        <v>613</v>
      </c>
      <c r="Y643" t="s">
        <v>1467</v>
      </c>
      <c r="Z643" t="s">
        <v>1723</v>
      </c>
    </row>
    <row r="644" spans="24:26" x14ac:dyDescent="0.25">
      <c r="X644" t="s">
        <v>613</v>
      </c>
      <c r="Y644" t="s">
        <v>1468</v>
      </c>
      <c r="Z644" t="s">
        <v>1732</v>
      </c>
    </row>
    <row r="645" spans="24:26" x14ac:dyDescent="0.25">
      <c r="X645" t="s">
        <v>613</v>
      </c>
      <c r="Y645" t="s">
        <v>1469</v>
      </c>
      <c r="Z645" t="s">
        <v>1732</v>
      </c>
    </row>
    <row r="646" spans="24:26" x14ac:dyDescent="0.25">
      <c r="X646" t="s">
        <v>613</v>
      </c>
      <c r="Y646" t="s">
        <v>1470</v>
      </c>
      <c r="Z646" t="s">
        <v>1732</v>
      </c>
    </row>
    <row r="647" spans="24:26" x14ac:dyDescent="0.25">
      <c r="X647" t="s">
        <v>613</v>
      </c>
      <c r="Y647" t="s">
        <v>1471</v>
      </c>
      <c r="Z647" t="s">
        <v>1732</v>
      </c>
    </row>
    <row r="648" spans="24:26" x14ac:dyDescent="0.25">
      <c r="X648" t="s">
        <v>613</v>
      </c>
      <c r="Y648" t="s">
        <v>1603</v>
      </c>
      <c r="Z648" t="s">
        <v>1746</v>
      </c>
    </row>
    <row r="649" spans="24:26" x14ac:dyDescent="0.25">
      <c r="X649" t="s">
        <v>613</v>
      </c>
      <c r="Y649" t="s">
        <v>1472</v>
      </c>
      <c r="Z649" t="s">
        <v>1746</v>
      </c>
    </row>
    <row r="650" spans="24:26" x14ac:dyDescent="0.25">
      <c r="X650" t="s">
        <v>613</v>
      </c>
      <c r="Y650" t="s">
        <v>1474</v>
      </c>
      <c r="Z650" t="s">
        <v>1723</v>
      </c>
    </row>
    <row r="651" spans="24:26" x14ac:dyDescent="0.25">
      <c r="X651" t="s">
        <v>613</v>
      </c>
      <c r="Y651" t="s">
        <v>1604</v>
      </c>
      <c r="Z651" t="s">
        <v>1723</v>
      </c>
    </row>
    <row r="652" spans="24:26" x14ac:dyDescent="0.25">
      <c r="X652" t="s">
        <v>613</v>
      </c>
      <c r="Y652" t="s">
        <v>1605</v>
      </c>
      <c r="Z652" t="s">
        <v>1723</v>
      </c>
    </row>
    <row r="653" spans="24:26" x14ac:dyDescent="0.25">
      <c r="X653" t="s">
        <v>613</v>
      </c>
      <c r="Y653" t="s">
        <v>1475</v>
      </c>
      <c r="Z653" t="s">
        <v>1747</v>
      </c>
    </row>
    <row r="654" spans="24:26" x14ac:dyDescent="0.25">
      <c r="X654" t="s">
        <v>613</v>
      </c>
      <c r="Y654" t="s">
        <v>1476</v>
      </c>
      <c r="Z654" t="s">
        <v>1700</v>
      </c>
    </row>
    <row r="655" spans="24:26" x14ac:dyDescent="0.25">
      <c r="X655" t="s">
        <v>613</v>
      </c>
      <c r="Y655" t="s">
        <v>1606</v>
      </c>
      <c r="Z655" t="s">
        <v>1723</v>
      </c>
    </row>
    <row r="656" spans="24:26" x14ac:dyDescent="0.25">
      <c r="X656" t="s">
        <v>613</v>
      </c>
      <c r="Y656" t="s">
        <v>1477</v>
      </c>
      <c r="Z656" t="s">
        <v>1745</v>
      </c>
    </row>
    <row r="657" spans="24:26" x14ac:dyDescent="0.25">
      <c r="X657" t="s">
        <v>613</v>
      </c>
      <c r="Y657" t="s">
        <v>1607</v>
      </c>
      <c r="Z657" t="s">
        <v>1746</v>
      </c>
    </row>
    <row r="658" spans="24:26" x14ac:dyDescent="0.25">
      <c r="X658" t="s">
        <v>613</v>
      </c>
      <c r="Y658" t="s">
        <v>1608</v>
      </c>
      <c r="Z658" t="s">
        <v>1746</v>
      </c>
    </row>
    <row r="659" spans="24:26" x14ac:dyDescent="0.25">
      <c r="X659" t="s">
        <v>613</v>
      </c>
      <c r="Y659" t="s">
        <v>1221</v>
      </c>
      <c r="Z659" t="s">
        <v>1748</v>
      </c>
    </row>
    <row r="664" spans="24:26" x14ac:dyDescent="0.25">
      <c r="X664" t="s">
        <v>298</v>
      </c>
      <c r="Y664" t="s">
        <v>1609</v>
      </c>
      <c r="Z664" t="s">
        <v>1723</v>
      </c>
    </row>
    <row r="665" spans="24:26" x14ac:dyDescent="0.25">
      <c r="X665" t="s">
        <v>613</v>
      </c>
      <c r="Y665" t="s">
        <v>1610</v>
      </c>
      <c r="Z665" t="s">
        <v>1723</v>
      </c>
    </row>
    <row r="666" spans="24:26" x14ac:dyDescent="0.25">
      <c r="X666" t="s">
        <v>613</v>
      </c>
      <c r="Y666" t="s">
        <v>1611</v>
      </c>
      <c r="Z666" t="s">
        <v>1723</v>
      </c>
    </row>
    <row r="667" spans="24:26" x14ac:dyDescent="0.25">
      <c r="X667" t="s">
        <v>613</v>
      </c>
      <c r="Y667" t="s">
        <v>1612</v>
      </c>
      <c r="Z667" t="s">
        <v>1723</v>
      </c>
    </row>
    <row r="668" spans="24:26" x14ac:dyDescent="0.25">
      <c r="X668" t="s">
        <v>613</v>
      </c>
      <c r="Y668" t="s">
        <v>1613</v>
      </c>
      <c r="Z668" t="s">
        <v>1723</v>
      </c>
    </row>
    <row r="669" spans="24:26" x14ac:dyDescent="0.25">
      <c r="X669" t="s">
        <v>613</v>
      </c>
      <c r="Y669" t="s">
        <v>1614</v>
      </c>
      <c r="Z669" t="s">
        <v>1723</v>
      </c>
    </row>
    <row r="670" spans="24:26" x14ac:dyDescent="0.25">
      <c r="X670" t="s">
        <v>613</v>
      </c>
      <c r="Y670" t="s">
        <v>1615</v>
      </c>
      <c r="Z670" t="s">
        <v>1723</v>
      </c>
    </row>
    <row r="671" spans="24:26" x14ac:dyDescent="0.25">
      <c r="X671" t="s">
        <v>613</v>
      </c>
      <c r="Y671" t="s">
        <v>1616</v>
      </c>
      <c r="Z671" t="s">
        <v>1723</v>
      </c>
    </row>
    <row r="672" spans="24:26" x14ac:dyDescent="0.25">
      <c r="X672" t="s">
        <v>613</v>
      </c>
      <c r="Y672" t="s">
        <v>1268</v>
      </c>
      <c r="Z672" t="s">
        <v>1758</v>
      </c>
    </row>
    <row r="673" spans="24:26" x14ac:dyDescent="0.25">
      <c r="X673" t="s">
        <v>613</v>
      </c>
      <c r="Y673" t="s">
        <v>1547</v>
      </c>
      <c r="Z673" t="s">
        <v>1735</v>
      </c>
    </row>
    <row r="674" spans="24:26" x14ac:dyDescent="0.25">
      <c r="X674" t="s">
        <v>613</v>
      </c>
      <c r="Y674" t="s">
        <v>1548</v>
      </c>
      <c r="Z674" t="s">
        <v>1707</v>
      </c>
    </row>
    <row r="675" spans="24:26" x14ac:dyDescent="0.25">
      <c r="X675" t="s">
        <v>613</v>
      </c>
      <c r="Y675" t="s">
        <v>1269</v>
      </c>
      <c r="Z675" t="s">
        <v>1736</v>
      </c>
    </row>
    <row r="676" spans="24:26" x14ac:dyDescent="0.25">
      <c r="X676" t="s">
        <v>613</v>
      </c>
      <c r="Y676" t="s">
        <v>1270</v>
      </c>
      <c r="Z676" t="s">
        <v>613</v>
      </c>
    </row>
    <row r="677" spans="24:26" x14ac:dyDescent="0.25">
      <c r="X677" t="s">
        <v>613</v>
      </c>
      <c r="Y677" t="s">
        <v>1242</v>
      </c>
      <c r="Z677" t="s">
        <v>613</v>
      </c>
    </row>
    <row r="678" spans="24:26" x14ac:dyDescent="0.25">
      <c r="X678" t="s">
        <v>613</v>
      </c>
      <c r="Y678" t="s">
        <v>1617</v>
      </c>
      <c r="Z678" t="s">
        <v>1723</v>
      </c>
    </row>
    <row r="679" spans="24:26" x14ac:dyDescent="0.25">
      <c r="X679" t="s">
        <v>613</v>
      </c>
      <c r="Y679" t="s">
        <v>1618</v>
      </c>
      <c r="Z679" t="s">
        <v>1691</v>
      </c>
    </row>
    <row r="680" spans="24:26" x14ac:dyDescent="0.25">
      <c r="X680" t="s">
        <v>613</v>
      </c>
      <c r="Y680" t="s">
        <v>1619</v>
      </c>
      <c r="Z680" t="s">
        <v>1691</v>
      </c>
    </row>
    <row r="681" spans="24:26" x14ac:dyDescent="0.25">
      <c r="X681" t="s">
        <v>613</v>
      </c>
      <c r="Y681" t="s">
        <v>1620</v>
      </c>
      <c r="Z681" t="s">
        <v>1691</v>
      </c>
    </row>
    <row r="682" spans="24:26" x14ac:dyDescent="0.25">
      <c r="X682" t="s">
        <v>613</v>
      </c>
      <c r="Y682" t="s">
        <v>1621</v>
      </c>
      <c r="Z682" t="s">
        <v>1691</v>
      </c>
    </row>
    <row r="683" spans="24:26" x14ac:dyDescent="0.25">
      <c r="X683" t="s">
        <v>613</v>
      </c>
      <c r="Y683" t="s">
        <v>1622</v>
      </c>
      <c r="Z683" t="s">
        <v>1691</v>
      </c>
    </row>
    <row r="684" spans="24:26" x14ac:dyDescent="0.25">
      <c r="X684" t="s">
        <v>613</v>
      </c>
      <c r="Y684" t="s">
        <v>1564</v>
      </c>
      <c r="Z684" t="s">
        <v>1222</v>
      </c>
    </row>
    <row r="685" spans="24:26" x14ac:dyDescent="0.25">
      <c r="X685" t="s">
        <v>613</v>
      </c>
      <c r="Y685" t="s">
        <v>1565</v>
      </c>
      <c r="Z685" t="s">
        <v>1222</v>
      </c>
    </row>
    <row r="686" spans="24:26" x14ac:dyDescent="0.25">
      <c r="X686" t="s">
        <v>613</v>
      </c>
      <c r="Y686" t="s">
        <v>1368</v>
      </c>
      <c r="Z686" t="s">
        <v>1222</v>
      </c>
    </row>
    <row r="687" spans="24:26" x14ac:dyDescent="0.25">
      <c r="X687" t="s">
        <v>613</v>
      </c>
      <c r="Y687" t="s">
        <v>1369</v>
      </c>
      <c r="Z687" t="s">
        <v>1222</v>
      </c>
    </row>
    <row r="688" spans="24:26" x14ac:dyDescent="0.25">
      <c r="X688" t="s">
        <v>613</v>
      </c>
      <c r="Y688" t="s">
        <v>1370</v>
      </c>
      <c r="Z688" t="s">
        <v>1222</v>
      </c>
    </row>
    <row r="689" spans="24:26" x14ac:dyDescent="0.25">
      <c r="X689" t="s">
        <v>613</v>
      </c>
      <c r="Y689" t="s">
        <v>1371</v>
      </c>
      <c r="Z689" t="s">
        <v>1222</v>
      </c>
    </row>
    <row r="690" spans="24:26" x14ac:dyDescent="0.25">
      <c r="X690" t="s">
        <v>613</v>
      </c>
      <c r="Y690" t="s">
        <v>1372</v>
      </c>
      <c r="Z690" t="s">
        <v>1222</v>
      </c>
    </row>
    <row r="691" spans="24:26" x14ac:dyDescent="0.25">
      <c r="X691" t="s">
        <v>613</v>
      </c>
      <c r="Y691" t="s">
        <v>1373</v>
      </c>
      <c r="Z691" t="s">
        <v>1222</v>
      </c>
    </row>
    <row r="692" spans="24:26" x14ac:dyDescent="0.25">
      <c r="X692" t="s">
        <v>613</v>
      </c>
      <c r="Y692" t="s">
        <v>1374</v>
      </c>
      <c r="Z692" t="s">
        <v>1222</v>
      </c>
    </row>
    <row r="693" spans="24:26" x14ac:dyDescent="0.25">
      <c r="X693" t="s">
        <v>613</v>
      </c>
      <c r="Y693" t="s">
        <v>1375</v>
      </c>
      <c r="Z693" t="s">
        <v>1222</v>
      </c>
    </row>
    <row r="694" spans="24:26" x14ac:dyDescent="0.25">
      <c r="X694" t="s">
        <v>613</v>
      </c>
      <c r="Y694" t="s">
        <v>1376</v>
      </c>
      <c r="Z694" t="s">
        <v>1222</v>
      </c>
    </row>
    <row r="695" spans="24:26" x14ac:dyDescent="0.25">
      <c r="X695" t="s">
        <v>613</v>
      </c>
      <c r="Y695" t="s">
        <v>1566</v>
      </c>
      <c r="Z695" t="s">
        <v>1222</v>
      </c>
    </row>
    <row r="696" spans="24:26" x14ac:dyDescent="0.25">
      <c r="X696" t="s">
        <v>613</v>
      </c>
      <c r="Y696" t="s">
        <v>1567</v>
      </c>
      <c r="Z696" t="s">
        <v>1222</v>
      </c>
    </row>
    <row r="697" spans="24:26" x14ac:dyDescent="0.25">
      <c r="X697" t="s">
        <v>613</v>
      </c>
      <c r="Y697" t="s">
        <v>1381</v>
      </c>
      <c r="Z697" t="s">
        <v>1755</v>
      </c>
    </row>
    <row r="698" spans="24:26" x14ac:dyDescent="0.25">
      <c r="X698" t="s">
        <v>613</v>
      </c>
      <c r="Y698" t="s">
        <v>1382</v>
      </c>
      <c r="Z698" t="s">
        <v>1222</v>
      </c>
    </row>
    <row r="699" spans="24:26" x14ac:dyDescent="0.25">
      <c r="X699" t="s">
        <v>613</v>
      </c>
      <c r="Y699" t="s">
        <v>1383</v>
      </c>
      <c r="Z699" t="s">
        <v>1222</v>
      </c>
    </row>
    <row r="700" spans="24:26" x14ac:dyDescent="0.25">
      <c r="X700" t="s">
        <v>613</v>
      </c>
      <c r="Y700" t="s">
        <v>1384</v>
      </c>
      <c r="Z700" t="s">
        <v>1222</v>
      </c>
    </row>
    <row r="701" spans="24:26" x14ac:dyDescent="0.25">
      <c r="X701" t="s">
        <v>613</v>
      </c>
      <c r="Y701" t="s">
        <v>1573</v>
      </c>
      <c r="Z701" t="s">
        <v>1222</v>
      </c>
    </row>
    <row r="702" spans="24:26" x14ac:dyDescent="0.25">
      <c r="X702" t="s">
        <v>613</v>
      </c>
      <c r="Y702" t="s">
        <v>1232</v>
      </c>
      <c r="Z702" t="s">
        <v>1222</v>
      </c>
    </row>
    <row r="703" spans="24:26" x14ac:dyDescent="0.25">
      <c r="X703" t="s">
        <v>613</v>
      </c>
      <c r="Y703" t="s">
        <v>1224</v>
      </c>
      <c r="Z703" t="s">
        <v>1222</v>
      </c>
    </row>
    <row r="704" spans="24:26" x14ac:dyDescent="0.25">
      <c r="X704" t="s">
        <v>613</v>
      </c>
      <c r="Y704" t="s">
        <v>1394</v>
      </c>
      <c r="Z704" t="s">
        <v>613</v>
      </c>
    </row>
    <row r="705" spans="24:26" x14ac:dyDescent="0.25">
      <c r="X705" t="s">
        <v>613</v>
      </c>
      <c r="Y705" t="s">
        <v>1395</v>
      </c>
      <c r="Z705" t="s">
        <v>613</v>
      </c>
    </row>
    <row r="706" spans="24:26" x14ac:dyDescent="0.25">
      <c r="X706" t="s">
        <v>613</v>
      </c>
      <c r="Y706" t="s">
        <v>1396</v>
      </c>
      <c r="Z706" t="s">
        <v>613</v>
      </c>
    </row>
    <row r="707" spans="24:26" x14ac:dyDescent="0.25">
      <c r="X707" t="s">
        <v>613</v>
      </c>
      <c r="Y707" t="s">
        <v>1397</v>
      </c>
      <c r="Z707" t="s">
        <v>613</v>
      </c>
    </row>
    <row r="708" spans="24:26" x14ac:dyDescent="0.25">
      <c r="X708" t="s">
        <v>613</v>
      </c>
      <c r="Y708" t="s">
        <v>1398</v>
      </c>
      <c r="Z708" t="s">
        <v>1222</v>
      </c>
    </row>
    <row r="709" spans="24:26" x14ac:dyDescent="0.25">
      <c r="X709" t="s">
        <v>613</v>
      </c>
      <c r="Y709" t="s">
        <v>1399</v>
      </c>
      <c r="Z709" t="s">
        <v>1222</v>
      </c>
    </row>
    <row r="710" spans="24:26" x14ac:dyDescent="0.25">
      <c r="X710" t="s">
        <v>613</v>
      </c>
      <c r="Y710" t="s">
        <v>1400</v>
      </c>
      <c r="Z710" t="s">
        <v>1222</v>
      </c>
    </row>
    <row r="711" spans="24:26" x14ac:dyDescent="0.25">
      <c r="X711" t="s">
        <v>613</v>
      </c>
      <c r="Y711" t="s">
        <v>1401</v>
      </c>
      <c r="Z711" t="s">
        <v>1222</v>
      </c>
    </row>
    <row r="712" spans="24:26" x14ac:dyDescent="0.25">
      <c r="X712" t="s">
        <v>613</v>
      </c>
      <c r="Y712" t="s">
        <v>1402</v>
      </c>
      <c r="Z712" t="s">
        <v>1222</v>
      </c>
    </row>
    <row r="713" spans="24:26" x14ac:dyDescent="0.25">
      <c r="X713" t="s">
        <v>613</v>
      </c>
      <c r="Y713" t="s">
        <v>1403</v>
      </c>
      <c r="Z713" t="s">
        <v>1222</v>
      </c>
    </row>
    <row r="714" spans="24:26" x14ac:dyDescent="0.25">
      <c r="X714" t="s">
        <v>613</v>
      </c>
      <c r="Y714" t="s">
        <v>1404</v>
      </c>
      <c r="Z714" t="s">
        <v>1222</v>
      </c>
    </row>
    <row r="715" spans="24:26" x14ac:dyDescent="0.25">
      <c r="X715" t="s">
        <v>613</v>
      </c>
      <c r="Y715" t="s">
        <v>1574</v>
      </c>
      <c r="Z715" t="s">
        <v>1222</v>
      </c>
    </row>
    <row r="716" spans="24:26" x14ac:dyDescent="0.25">
      <c r="X716" t="s">
        <v>613</v>
      </c>
      <c r="Y716" t="s">
        <v>1445</v>
      </c>
      <c r="Z716" t="s">
        <v>1222</v>
      </c>
    </row>
    <row r="717" spans="24:26" x14ac:dyDescent="0.25">
      <c r="X717" t="s">
        <v>613</v>
      </c>
      <c r="Y717" t="s">
        <v>1446</v>
      </c>
      <c r="Z717" t="s">
        <v>1222</v>
      </c>
    </row>
    <row r="718" spans="24:26" x14ac:dyDescent="0.25">
      <c r="X718" t="s">
        <v>613</v>
      </c>
      <c r="Y718" t="s">
        <v>1447</v>
      </c>
      <c r="Z718" t="s">
        <v>1222</v>
      </c>
    </row>
    <row r="719" spans="24:26" x14ac:dyDescent="0.25">
      <c r="X719" t="s">
        <v>613</v>
      </c>
      <c r="Y719" t="s">
        <v>1448</v>
      </c>
      <c r="Z719" t="s">
        <v>1222</v>
      </c>
    </row>
    <row r="720" spans="24:26" x14ac:dyDescent="0.25">
      <c r="X720" t="s">
        <v>613</v>
      </c>
      <c r="Y720" t="s">
        <v>1449</v>
      </c>
      <c r="Z720" t="s">
        <v>1222</v>
      </c>
    </row>
    <row r="721" spans="24:26" x14ac:dyDescent="0.25">
      <c r="X721" t="s">
        <v>613</v>
      </c>
      <c r="Y721" t="s">
        <v>1450</v>
      </c>
      <c r="Z721" t="s">
        <v>1222</v>
      </c>
    </row>
    <row r="722" spans="24:26" x14ac:dyDescent="0.25">
      <c r="X722" t="s">
        <v>613</v>
      </c>
      <c r="Y722" t="s">
        <v>1451</v>
      </c>
      <c r="Z722" t="s">
        <v>1222</v>
      </c>
    </row>
    <row r="723" spans="24:26" x14ac:dyDescent="0.25">
      <c r="X723" t="s">
        <v>613</v>
      </c>
      <c r="Y723" t="s">
        <v>1452</v>
      </c>
      <c r="Z723" t="s">
        <v>1222</v>
      </c>
    </row>
    <row r="724" spans="24:26" x14ac:dyDescent="0.25">
      <c r="X724" t="s">
        <v>613</v>
      </c>
      <c r="Y724" t="s">
        <v>1453</v>
      </c>
      <c r="Z724" t="s">
        <v>1222</v>
      </c>
    </row>
    <row r="725" spans="24:26" x14ac:dyDescent="0.25">
      <c r="X725" t="s">
        <v>613</v>
      </c>
      <c r="Y725" t="s">
        <v>1454</v>
      </c>
      <c r="Z725" t="s">
        <v>1222</v>
      </c>
    </row>
    <row r="726" spans="24:26" x14ac:dyDescent="0.25">
      <c r="X726" t="s">
        <v>613</v>
      </c>
      <c r="Y726" t="s">
        <v>1455</v>
      </c>
      <c r="Z726" t="s">
        <v>1222</v>
      </c>
    </row>
    <row r="727" spans="24:26" x14ac:dyDescent="0.25">
      <c r="X727" t="s">
        <v>613</v>
      </c>
      <c r="Y727" t="s">
        <v>1456</v>
      </c>
      <c r="Z727" t="s">
        <v>1222</v>
      </c>
    </row>
    <row r="728" spans="24:26" x14ac:dyDescent="0.25">
      <c r="X728" t="s">
        <v>613</v>
      </c>
      <c r="Y728" t="s">
        <v>1575</v>
      </c>
      <c r="Z728" t="s">
        <v>1222</v>
      </c>
    </row>
    <row r="729" spans="24:26" x14ac:dyDescent="0.25">
      <c r="X729" t="s">
        <v>613</v>
      </c>
      <c r="Y729" t="s">
        <v>1457</v>
      </c>
      <c r="Z729" t="s">
        <v>1222</v>
      </c>
    </row>
    <row r="730" spans="24:26" x14ac:dyDescent="0.25">
      <c r="X730" t="s">
        <v>613</v>
      </c>
      <c r="Y730" t="s">
        <v>1458</v>
      </c>
      <c r="Z730" t="s">
        <v>1222</v>
      </c>
    </row>
    <row r="731" spans="24:26" x14ac:dyDescent="0.25">
      <c r="X731" t="s">
        <v>613</v>
      </c>
      <c r="Y731" t="s">
        <v>1459</v>
      </c>
      <c r="Z731" t="s">
        <v>1222</v>
      </c>
    </row>
    <row r="732" spans="24:26" x14ac:dyDescent="0.25">
      <c r="X732" t="s">
        <v>613</v>
      </c>
      <c r="Y732" t="s">
        <v>1229</v>
      </c>
      <c r="Z732" t="s">
        <v>1755</v>
      </c>
    </row>
    <row r="733" spans="24:26" x14ac:dyDescent="0.25">
      <c r="X733" t="s">
        <v>613</v>
      </c>
      <c r="Y733" t="s">
        <v>1577</v>
      </c>
      <c r="Z733" t="s">
        <v>1222</v>
      </c>
    </row>
    <row r="734" spans="24:26" x14ac:dyDescent="0.25">
      <c r="X734" t="s">
        <v>613</v>
      </c>
      <c r="Y734" t="s">
        <v>1460</v>
      </c>
      <c r="Z734" t="s">
        <v>1222</v>
      </c>
    </row>
    <row r="735" spans="24:26" x14ac:dyDescent="0.25">
      <c r="X735" t="s">
        <v>613</v>
      </c>
      <c r="Y735" t="s">
        <v>1623</v>
      </c>
      <c r="Z735" t="s">
        <v>1691</v>
      </c>
    </row>
    <row r="736" spans="24:26" x14ac:dyDescent="0.25">
      <c r="X736" t="s">
        <v>613</v>
      </c>
      <c r="Y736" t="s">
        <v>1624</v>
      </c>
      <c r="Z736" t="s">
        <v>1691</v>
      </c>
    </row>
    <row r="737" spans="24:27" x14ac:dyDescent="0.25">
      <c r="X737" t="s">
        <v>613</v>
      </c>
      <c r="Y737" t="s">
        <v>1221</v>
      </c>
      <c r="Z737" t="s">
        <v>1748</v>
      </c>
    </row>
    <row r="738" spans="24:27" x14ac:dyDescent="0.25">
      <c r="X738" t="s">
        <v>613</v>
      </c>
      <c r="Y738" t="s">
        <v>1267</v>
      </c>
      <c r="Z738" t="s">
        <v>1723</v>
      </c>
    </row>
    <row r="739" spans="24:27" x14ac:dyDescent="0.25">
      <c r="X739" t="s">
        <v>613</v>
      </c>
      <c r="Y739" t="s">
        <v>1268</v>
      </c>
      <c r="Z739" t="s">
        <v>1757</v>
      </c>
      <c r="AA739" t="s">
        <v>1275</v>
      </c>
    </row>
    <row r="742" spans="24:27" x14ac:dyDescent="0.25">
      <c r="X742" t="s">
        <v>414</v>
      </c>
    </row>
    <row r="743" spans="24:27" x14ac:dyDescent="0.25">
      <c r="X743" t="s">
        <v>613</v>
      </c>
      <c r="Y743" t="s">
        <v>1269</v>
      </c>
      <c r="Z743" t="s">
        <v>1736</v>
      </c>
    </row>
    <row r="744" spans="24:27" x14ac:dyDescent="0.25">
      <c r="X744" t="s">
        <v>613</v>
      </c>
      <c r="Y744" t="s">
        <v>1270</v>
      </c>
      <c r="Z744" t="s">
        <v>613</v>
      </c>
    </row>
    <row r="745" spans="24:27" x14ac:dyDescent="0.25">
      <c r="X745" t="s">
        <v>613</v>
      </c>
      <c r="Y745" t="s">
        <v>1242</v>
      </c>
      <c r="Z745" t="s">
        <v>613</v>
      </c>
    </row>
    <row r="746" spans="24:27" x14ac:dyDescent="0.25">
      <c r="X746" t="s">
        <v>613</v>
      </c>
      <c r="Y746" t="s">
        <v>1271</v>
      </c>
      <c r="Z746" t="s">
        <v>1707</v>
      </c>
    </row>
    <row r="747" spans="24:27" x14ac:dyDescent="0.25">
      <c r="X747" t="s">
        <v>613</v>
      </c>
      <c r="Y747" t="s">
        <v>1272</v>
      </c>
      <c r="Z747" t="s">
        <v>613</v>
      </c>
    </row>
    <row r="748" spans="24:27" x14ac:dyDescent="0.25">
      <c r="X748" t="s">
        <v>613</v>
      </c>
      <c r="Y748" t="s">
        <v>1273</v>
      </c>
      <c r="Z748" t="s">
        <v>613</v>
      </c>
    </row>
    <row r="749" spans="24:27" x14ac:dyDescent="0.25">
      <c r="X749" t="s">
        <v>613</v>
      </c>
      <c r="Y749" t="s">
        <v>1274</v>
      </c>
      <c r="Z749" t="s">
        <v>613</v>
      </c>
    </row>
    <row r="751" spans="24:27" x14ac:dyDescent="0.25">
      <c r="X751" t="s">
        <v>613</v>
      </c>
      <c r="Y751" t="s">
        <v>1276</v>
      </c>
      <c r="Z751" t="s">
        <v>1707</v>
      </c>
    </row>
    <row r="752" spans="24:27" x14ac:dyDescent="0.25">
      <c r="X752" t="s">
        <v>613</v>
      </c>
      <c r="Y752" t="s">
        <v>1277</v>
      </c>
      <c r="Z752" t="s">
        <v>1723</v>
      </c>
    </row>
    <row r="753" spans="24:26" x14ac:dyDescent="0.25">
      <c r="X753" t="s">
        <v>613</v>
      </c>
      <c r="Y753" t="s">
        <v>1278</v>
      </c>
      <c r="Z753" t="s">
        <v>1723</v>
      </c>
    </row>
    <row r="754" spans="24:26" x14ac:dyDescent="0.25">
      <c r="X754" t="s">
        <v>613</v>
      </c>
      <c r="Y754" t="s">
        <v>1279</v>
      </c>
      <c r="Z754" t="s">
        <v>1723</v>
      </c>
    </row>
    <row r="755" spans="24:26" x14ac:dyDescent="0.25">
      <c r="X755" t="s">
        <v>613</v>
      </c>
      <c r="Y755" t="s">
        <v>1280</v>
      </c>
      <c r="Z755" t="s">
        <v>1723</v>
      </c>
    </row>
    <row r="756" spans="24:26" x14ac:dyDescent="0.25">
      <c r="X756" t="s">
        <v>613</v>
      </c>
      <c r="Y756" t="s">
        <v>1281</v>
      </c>
      <c r="Z756" t="s">
        <v>1723</v>
      </c>
    </row>
    <row r="757" spans="24:26" x14ac:dyDescent="0.25">
      <c r="X757" t="s">
        <v>613</v>
      </c>
      <c r="Y757" t="s">
        <v>1282</v>
      </c>
      <c r="Z757" t="s">
        <v>1723</v>
      </c>
    </row>
    <row r="758" spans="24:26" x14ac:dyDescent="0.25">
      <c r="X758" t="s">
        <v>613</v>
      </c>
      <c r="Y758" t="s">
        <v>1283</v>
      </c>
      <c r="Z758" t="s">
        <v>1723</v>
      </c>
    </row>
    <row r="759" spans="24:26" x14ac:dyDescent="0.25">
      <c r="X759" t="s">
        <v>613</v>
      </c>
      <c r="Y759" t="s">
        <v>1284</v>
      </c>
      <c r="Z759" t="s">
        <v>1753</v>
      </c>
    </row>
    <row r="760" spans="24:26" x14ac:dyDescent="0.25">
      <c r="X760" t="s">
        <v>613</v>
      </c>
      <c r="Y760" t="s">
        <v>1285</v>
      </c>
      <c r="Z760" t="s">
        <v>1753</v>
      </c>
    </row>
    <row r="761" spans="24:26" x14ac:dyDescent="0.25">
      <c r="X761" t="s">
        <v>613</v>
      </c>
      <c r="Y761" t="s">
        <v>1286</v>
      </c>
      <c r="Z761" t="s">
        <v>1753</v>
      </c>
    </row>
    <row r="762" spans="24:26" x14ac:dyDescent="0.25">
      <c r="X762" t="s">
        <v>613</v>
      </c>
      <c r="Y762" t="s">
        <v>1287</v>
      </c>
      <c r="Z762" t="s">
        <v>1753</v>
      </c>
    </row>
    <row r="763" spans="24:26" x14ac:dyDescent="0.25">
      <c r="X763" t="s">
        <v>613</v>
      </c>
      <c r="Y763" t="s">
        <v>1288</v>
      </c>
      <c r="Z763" t="s">
        <v>1731</v>
      </c>
    </row>
    <row r="764" spans="24:26" x14ac:dyDescent="0.25">
      <c r="X764" t="s">
        <v>613</v>
      </c>
      <c r="Y764" t="s">
        <v>1289</v>
      </c>
      <c r="Z764" t="s">
        <v>1753</v>
      </c>
    </row>
    <row r="765" spans="24:26" x14ac:dyDescent="0.25">
      <c r="X765" t="s">
        <v>613</v>
      </c>
      <c r="Y765" t="s">
        <v>1290</v>
      </c>
      <c r="Z765" t="s">
        <v>1723</v>
      </c>
    </row>
    <row r="766" spans="24:26" x14ac:dyDescent="0.25">
      <c r="X766" t="s">
        <v>613</v>
      </c>
      <c r="Y766" t="s">
        <v>1291</v>
      </c>
      <c r="Z766" t="s">
        <v>1707</v>
      </c>
    </row>
    <row r="767" spans="24:26" x14ac:dyDescent="0.25">
      <c r="X767" t="s">
        <v>613</v>
      </c>
      <c r="Y767" t="s">
        <v>1292</v>
      </c>
      <c r="Z767" t="s">
        <v>1754</v>
      </c>
    </row>
    <row r="768" spans="24:26" x14ac:dyDescent="0.25">
      <c r="X768" t="s">
        <v>613</v>
      </c>
      <c r="Y768" t="s">
        <v>1293</v>
      </c>
      <c r="Z768" t="s">
        <v>1754</v>
      </c>
    </row>
    <row r="769" spans="24:26" x14ac:dyDescent="0.25">
      <c r="X769" t="s">
        <v>613</v>
      </c>
      <c r="Y769" t="s">
        <v>1294</v>
      </c>
      <c r="Z769" t="s">
        <v>1754</v>
      </c>
    </row>
    <row r="770" spans="24:26" x14ac:dyDescent="0.25">
      <c r="X770" t="s">
        <v>613</v>
      </c>
      <c r="Y770" t="s">
        <v>1295</v>
      </c>
      <c r="Z770" t="s">
        <v>1754</v>
      </c>
    </row>
    <row r="771" spans="24:26" x14ac:dyDescent="0.25">
      <c r="X771" t="s">
        <v>613</v>
      </c>
      <c r="Y771" t="s">
        <v>1296</v>
      </c>
      <c r="Z771" t="s">
        <v>1754</v>
      </c>
    </row>
    <row r="772" spans="24:26" x14ac:dyDescent="0.25">
      <c r="X772" t="s">
        <v>613</v>
      </c>
      <c r="Y772" t="s">
        <v>1297</v>
      </c>
      <c r="Z772" t="s">
        <v>1754</v>
      </c>
    </row>
    <row r="773" spans="24:26" x14ac:dyDescent="0.25">
      <c r="X773" t="s">
        <v>613</v>
      </c>
      <c r="Y773" t="s">
        <v>1298</v>
      </c>
      <c r="Z773" t="s">
        <v>1754</v>
      </c>
    </row>
    <row r="774" spans="24:26" x14ac:dyDescent="0.25">
      <c r="X774" t="s">
        <v>613</v>
      </c>
      <c r="Y774" t="s">
        <v>1299</v>
      </c>
      <c r="Z774" t="s">
        <v>1723</v>
      </c>
    </row>
    <row r="775" spans="24:26" x14ac:dyDescent="0.25">
      <c r="X775" t="s">
        <v>613</v>
      </c>
      <c r="Y775" t="s">
        <v>1300</v>
      </c>
      <c r="Z775" t="s">
        <v>1723</v>
      </c>
    </row>
    <row r="776" spans="24:26" x14ac:dyDescent="0.25">
      <c r="X776" t="s">
        <v>613</v>
      </c>
      <c r="Y776" t="s">
        <v>1301</v>
      </c>
      <c r="Z776" t="s">
        <v>1723</v>
      </c>
    </row>
    <row r="777" spans="24:26" x14ac:dyDescent="0.25">
      <c r="X777" t="s">
        <v>613</v>
      </c>
      <c r="Y777" t="s">
        <v>1302</v>
      </c>
      <c r="Z777" t="s">
        <v>1723</v>
      </c>
    </row>
    <row r="778" spans="24:26" x14ac:dyDescent="0.25">
      <c r="X778" t="s">
        <v>613</v>
      </c>
      <c r="Y778" t="s">
        <v>1303</v>
      </c>
      <c r="Z778" t="s">
        <v>1723</v>
      </c>
    </row>
    <row r="779" spans="24:26" x14ac:dyDescent="0.25">
      <c r="X779" t="s">
        <v>613</v>
      </c>
      <c r="Y779" t="s">
        <v>1304</v>
      </c>
      <c r="Z779" t="s">
        <v>1723</v>
      </c>
    </row>
    <row r="780" spans="24:26" x14ac:dyDescent="0.25">
      <c r="X780" t="s">
        <v>613</v>
      </c>
      <c r="Y780" t="s">
        <v>1305</v>
      </c>
      <c r="Z780" t="s">
        <v>1723</v>
      </c>
    </row>
    <row r="781" spans="24:26" x14ac:dyDescent="0.25">
      <c r="X781" t="s">
        <v>613</v>
      </c>
      <c r="Y781" t="s">
        <v>1306</v>
      </c>
      <c r="Z781" t="s">
        <v>1723</v>
      </c>
    </row>
    <row r="782" spans="24:26" x14ac:dyDescent="0.25">
      <c r="X782" t="s">
        <v>613</v>
      </c>
      <c r="Y782" t="s">
        <v>1307</v>
      </c>
      <c r="Z782" t="s">
        <v>1723</v>
      </c>
    </row>
    <row r="783" spans="24:26" x14ac:dyDescent="0.25">
      <c r="X783" t="s">
        <v>613</v>
      </c>
      <c r="Y783" t="s">
        <v>1308</v>
      </c>
      <c r="Z783" t="s">
        <v>1756</v>
      </c>
    </row>
    <row r="784" spans="24:26" x14ac:dyDescent="0.25">
      <c r="X784" t="s">
        <v>613</v>
      </c>
      <c r="Y784" t="s">
        <v>1309</v>
      </c>
      <c r="Z784" t="s">
        <v>1723</v>
      </c>
    </row>
    <row r="785" spans="24:26" x14ac:dyDescent="0.25">
      <c r="X785" t="s">
        <v>613</v>
      </c>
      <c r="Y785" t="s">
        <v>1310</v>
      </c>
      <c r="Z785" t="s">
        <v>1723</v>
      </c>
    </row>
    <row r="786" spans="24:26" x14ac:dyDescent="0.25">
      <c r="X786" t="s">
        <v>613</v>
      </c>
      <c r="Y786" t="s">
        <v>1311</v>
      </c>
      <c r="Z786" t="s">
        <v>1723</v>
      </c>
    </row>
    <row r="787" spans="24:26" x14ac:dyDescent="0.25">
      <c r="X787" t="s">
        <v>613</v>
      </c>
      <c r="Y787" t="s">
        <v>1312</v>
      </c>
      <c r="Z787" t="s">
        <v>1757</v>
      </c>
    </row>
    <row r="788" spans="24:26" x14ac:dyDescent="0.25">
      <c r="X788" t="s">
        <v>613</v>
      </c>
      <c r="Y788" t="s">
        <v>1313</v>
      </c>
      <c r="Z788" t="s">
        <v>1757</v>
      </c>
    </row>
    <row r="789" spans="24:26" x14ac:dyDescent="0.25">
      <c r="X789" t="s">
        <v>613</v>
      </c>
      <c r="Y789" t="s">
        <v>1314</v>
      </c>
      <c r="Z789" t="s">
        <v>1757</v>
      </c>
    </row>
    <row r="790" spans="24:26" x14ac:dyDescent="0.25">
      <c r="X790" t="s">
        <v>613</v>
      </c>
      <c r="Y790" t="s">
        <v>1315</v>
      </c>
      <c r="Z790" t="s">
        <v>1723</v>
      </c>
    </row>
    <row r="791" spans="24:26" x14ac:dyDescent="0.25">
      <c r="X791" t="s">
        <v>613</v>
      </c>
      <c r="Y791" t="s">
        <v>1316</v>
      </c>
      <c r="Z791" t="s">
        <v>1691</v>
      </c>
    </row>
    <row r="792" spans="24:26" x14ac:dyDescent="0.25">
      <c r="X792" t="s">
        <v>613</v>
      </c>
      <c r="Y792" t="s">
        <v>1317</v>
      </c>
      <c r="Z792" t="s">
        <v>1691</v>
      </c>
    </row>
    <row r="793" spans="24:26" x14ac:dyDescent="0.25">
      <c r="X793" t="s">
        <v>613</v>
      </c>
      <c r="Y793" t="s">
        <v>1318</v>
      </c>
      <c r="Z793" t="s">
        <v>1691</v>
      </c>
    </row>
    <row r="794" spans="24:26" x14ac:dyDescent="0.25">
      <c r="X794" t="s">
        <v>613</v>
      </c>
      <c r="Y794" t="s">
        <v>1319</v>
      </c>
      <c r="Z794" t="s">
        <v>1691</v>
      </c>
    </row>
    <row r="795" spans="24:26" x14ac:dyDescent="0.25">
      <c r="X795" t="s">
        <v>613</v>
      </c>
      <c r="Y795" t="s">
        <v>1320</v>
      </c>
      <c r="Z795" t="s">
        <v>1691</v>
      </c>
    </row>
    <row r="796" spans="24:26" x14ac:dyDescent="0.25">
      <c r="X796" t="s">
        <v>613</v>
      </c>
      <c r="Y796" t="s">
        <v>1321</v>
      </c>
      <c r="Z796" t="s">
        <v>1757</v>
      </c>
    </row>
    <row r="797" spans="24:26" x14ac:dyDescent="0.25">
      <c r="X797" t="s">
        <v>613</v>
      </c>
      <c r="Y797" t="s">
        <v>1322</v>
      </c>
      <c r="Z797" t="s">
        <v>1757</v>
      </c>
    </row>
    <row r="798" spans="24:26" x14ac:dyDescent="0.25">
      <c r="X798" t="s">
        <v>613</v>
      </c>
      <c r="Y798" t="s">
        <v>1323</v>
      </c>
      <c r="Z798" t="s">
        <v>1699</v>
      </c>
    </row>
    <row r="799" spans="24:26" x14ac:dyDescent="0.25">
      <c r="X799" t="s">
        <v>613</v>
      </c>
      <c r="Y799" t="s">
        <v>1324</v>
      </c>
      <c r="Z799" t="s">
        <v>1723</v>
      </c>
    </row>
    <row r="800" spans="24:26" x14ac:dyDescent="0.25">
      <c r="X800" t="s">
        <v>613</v>
      </c>
      <c r="Y800" t="s">
        <v>1325</v>
      </c>
      <c r="Z800" t="s">
        <v>1691</v>
      </c>
    </row>
    <row r="801" spans="24:26" x14ac:dyDescent="0.25">
      <c r="X801" t="s">
        <v>613</v>
      </c>
      <c r="Y801" t="s">
        <v>1326</v>
      </c>
      <c r="Z801" t="s">
        <v>1723</v>
      </c>
    </row>
    <row r="802" spans="24:26" x14ac:dyDescent="0.25">
      <c r="X802" t="s">
        <v>613</v>
      </c>
      <c r="Y802" t="s">
        <v>1327</v>
      </c>
      <c r="Z802" t="s">
        <v>1691</v>
      </c>
    </row>
    <row r="803" spans="24:26" x14ac:dyDescent="0.25">
      <c r="X803" t="s">
        <v>613</v>
      </c>
      <c r="Y803" t="s">
        <v>1328</v>
      </c>
      <c r="Z803" t="s">
        <v>1691</v>
      </c>
    </row>
    <row r="804" spans="24:26" x14ac:dyDescent="0.25">
      <c r="X804" t="s">
        <v>613</v>
      </c>
      <c r="Y804" t="s">
        <v>1329</v>
      </c>
      <c r="Z804" t="s">
        <v>1691</v>
      </c>
    </row>
    <row r="805" spans="24:26" x14ac:dyDescent="0.25">
      <c r="X805" t="s">
        <v>613</v>
      </c>
      <c r="Y805" t="s">
        <v>1330</v>
      </c>
      <c r="Z805" t="s">
        <v>1691</v>
      </c>
    </row>
    <row r="806" spans="24:26" x14ac:dyDescent="0.25">
      <c r="X806" t="s">
        <v>613</v>
      </c>
      <c r="Y806" t="s">
        <v>1331</v>
      </c>
      <c r="Z806" t="s">
        <v>1691</v>
      </c>
    </row>
    <row r="807" spans="24:26" x14ac:dyDescent="0.25">
      <c r="X807" t="s">
        <v>613</v>
      </c>
      <c r="Y807" t="s">
        <v>1332</v>
      </c>
      <c r="Z807" t="s">
        <v>1708</v>
      </c>
    </row>
    <row r="808" spans="24:26" x14ac:dyDescent="0.25">
      <c r="X808" t="s">
        <v>613</v>
      </c>
      <c r="Y808" t="s">
        <v>1333</v>
      </c>
      <c r="Z808" t="s">
        <v>613</v>
      </c>
    </row>
    <row r="809" spans="24:26" x14ac:dyDescent="0.25">
      <c r="X809" t="s">
        <v>613</v>
      </c>
      <c r="Y809" t="s">
        <v>1334</v>
      </c>
      <c r="Z809" t="s">
        <v>1691</v>
      </c>
    </row>
    <row r="810" spans="24:26" x14ac:dyDescent="0.25">
      <c r="X810" t="s">
        <v>613</v>
      </c>
      <c r="Y810" t="s">
        <v>1335</v>
      </c>
      <c r="Z810" t="s">
        <v>1691</v>
      </c>
    </row>
    <row r="811" spans="24:26" x14ac:dyDescent="0.25">
      <c r="X811" t="s">
        <v>613</v>
      </c>
      <c r="Y811" t="s">
        <v>1336</v>
      </c>
      <c r="Z811" t="s">
        <v>1691</v>
      </c>
    </row>
    <row r="812" spans="24:26" x14ac:dyDescent="0.25">
      <c r="X812" t="s">
        <v>613</v>
      </c>
      <c r="Y812" t="s">
        <v>1337</v>
      </c>
      <c r="Z812" t="s">
        <v>1708</v>
      </c>
    </row>
    <row r="813" spans="24:26" x14ac:dyDescent="0.25">
      <c r="X813" t="s">
        <v>613</v>
      </c>
      <c r="Y813" t="s">
        <v>1338</v>
      </c>
      <c r="Z813" t="s">
        <v>1691</v>
      </c>
    </row>
    <row r="814" spans="24:26" x14ac:dyDescent="0.25">
      <c r="X814" t="s">
        <v>613</v>
      </c>
      <c r="Y814" t="s">
        <v>1339</v>
      </c>
      <c r="Z814" t="s">
        <v>1691</v>
      </c>
    </row>
    <row r="815" spans="24:26" x14ac:dyDescent="0.25">
      <c r="X815" t="s">
        <v>613</v>
      </c>
      <c r="Y815" t="s">
        <v>1340</v>
      </c>
      <c r="Z815" t="s">
        <v>1691</v>
      </c>
    </row>
    <row r="816" spans="24:26" x14ac:dyDescent="0.25">
      <c r="X816" t="s">
        <v>613</v>
      </c>
      <c r="Y816" t="s">
        <v>1341</v>
      </c>
      <c r="Z816" t="s">
        <v>1691</v>
      </c>
    </row>
    <row r="817" spans="24:26" x14ac:dyDescent="0.25">
      <c r="X817" t="s">
        <v>613</v>
      </c>
      <c r="Y817" t="s">
        <v>1342</v>
      </c>
      <c r="Z817" t="s">
        <v>1710</v>
      </c>
    </row>
    <row r="818" spans="24:26" x14ac:dyDescent="0.25">
      <c r="X818" t="s">
        <v>613</v>
      </c>
      <c r="Y818" t="s">
        <v>1343</v>
      </c>
      <c r="Z818" t="s">
        <v>1691</v>
      </c>
    </row>
    <row r="819" spans="24:26" x14ac:dyDescent="0.25">
      <c r="X819" t="s">
        <v>613</v>
      </c>
      <c r="Y819" t="s">
        <v>1344</v>
      </c>
      <c r="Z819" t="s">
        <v>1711</v>
      </c>
    </row>
    <row r="820" spans="24:26" x14ac:dyDescent="0.25">
      <c r="X820" t="s">
        <v>613</v>
      </c>
      <c r="Y820" t="s">
        <v>1345</v>
      </c>
      <c r="Z820" t="s">
        <v>1691</v>
      </c>
    </row>
    <row r="821" spans="24:26" x14ac:dyDescent="0.25">
      <c r="X821" t="s">
        <v>613</v>
      </c>
      <c r="Y821" t="s">
        <v>1346</v>
      </c>
      <c r="Z821" t="s">
        <v>1723</v>
      </c>
    </row>
    <row r="822" spans="24:26" x14ac:dyDescent="0.25">
      <c r="X822" t="s">
        <v>613</v>
      </c>
      <c r="Y822" t="s">
        <v>1347</v>
      </c>
      <c r="Z822" t="s">
        <v>1723</v>
      </c>
    </row>
    <row r="823" spans="24:26" x14ac:dyDescent="0.25">
      <c r="X823" t="s">
        <v>613</v>
      </c>
      <c r="Y823" t="s">
        <v>1348</v>
      </c>
      <c r="Z823" t="s">
        <v>1723</v>
      </c>
    </row>
    <row r="824" spans="24:26" x14ac:dyDescent="0.25">
      <c r="X824" t="s">
        <v>613</v>
      </c>
      <c r="Y824" t="s">
        <v>1349</v>
      </c>
      <c r="Z824" t="s">
        <v>1691</v>
      </c>
    </row>
    <row r="825" spans="24:26" x14ac:dyDescent="0.25">
      <c r="X825" t="s">
        <v>613</v>
      </c>
      <c r="Y825" t="s">
        <v>1350</v>
      </c>
      <c r="Z825" t="s">
        <v>1756</v>
      </c>
    </row>
    <row r="826" spans="24:26" x14ac:dyDescent="0.25">
      <c r="X826" t="s">
        <v>613</v>
      </c>
      <c r="Y826" t="s">
        <v>1351</v>
      </c>
      <c r="Z826" t="s">
        <v>1723</v>
      </c>
    </row>
    <row r="827" spans="24:26" x14ac:dyDescent="0.25">
      <c r="X827" t="s">
        <v>613</v>
      </c>
      <c r="Y827" t="s">
        <v>1352</v>
      </c>
      <c r="Z827" t="s">
        <v>1723</v>
      </c>
    </row>
    <row r="828" spans="24:26" x14ac:dyDescent="0.25">
      <c r="X828" t="s">
        <v>613</v>
      </c>
      <c r="Y828" t="s">
        <v>1353</v>
      </c>
      <c r="Z828" t="s">
        <v>1695</v>
      </c>
    </row>
    <row r="829" spans="24:26" x14ac:dyDescent="0.25">
      <c r="X829" t="s">
        <v>613</v>
      </c>
      <c r="Y829" t="s">
        <v>1354</v>
      </c>
      <c r="Z829" t="s">
        <v>1695</v>
      </c>
    </row>
    <row r="830" spans="24:26" x14ac:dyDescent="0.25">
      <c r="X830" t="s">
        <v>613</v>
      </c>
      <c r="Y830" t="s">
        <v>1355</v>
      </c>
      <c r="Z830" t="s">
        <v>1695</v>
      </c>
    </row>
    <row r="831" spans="24:26" x14ac:dyDescent="0.25">
      <c r="X831" t="s">
        <v>613</v>
      </c>
      <c r="Y831" t="s">
        <v>1356</v>
      </c>
      <c r="Z831" t="s">
        <v>1695</v>
      </c>
    </row>
    <row r="832" spans="24:26" x14ac:dyDescent="0.25">
      <c r="X832" t="s">
        <v>613</v>
      </c>
      <c r="Y832" t="s">
        <v>1357</v>
      </c>
      <c r="Z832" t="s">
        <v>1695</v>
      </c>
    </row>
    <row r="833" spans="24:26" x14ac:dyDescent="0.25">
      <c r="X833" t="s">
        <v>613</v>
      </c>
      <c r="Y833" t="s">
        <v>1358</v>
      </c>
      <c r="Z833" t="s">
        <v>1695</v>
      </c>
    </row>
    <row r="834" spans="24:26" x14ac:dyDescent="0.25">
      <c r="X834" t="s">
        <v>613</v>
      </c>
      <c r="Y834" t="s">
        <v>1359</v>
      </c>
      <c r="Z834" t="s">
        <v>1695</v>
      </c>
    </row>
    <row r="835" spans="24:26" x14ac:dyDescent="0.25">
      <c r="X835" t="s">
        <v>613</v>
      </c>
      <c r="Y835" t="s">
        <v>1360</v>
      </c>
      <c r="Z835" t="s">
        <v>1695</v>
      </c>
    </row>
    <row r="836" spans="24:26" x14ac:dyDescent="0.25">
      <c r="X836" t="s">
        <v>613</v>
      </c>
      <c r="Y836" t="s">
        <v>1361</v>
      </c>
      <c r="Z836" t="s">
        <v>1695</v>
      </c>
    </row>
    <row r="837" spans="24:26" x14ac:dyDescent="0.25">
      <c r="X837" t="s">
        <v>613</v>
      </c>
      <c r="Y837" t="s">
        <v>1362</v>
      </c>
      <c r="Z837" t="s">
        <v>1695</v>
      </c>
    </row>
    <row r="838" spans="24:26" x14ac:dyDescent="0.25">
      <c r="X838" t="s">
        <v>613</v>
      </c>
      <c r="Y838" t="s">
        <v>1363</v>
      </c>
      <c r="Z838" t="s">
        <v>1691</v>
      </c>
    </row>
    <row r="839" spans="24:26" x14ac:dyDescent="0.25">
      <c r="X839" t="s">
        <v>613</v>
      </c>
      <c r="Y839" t="s">
        <v>1364</v>
      </c>
      <c r="Z839" t="s">
        <v>1691</v>
      </c>
    </row>
    <row r="840" spans="24:26" x14ac:dyDescent="0.25">
      <c r="X840" t="s">
        <v>613</v>
      </c>
      <c r="Y840" t="s">
        <v>1365</v>
      </c>
      <c r="Z840" t="s">
        <v>1691</v>
      </c>
    </row>
    <row r="841" spans="24:26" x14ac:dyDescent="0.25">
      <c r="X841" t="s">
        <v>613</v>
      </c>
      <c r="Y841" t="s">
        <v>1366</v>
      </c>
      <c r="Z841" t="s">
        <v>1691</v>
      </c>
    </row>
    <row r="842" spans="24:26" x14ac:dyDescent="0.25">
      <c r="X842" t="s">
        <v>613</v>
      </c>
      <c r="Y842" t="s">
        <v>1367</v>
      </c>
      <c r="Z842" t="s">
        <v>1691</v>
      </c>
    </row>
    <row r="843" spans="24:26" x14ac:dyDescent="0.25">
      <c r="X843" t="s">
        <v>613</v>
      </c>
      <c r="Y843" t="s">
        <v>1564</v>
      </c>
      <c r="Z843" t="s">
        <v>1222</v>
      </c>
    </row>
    <row r="844" spans="24:26" x14ac:dyDescent="0.25">
      <c r="X844" t="s">
        <v>613</v>
      </c>
      <c r="Y844" t="s">
        <v>1565</v>
      </c>
      <c r="Z844" t="s">
        <v>1222</v>
      </c>
    </row>
    <row r="845" spans="24:26" x14ac:dyDescent="0.25">
      <c r="X845" t="s">
        <v>613</v>
      </c>
      <c r="Y845" t="s">
        <v>1368</v>
      </c>
      <c r="Z845" t="s">
        <v>1222</v>
      </c>
    </row>
    <row r="846" spans="24:26" x14ac:dyDescent="0.25">
      <c r="X846" t="s">
        <v>613</v>
      </c>
      <c r="Y846" t="s">
        <v>1369</v>
      </c>
      <c r="Z846" t="s">
        <v>1222</v>
      </c>
    </row>
    <row r="847" spans="24:26" x14ac:dyDescent="0.25">
      <c r="X847" t="s">
        <v>613</v>
      </c>
      <c r="Y847" t="s">
        <v>1370</v>
      </c>
      <c r="Z847" t="s">
        <v>1222</v>
      </c>
    </row>
    <row r="848" spans="24:26" x14ac:dyDescent="0.25">
      <c r="X848" t="s">
        <v>613</v>
      </c>
      <c r="Y848" t="s">
        <v>1371</v>
      </c>
      <c r="Z848" t="s">
        <v>1222</v>
      </c>
    </row>
    <row r="849" spans="24:26" x14ac:dyDescent="0.25">
      <c r="X849" t="s">
        <v>613</v>
      </c>
      <c r="Y849" t="s">
        <v>1372</v>
      </c>
      <c r="Z849" t="s">
        <v>1222</v>
      </c>
    </row>
    <row r="850" spans="24:26" x14ac:dyDescent="0.25">
      <c r="X850" t="s">
        <v>613</v>
      </c>
      <c r="Y850" t="s">
        <v>1373</v>
      </c>
      <c r="Z850" t="s">
        <v>1222</v>
      </c>
    </row>
    <row r="851" spans="24:26" x14ac:dyDescent="0.25">
      <c r="X851" t="s">
        <v>613</v>
      </c>
      <c r="Y851" t="s">
        <v>1374</v>
      </c>
      <c r="Z851" t="s">
        <v>1222</v>
      </c>
    </row>
    <row r="852" spans="24:26" x14ac:dyDescent="0.25">
      <c r="X852" t="s">
        <v>613</v>
      </c>
      <c r="Y852" t="s">
        <v>1375</v>
      </c>
      <c r="Z852" t="s">
        <v>1222</v>
      </c>
    </row>
    <row r="853" spans="24:26" x14ac:dyDescent="0.25">
      <c r="X853" t="s">
        <v>613</v>
      </c>
      <c r="Y853" t="s">
        <v>1376</v>
      </c>
      <c r="Z853" t="s">
        <v>1222</v>
      </c>
    </row>
    <row r="854" spans="24:26" x14ac:dyDescent="0.25">
      <c r="X854" t="s">
        <v>613</v>
      </c>
      <c r="Y854" t="s">
        <v>1245</v>
      </c>
      <c r="Z854" t="s">
        <v>613</v>
      </c>
    </row>
    <row r="855" spans="24:26" x14ac:dyDescent="0.25">
      <c r="X855" t="s">
        <v>613</v>
      </c>
      <c r="Y855" t="s">
        <v>1566</v>
      </c>
      <c r="Z855" t="s">
        <v>1222</v>
      </c>
    </row>
    <row r="856" spans="24:26" x14ac:dyDescent="0.25">
      <c r="X856" t="s">
        <v>613</v>
      </c>
      <c r="Y856" t="s">
        <v>1567</v>
      </c>
      <c r="Z856" t="s">
        <v>1222</v>
      </c>
    </row>
    <row r="857" spans="24:26" x14ac:dyDescent="0.25">
      <c r="X857" t="s">
        <v>613</v>
      </c>
      <c r="Y857" t="s">
        <v>1378</v>
      </c>
      <c r="Z857" t="s">
        <v>1222</v>
      </c>
    </row>
    <row r="858" spans="24:26" x14ac:dyDescent="0.25">
      <c r="X858" t="s">
        <v>613</v>
      </c>
      <c r="Y858" t="s">
        <v>1379</v>
      </c>
      <c r="Z858" t="s">
        <v>1222</v>
      </c>
    </row>
    <row r="859" spans="24:26" x14ac:dyDescent="0.25">
      <c r="X859" t="s">
        <v>613</v>
      </c>
      <c r="Y859" t="s">
        <v>1380</v>
      </c>
      <c r="Z859" t="s">
        <v>1222</v>
      </c>
    </row>
    <row r="860" spans="24:26" x14ac:dyDescent="0.25">
      <c r="X860" t="s">
        <v>613</v>
      </c>
      <c r="Y860" t="s">
        <v>1381</v>
      </c>
      <c r="Z860" t="s">
        <v>1755</v>
      </c>
    </row>
    <row r="861" spans="24:26" x14ac:dyDescent="0.25">
      <c r="X861" t="s">
        <v>613</v>
      </c>
      <c r="Y861" t="s">
        <v>1382</v>
      </c>
      <c r="Z861" t="s">
        <v>1222</v>
      </c>
    </row>
    <row r="862" spans="24:26" x14ac:dyDescent="0.25">
      <c r="X862" t="s">
        <v>613</v>
      </c>
      <c r="Y862" t="s">
        <v>1383</v>
      </c>
      <c r="Z862" t="s">
        <v>1222</v>
      </c>
    </row>
    <row r="863" spans="24:26" x14ac:dyDescent="0.25">
      <c r="X863" t="s">
        <v>613</v>
      </c>
      <c r="Y863" t="s">
        <v>1384</v>
      </c>
      <c r="Z863" t="s">
        <v>1222</v>
      </c>
    </row>
    <row r="864" spans="24:26" x14ac:dyDescent="0.25">
      <c r="X864" t="s">
        <v>613</v>
      </c>
      <c r="Y864" t="s">
        <v>1385</v>
      </c>
      <c r="Z864" t="s">
        <v>1222</v>
      </c>
    </row>
    <row r="865" spans="24:26" x14ac:dyDescent="0.25">
      <c r="X865" t="s">
        <v>613</v>
      </c>
      <c r="Y865" t="s">
        <v>1386</v>
      </c>
      <c r="Z865" t="s">
        <v>613</v>
      </c>
    </row>
    <row r="866" spans="24:26" x14ac:dyDescent="0.25">
      <c r="X866" t="s">
        <v>613</v>
      </c>
      <c r="Y866" t="s">
        <v>1387</v>
      </c>
      <c r="Z866" t="s">
        <v>613</v>
      </c>
    </row>
    <row r="867" spans="24:26" x14ac:dyDescent="0.25">
      <c r="X867" t="s">
        <v>613</v>
      </c>
      <c r="Y867" t="s">
        <v>1388</v>
      </c>
      <c r="Z867" t="s">
        <v>1222</v>
      </c>
    </row>
    <row r="868" spans="24:26" x14ac:dyDescent="0.25">
      <c r="X868" t="s">
        <v>613</v>
      </c>
      <c r="Y868" t="s">
        <v>1232</v>
      </c>
      <c r="Z868" t="s">
        <v>1222</v>
      </c>
    </row>
    <row r="869" spans="24:26" x14ac:dyDescent="0.25">
      <c r="X869" t="s">
        <v>613</v>
      </c>
      <c r="Y869" t="s">
        <v>1224</v>
      </c>
      <c r="Z869" t="s">
        <v>1222</v>
      </c>
    </row>
    <row r="870" spans="24:26" x14ac:dyDescent="0.25">
      <c r="X870" t="s">
        <v>613</v>
      </c>
      <c r="Y870" t="s">
        <v>1389</v>
      </c>
      <c r="Z870" t="s">
        <v>1222</v>
      </c>
    </row>
    <row r="871" spans="24:26" x14ac:dyDescent="0.25">
      <c r="X871" t="s">
        <v>613</v>
      </c>
      <c r="Y871" t="s">
        <v>1390</v>
      </c>
      <c r="Z871" t="s">
        <v>1222</v>
      </c>
    </row>
    <row r="872" spans="24:26" x14ac:dyDescent="0.25">
      <c r="X872" t="s">
        <v>613</v>
      </c>
      <c r="Y872" t="s">
        <v>1391</v>
      </c>
      <c r="Z872" t="s">
        <v>1222</v>
      </c>
    </row>
    <row r="873" spans="24:26" x14ac:dyDescent="0.25">
      <c r="X873" t="s">
        <v>613</v>
      </c>
      <c r="Y873" t="s">
        <v>1392</v>
      </c>
      <c r="Z873" t="s">
        <v>1222</v>
      </c>
    </row>
    <row r="874" spans="24:26" x14ac:dyDescent="0.25">
      <c r="X874" t="s">
        <v>613</v>
      </c>
      <c r="Y874" t="s">
        <v>1393</v>
      </c>
      <c r="Z874" t="s">
        <v>1222</v>
      </c>
    </row>
    <row r="875" spans="24:26" x14ac:dyDescent="0.25">
      <c r="X875" t="s">
        <v>613</v>
      </c>
      <c r="Y875" t="s">
        <v>1394</v>
      </c>
      <c r="Z875" t="s">
        <v>613</v>
      </c>
    </row>
    <row r="876" spans="24:26" x14ac:dyDescent="0.25">
      <c r="X876" t="s">
        <v>613</v>
      </c>
      <c r="Y876" t="s">
        <v>1395</v>
      </c>
      <c r="Z876" t="s">
        <v>613</v>
      </c>
    </row>
    <row r="877" spans="24:26" x14ac:dyDescent="0.25">
      <c r="X877" t="s">
        <v>613</v>
      </c>
      <c r="Y877" t="s">
        <v>1396</v>
      </c>
      <c r="Z877" t="s">
        <v>613</v>
      </c>
    </row>
    <row r="878" spans="24:26" x14ac:dyDescent="0.25">
      <c r="X878" t="s">
        <v>613</v>
      </c>
      <c r="Y878" t="s">
        <v>1397</v>
      </c>
      <c r="Z878" t="s">
        <v>613</v>
      </c>
    </row>
    <row r="879" spans="24:26" x14ac:dyDescent="0.25">
      <c r="X879" t="s">
        <v>613</v>
      </c>
      <c r="Y879" t="s">
        <v>1398</v>
      </c>
      <c r="Z879" t="s">
        <v>1222</v>
      </c>
    </row>
    <row r="880" spans="24:26" x14ac:dyDescent="0.25">
      <c r="X880" t="s">
        <v>613</v>
      </c>
      <c r="Y880" t="s">
        <v>1399</v>
      </c>
      <c r="Z880" t="s">
        <v>1222</v>
      </c>
    </row>
    <row r="881" spans="24:26" x14ac:dyDescent="0.25">
      <c r="X881" t="s">
        <v>613</v>
      </c>
      <c r="Y881" t="s">
        <v>1400</v>
      </c>
      <c r="Z881" t="s">
        <v>1222</v>
      </c>
    </row>
    <row r="882" spans="24:26" x14ac:dyDescent="0.25">
      <c r="X882" t="s">
        <v>613</v>
      </c>
      <c r="Y882" t="s">
        <v>1401</v>
      </c>
      <c r="Z882" t="s">
        <v>1222</v>
      </c>
    </row>
    <row r="883" spans="24:26" x14ac:dyDescent="0.25">
      <c r="X883" t="s">
        <v>613</v>
      </c>
      <c r="Y883" t="s">
        <v>1402</v>
      </c>
      <c r="Z883" t="s">
        <v>1222</v>
      </c>
    </row>
    <row r="884" spans="24:26" x14ac:dyDescent="0.25">
      <c r="X884" t="s">
        <v>613</v>
      </c>
      <c r="Y884" t="s">
        <v>1403</v>
      </c>
      <c r="Z884" t="s">
        <v>1222</v>
      </c>
    </row>
    <row r="885" spans="24:26" x14ac:dyDescent="0.25">
      <c r="X885" t="s">
        <v>613</v>
      </c>
      <c r="Y885" t="s">
        <v>1404</v>
      </c>
      <c r="Z885" t="s">
        <v>1222</v>
      </c>
    </row>
    <row r="886" spans="24:26" x14ac:dyDescent="0.25">
      <c r="X886" t="s">
        <v>613</v>
      </c>
      <c r="Y886" t="s">
        <v>1442</v>
      </c>
      <c r="Z886" t="s">
        <v>1222</v>
      </c>
    </row>
    <row r="887" spans="24:26" x14ac:dyDescent="0.25">
      <c r="X887" t="s">
        <v>613</v>
      </c>
      <c r="Y887" t="s">
        <v>1443</v>
      </c>
      <c r="Z887" t="s">
        <v>613</v>
      </c>
    </row>
    <row r="888" spans="24:26" x14ac:dyDescent="0.25">
      <c r="X888" t="s">
        <v>613</v>
      </c>
      <c r="Y888" t="s">
        <v>1444</v>
      </c>
      <c r="Z888" t="s">
        <v>613</v>
      </c>
    </row>
    <row r="889" spans="24:26" x14ac:dyDescent="0.25">
      <c r="X889" t="s">
        <v>613</v>
      </c>
      <c r="Y889" t="s">
        <v>1584</v>
      </c>
      <c r="Z889" t="s">
        <v>1750</v>
      </c>
    </row>
    <row r="890" spans="24:26" x14ac:dyDescent="0.25">
      <c r="X890" t="s">
        <v>613</v>
      </c>
      <c r="Y890" t="s">
        <v>1585</v>
      </c>
      <c r="Z890" t="s">
        <v>1750</v>
      </c>
    </row>
    <row r="891" spans="24:26" x14ac:dyDescent="0.25">
      <c r="X891" t="s">
        <v>613</v>
      </c>
      <c r="Y891" t="s">
        <v>1586</v>
      </c>
      <c r="Z891" t="s">
        <v>1750</v>
      </c>
    </row>
    <row r="892" spans="24:26" x14ac:dyDescent="0.25">
      <c r="X892" t="s">
        <v>613</v>
      </c>
      <c r="Y892" t="s">
        <v>1587</v>
      </c>
      <c r="Z892" t="s">
        <v>1750</v>
      </c>
    </row>
    <row r="893" spans="24:26" x14ac:dyDescent="0.25">
      <c r="X893" t="s">
        <v>613</v>
      </c>
      <c r="Y893" t="s">
        <v>1588</v>
      </c>
      <c r="Z893" t="s">
        <v>1750</v>
      </c>
    </row>
    <row r="894" spans="24:26" x14ac:dyDescent="0.25">
      <c r="X894" t="s">
        <v>613</v>
      </c>
      <c r="Y894" t="s">
        <v>1589</v>
      </c>
      <c r="Z894" t="s">
        <v>1750</v>
      </c>
    </row>
    <row r="895" spans="24:26" x14ac:dyDescent="0.25">
      <c r="X895" t="s">
        <v>613</v>
      </c>
      <c r="Y895" t="s">
        <v>1590</v>
      </c>
      <c r="Z895" t="s">
        <v>1750</v>
      </c>
    </row>
    <row r="896" spans="24:26" x14ac:dyDescent="0.25">
      <c r="X896" t="s">
        <v>613</v>
      </c>
      <c r="Y896" t="s">
        <v>1591</v>
      </c>
      <c r="Z896" t="s">
        <v>1750</v>
      </c>
    </row>
    <row r="897" spans="24:26" x14ac:dyDescent="0.25">
      <c r="X897" t="s">
        <v>613</v>
      </c>
      <c r="Y897" t="s">
        <v>1592</v>
      </c>
      <c r="Z897" t="s">
        <v>1750</v>
      </c>
    </row>
    <row r="898" spans="24:26" x14ac:dyDescent="0.25">
      <c r="X898" t="s">
        <v>613</v>
      </c>
      <c r="Y898" t="s">
        <v>1593</v>
      </c>
      <c r="Z898" t="s">
        <v>1750</v>
      </c>
    </row>
    <row r="899" spans="24:26" x14ac:dyDescent="0.25">
      <c r="X899" t="s">
        <v>613</v>
      </c>
      <c r="Y899" t="s">
        <v>1594</v>
      </c>
      <c r="Z899" t="s">
        <v>1750</v>
      </c>
    </row>
    <row r="900" spans="24:26" x14ac:dyDescent="0.25">
      <c r="X900" t="s">
        <v>613</v>
      </c>
      <c r="Y900" t="s">
        <v>1595</v>
      </c>
      <c r="Z900" t="s">
        <v>1750</v>
      </c>
    </row>
    <row r="901" spans="24:26" x14ac:dyDescent="0.25">
      <c r="X901" t="s">
        <v>613</v>
      </c>
      <c r="Y901" t="s">
        <v>1596</v>
      </c>
      <c r="Z901" t="s">
        <v>1750</v>
      </c>
    </row>
    <row r="902" spans="24:26" x14ac:dyDescent="0.25">
      <c r="X902" t="s">
        <v>613</v>
      </c>
      <c r="Y902" t="s">
        <v>1597</v>
      </c>
      <c r="Z902" t="s">
        <v>1750</v>
      </c>
    </row>
    <row r="903" spans="24:26" x14ac:dyDescent="0.25">
      <c r="X903" t="s">
        <v>613</v>
      </c>
      <c r="Y903" t="s">
        <v>1598</v>
      </c>
      <c r="Z903" t="s">
        <v>1750</v>
      </c>
    </row>
    <row r="904" spans="24:26" x14ac:dyDescent="0.25">
      <c r="X904" t="s">
        <v>613</v>
      </c>
      <c r="Y904" t="s">
        <v>1599</v>
      </c>
      <c r="Z904" t="s">
        <v>1750</v>
      </c>
    </row>
    <row r="905" spans="24:26" x14ac:dyDescent="0.25">
      <c r="X905" t="s">
        <v>613</v>
      </c>
      <c r="Y905" t="s">
        <v>1600</v>
      </c>
      <c r="Z905" t="s">
        <v>1750</v>
      </c>
    </row>
    <row r="906" spans="24:26" x14ac:dyDescent="0.25">
      <c r="X906" t="s">
        <v>613</v>
      </c>
      <c r="Y906" t="s">
        <v>1445</v>
      </c>
      <c r="Z906" t="s">
        <v>1222</v>
      </c>
    </row>
    <row r="907" spans="24:26" x14ac:dyDescent="0.25">
      <c r="X907" t="s">
        <v>613</v>
      </c>
      <c r="Y907" t="s">
        <v>1446</v>
      </c>
      <c r="Z907" t="s">
        <v>1222</v>
      </c>
    </row>
    <row r="908" spans="24:26" x14ac:dyDescent="0.25">
      <c r="X908" t="s">
        <v>613</v>
      </c>
      <c r="Y908" t="s">
        <v>1447</v>
      </c>
      <c r="Z908" t="s">
        <v>1222</v>
      </c>
    </row>
    <row r="909" spans="24:26" x14ac:dyDescent="0.25">
      <c r="X909" t="s">
        <v>613</v>
      </c>
      <c r="Y909" t="s">
        <v>1448</v>
      </c>
      <c r="Z909" t="s">
        <v>1222</v>
      </c>
    </row>
    <row r="910" spans="24:26" x14ac:dyDescent="0.25">
      <c r="X910" t="s">
        <v>613</v>
      </c>
      <c r="Y910" t="s">
        <v>1449</v>
      </c>
      <c r="Z910" t="s">
        <v>1222</v>
      </c>
    </row>
    <row r="911" spans="24:26" x14ac:dyDescent="0.25">
      <c r="X911" t="s">
        <v>613</v>
      </c>
      <c r="Y911" t="s">
        <v>1450</v>
      </c>
      <c r="Z911" t="s">
        <v>1222</v>
      </c>
    </row>
    <row r="912" spans="24:26" x14ac:dyDescent="0.25">
      <c r="X912" t="s">
        <v>613</v>
      </c>
      <c r="Y912" t="s">
        <v>1451</v>
      </c>
      <c r="Z912" t="s">
        <v>1222</v>
      </c>
    </row>
    <row r="913" spans="24:26" x14ac:dyDescent="0.25">
      <c r="X913" t="s">
        <v>613</v>
      </c>
      <c r="Y913" t="s">
        <v>1452</v>
      </c>
      <c r="Z913" t="s">
        <v>1222</v>
      </c>
    </row>
    <row r="914" spans="24:26" x14ac:dyDescent="0.25">
      <c r="X914" t="s">
        <v>613</v>
      </c>
      <c r="Y914" t="s">
        <v>1453</v>
      </c>
      <c r="Z914" t="s">
        <v>1222</v>
      </c>
    </row>
    <row r="915" spans="24:26" x14ac:dyDescent="0.25">
      <c r="X915" t="s">
        <v>613</v>
      </c>
      <c r="Y915" t="s">
        <v>1454</v>
      </c>
      <c r="Z915" t="s">
        <v>1222</v>
      </c>
    </row>
    <row r="916" spans="24:26" x14ac:dyDescent="0.25">
      <c r="X916" t="s">
        <v>613</v>
      </c>
      <c r="Y916" t="s">
        <v>1455</v>
      </c>
      <c r="Z916" t="s">
        <v>1222</v>
      </c>
    </row>
    <row r="917" spans="24:26" x14ac:dyDescent="0.25">
      <c r="X917" t="s">
        <v>613</v>
      </c>
      <c r="Y917" t="s">
        <v>1456</v>
      </c>
      <c r="Z917" t="s">
        <v>1222</v>
      </c>
    </row>
    <row r="918" spans="24:26" x14ac:dyDescent="0.25">
      <c r="X918" t="s">
        <v>613</v>
      </c>
      <c r="Y918" t="s">
        <v>1575</v>
      </c>
      <c r="Z918" t="s">
        <v>1222</v>
      </c>
    </row>
    <row r="919" spans="24:26" x14ac:dyDescent="0.25">
      <c r="X919" t="s">
        <v>613</v>
      </c>
      <c r="Y919" t="s">
        <v>1457</v>
      </c>
      <c r="Z919" t="s">
        <v>1222</v>
      </c>
    </row>
    <row r="920" spans="24:26" x14ac:dyDescent="0.25">
      <c r="X920" t="s">
        <v>613</v>
      </c>
      <c r="Y920" t="s">
        <v>1458</v>
      </c>
      <c r="Z920" t="s">
        <v>1222</v>
      </c>
    </row>
    <row r="921" spans="24:26" x14ac:dyDescent="0.25">
      <c r="X921" t="s">
        <v>613</v>
      </c>
      <c r="Y921" t="s">
        <v>1459</v>
      </c>
      <c r="Z921" t="s">
        <v>1222</v>
      </c>
    </row>
    <row r="922" spans="24:26" x14ac:dyDescent="0.25">
      <c r="X922" t="s">
        <v>613</v>
      </c>
      <c r="Y922" t="s">
        <v>1229</v>
      </c>
      <c r="Z922" t="s">
        <v>1755</v>
      </c>
    </row>
    <row r="923" spans="24:26" x14ac:dyDescent="0.25">
      <c r="X923" t="s">
        <v>613</v>
      </c>
      <c r="Y923" t="s">
        <v>1577</v>
      </c>
      <c r="Z923" t="s">
        <v>1222</v>
      </c>
    </row>
    <row r="924" spans="24:26" x14ac:dyDescent="0.25">
      <c r="X924" t="s">
        <v>613</v>
      </c>
      <c r="Y924" t="s">
        <v>1460</v>
      </c>
      <c r="Z924" t="s">
        <v>1222</v>
      </c>
    </row>
    <row r="925" spans="24:26" x14ac:dyDescent="0.25">
      <c r="X925" t="s">
        <v>613</v>
      </c>
      <c r="Y925" t="s">
        <v>1625</v>
      </c>
      <c r="Z925" t="s">
        <v>1723</v>
      </c>
    </row>
    <row r="926" spans="24:26" x14ac:dyDescent="0.25">
      <c r="X926" t="s">
        <v>613</v>
      </c>
      <c r="Y926" t="s">
        <v>1248</v>
      </c>
      <c r="Z926" t="s">
        <v>1723</v>
      </c>
    </row>
    <row r="927" spans="24:26" x14ac:dyDescent="0.25">
      <c r="X927" t="s">
        <v>613</v>
      </c>
      <c r="Y927" t="s">
        <v>1626</v>
      </c>
      <c r="Z927" t="s">
        <v>1723</v>
      </c>
    </row>
    <row r="928" spans="24:26" x14ac:dyDescent="0.25">
      <c r="X928" t="s">
        <v>613</v>
      </c>
      <c r="Y928" t="s">
        <v>1464</v>
      </c>
      <c r="Z928" t="s">
        <v>1723</v>
      </c>
    </row>
    <row r="929" spans="24:26" x14ac:dyDescent="0.25">
      <c r="X929" t="s">
        <v>613</v>
      </c>
      <c r="Y929" t="s">
        <v>1465</v>
      </c>
      <c r="Z929" t="s">
        <v>1723</v>
      </c>
    </row>
    <row r="930" spans="24:26" x14ac:dyDescent="0.25">
      <c r="X930" t="s">
        <v>613</v>
      </c>
      <c r="Y930" t="s">
        <v>1466</v>
      </c>
      <c r="Z930" t="s">
        <v>1723</v>
      </c>
    </row>
    <row r="931" spans="24:26" x14ac:dyDescent="0.25">
      <c r="X931" t="s">
        <v>613</v>
      </c>
      <c r="Y931" t="s">
        <v>1627</v>
      </c>
      <c r="Z931" t="s">
        <v>1723</v>
      </c>
    </row>
    <row r="932" spans="24:26" x14ac:dyDescent="0.25">
      <c r="X932" t="s">
        <v>613</v>
      </c>
      <c r="Y932" t="s">
        <v>1468</v>
      </c>
      <c r="Z932" t="s">
        <v>1732</v>
      </c>
    </row>
    <row r="933" spans="24:26" x14ac:dyDescent="0.25">
      <c r="X933" t="s">
        <v>613</v>
      </c>
      <c r="Y933" t="s">
        <v>1469</v>
      </c>
      <c r="Z933" t="s">
        <v>1732</v>
      </c>
    </row>
    <row r="934" spans="24:26" x14ac:dyDescent="0.25">
      <c r="X934" t="s">
        <v>613</v>
      </c>
      <c r="Y934" t="s">
        <v>1470</v>
      </c>
      <c r="Z934" t="s">
        <v>1732</v>
      </c>
    </row>
    <row r="935" spans="24:26" x14ac:dyDescent="0.25">
      <c r="X935" t="s">
        <v>613</v>
      </c>
      <c r="Y935" t="s">
        <v>1471</v>
      </c>
      <c r="Z935" t="s">
        <v>1732</v>
      </c>
    </row>
    <row r="936" spans="24:26" x14ac:dyDescent="0.25">
      <c r="X936" t="s">
        <v>613</v>
      </c>
      <c r="Y936" t="s">
        <v>1538</v>
      </c>
      <c r="Z936" t="s">
        <v>1724</v>
      </c>
    </row>
    <row r="937" spans="24:26" x14ac:dyDescent="0.25">
      <c r="X937" t="s">
        <v>613</v>
      </c>
      <c r="Y937" t="s">
        <v>1628</v>
      </c>
      <c r="Z937" t="s">
        <v>1723</v>
      </c>
    </row>
    <row r="938" spans="24:26" x14ac:dyDescent="0.25">
      <c r="X938" t="s">
        <v>613</v>
      </c>
      <c r="Y938" t="s">
        <v>1629</v>
      </c>
      <c r="Z938" t="s">
        <v>1723</v>
      </c>
    </row>
    <row r="939" spans="24:26" x14ac:dyDescent="0.25">
      <c r="X939" t="s">
        <v>613</v>
      </c>
      <c r="Y939" t="s">
        <v>1630</v>
      </c>
      <c r="Z939" t="s">
        <v>1745</v>
      </c>
    </row>
    <row r="940" spans="24:26" x14ac:dyDescent="0.25">
      <c r="X940" t="s">
        <v>613</v>
      </c>
      <c r="Y940" t="s">
        <v>1631</v>
      </c>
      <c r="Z940" t="s">
        <v>1723</v>
      </c>
    </row>
    <row r="941" spans="24:26" x14ac:dyDescent="0.25">
      <c r="X941" t="s">
        <v>613</v>
      </c>
      <c r="Y941" t="s">
        <v>1632</v>
      </c>
      <c r="Z941" t="s">
        <v>1723</v>
      </c>
    </row>
    <row r="942" spans="24:26" x14ac:dyDescent="0.25">
      <c r="X942" t="s">
        <v>613</v>
      </c>
      <c r="Y942" t="s">
        <v>1633</v>
      </c>
      <c r="Z942" t="s">
        <v>1723</v>
      </c>
    </row>
    <row r="943" spans="24:26" x14ac:dyDescent="0.25">
      <c r="X943" t="s">
        <v>613</v>
      </c>
      <c r="Y943" t="s">
        <v>1634</v>
      </c>
      <c r="Z943" t="s">
        <v>1757</v>
      </c>
    </row>
    <row r="944" spans="24:26" x14ac:dyDescent="0.25">
      <c r="X944" t="s">
        <v>613</v>
      </c>
      <c r="Y944" t="s">
        <v>1635</v>
      </c>
      <c r="Z944" t="s">
        <v>1757</v>
      </c>
    </row>
    <row r="945" spans="24:26" x14ac:dyDescent="0.25">
      <c r="X945" t="s">
        <v>613</v>
      </c>
      <c r="Y945" t="s">
        <v>1636</v>
      </c>
      <c r="Z945" t="s">
        <v>1757</v>
      </c>
    </row>
    <row r="946" spans="24:26" x14ac:dyDescent="0.25">
      <c r="X946" t="s">
        <v>613</v>
      </c>
      <c r="Y946" t="s">
        <v>1637</v>
      </c>
      <c r="Z946" t="s">
        <v>1723</v>
      </c>
    </row>
    <row r="947" spans="24:26" x14ac:dyDescent="0.25">
      <c r="X947" t="s">
        <v>613</v>
      </c>
      <c r="Y947" t="s">
        <v>1638</v>
      </c>
      <c r="Z947" t="s">
        <v>1723</v>
      </c>
    </row>
    <row r="948" spans="24:26" x14ac:dyDescent="0.25">
      <c r="X948" t="s">
        <v>613</v>
      </c>
      <c r="Y948" t="s">
        <v>1639</v>
      </c>
      <c r="Z948" t="s">
        <v>1723</v>
      </c>
    </row>
    <row r="949" spans="24:26" x14ac:dyDescent="0.25">
      <c r="X949" t="s">
        <v>613</v>
      </c>
      <c r="Y949" t="s">
        <v>1640</v>
      </c>
      <c r="Z949" t="s">
        <v>1759</v>
      </c>
    </row>
    <row r="950" spans="24:26" x14ac:dyDescent="0.25">
      <c r="X950" t="s">
        <v>613</v>
      </c>
      <c r="Y950" t="s">
        <v>1641</v>
      </c>
      <c r="Z950" t="s">
        <v>1759</v>
      </c>
    </row>
    <row r="951" spans="24:26" x14ac:dyDescent="0.25">
      <c r="X951" t="s">
        <v>613</v>
      </c>
      <c r="Y951" t="s">
        <v>1642</v>
      </c>
      <c r="Z951" t="s">
        <v>1759</v>
      </c>
    </row>
    <row r="952" spans="24:26" x14ac:dyDescent="0.25">
      <c r="X952" t="s">
        <v>613</v>
      </c>
      <c r="Y952" t="s">
        <v>1643</v>
      </c>
      <c r="Z952" t="s">
        <v>1723</v>
      </c>
    </row>
    <row r="953" spans="24:26" x14ac:dyDescent="0.25">
      <c r="X953" t="s">
        <v>613</v>
      </c>
      <c r="Y953" t="s">
        <v>1644</v>
      </c>
      <c r="Z953" t="s">
        <v>1759</v>
      </c>
    </row>
    <row r="954" spans="24:26" x14ac:dyDescent="0.25">
      <c r="X954" t="s">
        <v>613</v>
      </c>
      <c r="Y954" t="s">
        <v>1645</v>
      </c>
      <c r="Z954" t="s">
        <v>1723</v>
      </c>
    </row>
    <row r="955" spans="24:26" x14ac:dyDescent="0.25">
      <c r="X955" t="s">
        <v>613</v>
      </c>
      <c r="Y955" t="s">
        <v>1646</v>
      </c>
      <c r="Z955" t="s">
        <v>1723</v>
      </c>
    </row>
    <row r="956" spans="24:26" x14ac:dyDescent="0.25">
      <c r="X956" t="s">
        <v>613</v>
      </c>
      <c r="Y956" t="s">
        <v>1647</v>
      </c>
      <c r="Z956" t="s">
        <v>1723</v>
      </c>
    </row>
    <row r="957" spans="24:26" x14ac:dyDescent="0.25">
      <c r="X957" t="s">
        <v>613</v>
      </c>
      <c r="Y957" t="s">
        <v>1648</v>
      </c>
      <c r="Z957" t="s">
        <v>1723</v>
      </c>
    </row>
    <row r="958" spans="24:26" x14ac:dyDescent="0.25">
      <c r="X958" t="s">
        <v>613</v>
      </c>
      <c r="Y958" t="s">
        <v>1649</v>
      </c>
      <c r="Z958" t="s">
        <v>1723</v>
      </c>
    </row>
    <row r="959" spans="24:26" x14ac:dyDescent="0.25">
      <c r="X959" t="s">
        <v>613</v>
      </c>
      <c r="Y959" t="s">
        <v>1650</v>
      </c>
      <c r="Z959" t="s">
        <v>1723</v>
      </c>
    </row>
    <row r="960" spans="24:26" x14ac:dyDescent="0.25">
      <c r="X960" t="s">
        <v>613</v>
      </c>
      <c r="Y960" t="s">
        <v>1651</v>
      </c>
      <c r="Z960" t="s">
        <v>1723</v>
      </c>
    </row>
    <row r="961" spans="24:26" x14ac:dyDescent="0.25">
      <c r="X961" t="s">
        <v>613</v>
      </c>
      <c r="Y961" t="s">
        <v>1652</v>
      </c>
      <c r="Z961" t="s">
        <v>1723</v>
      </c>
    </row>
    <row r="962" spans="24:26" x14ac:dyDescent="0.25">
      <c r="X962" t="s">
        <v>613</v>
      </c>
      <c r="Y962" t="s">
        <v>1653</v>
      </c>
      <c r="Z962" t="s">
        <v>1723</v>
      </c>
    </row>
    <row r="963" spans="24:26" x14ac:dyDescent="0.25">
      <c r="X963" t="s">
        <v>613</v>
      </c>
      <c r="Y963" t="s">
        <v>1654</v>
      </c>
      <c r="Z963" t="s">
        <v>1723</v>
      </c>
    </row>
    <row r="964" spans="24:26" x14ac:dyDescent="0.25">
      <c r="X964" t="s">
        <v>613</v>
      </c>
      <c r="Y964" t="s">
        <v>1655</v>
      </c>
      <c r="Z964" t="s">
        <v>1723</v>
      </c>
    </row>
    <row r="965" spans="24:26" x14ac:dyDescent="0.25">
      <c r="X965" t="s">
        <v>613</v>
      </c>
      <c r="Y965" t="s">
        <v>1656</v>
      </c>
      <c r="Z965" t="s">
        <v>1760</v>
      </c>
    </row>
    <row r="966" spans="24:26" x14ac:dyDescent="0.25">
      <c r="X966" t="s">
        <v>613</v>
      </c>
      <c r="Y966" t="s">
        <v>1657</v>
      </c>
      <c r="Z966" t="s">
        <v>1723</v>
      </c>
    </row>
    <row r="967" spans="24:26" x14ac:dyDescent="0.25">
      <c r="X967" t="s">
        <v>613</v>
      </c>
      <c r="Y967" t="s">
        <v>1658</v>
      </c>
      <c r="Z967" t="s">
        <v>1756</v>
      </c>
    </row>
    <row r="968" spans="24:26" x14ac:dyDescent="0.25">
      <c r="X968" t="s">
        <v>613</v>
      </c>
      <c r="Y968" t="s">
        <v>1659</v>
      </c>
      <c r="Z968" t="s">
        <v>1756</v>
      </c>
    </row>
    <row r="969" spans="24:26" x14ac:dyDescent="0.25">
      <c r="X969" t="s">
        <v>613</v>
      </c>
      <c r="Y969" t="s">
        <v>1660</v>
      </c>
      <c r="Z969" t="s">
        <v>1756</v>
      </c>
    </row>
    <row r="970" spans="24:26" x14ac:dyDescent="0.25">
      <c r="X970" t="s">
        <v>613</v>
      </c>
      <c r="Y970" t="s">
        <v>1474</v>
      </c>
      <c r="Z970" t="s">
        <v>1756</v>
      </c>
    </row>
    <row r="971" spans="24:26" x14ac:dyDescent="0.25">
      <c r="X971" t="s">
        <v>613</v>
      </c>
      <c r="Y971" t="s">
        <v>1661</v>
      </c>
      <c r="Z971" t="s">
        <v>1761</v>
      </c>
    </row>
    <row r="972" spans="24:26" x14ac:dyDescent="0.25">
      <c r="X972" t="s">
        <v>613</v>
      </c>
      <c r="Y972" t="s">
        <v>1221</v>
      </c>
      <c r="Z972" t="s">
        <v>1749</v>
      </c>
    </row>
    <row r="973" spans="24:26" x14ac:dyDescent="0.25">
      <c r="X973" t="s">
        <v>613</v>
      </c>
      <c r="Y973" t="s">
        <v>1267</v>
      </c>
      <c r="Z973" t="s">
        <v>1723</v>
      </c>
    </row>
    <row r="974" spans="24:26" x14ac:dyDescent="0.25">
      <c r="X974" t="s">
        <v>613</v>
      </c>
      <c r="Y974" t="s">
        <v>1268</v>
      </c>
      <c r="Z974" t="s">
        <v>1723</v>
      </c>
    </row>
    <row r="975" spans="24:26" x14ac:dyDescent="0.25">
      <c r="X975" t="s">
        <v>613</v>
      </c>
      <c r="Y975" t="s">
        <v>1269</v>
      </c>
      <c r="Z975" t="s">
        <v>1736</v>
      </c>
    </row>
    <row r="976" spans="24:26" x14ac:dyDescent="0.25">
      <c r="X976" t="s">
        <v>613</v>
      </c>
      <c r="Y976" t="s">
        <v>1270</v>
      </c>
      <c r="Z976" t="s">
        <v>613</v>
      </c>
    </row>
    <row r="977" spans="24:26" x14ac:dyDescent="0.25">
      <c r="X977" t="s">
        <v>613</v>
      </c>
      <c r="Y977" t="s">
        <v>1242</v>
      </c>
      <c r="Z977" t="s">
        <v>613</v>
      </c>
    </row>
    <row r="978" spans="24:26" x14ac:dyDescent="0.25">
      <c r="X978" t="s">
        <v>613</v>
      </c>
      <c r="Y978" t="s">
        <v>1271</v>
      </c>
      <c r="Z978" t="s">
        <v>1707</v>
      </c>
    </row>
    <row r="979" spans="24:26" x14ac:dyDescent="0.25">
      <c r="X979" t="s">
        <v>613</v>
      </c>
      <c r="Y979" t="s">
        <v>1272</v>
      </c>
      <c r="Z979" t="s">
        <v>613</v>
      </c>
    </row>
    <row r="980" spans="24:26" x14ac:dyDescent="0.25">
      <c r="X980" t="s">
        <v>613</v>
      </c>
      <c r="Y980" t="s">
        <v>1273</v>
      </c>
      <c r="Z980" t="s">
        <v>613</v>
      </c>
    </row>
    <row r="981" spans="24:26" x14ac:dyDescent="0.25">
      <c r="X981" t="s">
        <v>613</v>
      </c>
      <c r="Y981" t="s">
        <v>1274</v>
      </c>
      <c r="Z981" t="s">
        <v>613</v>
      </c>
    </row>
    <row r="982" spans="24:26" x14ac:dyDescent="0.25">
      <c r="X982" t="s">
        <v>118</v>
      </c>
    </row>
    <row r="983" spans="24:26" x14ac:dyDescent="0.25">
      <c r="X983" t="s">
        <v>613</v>
      </c>
      <c r="Y983" t="s">
        <v>1275</v>
      </c>
      <c r="Z983" t="s">
        <v>613</v>
      </c>
    </row>
    <row r="984" spans="24:26" x14ac:dyDescent="0.25">
      <c r="X984" t="s">
        <v>613</v>
      </c>
      <c r="Y984" t="s">
        <v>1276</v>
      </c>
      <c r="Z984" t="s">
        <v>613</v>
      </c>
    </row>
    <row r="985" spans="24:26" x14ac:dyDescent="0.25">
      <c r="X985" t="s">
        <v>613</v>
      </c>
      <c r="Y985" t="s">
        <v>1277</v>
      </c>
      <c r="Z985" t="s">
        <v>1707</v>
      </c>
    </row>
    <row r="986" spans="24:26" x14ac:dyDescent="0.25">
      <c r="X986" t="s">
        <v>613</v>
      </c>
      <c r="Y986" t="s">
        <v>1278</v>
      </c>
      <c r="Z986" t="s">
        <v>1762</v>
      </c>
    </row>
    <row r="987" spans="24:26" x14ac:dyDescent="0.25">
      <c r="X987" t="s">
        <v>613</v>
      </c>
      <c r="Y987" t="s">
        <v>1279</v>
      </c>
      <c r="Z987" t="s">
        <v>1723</v>
      </c>
    </row>
    <row r="988" spans="24:26" x14ac:dyDescent="0.25">
      <c r="X988" t="s">
        <v>613</v>
      </c>
      <c r="Y988" t="s">
        <v>1280</v>
      </c>
      <c r="Z988" t="s">
        <v>1723</v>
      </c>
    </row>
    <row r="989" spans="24:26" x14ac:dyDescent="0.25">
      <c r="X989" t="s">
        <v>613</v>
      </c>
      <c r="Y989" t="s">
        <v>1281</v>
      </c>
      <c r="Z989" t="s">
        <v>1723</v>
      </c>
    </row>
    <row r="990" spans="24:26" x14ac:dyDescent="0.25">
      <c r="X990" t="s">
        <v>613</v>
      </c>
      <c r="Y990" t="s">
        <v>1282</v>
      </c>
      <c r="Z990" t="s">
        <v>1723</v>
      </c>
    </row>
    <row r="991" spans="24:26" x14ac:dyDescent="0.25">
      <c r="X991" t="s">
        <v>613</v>
      </c>
      <c r="Y991" t="s">
        <v>1283</v>
      </c>
      <c r="Z991" t="s">
        <v>1723</v>
      </c>
    </row>
    <row r="992" spans="24:26" x14ac:dyDescent="0.25">
      <c r="X992" t="s">
        <v>613</v>
      </c>
      <c r="Y992" t="s">
        <v>1284</v>
      </c>
      <c r="Z992" t="s">
        <v>1757</v>
      </c>
    </row>
    <row r="993" spans="24:26" x14ac:dyDescent="0.25">
      <c r="X993" t="s">
        <v>613</v>
      </c>
      <c r="Y993" t="s">
        <v>1285</v>
      </c>
      <c r="Z993" t="s">
        <v>1723</v>
      </c>
    </row>
    <row r="994" spans="24:26" x14ac:dyDescent="0.25">
      <c r="X994" t="s">
        <v>613</v>
      </c>
      <c r="Y994" t="s">
        <v>1286</v>
      </c>
      <c r="Z994" t="s">
        <v>1723</v>
      </c>
    </row>
    <row r="995" spans="24:26" x14ac:dyDescent="0.25">
      <c r="X995" t="s">
        <v>613</v>
      </c>
      <c r="Y995" t="s">
        <v>1287</v>
      </c>
      <c r="Z995" t="s">
        <v>1723</v>
      </c>
    </row>
    <row r="996" spans="24:26" x14ac:dyDescent="0.25">
      <c r="X996" t="s">
        <v>613</v>
      </c>
      <c r="Y996" t="s">
        <v>1288</v>
      </c>
      <c r="Z996" t="s">
        <v>1731</v>
      </c>
    </row>
    <row r="997" spans="24:26" x14ac:dyDescent="0.25">
      <c r="X997" t="s">
        <v>613</v>
      </c>
      <c r="Y997" t="s">
        <v>1289</v>
      </c>
      <c r="Z997" t="s">
        <v>1723</v>
      </c>
    </row>
    <row r="998" spans="24:26" x14ac:dyDescent="0.25">
      <c r="X998" t="s">
        <v>613</v>
      </c>
      <c r="Y998" t="s">
        <v>1290</v>
      </c>
      <c r="Z998" t="s">
        <v>1723</v>
      </c>
    </row>
    <row r="999" spans="24:26" x14ac:dyDescent="0.25">
      <c r="X999" t="s">
        <v>613</v>
      </c>
      <c r="Y999" t="s">
        <v>1291</v>
      </c>
      <c r="Z999" t="s">
        <v>613</v>
      </c>
    </row>
    <row r="1000" spans="24:26" x14ac:dyDescent="0.25">
      <c r="X1000" t="s">
        <v>613</v>
      </c>
      <c r="Y1000" t="s">
        <v>1292</v>
      </c>
      <c r="Z1000" t="s">
        <v>1757</v>
      </c>
    </row>
    <row r="1001" spans="24:26" x14ac:dyDescent="0.25">
      <c r="X1001" t="s">
        <v>613</v>
      </c>
      <c r="Y1001" t="s">
        <v>1293</v>
      </c>
      <c r="Z1001" t="s">
        <v>1723</v>
      </c>
    </row>
    <row r="1002" spans="24:26" x14ac:dyDescent="0.25">
      <c r="X1002" t="s">
        <v>613</v>
      </c>
      <c r="Y1002" t="s">
        <v>1294</v>
      </c>
      <c r="Z1002" t="s">
        <v>1723</v>
      </c>
    </row>
    <row r="1003" spans="24:26" x14ac:dyDescent="0.25">
      <c r="X1003" t="s">
        <v>613</v>
      </c>
      <c r="Y1003" t="s">
        <v>1295</v>
      </c>
      <c r="Z1003" t="s">
        <v>1723</v>
      </c>
    </row>
    <row r="1004" spans="24:26" x14ac:dyDescent="0.25">
      <c r="X1004" t="s">
        <v>613</v>
      </c>
      <c r="Y1004" t="s">
        <v>1296</v>
      </c>
      <c r="Z1004" t="s">
        <v>1723</v>
      </c>
    </row>
    <row r="1005" spans="24:26" x14ac:dyDescent="0.25">
      <c r="X1005" t="s">
        <v>613</v>
      </c>
      <c r="Y1005" t="s">
        <v>1297</v>
      </c>
      <c r="Z1005" t="s">
        <v>1723</v>
      </c>
    </row>
    <row r="1006" spans="24:26" x14ac:dyDescent="0.25">
      <c r="X1006" t="s">
        <v>613</v>
      </c>
      <c r="Y1006" t="s">
        <v>1298</v>
      </c>
      <c r="Z1006" t="s">
        <v>1723</v>
      </c>
    </row>
    <row r="1007" spans="24:26" x14ac:dyDescent="0.25">
      <c r="X1007" t="s">
        <v>613</v>
      </c>
      <c r="Y1007" t="s">
        <v>1299</v>
      </c>
      <c r="Z1007" t="s">
        <v>1723</v>
      </c>
    </row>
    <row r="1008" spans="24:26" x14ac:dyDescent="0.25">
      <c r="X1008" t="s">
        <v>613</v>
      </c>
      <c r="Y1008" t="s">
        <v>1300</v>
      </c>
      <c r="Z1008" t="s">
        <v>1723</v>
      </c>
    </row>
    <row r="1009" spans="24:26" x14ac:dyDescent="0.25">
      <c r="X1009" t="s">
        <v>613</v>
      </c>
      <c r="Y1009" t="s">
        <v>1301</v>
      </c>
      <c r="Z1009" t="s">
        <v>1723</v>
      </c>
    </row>
    <row r="1010" spans="24:26" x14ac:dyDescent="0.25">
      <c r="X1010" t="s">
        <v>613</v>
      </c>
      <c r="Y1010" t="s">
        <v>1302</v>
      </c>
      <c r="Z1010" t="s">
        <v>1723</v>
      </c>
    </row>
    <row r="1011" spans="24:26" x14ac:dyDescent="0.25">
      <c r="X1011" t="s">
        <v>613</v>
      </c>
      <c r="Y1011" t="s">
        <v>1303</v>
      </c>
      <c r="Z1011" t="s">
        <v>1723</v>
      </c>
    </row>
    <row r="1012" spans="24:26" x14ac:dyDescent="0.25">
      <c r="X1012" t="s">
        <v>613</v>
      </c>
      <c r="Y1012" t="s">
        <v>1304</v>
      </c>
      <c r="Z1012" t="s">
        <v>1723</v>
      </c>
    </row>
    <row r="1013" spans="24:26" x14ac:dyDescent="0.25">
      <c r="X1013" t="s">
        <v>613</v>
      </c>
      <c r="Y1013" t="s">
        <v>1305</v>
      </c>
      <c r="Z1013" t="s">
        <v>1723</v>
      </c>
    </row>
    <row r="1014" spans="24:26" x14ac:dyDescent="0.25">
      <c r="X1014" t="s">
        <v>613</v>
      </c>
      <c r="Y1014" t="s">
        <v>1306</v>
      </c>
      <c r="Z1014" t="s">
        <v>1723</v>
      </c>
    </row>
    <row r="1015" spans="24:26" x14ac:dyDescent="0.25">
      <c r="X1015" t="s">
        <v>613</v>
      </c>
      <c r="Y1015" t="s">
        <v>1307</v>
      </c>
      <c r="Z1015" t="s">
        <v>1723</v>
      </c>
    </row>
    <row r="1016" spans="24:26" x14ac:dyDescent="0.25">
      <c r="X1016" t="s">
        <v>613</v>
      </c>
      <c r="Y1016" t="s">
        <v>1308</v>
      </c>
      <c r="Z1016" t="s">
        <v>1723</v>
      </c>
    </row>
    <row r="1017" spans="24:26" x14ac:dyDescent="0.25">
      <c r="X1017" t="s">
        <v>613</v>
      </c>
      <c r="Y1017" t="s">
        <v>1309</v>
      </c>
      <c r="Z1017" t="s">
        <v>1723</v>
      </c>
    </row>
    <row r="1018" spans="24:26" x14ac:dyDescent="0.25">
      <c r="X1018" t="s">
        <v>613</v>
      </c>
      <c r="Y1018" t="s">
        <v>1310</v>
      </c>
      <c r="Z1018" t="s">
        <v>1691</v>
      </c>
    </row>
    <row r="1019" spans="24:26" x14ac:dyDescent="0.25">
      <c r="X1019" t="s">
        <v>613</v>
      </c>
      <c r="Y1019" t="s">
        <v>1311</v>
      </c>
      <c r="Z1019" t="s">
        <v>1691</v>
      </c>
    </row>
    <row r="1020" spans="24:26" x14ac:dyDescent="0.25">
      <c r="X1020" t="s">
        <v>613</v>
      </c>
      <c r="Y1020" t="s">
        <v>1312</v>
      </c>
      <c r="Z1020" t="s">
        <v>1691</v>
      </c>
    </row>
    <row r="1021" spans="24:26" x14ac:dyDescent="0.25">
      <c r="X1021" t="s">
        <v>613</v>
      </c>
      <c r="Y1021" t="s">
        <v>1313</v>
      </c>
      <c r="Z1021" t="s">
        <v>1762</v>
      </c>
    </row>
    <row r="1022" spans="24:26" x14ac:dyDescent="0.25">
      <c r="X1022" t="s">
        <v>613</v>
      </c>
      <c r="Y1022" t="s">
        <v>1314</v>
      </c>
      <c r="Z1022" t="s">
        <v>1762</v>
      </c>
    </row>
    <row r="1023" spans="24:26" x14ac:dyDescent="0.25">
      <c r="X1023" t="s">
        <v>613</v>
      </c>
      <c r="Y1023" t="s">
        <v>1315</v>
      </c>
      <c r="Z1023" t="s">
        <v>1762</v>
      </c>
    </row>
    <row r="1024" spans="24:26" x14ac:dyDescent="0.25">
      <c r="X1024" t="s">
        <v>613</v>
      </c>
      <c r="Y1024" t="s">
        <v>1316</v>
      </c>
      <c r="Z1024" t="s">
        <v>1691</v>
      </c>
    </row>
    <row r="1025" spans="24:26" x14ac:dyDescent="0.25">
      <c r="X1025" t="s">
        <v>613</v>
      </c>
      <c r="Y1025" t="s">
        <v>1317</v>
      </c>
      <c r="Z1025" t="s">
        <v>1762</v>
      </c>
    </row>
    <row r="1026" spans="24:26" x14ac:dyDescent="0.25">
      <c r="X1026" t="s">
        <v>613</v>
      </c>
      <c r="Y1026" t="s">
        <v>1318</v>
      </c>
      <c r="Z1026" t="s">
        <v>1691</v>
      </c>
    </row>
    <row r="1027" spans="24:26" x14ac:dyDescent="0.25">
      <c r="X1027" t="s">
        <v>613</v>
      </c>
      <c r="Y1027" t="s">
        <v>1319</v>
      </c>
      <c r="Z1027" t="s">
        <v>1691</v>
      </c>
    </row>
    <row r="1028" spans="24:26" x14ac:dyDescent="0.25">
      <c r="X1028" t="s">
        <v>613</v>
      </c>
      <c r="Y1028" t="s">
        <v>1320</v>
      </c>
      <c r="Z1028" t="s">
        <v>1691</v>
      </c>
    </row>
    <row r="1029" spans="24:26" x14ac:dyDescent="0.25">
      <c r="X1029" t="s">
        <v>613</v>
      </c>
      <c r="Y1029" t="s">
        <v>1321</v>
      </c>
      <c r="Z1029" t="s">
        <v>1723</v>
      </c>
    </row>
    <row r="1030" spans="24:26" x14ac:dyDescent="0.25">
      <c r="X1030" t="s">
        <v>613</v>
      </c>
      <c r="Y1030" t="s">
        <v>1322</v>
      </c>
      <c r="Z1030" t="s">
        <v>1723</v>
      </c>
    </row>
    <row r="1031" spans="24:26" x14ac:dyDescent="0.25">
      <c r="X1031" t="s">
        <v>613</v>
      </c>
      <c r="Y1031" t="s">
        <v>1323</v>
      </c>
      <c r="Z1031" t="s">
        <v>1699</v>
      </c>
    </row>
    <row r="1032" spans="24:26" x14ac:dyDescent="0.25">
      <c r="X1032" t="s">
        <v>613</v>
      </c>
      <c r="Y1032" t="s">
        <v>1324</v>
      </c>
      <c r="Z1032" t="s">
        <v>1723</v>
      </c>
    </row>
    <row r="1033" spans="24:26" x14ac:dyDescent="0.25">
      <c r="X1033" t="s">
        <v>613</v>
      </c>
      <c r="Y1033" t="s">
        <v>1325</v>
      </c>
      <c r="Z1033" t="s">
        <v>1691</v>
      </c>
    </row>
    <row r="1034" spans="24:26" x14ac:dyDescent="0.25">
      <c r="X1034" t="s">
        <v>613</v>
      </c>
      <c r="Y1034" t="s">
        <v>1326</v>
      </c>
      <c r="Z1034" t="s">
        <v>1723</v>
      </c>
    </row>
    <row r="1035" spans="24:26" x14ac:dyDescent="0.25">
      <c r="X1035" t="s">
        <v>613</v>
      </c>
      <c r="Y1035" t="s">
        <v>1327</v>
      </c>
      <c r="Z1035" t="s">
        <v>1691</v>
      </c>
    </row>
    <row r="1036" spans="24:26" x14ac:dyDescent="0.25">
      <c r="X1036" t="s">
        <v>613</v>
      </c>
      <c r="Y1036" t="s">
        <v>1328</v>
      </c>
      <c r="Z1036" t="s">
        <v>1691</v>
      </c>
    </row>
    <row r="1037" spans="24:26" x14ac:dyDescent="0.25">
      <c r="X1037" t="s">
        <v>613</v>
      </c>
      <c r="Y1037" t="s">
        <v>1329</v>
      </c>
      <c r="Z1037" t="s">
        <v>1691</v>
      </c>
    </row>
    <row r="1038" spans="24:26" x14ac:dyDescent="0.25">
      <c r="X1038" t="s">
        <v>613</v>
      </c>
      <c r="Y1038" t="s">
        <v>1330</v>
      </c>
      <c r="Z1038" t="s">
        <v>1691</v>
      </c>
    </row>
    <row r="1039" spans="24:26" x14ac:dyDescent="0.25">
      <c r="X1039" t="s">
        <v>613</v>
      </c>
      <c r="Y1039" t="s">
        <v>1331</v>
      </c>
      <c r="Z1039" t="s">
        <v>1691</v>
      </c>
    </row>
    <row r="1040" spans="24:26" x14ac:dyDescent="0.25">
      <c r="X1040" t="s">
        <v>613</v>
      </c>
      <c r="Y1040" t="s">
        <v>1332</v>
      </c>
      <c r="Z1040" t="s">
        <v>1708</v>
      </c>
    </row>
    <row r="1041" spans="24:26" x14ac:dyDescent="0.25">
      <c r="X1041" t="s">
        <v>613</v>
      </c>
      <c r="Y1041" t="s">
        <v>1333</v>
      </c>
      <c r="Z1041" t="s">
        <v>613</v>
      </c>
    </row>
    <row r="1042" spans="24:26" x14ac:dyDescent="0.25">
      <c r="X1042" t="s">
        <v>613</v>
      </c>
      <c r="Y1042" t="s">
        <v>1334</v>
      </c>
      <c r="Z1042" t="s">
        <v>1691</v>
      </c>
    </row>
    <row r="1043" spans="24:26" x14ac:dyDescent="0.25">
      <c r="X1043" t="s">
        <v>613</v>
      </c>
      <c r="Y1043" t="s">
        <v>1335</v>
      </c>
      <c r="Z1043" t="s">
        <v>1691</v>
      </c>
    </row>
    <row r="1044" spans="24:26" x14ac:dyDescent="0.25">
      <c r="X1044" t="s">
        <v>613</v>
      </c>
      <c r="Y1044" t="s">
        <v>1336</v>
      </c>
      <c r="Z1044" t="s">
        <v>1691</v>
      </c>
    </row>
    <row r="1045" spans="24:26" x14ac:dyDescent="0.25">
      <c r="X1045" t="s">
        <v>613</v>
      </c>
      <c r="Y1045" t="s">
        <v>1337</v>
      </c>
      <c r="Z1045" t="s">
        <v>1708</v>
      </c>
    </row>
    <row r="1046" spans="24:26" x14ac:dyDescent="0.25">
      <c r="X1046" t="s">
        <v>613</v>
      </c>
      <c r="Y1046" t="s">
        <v>1338</v>
      </c>
      <c r="Z1046" t="s">
        <v>1691</v>
      </c>
    </row>
    <row r="1047" spans="24:26" x14ac:dyDescent="0.25">
      <c r="X1047" t="s">
        <v>613</v>
      </c>
      <c r="Y1047" t="s">
        <v>1339</v>
      </c>
      <c r="Z1047" t="s">
        <v>1691</v>
      </c>
    </row>
    <row r="1048" spans="24:26" x14ac:dyDescent="0.25">
      <c r="X1048" t="s">
        <v>613</v>
      </c>
      <c r="Y1048" t="s">
        <v>1340</v>
      </c>
      <c r="Z1048" t="s">
        <v>1713</v>
      </c>
    </row>
    <row r="1049" spans="24:26" x14ac:dyDescent="0.25">
      <c r="X1049" t="s">
        <v>613</v>
      </c>
      <c r="Y1049" t="s">
        <v>1341</v>
      </c>
      <c r="Z1049" t="s">
        <v>1713</v>
      </c>
    </row>
    <row r="1050" spans="24:26" x14ac:dyDescent="0.25">
      <c r="X1050" t="s">
        <v>613</v>
      </c>
      <c r="Y1050" t="s">
        <v>1342</v>
      </c>
      <c r="Z1050" t="s">
        <v>1708</v>
      </c>
    </row>
    <row r="1051" spans="24:26" x14ac:dyDescent="0.25">
      <c r="X1051" t="s">
        <v>613</v>
      </c>
      <c r="Y1051" t="s">
        <v>1343</v>
      </c>
      <c r="Z1051" t="s">
        <v>1708</v>
      </c>
    </row>
    <row r="1052" spans="24:26" x14ac:dyDescent="0.25">
      <c r="X1052" t="s">
        <v>613</v>
      </c>
      <c r="Y1052" t="s">
        <v>1344</v>
      </c>
      <c r="Z1052" t="s">
        <v>1708</v>
      </c>
    </row>
    <row r="1053" spans="24:26" x14ac:dyDescent="0.25">
      <c r="X1053" t="s">
        <v>613</v>
      </c>
      <c r="Y1053" t="s">
        <v>1345</v>
      </c>
      <c r="Z1053" t="s">
        <v>1714</v>
      </c>
    </row>
    <row r="1054" spans="24:26" x14ac:dyDescent="0.25">
      <c r="X1054" t="s">
        <v>613</v>
      </c>
      <c r="Y1054" t="s">
        <v>1346</v>
      </c>
      <c r="Z1054" t="s">
        <v>1723</v>
      </c>
    </row>
    <row r="1055" spans="24:26" x14ac:dyDescent="0.25">
      <c r="X1055" t="s">
        <v>613</v>
      </c>
      <c r="Y1055" t="s">
        <v>1347</v>
      </c>
      <c r="Z1055" t="s">
        <v>1723</v>
      </c>
    </row>
    <row r="1056" spans="24:26" x14ac:dyDescent="0.25">
      <c r="X1056" t="s">
        <v>613</v>
      </c>
      <c r="Y1056" t="s">
        <v>1348</v>
      </c>
      <c r="Z1056" t="s">
        <v>1723</v>
      </c>
    </row>
    <row r="1057" spans="24:26" x14ac:dyDescent="0.25">
      <c r="X1057" t="s">
        <v>613</v>
      </c>
      <c r="Y1057" t="s">
        <v>1349</v>
      </c>
      <c r="Z1057" t="s">
        <v>1691</v>
      </c>
    </row>
    <row r="1058" spans="24:26" x14ac:dyDescent="0.25">
      <c r="X1058" t="s">
        <v>613</v>
      </c>
      <c r="Y1058" t="s">
        <v>1350</v>
      </c>
      <c r="Z1058" t="s">
        <v>1756</v>
      </c>
    </row>
    <row r="1059" spans="24:26" x14ac:dyDescent="0.25">
      <c r="X1059" t="s">
        <v>613</v>
      </c>
      <c r="Y1059" t="s">
        <v>1351</v>
      </c>
      <c r="Z1059" t="s">
        <v>1762</v>
      </c>
    </row>
    <row r="1060" spans="24:26" x14ac:dyDescent="0.25">
      <c r="X1060" t="s">
        <v>613</v>
      </c>
      <c r="Y1060" t="s">
        <v>1352</v>
      </c>
      <c r="Z1060" t="s">
        <v>1691</v>
      </c>
    </row>
    <row r="1061" spans="24:26" x14ac:dyDescent="0.25">
      <c r="X1061" t="s">
        <v>613</v>
      </c>
      <c r="Y1061" t="s">
        <v>1226</v>
      </c>
      <c r="Z1061" t="s">
        <v>1695</v>
      </c>
    </row>
    <row r="1062" spans="24:26" x14ac:dyDescent="0.25">
      <c r="X1062" t="s">
        <v>613</v>
      </c>
      <c r="Y1062" t="s">
        <v>1353</v>
      </c>
      <c r="Z1062" t="s">
        <v>1695</v>
      </c>
    </row>
    <row r="1063" spans="24:26" x14ac:dyDescent="0.25">
      <c r="X1063" t="s">
        <v>613</v>
      </c>
      <c r="Y1063" t="s">
        <v>1354</v>
      </c>
      <c r="Z1063" t="s">
        <v>1695</v>
      </c>
    </row>
    <row r="1064" spans="24:26" x14ac:dyDescent="0.25">
      <c r="X1064" t="s">
        <v>613</v>
      </c>
      <c r="Y1064" t="s">
        <v>1355</v>
      </c>
      <c r="Z1064" t="s">
        <v>1695</v>
      </c>
    </row>
    <row r="1065" spans="24:26" x14ac:dyDescent="0.25">
      <c r="X1065" t="s">
        <v>613</v>
      </c>
      <c r="Y1065" t="s">
        <v>1356</v>
      </c>
      <c r="Z1065" t="s">
        <v>1695</v>
      </c>
    </row>
    <row r="1066" spans="24:26" x14ac:dyDescent="0.25">
      <c r="X1066" t="s">
        <v>613</v>
      </c>
      <c r="Y1066" t="s">
        <v>1357</v>
      </c>
      <c r="Z1066" t="s">
        <v>1695</v>
      </c>
    </row>
    <row r="1067" spans="24:26" x14ac:dyDescent="0.25">
      <c r="X1067" t="s">
        <v>613</v>
      </c>
      <c r="Y1067" t="s">
        <v>1358</v>
      </c>
      <c r="Z1067" t="s">
        <v>1695</v>
      </c>
    </row>
    <row r="1068" spans="24:26" x14ac:dyDescent="0.25">
      <c r="X1068" t="s">
        <v>613</v>
      </c>
      <c r="Y1068" t="s">
        <v>1359</v>
      </c>
      <c r="Z1068" t="s">
        <v>1695</v>
      </c>
    </row>
    <row r="1069" spans="24:26" x14ac:dyDescent="0.25">
      <c r="X1069" t="s">
        <v>613</v>
      </c>
      <c r="Y1069" t="s">
        <v>1360</v>
      </c>
      <c r="Z1069" t="s">
        <v>1695</v>
      </c>
    </row>
    <row r="1070" spans="24:26" x14ac:dyDescent="0.25">
      <c r="X1070" t="s">
        <v>613</v>
      </c>
      <c r="Y1070" t="s">
        <v>1361</v>
      </c>
      <c r="Z1070" t="s">
        <v>1695</v>
      </c>
    </row>
    <row r="1071" spans="24:26" x14ac:dyDescent="0.25">
      <c r="X1071" t="s">
        <v>613</v>
      </c>
      <c r="Y1071" t="s">
        <v>1362</v>
      </c>
      <c r="Z1071" t="s">
        <v>1695</v>
      </c>
    </row>
    <row r="1072" spans="24:26" x14ac:dyDescent="0.25">
      <c r="X1072" t="s">
        <v>613</v>
      </c>
      <c r="Y1072" t="s">
        <v>1363</v>
      </c>
      <c r="Z1072" t="s">
        <v>1222</v>
      </c>
    </row>
    <row r="1073" spans="24:26" x14ac:dyDescent="0.25">
      <c r="X1073" t="s">
        <v>613</v>
      </c>
      <c r="Y1073" t="s">
        <v>1364</v>
      </c>
      <c r="Z1073" t="s">
        <v>1222</v>
      </c>
    </row>
    <row r="1074" spans="24:26" x14ac:dyDescent="0.25">
      <c r="X1074" t="s">
        <v>613</v>
      </c>
      <c r="Y1074" t="s">
        <v>1365</v>
      </c>
      <c r="Z1074" t="s">
        <v>1222</v>
      </c>
    </row>
    <row r="1075" spans="24:26" x14ac:dyDescent="0.25">
      <c r="X1075" t="s">
        <v>613</v>
      </c>
      <c r="Y1075" t="s">
        <v>1366</v>
      </c>
      <c r="Z1075" t="s">
        <v>1222</v>
      </c>
    </row>
    <row r="1076" spans="24:26" x14ac:dyDescent="0.25">
      <c r="X1076" t="s">
        <v>613</v>
      </c>
      <c r="Y1076" t="s">
        <v>1367</v>
      </c>
      <c r="Z1076" t="s">
        <v>1222</v>
      </c>
    </row>
    <row r="1077" spans="24:26" x14ac:dyDescent="0.25">
      <c r="X1077" t="s">
        <v>613</v>
      </c>
      <c r="Y1077" t="s">
        <v>1564</v>
      </c>
      <c r="Z1077" t="s">
        <v>1222</v>
      </c>
    </row>
    <row r="1078" spans="24:26" x14ac:dyDescent="0.25">
      <c r="X1078" t="s">
        <v>613</v>
      </c>
      <c r="Y1078" t="s">
        <v>1565</v>
      </c>
      <c r="Z1078" t="s">
        <v>1222</v>
      </c>
    </row>
    <row r="1079" spans="24:26" x14ac:dyDescent="0.25">
      <c r="X1079" t="s">
        <v>613</v>
      </c>
      <c r="Y1079" t="s">
        <v>1368</v>
      </c>
      <c r="Z1079" t="s">
        <v>1222</v>
      </c>
    </row>
    <row r="1080" spans="24:26" x14ac:dyDescent="0.25">
      <c r="X1080" t="s">
        <v>613</v>
      </c>
      <c r="Y1080" t="s">
        <v>1369</v>
      </c>
      <c r="Z1080" t="s">
        <v>1222</v>
      </c>
    </row>
    <row r="1081" spans="24:26" x14ac:dyDescent="0.25">
      <c r="X1081" t="s">
        <v>613</v>
      </c>
      <c r="Y1081" t="s">
        <v>1370</v>
      </c>
      <c r="Z1081" t="s">
        <v>1222</v>
      </c>
    </row>
    <row r="1082" spans="24:26" x14ac:dyDescent="0.25">
      <c r="X1082" t="s">
        <v>613</v>
      </c>
      <c r="Y1082" t="s">
        <v>1371</v>
      </c>
      <c r="Z1082" t="s">
        <v>1222</v>
      </c>
    </row>
    <row r="1083" spans="24:26" x14ac:dyDescent="0.25">
      <c r="X1083" t="s">
        <v>613</v>
      </c>
      <c r="Y1083" t="s">
        <v>1372</v>
      </c>
      <c r="Z1083" t="s">
        <v>1222</v>
      </c>
    </row>
    <row r="1084" spans="24:26" x14ac:dyDescent="0.25">
      <c r="X1084" t="s">
        <v>613</v>
      </c>
      <c r="Y1084" t="s">
        <v>1373</v>
      </c>
      <c r="Z1084" t="s">
        <v>1222</v>
      </c>
    </row>
    <row r="1085" spans="24:26" x14ac:dyDescent="0.25">
      <c r="X1085" t="s">
        <v>613</v>
      </c>
      <c r="Y1085" t="s">
        <v>1374</v>
      </c>
      <c r="Z1085" t="s">
        <v>1222</v>
      </c>
    </row>
    <row r="1086" spans="24:26" x14ac:dyDescent="0.25">
      <c r="X1086" t="s">
        <v>613</v>
      </c>
      <c r="Y1086" t="s">
        <v>1375</v>
      </c>
      <c r="Z1086" t="s">
        <v>1222</v>
      </c>
    </row>
    <row r="1087" spans="24:26" x14ac:dyDescent="0.25">
      <c r="X1087" t="s">
        <v>613</v>
      </c>
      <c r="Y1087" t="s">
        <v>1376</v>
      </c>
      <c r="Z1087" t="s">
        <v>1222</v>
      </c>
    </row>
    <row r="1088" spans="24:26" x14ac:dyDescent="0.25">
      <c r="X1088" t="s">
        <v>613</v>
      </c>
      <c r="Y1088" t="s">
        <v>1245</v>
      </c>
      <c r="Z1088" t="s">
        <v>1222</v>
      </c>
    </row>
    <row r="1089" spans="24:26" x14ac:dyDescent="0.25">
      <c r="X1089" t="s">
        <v>613</v>
      </c>
      <c r="Y1089" t="s">
        <v>1566</v>
      </c>
      <c r="Z1089" t="s">
        <v>1222</v>
      </c>
    </row>
    <row r="1090" spans="24:26" x14ac:dyDescent="0.25">
      <c r="X1090" t="s">
        <v>613</v>
      </c>
      <c r="Y1090" t="s">
        <v>1567</v>
      </c>
      <c r="Z1090" t="s">
        <v>1222</v>
      </c>
    </row>
    <row r="1091" spans="24:26" x14ac:dyDescent="0.25">
      <c r="X1091" t="s">
        <v>613</v>
      </c>
      <c r="Y1091" t="s">
        <v>1378</v>
      </c>
      <c r="Z1091" t="s">
        <v>1222</v>
      </c>
    </row>
    <row r="1092" spans="24:26" x14ac:dyDescent="0.25">
      <c r="X1092" t="s">
        <v>613</v>
      </c>
      <c r="Y1092" t="s">
        <v>1379</v>
      </c>
      <c r="Z1092" t="s">
        <v>1222</v>
      </c>
    </row>
    <row r="1093" spans="24:26" x14ac:dyDescent="0.25">
      <c r="X1093" t="s">
        <v>613</v>
      </c>
      <c r="Y1093" t="s">
        <v>1380</v>
      </c>
      <c r="Z1093" t="s">
        <v>1222</v>
      </c>
    </row>
    <row r="1094" spans="24:26" x14ac:dyDescent="0.25">
      <c r="X1094" t="s">
        <v>613</v>
      </c>
      <c r="Y1094" t="s">
        <v>1381</v>
      </c>
      <c r="Z1094" t="s">
        <v>1755</v>
      </c>
    </row>
    <row r="1095" spans="24:26" x14ac:dyDescent="0.25">
      <c r="X1095" t="s">
        <v>613</v>
      </c>
      <c r="Y1095" t="s">
        <v>1382</v>
      </c>
      <c r="Z1095" t="s">
        <v>1222</v>
      </c>
    </row>
    <row r="1096" spans="24:26" x14ac:dyDescent="0.25">
      <c r="X1096" t="s">
        <v>613</v>
      </c>
      <c r="Y1096" t="s">
        <v>1383</v>
      </c>
      <c r="Z1096" t="s">
        <v>1222</v>
      </c>
    </row>
    <row r="1097" spans="24:26" x14ac:dyDescent="0.25">
      <c r="X1097" t="s">
        <v>613</v>
      </c>
      <c r="Y1097" t="s">
        <v>1384</v>
      </c>
      <c r="Z1097" t="s">
        <v>1222</v>
      </c>
    </row>
    <row r="1098" spans="24:26" x14ac:dyDescent="0.25">
      <c r="X1098" t="s">
        <v>613</v>
      </c>
      <c r="Y1098" t="s">
        <v>1385</v>
      </c>
      <c r="Z1098" t="s">
        <v>1222</v>
      </c>
    </row>
    <row r="1099" spans="24:26" x14ac:dyDescent="0.25">
      <c r="X1099" t="s">
        <v>613</v>
      </c>
      <c r="Y1099" t="s">
        <v>1386</v>
      </c>
      <c r="Z1099" t="s">
        <v>613</v>
      </c>
    </row>
    <row r="1100" spans="24:26" x14ac:dyDescent="0.25">
      <c r="X1100" t="s">
        <v>613</v>
      </c>
      <c r="Y1100" t="s">
        <v>1387</v>
      </c>
      <c r="Z1100" t="s">
        <v>613</v>
      </c>
    </row>
    <row r="1101" spans="24:26" x14ac:dyDescent="0.25">
      <c r="X1101" t="s">
        <v>613</v>
      </c>
      <c r="Y1101" t="s">
        <v>1388</v>
      </c>
      <c r="Z1101" t="s">
        <v>613</v>
      </c>
    </row>
    <row r="1102" spans="24:26" x14ac:dyDescent="0.25">
      <c r="X1102" t="s">
        <v>613</v>
      </c>
      <c r="Y1102" t="s">
        <v>1224</v>
      </c>
      <c r="Z1102" t="s">
        <v>1222</v>
      </c>
    </row>
    <row r="1103" spans="24:26" x14ac:dyDescent="0.25">
      <c r="X1103" t="s">
        <v>613</v>
      </c>
      <c r="Y1103" t="s">
        <v>1389</v>
      </c>
      <c r="Z1103" t="s">
        <v>1222</v>
      </c>
    </row>
    <row r="1104" spans="24:26" x14ac:dyDescent="0.25">
      <c r="X1104" t="s">
        <v>613</v>
      </c>
      <c r="Y1104" t="s">
        <v>1390</v>
      </c>
      <c r="Z1104" t="s">
        <v>1222</v>
      </c>
    </row>
    <row r="1105" spans="24:26" x14ac:dyDescent="0.25">
      <c r="X1105" t="s">
        <v>613</v>
      </c>
      <c r="Y1105" t="s">
        <v>1391</v>
      </c>
      <c r="Z1105" t="s">
        <v>1222</v>
      </c>
    </row>
    <row r="1106" spans="24:26" x14ac:dyDescent="0.25">
      <c r="X1106" t="s">
        <v>613</v>
      </c>
      <c r="Y1106" t="s">
        <v>1392</v>
      </c>
      <c r="Z1106" t="s">
        <v>1222</v>
      </c>
    </row>
    <row r="1107" spans="24:26" x14ac:dyDescent="0.25">
      <c r="X1107" t="s">
        <v>613</v>
      </c>
      <c r="Y1107" t="s">
        <v>1393</v>
      </c>
      <c r="Z1107" t="s">
        <v>1222</v>
      </c>
    </row>
    <row r="1108" spans="24:26" x14ac:dyDescent="0.25">
      <c r="X1108" t="s">
        <v>613</v>
      </c>
      <c r="Y1108" t="s">
        <v>1394</v>
      </c>
      <c r="Z1108" t="s">
        <v>613</v>
      </c>
    </row>
    <row r="1109" spans="24:26" x14ac:dyDescent="0.25">
      <c r="X1109" t="s">
        <v>613</v>
      </c>
      <c r="Y1109" t="s">
        <v>1395</v>
      </c>
      <c r="Z1109" t="s">
        <v>613</v>
      </c>
    </row>
    <row r="1110" spans="24:26" x14ac:dyDescent="0.25">
      <c r="X1110" t="s">
        <v>613</v>
      </c>
      <c r="Y1110" t="s">
        <v>1396</v>
      </c>
      <c r="Z1110" t="s">
        <v>613</v>
      </c>
    </row>
    <row r="1111" spans="24:26" x14ac:dyDescent="0.25">
      <c r="X1111" t="s">
        <v>613</v>
      </c>
      <c r="Y1111" t="s">
        <v>1397</v>
      </c>
      <c r="Z1111" t="s">
        <v>613</v>
      </c>
    </row>
    <row r="1112" spans="24:26" x14ac:dyDescent="0.25">
      <c r="X1112" t="s">
        <v>613</v>
      </c>
      <c r="Y1112" t="s">
        <v>1398</v>
      </c>
      <c r="Z1112" t="s">
        <v>1222</v>
      </c>
    </row>
    <row r="1113" spans="24:26" x14ac:dyDescent="0.25">
      <c r="X1113" t="s">
        <v>613</v>
      </c>
      <c r="Y1113" t="s">
        <v>1399</v>
      </c>
      <c r="Z1113" t="s">
        <v>1222</v>
      </c>
    </row>
    <row r="1114" spans="24:26" x14ac:dyDescent="0.25">
      <c r="X1114" t="s">
        <v>613</v>
      </c>
      <c r="Y1114" t="s">
        <v>1400</v>
      </c>
      <c r="Z1114" t="s">
        <v>1222</v>
      </c>
    </row>
    <row r="1115" spans="24:26" x14ac:dyDescent="0.25">
      <c r="X1115" t="s">
        <v>613</v>
      </c>
      <c r="Y1115" t="s">
        <v>1401</v>
      </c>
      <c r="Z1115" t="s">
        <v>1222</v>
      </c>
    </row>
    <row r="1116" spans="24:26" x14ac:dyDescent="0.25">
      <c r="X1116" t="s">
        <v>613</v>
      </c>
      <c r="Y1116" t="s">
        <v>1402</v>
      </c>
      <c r="Z1116" t="s">
        <v>1222</v>
      </c>
    </row>
    <row r="1117" spans="24:26" x14ac:dyDescent="0.25">
      <c r="X1117" t="s">
        <v>613</v>
      </c>
      <c r="Y1117" t="s">
        <v>1403</v>
      </c>
      <c r="Z1117" t="s">
        <v>1222</v>
      </c>
    </row>
    <row r="1118" spans="24:26" x14ac:dyDescent="0.25">
      <c r="X1118" t="s">
        <v>613</v>
      </c>
      <c r="Y1118" t="s">
        <v>1404</v>
      </c>
      <c r="Z1118" t="s">
        <v>1222</v>
      </c>
    </row>
    <row r="1119" spans="24:26" x14ac:dyDescent="0.25">
      <c r="X1119" t="s">
        <v>613</v>
      </c>
      <c r="Y1119" t="s">
        <v>1405</v>
      </c>
      <c r="Z1119" t="s">
        <v>1750</v>
      </c>
    </row>
    <row r="1120" spans="24:26" x14ac:dyDescent="0.25">
      <c r="X1120" t="s">
        <v>613</v>
      </c>
      <c r="Y1120" t="s">
        <v>1406</v>
      </c>
      <c r="Z1120" t="s">
        <v>1750</v>
      </c>
    </row>
    <row r="1121" spans="24:26" x14ac:dyDescent="0.25">
      <c r="X1121" t="s">
        <v>613</v>
      </c>
      <c r="Y1121" t="s">
        <v>1407</v>
      </c>
      <c r="Z1121" t="s">
        <v>1750</v>
      </c>
    </row>
    <row r="1122" spans="24:26" x14ac:dyDescent="0.25">
      <c r="X1122" t="s">
        <v>613</v>
      </c>
      <c r="Y1122" t="s">
        <v>1408</v>
      </c>
      <c r="Z1122" t="s">
        <v>1750</v>
      </c>
    </row>
    <row r="1123" spans="24:26" x14ac:dyDescent="0.25">
      <c r="X1123" t="s">
        <v>613</v>
      </c>
      <c r="Y1123" t="s">
        <v>1409</v>
      </c>
      <c r="Z1123" t="s">
        <v>1750</v>
      </c>
    </row>
    <row r="1124" spans="24:26" x14ac:dyDescent="0.25">
      <c r="X1124" t="s">
        <v>613</v>
      </c>
      <c r="Y1124" t="s">
        <v>1410</v>
      </c>
      <c r="Z1124" t="s">
        <v>1750</v>
      </c>
    </row>
    <row r="1125" spans="24:26" x14ac:dyDescent="0.25">
      <c r="X1125" t="s">
        <v>613</v>
      </c>
      <c r="Y1125" t="s">
        <v>1411</v>
      </c>
      <c r="Z1125" t="s">
        <v>1750</v>
      </c>
    </row>
    <row r="1126" spans="24:26" x14ac:dyDescent="0.25">
      <c r="X1126" t="s">
        <v>613</v>
      </c>
      <c r="Y1126" t="s">
        <v>1412</v>
      </c>
      <c r="Z1126" t="s">
        <v>1750</v>
      </c>
    </row>
    <row r="1127" spans="24:26" x14ac:dyDescent="0.25">
      <c r="X1127" t="s">
        <v>613</v>
      </c>
      <c r="Y1127" t="s">
        <v>1413</v>
      </c>
      <c r="Z1127" t="s">
        <v>1750</v>
      </c>
    </row>
    <row r="1128" spans="24:26" x14ac:dyDescent="0.25">
      <c r="X1128" t="s">
        <v>613</v>
      </c>
      <c r="Y1128" t="s">
        <v>1414</v>
      </c>
      <c r="Z1128" t="s">
        <v>1750</v>
      </c>
    </row>
    <row r="1129" spans="24:26" x14ac:dyDescent="0.25">
      <c r="X1129" t="s">
        <v>613</v>
      </c>
      <c r="Y1129" t="s">
        <v>1415</v>
      </c>
      <c r="Z1129" t="s">
        <v>1750</v>
      </c>
    </row>
    <row r="1130" spans="24:26" x14ac:dyDescent="0.25">
      <c r="X1130" t="s">
        <v>613</v>
      </c>
      <c r="Y1130" t="s">
        <v>1416</v>
      </c>
      <c r="Z1130" t="s">
        <v>1750</v>
      </c>
    </row>
    <row r="1131" spans="24:26" x14ac:dyDescent="0.25">
      <c r="X1131" t="s">
        <v>613</v>
      </c>
      <c r="Y1131" t="s">
        <v>1417</v>
      </c>
      <c r="Z1131" t="s">
        <v>1750</v>
      </c>
    </row>
    <row r="1132" spans="24:26" x14ac:dyDescent="0.25">
      <c r="X1132" t="s">
        <v>613</v>
      </c>
      <c r="Y1132" t="s">
        <v>1418</v>
      </c>
      <c r="Z1132" t="s">
        <v>1750</v>
      </c>
    </row>
    <row r="1133" spans="24:26" x14ac:dyDescent="0.25">
      <c r="X1133" t="s">
        <v>613</v>
      </c>
      <c r="Y1133" t="s">
        <v>1419</v>
      </c>
      <c r="Z1133" t="s">
        <v>1750</v>
      </c>
    </row>
    <row r="1134" spans="24:26" x14ac:dyDescent="0.25">
      <c r="X1134" t="s">
        <v>613</v>
      </c>
      <c r="Y1134" t="s">
        <v>1420</v>
      </c>
      <c r="Z1134" t="s">
        <v>1750</v>
      </c>
    </row>
    <row r="1135" spans="24:26" x14ac:dyDescent="0.25">
      <c r="X1135" t="s">
        <v>613</v>
      </c>
      <c r="Y1135" t="s">
        <v>1421</v>
      </c>
      <c r="Z1135" t="s">
        <v>1750</v>
      </c>
    </row>
    <row r="1136" spans="24:26" x14ac:dyDescent="0.25">
      <c r="X1136" t="s">
        <v>613</v>
      </c>
      <c r="Y1136" t="s">
        <v>1422</v>
      </c>
      <c r="Z1136" t="s">
        <v>1222</v>
      </c>
    </row>
    <row r="1137" spans="24:26" x14ac:dyDescent="0.25">
      <c r="X1137" t="s">
        <v>613</v>
      </c>
      <c r="Y1137" t="s">
        <v>1423</v>
      </c>
      <c r="Z1137" t="s">
        <v>1222</v>
      </c>
    </row>
    <row r="1138" spans="24:26" x14ac:dyDescent="0.25">
      <c r="X1138" t="s">
        <v>613</v>
      </c>
      <c r="Y1138" t="s">
        <v>1424</v>
      </c>
      <c r="Z1138" t="s">
        <v>1222</v>
      </c>
    </row>
    <row r="1139" spans="24:26" x14ac:dyDescent="0.25">
      <c r="X1139" t="s">
        <v>613</v>
      </c>
      <c r="Y1139" t="s">
        <v>1425</v>
      </c>
      <c r="Z1139" t="s">
        <v>1750</v>
      </c>
    </row>
    <row r="1140" spans="24:26" x14ac:dyDescent="0.25">
      <c r="X1140" t="s">
        <v>613</v>
      </c>
      <c r="Y1140" t="s">
        <v>1426</v>
      </c>
      <c r="Z1140" t="s">
        <v>1750</v>
      </c>
    </row>
    <row r="1141" spans="24:26" x14ac:dyDescent="0.25">
      <c r="X1141" t="s">
        <v>613</v>
      </c>
      <c r="Y1141" t="s">
        <v>1427</v>
      </c>
      <c r="Z1141" t="s">
        <v>1750</v>
      </c>
    </row>
    <row r="1142" spans="24:26" x14ac:dyDescent="0.25">
      <c r="X1142" t="s">
        <v>613</v>
      </c>
      <c r="Y1142" t="s">
        <v>1428</v>
      </c>
      <c r="Z1142" t="s">
        <v>1750</v>
      </c>
    </row>
    <row r="1143" spans="24:26" x14ac:dyDescent="0.25">
      <c r="X1143" t="s">
        <v>613</v>
      </c>
      <c r="Y1143" t="s">
        <v>1429</v>
      </c>
      <c r="Z1143" t="s">
        <v>1750</v>
      </c>
    </row>
    <row r="1144" spans="24:26" x14ac:dyDescent="0.25">
      <c r="X1144" t="s">
        <v>613</v>
      </c>
      <c r="Y1144" t="s">
        <v>1430</v>
      </c>
      <c r="Z1144" t="s">
        <v>1750</v>
      </c>
    </row>
    <row r="1145" spans="24:26" x14ac:dyDescent="0.25">
      <c r="X1145" t="s">
        <v>613</v>
      </c>
      <c r="Y1145" t="s">
        <v>1431</v>
      </c>
      <c r="Z1145" t="s">
        <v>1750</v>
      </c>
    </row>
    <row r="1146" spans="24:26" x14ac:dyDescent="0.25">
      <c r="X1146" t="s">
        <v>613</v>
      </c>
      <c r="Y1146" t="s">
        <v>1432</v>
      </c>
      <c r="Z1146" t="s">
        <v>1750</v>
      </c>
    </row>
    <row r="1147" spans="24:26" x14ac:dyDescent="0.25">
      <c r="X1147" t="s">
        <v>613</v>
      </c>
      <c r="Y1147" t="s">
        <v>1433</v>
      </c>
      <c r="Z1147" t="s">
        <v>1750</v>
      </c>
    </row>
    <row r="1148" spans="24:26" x14ac:dyDescent="0.25">
      <c r="X1148" t="s">
        <v>613</v>
      </c>
      <c r="Y1148" t="s">
        <v>1434</v>
      </c>
      <c r="Z1148" t="s">
        <v>1750</v>
      </c>
    </row>
    <row r="1149" spans="24:26" x14ac:dyDescent="0.25">
      <c r="X1149" t="s">
        <v>613</v>
      </c>
      <c r="Y1149" t="s">
        <v>1435</v>
      </c>
      <c r="Z1149" t="s">
        <v>1750</v>
      </c>
    </row>
    <row r="1150" spans="24:26" x14ac:dyDescent="0.25">
      <c r="X1150" t="s">
        <v>613</v>
      </c>
      <c r="Y1150" t="s">
        <v>1436</v>
      </c>
      <c r="Z1150" t="s">
        <v>1750</v>
      </c>
    </row>
    <row r="1151" spans="24:26" x14ac:dyDescent="0.25">
      <c r="X1151" t="s">
        <v>613</v>
      </c>
      <c r="Y1151" t="s">
        <v>1437</v>
      </c>
      <c r="Z1151" t="s">
        <v>1750</v>
      </c>
    </row>
    <row r="1152" spans="24:26" x14ac:dyDescent="0.25">
      <c r="X1152" t="s">
        <v>613</v>
      </c>
      <c r="Y1152" t="s">
        <v>1438</v>
      </c>
      <c r="Z1152" t="s">
        <v>1750</v>
      </c>
    </row>
    <row r="1153" spans="24:26" x14ac:dyDescent="0.25">
      <c r="X1153" t="s">
        <v>613</v>
      </c>
      <c r="Y1153" t="s">
        <v>1439</v>
      </c>
      <c r="Z1153" t="s">
        <v>1750</v>
      </c>
    </row>
    <row r="1154" spans="24:26" x14ac:dyDescent="0.25">
      <c r="X1154" t="s">
        <v>613</v>
      </c>
      <c r="Y1154" t="s">
        <v>1440</v>
      </c>
      <c r="Z1154" t="s">
        <v>1750</v>
      </c>
    </row>
    <row r="1155" spans="24:26" x14ac:dyDescent="0.25">
      <c r="X1155" t="s">
        <v>613</v>
      </c>
      <c r="Y1155" t="s">
        <v>1441</v>
      </c>
      <c r="Z1155" t="s">
        <v>1222</v>
      </c>
    </row>
    <row r="1156" spans="24:26" x14ac:dyDescent="0.25">
      <c r="X1156" t="s">
        <v>613</v>
      </c>
      <c r="Y1156" t="s">
        <v>1442</v>
      </c>
      <c r="Z1156" t="s">
        <v>1222</v>
      </c>
    </row>
    <row r="1157" spans="24:26" x14ac:dyDescent="0.25">
      <c r="X1157" t="s">
        <v>613</v>
      </c>
      <c r="Y1157" t="s">
        <v>1443</v>
      </c>
      <c r="Z1157" t="s">
        <v>613</v>
      </c>
    </row>
    <row r="1158" spans="24:26" x14ac:dyDescent="0.25">
      <c r="X1158" t="s">
        <v>613</v>
      </c>
      <c r="Y1158" t="s">
        <v>1444</v>
      </c>
      <c r="Z1158" t="s">
        <v>613</v>
      </c>
    </row>
    <row r="1159" spans="24:26" x14ac:dyDescent="0.25">
      <c r="X1159" t="s">
        <v>613</v>
      </c>
      <c r="Y1159" t="s">
        <v>1445</v>
      </c>
      <c r="Z1159" t="s">
        <v>1222</v>
      </c>
    </row>
    <row r="1160" spans="24:26" x14ac:dyDescent="0.25">
      <c r="X1160" t="s">
        <v>613</v>
      </c>
      <c r="Y1160" t="s">
        <v>1446</v>
      </c>
      <c r="Z1160" t="s">
        <v>1222</v>
      </c>
    </row>
    <row r="1161" spans="24:26" x14ac:dyDescent="0.25">
      <c r="X1161" t="s">
        <v>613</v>
      </c>
      <c r="Y1161" t="s">
        <v>1447</v>
      </c>
      <c r="Z1161" t="s">
        <v>1222</v>
      </c>
    </row>
    <row r="1162" spans="24:26" x14ac:dyDescent="0.25">
      <c r="X1162" t="s">
        <v>613</v>
      </c>
      <c r="Y1162" t="s">
        <v>1448</v>
      </c>
      <c r="Z1162" t="s">
        <v>1222</v>
      </c>
    </row>
    <row r="1163" spans="24:26" x14ac:dyDescent="0.25">
      <c r="X1163" t="s">
        <v>613</v>
      </c>
      <c r="Y1163" t="s">
        <v>1449</v>
      </c>
      <c r="Z1163" t="s">
        <v>1222</v>
      </c>
    </row>
    <row r="1164" spans="24:26" x14ac:dyDescent="0.25">
      <c r="X1164" t="s">
        <v>613</v>
      </c>
      <c r="Y1164" t="s">
        <v>1450</v>
      </c>
      <c r="Z1164" t="s">
        <v>1222</v>
      </c>
    </row>
    <row r="1165" spans="24:26" x14ac:dyDescent="0.25">
      <c r="X1165" t="s">
        <v>613</v>
      </c>
      <c r="Y1165" t="s">
        <v>1451</v>
      </c>
      <c r="Z1165" t="s">
        <v>1222</v>
      </c>
    </row>
    <row r="1166" spans="24:26" x14ac:dyDescent="0.25">
      <c r="X1166" t="s">
        <v>613</v>
      </c>
      <c r="Y1166" t="s">
        <v>1452</v>
      </c>
      <c r="Z1166" t="s">
        <v>1222</v>
      </c>
    </row>
    <row r="1167" spans="24:26" x14ac:dyDescent="0.25">
      <c r="X1167" t="s">
        <v>613</v>
      </c>
      <c r="Y1167" t="s">
        <v>1453</v>
      </c>
      <c r="Z1167" t="s">
        <v>1222</v>
      </c>
    </row>
    <row r="1168" spans="24:26" x14ac:dyDescent="0.25">
      <c r="X1168" t="s">
        <v>613</v>
      </c>
      <c r="Y1168" t="s">
        <v>1454</v>
      </c>
      <c r="Z1168" t="s">
        <v>1222</v>
      </c>
    </row>
    <row r="1169" spans="24:26" x14ac:dyDescent="0.25">
      <c r="X1169" t="s">
        <v>613</v>
      </c>
      <c r="Y1169" t="s">
        <v>1455</v>
      </c>
      <c r="Z1169" t="s">
        <v>1222</v>
      </c>
    </row>
    <row r="1170" spans="24:26" x14ac:dyDescent="0.25">
      <c r="X1170" t="s">
        <v>613</v>
      </c>
      <c r="Y1170" t="s">
        <v>1456</v>
      </c>
      <c r="Z1170" t="s">
        <v>1222</v>
      </c>
    </row>
    <row r="1171" spans="24:26" x14ac:dyDescent="0.25">
      <c r="X1171" t="s">
        <v>613</v>
      </c>
      <c r="Y1171" t="s">
        <v>1575</v>
      </c>
      <c r="Z1171" t="s">
        <v>1222</v>
      </c>
    </row>
    <row r="1172" spans="24:26" x14ac:dyDescent="0.25">
      <c r="X1172" t="s">
        <v>613</v>
      </c>
      <c r="Y1172" t="s">
        <v>1457</v>
      </c>
      <c r="Z1172" t="s">
        <v>1222</v>
      </c>
    </row>
    <row r="1173" spans="24:26" x14ac:dyDescent="0.25">
      <c r="X1173" t="s">
        <v>613</v>
      </c>
      <c r="Y1173" t="s">
        <v>1458</v>
      </c>
      <c r="Z1173" t="s">
        <v>1222</v>
      </c>
    </row>
    <row r="1174" spans="24:26" x14ac:dyDescent="0.25">
      <c r="X1174" t="s">
        <v>613</v>
      </c>
      <c r="Y1174" t="s">
        <v>1459</v>
      </c>
      <c r="Z1174" t="s">
        <v>1222</v>
      </c>
    </row>
    <row r="1175" spans="24:26" x14ac:dyDescent="0.25">
      <c r="X1175" t="s">
        <v>613</v>
      </c>
      <c r="Y1175" t="s">
        <v>1229</v>
      </c>
      <c r="Z1175" t="s">
        <v>1222</v>
      </c>
    </row>
    <row r="1176" spans="24:26" x14ac:dyDescent="0.25">
      <c r="X1176" t="s">
        <v>613</v>
      </c>
      <c r="Y1176" t="s">
        <v>1577</v>
      </c>
      <c r="Z1176" t="s">
        <v>1222</v>
      </c>
    </row>
    <row r="1177" spans="24:26" x14ac:dyDescent="0.25">
      <c r="X1177" t="s">
        <v>613</v>
      </c>
      <c r="Y1177" t="s">
        <v>1460</v>
      </c>
      <c r="Z1177" t="s">
        <v>1222</v>
      </c>
    </row>
    <row r="1178" spans="24:26" x14ac:dyDescent="0.25">
      <c r="X1178" t="s">
        <v>613</v>
      </c>
      <c r="Y1178" t="s">
        <v>1625</v>
      </c>
      <c r="Z1178" t="s">
        <v>1723</v>
      </c>
    </row>
    <row r="1179" spans="24:26" x14ac:dyDescent="0.25">
      <c r="X1179" t="s">
        <v>613</v>
      </c>
      <c r="Y1179" t="s">
        <v>1248</v>
      </c>
      <c r="Z1179" t="s">
        <v>1723</v>
      </c>
    </row>
    <row r="1180" spans="24:26" x14ac:dyDescent="0.25">
      <c r="X1180" t="s">
        <v>613</v>
      </c>
      <c r="Y1180" t="s">
        <v>1626</v>
      </c>
      <c r="Z1180" t="s">
        <v>1723</v>
      </c>
    </row>
    <row r="1181" spans="24:26" x14ac:dyDescent="0.25">
      <c r="X1181" t="s">
        <v>613</v>
      </c>
      <c r="Y1181" t="s">
        <v>1464</v>
      </c>
      <c r="Z1181" t="s">
        <v>1723</v>
      </c>
    </row>
    <row r="1182" spans="24:26" x14ac:dyDescent="0.25">
      <c r="X1182" t="s">
        <v>613</v>
      </c>
      <c r="Y1182" t="s">
        <v>1465</v>
      </c>
      <c r="Z1182" t="s">
        <v>1723</v>
      </c>
    </row>
    <row r="1183" spans="24:26" x14ac:dyDescent="0.25">
      <c r="X1183" t="s">
        <v>613</v>
      </c>
      <c r="Y1183" t="s">
        <v>1466</v>
      </c>
      <c r="Z1183" t="s">
        <v>1723</v>
      </c>
    </row>
    <row r="1184" spans="24:26" x14ac:dyDescent="0.25">
      <c r="X1184" t="s">
        <v>613</v>
      </c>
      <c r="Y1184" t="s">
        <v>1627</v>
      </c>
      <c r="Z1184" t="s">
        <v>1723</v>
      </c>
    </row>
    <row r="1185" spans="24:26" x14ac:dyDescent="0.25">
      <c r="X1185" t="s">
        <v>613</v>
      </c>
      <c r="Y1185" t="s">
        <v>1468</v>
      </c>
      <c r="Z1185" t="s">
        <v>1732</v>
      </c>
    </row>
    <row r="1186" spans="24:26" x14ac:dyDescent="0.25">
      <c r="X1186" t="s">
        <v>613</v>
      </c>
      <c r="Y1186" t="s">
        <v>1469</v>
      </c>
      <c r="Z1186" t="s">
        <v>1732</v>
      </c>
    </row>
    <row r="1187" spans="24:26" x14ac:dyDescent="0.25">
      <c r="X1187" t="s">
        <v>613</v>
      </c>
      <c r="Y1187" t="s">
        <v>1470</v>
      </c>
      <c r="Z1187" t="s">
        <v>1732</v>
      </c>
    </row>
    <row r="1188" spans="24:26" x14ac:dyDescent="0.25">
      <c r="X1188" t="s">
        <v>613</v>
      </c>
      <c r="Y1188" t="s">
        <v>1471</v>
      </c>
      <c r="Z1188" t="s">
        <v>1732</v>
      </c>
    </row>
    <row r="1189" spans="24:26" x14ac:dyDescent="0.25">
      <c r="X1189" t="s">
        <v>613</v>
      </c>
      <c r="Y1189" t="s">
        <v>1538</v>
      </c>
      <c r="Z1189" t="s">
        <v>1723</v>
      </c>
    </row>
    <row r="1190" spans="24:26" x14ac:dyDescent="0.25">
      <c r="X1190" t="s">
        <v>613</v>
      </c>
      <c r="Y1190" t="s">
        <v>1628</v>
      </c>
      <c r="Z1190" t="s">
        <v>1730</v>
      </c>
    </row>
    <row r="1191" spans="24:26" x14ac:dyDescent="0.25">
      <c r="X1191" t="s">
        <v>613</v>
      </c>
      <c r="Y1191" t="s">
        <v>1629</v>
      </c>
      <c r="Z1191" t="s">
        <v>1740</v>
      </c>
    </row>
    <row r="1192" spans="24:26" x14ac:dyDescent="0.25">
      <c r="X1192" t="s">
        <v>613</v>
      </c>
      <c r="Y1192" t="s">
        <v>1630</v>
      </c>
      <c r="Z1192" t="s">
        <v>1741</v>
      </c>
    </row>
    <row r="1193" spans="24:26" x14ac:dyDescent="0.25">
      <c r="X1193" t="s">
        <v>613</v>
      </c>
      <c r="Y1193" t="s">
        <v>1631</v>
      </c>
      <c r="Z1193" t="s">
        <v>1723</v>
      </c>
    </row>
    <row r="1194" spans="24:26" x14ac:dyDescent="0.25">
      <c r="X1194" t="s">
        <v>613</v>
      </c>
      <c r="Y1194" t="s">
        <v>1632</v>
      </c>
      <c r="Z1194" t="s">
        <v>1723</v>
      </c>
    </row>
    <row r="1195" spans="24:26" x14ac:dyDescent="0.25">
      <c r="X1195" t="s">
        <v>613</v>
      </c>
      <c r="Y1195" t="s">
        <v>1633</v>
      </c>
      <c r="Z1195" t="s">
        <v>1723</v>
      </c>
    </row>
    <row r="1196" spans="24:26" x14ac:dyDescent="0.25">
      <c r="X1196" t="s">
        <v>613</v>
      </c>
      <c r="Y1196" t="s">
        <v>1634</v>
      </c>
      <c r="Z1196" t="s">
        <v>1743</v>
      </c>
    </row>
    <row r="1197" spans="24:26" x14ac:dyDescent="0.25">
      <c r="X1197" t="s">
        <v>613</v>
      </c>
      <c r="Y1197" t="s">
        <v>1635</v>
      </c>
      <c r="Z1197" t="s">
        <v>1742</v>
      </c>
    </row>
    <row r="1198" spans="24:26" x14ac:dyDescent="0.25">
      <c r="X1198" t="s">
        <v>613</v>
      </c>
      <c r="Y1198" t="s">
        <v>1636</v>
      </c>
      <c r="Z1198" t="s">
        <v>1757</v>
      </c>
    </row>
    <row r="1199" spans="24:26" x14ac:dyDescent="0.25">
      <c r="X1199" t="s">
        <v>613</v>
      </c>
      <c r="Y1199" t="s">
        <v>1637</v>
      </c>
      <c r="Z1199" t="s">
        <v>1723</v>
      </c>
    </row>
    <row r="1200" spans="24:26" x14ac:dyDescent="0.25">
      <c r="X1200" t="s">
        <v>613</v>
      </c>
      <c r="Y1200" t="s">
        <v>1638</v>
      </c>
      <c r="Z1200" t="s">
        <v>1723</v>
      </c>
    </row>
    <row r="1201" spans="24:26" x14ac:dyDescent="0.25">
      <c r="X1201" t="s">
        <v>613</v>
      </c>
      <c r="Y1201" t="s">
        <v>1639</v>
      </c>
      <c r="Z1201" t="s">
        <v>1723</v>
      </c>
    </row>
    <row r="1202" spans="24:26" x14ac:dyDescent="0.25">
      <c r="X1202" t="s">
        <v>613</v>
      </c>
      <c r="Y1202" t="s">
        <v>1640</v>
      </c>
      <c r="Z1202" t="s">
        <v>1759</v>
      </c>
    </row>
    <row r="1203" spans="24:26" x14ac:dyDescent="0.25">
      <c r="X1203" t="s">
        <v>613</v>
      </c>
      <c r="Y1203" t="s">
        <v>1641</v>
      </c>
      <c r="Z1203" t="s">
        <v>1759</v>
      </c>
    </row>
    <row r="1204" spans="24:26" x14ac:dyDescent="0.25">
      <c r="X1204" t="s">
        <v>613</v>
      </c>
      <c r="Y1204" t="s">
        <v>1642</v>
      </c>
      <c r="Z1204" t="s">
        <v>1759</v>
      </c>
    </row>
    <row r="1205" spans="24:26" x14ac:dyDescent="0.25">
      <c r="X1205" t="s">
        <v>613</v>
      </c>
      <c r="Y1205" t="s">
        <v>1643</v>
      </c>
      <c r="Z1205" t="s">
        <v>1723</v>
      </c>
    </row>
    <row r="1206" spans="24:26" x14ac:dyDescent="0.25">
      <c r="X1206" t="s">
        <v>613</v>
      </c>
      <c r="Y1206" t="s">
        <v>1644</v>
      </c>
      <c r="Z1206" t="s">
        <v>1759</v>
      </c>
    </row>
    <row r="1207" spans="24:26" x14ac:dyDescent="0.25">
      <c r="X1207" t="s">
        <v>613</v>
      </c>
      <c r="Y1207" t="s">
        <v>1645</v>
      </c>
      <c r="Z1207" t="s">
        <v>1723</v>
      </c>
    </row>
    <row r="1208" spans="24:26" x14ac:dyDescent="0.25">
      <c r="X1208" t="s">
        <v>613</v>
      </c>
      <c r="Y1208" t="s">
        <v>1646</v>
      </c>
      <c r="Z1208" t="s">
        <v>1723</v>
      </c>
    </row>
    <row r="1209" spans="24:26" x14ac:dyDescent="0.25">
      <c r="X1209" t="s">
        <v>613</v>
      </c>
      <c r="Y1209" t="s">
        <v>1647</v>
      </c>
      <c r="Z1209" t="s">
        <v>1723</v>
      </c>
    </row>
    <row r="1210" spans="24:26" x14ac:dyDescent="0.25">
      <c r="X1210" t="s">
        <v>613</v>
      </c>
      <c r="Y1210" t="s">
        <v>1648</v>
      </c>
      <c r="Z1210" t="s">
        <v>1723</v>
      </c>
    </row>
    <row r="1211" spans="24:26" x14ac:dyDescent="0.25">
      <c r="X1211" t="s">
        <v>613</v>
      </c>
      <c r="Y1211" t="s">
        <v>1649</v>
      </c>
      <c r="Z1211" t="s">
        <v>1723</v>
      </c>
    </row>
    <row r="1212" spans="24:26" x14ac:dyDescent="0.25">
      <c r="X1212" t="s">
        <v>613</v>
      </c>
      <c r="Y1212" t="s">
        <v>1650</v>
      </c>
      <c r="Z1212" t="s">
        <v>1723</v>
      </c>
    </row>
    <row r="1213" spans="24:26" x14ac:dyDescent="0.25">
      <c r="X1213" t="s">
        <v>613</v>
      </c>
      <c r="Y1213" t="s">
        <v>1651</v>
      </c>
      <c r="Z1213" t="s">
        <v>1723</v>
      </c>
    </row>
    <row r="1214" spans="24:26" x14ac:dyDescent="0.25">
      <c r="X1214" t="s">
        <v>613</v>
      </c>
      <c r="Y1214" t="s">
        <v>1652</v>
      </c>
      <c r="Z1214" t="s">
        <v>1723</v>
      </c>
    </row>
    <row r="1215" spans="24:26" x14ac:dyDescent="0.25">
      <c r="X1215" t="s">
        <v>613</v>
      </c>
      <c r="Y1215" t="s">
        <v>1653</v>
      </c>
      <c r="Z1215" t="s">
        <v>1723</v>
      </c>
    </row>
    <row r="1216" spans="24:26" x14ac:dyDescent="0.25">
      <c r="X1216" t="s">
        <v>613</v>
      </c>
      <c r="Y1216" t="s">
        <v>1654</v>
      </c>
      <c r="Z1216" t="s">
        <v>1723</v>
      </c>
    </row>
    <row r="1217" spans="24:26" x14ac:dyDescent="0.25">
      <c r="X1217" t="s">
        <v>613</v>
      </c>
      <c r="Y1217" t="s">
        <v>1662</v>
      </c>
      <c r="Z1217" t="s">
        <v>1723</v>
      </c>
    </row>
    <row r="1218" spans="24:26" x14ac:dyDescent="0.25">
      <c r="X1218" t="s">
        <v>613</v>
      </c>
      <c r="Y1218" t="s">
        <v>1655</v>
      </c>
      <c r="Z1218" t="s">
        <v>1760</v>
      </c>
    </row>
    <row r="1219" spans="24:26" x14ac:dyDescent="0.25">
      <c r="X1219" t="s">
        <v>613</v>
      </c>
      <c r="Y1219" t="s">
        <v>1656</v>
      </c>
      <c r="Z1219" t="s">
        <v>1723</v>
      </c>
    </row>
    <row r="1220" spans="24:26" x14ac:dyDescent="0.25">
      <c r="X1220" t="s">
        <v>613</v>
      </c>
      <c r="Y1220" t="s">
        <v>1657</v>
      </c>
      <c r="Z1220" t="s">
        <v>1756</v>
      </c>
    </row>
    <row r="1221" spans="24:26" x14ac:dyDescent="0.25">
      <c r="X1221" t="s">
        <v>613</v>
      </c>
      <c r="Y1221" t="s">
        <v>1658</v>
      </c>
      <c r="Z1221" t="s">
        <v>1756</v>
      </c>
    </row>
    <row r="1222" spans="24:26" x14ac:dyDescent="0.25">
      <c r="X1222" t="s">
        <v>613</v>
      </c>
      <c r="Y1222" t="s">
        <v>1659</v>
      </c>
      <c r="Z1222" t="s">
        <v>1756</v>
      </c>
    </row>
    <row r="1223" spans="24:26" x14ac:dyDescent="0.25">
      <c r="X1223" t="s">
        <v>613</v>
      </c>
      <c r="Y1223" t="s">
        <v>1660</v>
      </c>
      <c r="Z1223" t="s">
        <v>1756</v>
      </c>
    </row>
    <row r="1224" spans="24:26" x14ac:dyDescent="0.25">
      <c r="X1224" t="s">
        <v>613</v>
      </c>
      <c r="Y1224" t="s">
        <v>1474</v>
      </c>
      <c r="Z1224" t="s">
        <v>1761</v>
      </c>
    </row>
    <row r="1225" spans="24:26" x14ac:dyDescent="0.25">
      <c r="X1225" t="s">
        <v>613</v>
      </c>
      <c r="Y1225" t="s">
        <v>1661</v>
      </c>
      <c r="Z1225" t="s">
        <v>1761</v>
      </c>
    </row>
    <row r="1226" spans="24:26" x14ac:dyDescent="0.25">
      <c r="X1226" t="s">
        <v>613</v>
      </c>
      <c r="Y1226" t="s">
        <v>1221</v>
      </c>
      <c r="Z1226" t="s">
        <v>1728</v>
      </c>
    </row>
    <row r="1227" spans="24:26" x14ac:dyDescent="0.25">
      <c r="X1227" t="s">
        <v>119</v>
      </c>
    </row>
    <row r="1228" spans="24:26" x14ac:dyDescent="0.25">
      <c r="X1228" t="s">
        <v>613</v>
      </c>
      <c r="Y1228" t="s">
        <v>1547</v>
      </c>
      <c r="Z1228" t="s">
        <v>1735</v>
      </c>
    </row>
    <row r="1229" spans="24:26" x14ac:dyDescent="0.25">
      <c r="X1229" t="s">
        <v>613</v>
      </c>
      <c r="Y1229" t="s">
        <v>1548</v>
      </c>
      <c r="Z1229" t="s">
        <v>1723</v>
      </c>
    </row>
    <row r="1230" spans="24:26" x14ac:dyDescent="0.25">
      <c r="X1230" t="s">
        <v>613</v>
      </c>
      <c r="Y1230" t="s">
        <v>1269</v>
      </c>
      <c r="Z1230" t="s">
        <v>1736</v>
      </c>
    </row>
    <row r="1231" spans="24:26" x14ac:dyDescent="0.25">
      <c r="X1231" t="s">
        <v>613</v>
      </c>
      <c r="Y1231" t="s">
        <v>1270</v>
      </c>
      <c r="Z1231" t="s">
        <v>613</v>
      </c>
    </row>
    <row r="1232" spans="24:26" x14ac:dyDescent="0.25">
      <c r="X1232" t="s">
        <v>613</v>
      </c>
      <c r="Y1232" t="s">
        <v>1242</v>
      </c>
      <c r="Z1232" t="s">
        <v>613</v>
      </c>
    </row>
    <row r="1233" spans="24:26" x14ac:dyDescent="0.25">
      <c r="X1233" t="s">
        <v>613</v>
      </c>
      <c r="Y1233" t="s">
        <v>1617</v>
      </c>
      <c r="Z1233" t="s">
        <v>1723</v>
      </c>
    </row>
    <row r="1234" spans="24:26" x14ac:dyDescent="0.25">
      <c r="X1234" t="s">
        <v>613</v>
      </c>
      <c r="Y1234" t="s">
        <v>1226</v>
      </c>
      <c r="Z1234" t="s">
        <v>1695</v>
      </c>
    </row>
    <row r="1235" spans="24:26" x14ac:dyDescent="0.25">
      <c r="X1235" t="s">
        <v>613</v>
      </c>
      <c r="Y1235" t="s">
        <v>1549</v>
      </c>
      <c r="Z1235" t="s">
        <v>1695</v>
      </c>
    </row>
    <row r="1236" spans="24:26" x14ac:dyDescent="0.25">
      <c r="X1236" t="s">
        <v>613</v>
      </c>
      <c r="Y1236" t="s">
        <v>1550</v>
      </c>
      <c r="Z1236" t="s">
        <v>1695</v>
      </c>
    </row>
    <row r="1237" spans="24:26" x14ac:dyDescent="0.25">
      <c r="X1237" t="s">
        <v>613</v>
      </c>
      <c r="Y1237" t="s">
        <v>1551</v>
      </c>
      <c r="Z1237" t="s">
        <v>1695</v>
      </c>
    </row>
    <row r="1238" spans="24:26" x14ac:dyDescent="0.25">
      <c r="X1238" t="s">
        <v>613</v>
      </c>
      <c r="Y1238" t="s">
        <v>1552</v>
      </c>
      <c r="Z1238" t="s">
        <v>1695</v>
      </c>
    </row>
    <row r="1239" spans="24:26" x14ac:dyDescent="0.25">
      <c r="X1239" t="s">
        <v>613</v>
      </c>
      <c r="Y1239" t="s">
        <v>1553</v>
      </c>
      <c r="Z1239" t="s">
        <v>1695</v>
      </c>
    </row>
    <row r="1240" spans="24:26" x14ac:dyDescent="0.25">
      <c r="X1240" t="s">
        <v>613</v>
      </c>
      <c r="Y1240" t="s">
        <v>1554</v>
      </c>
      <c r="Z1240" t="s">
        <v>1695</v>
      </c>
    </row>
    <row r="1241" spans="24:26" x14ac:dyDescent="0.25">
      <c r="X1241" t="s">
        <v>613</v>
      </c>
      <c r="Y1241" t="s">
        <v>1555</v>
      </c>
      <c r="Z1241" t="s">
        <v>1695</v>
      </c>
    </row>
    <row r="1242" spans="24:26" x14ac:dyDescent="0.25">
      <c r="X1242" t="s">
        <v>613</v>
      </c>
      <c r="Y1242" t="s">
        <v>1556</v>
      </c>
      <c r="Z1242" t="s">
        <v>1695</v>
      </c>
    </row>
    <row r="1243" spans="24:26" x14ac:dyDescent="0.25">
      <c r="X1243" t="s">
        <v>613</v>
      </c>
      <c r="Y1243" t="s">
        <v>1557</v>
      </c>
      <c r="Z1243" t="s">
        <v>1695</v>
      </c>
    </row>
    <row r="1244" spans="24:26" x14ac:dyDescent="0.25">
      <c r="X1244" t="s">
        <v>613</v>
      </c>
      <c r="Y1244" t="s">
        <v>1558</v>
      </c>
      <c r="Z1244" t="s">
        <v>1695</v>
      </c>
    </row>
    <row r="1245" spans="24:26" x14ac:dyDescent="0.25">
      <c r="X1245" t="s">
        <v>613</v>
      </c>
      <c r="Y1245" t="s">
        <v>1663</v>
      </c>
      <c r="Z1245" t="s">
        <v>1691</v>
      </c>
    </row>
    <row r="1246" spans="24:26" x14ac:dyDescent="0.25">
      <c r="X1246" t="s">
        <v>613</v>
      </c>
      <c r="Y1246" t="s">
        <v>1664</v>
      </c>
      <c r="Z1246" t="s">
        <v>1691</v>
      </c>
    </row>
    <row r="1247" spans="24:26" x14ac:dyDescent="0.25">
      <c r="X1247" t="s">
        <v>613</v>
      </c>
      <c r="Y1247" t="s">
        <v>1665</v>
      </c>
      <c r="Z1247" t="s">
        <v>1691</v>
      </c>
    </row>
    <row r="1248" spans="24:26" x14ac:dyDescent="0.25">
      <c r="X1248" t="s">
        <v>613</v>
      </c>
      <c r="Y1248" t="s">
        <v>1666</v>
      </c>
      <c r="Z1248" t="s">
        <v>1691</v>
      </c>
    </row>
    <row r="1249" spans="24:26" x14ac:dyDescent="0.25">
      <c r="X1249" t="s">
        <v>613</v>
      </c>
      <c r="Y1249" t="s">
        <v>1667</v>
      </c>
      <c r="Z1249" t="s">
        <v>1691</v>
      </c>
    </row>
    <row r="1250" spans="24:26" x14ac:dyDescent="0.25">
      <c r="X1250" t="s">
        <v>613</v>
      </c>
      <c r="Y1250" t="s">
        <v>1564</v>
      </c>
      <c r="Z1250" t="s">
        <v>1222</v>
      </c>
    </row>
    <row r="1251" spans="24:26" x14ac:dyDescent="0.25">
      <c r="X1251" t="s">
        <v>613</v>
      </c>
      <c r="Y1251" t="s">
        <v>1565</v>
      </c>
      <c r="Z1251" t="s">
        <v>1222</v>
      </c>
    </row>
    <row r="1252" spans="24:26" x14ac:dyDescent="0.25">
      <c r="X1252" t="s">
        <v>613</v>
      </c>
      <c r="Y1252" t="s">
        <v>1368</v>
      </c>
      <c r="Z1252" t="s">
        <v>1222</v>
      </c>
    </row>
    <row r="1253" spans="24:26" x14ac:dyDescent="0.25">
      <c r="X1253" t="s">
        <v>613</v>
      </c>
      <c r="Y1253" t="s">
        <v>1369</v>
      </c>
      <c r="Z1253" t="s">
        <v>1222</v>
      </c>
    </row>
    <row r="1254" spans="24:26" x14ac:dyDescent="0.25">
      <c r="X1254" t="s">
        <v>613</v>
      </c>
      <c r="Y1254" t="s">
        <v>1371</v>
      </c>
      <c r="Z1254" t="s">
        <v>1222</v>
      </c>
    </row>
    <row r="1255" spans="24:26" x14ac:dyDescent="0.25">
      <c r="X1255" t="s">
        <v>613</v>
      </c>
      <c r="Y1255" t="s">
        <v>1372</v>
      </c>
      <c r="Z1255" t="s">
        <v>1222</v>
      </c>
    </row>
    <row r="1256" spans="24:26" x14ac:dyDescent="0.25">
      <c r="X1256" t="s">
        <v>613</v>
      </c>
      <c r="Y1256" t="s">
        <v>1373</v>
      </c>
      <c r="Z1256" t="s">
        <v>1222</v>
      </c>
    </row>
    <row r="1257" spans="24:26" x14ac:dyDescent="0.25">
      <c r="X1257" t="s">
        <v>613</v>
      </c>
      <c r="Y1257" t="s">
        <v>1374</v>
      </c>
      <c r="Z1257" t="s">
        <v>1222</v>
      </c>
    </row>
    <row r="1258" spans="24:26" x14ac:dyDescent="0.25">
      <c r="X1258" t="s">
        <v>613</v>
      </c>
      <c r="Y1258" t="s">
        <v>1375</v>
      </c>
      <c r="Z1258" t="s">
        <v>1222</v>
      </c>
    </row>
    <row r="1259" spans="24:26" x14ac:dyDescent="0.25">
      <c r="X1259" t="s">
        <v>613</v>
      </c>
      <c r="Y1259" t="s">
        <v>1376</v>
      </c>
      <c r="Z1259" t="s">
        <v>1222</v>
      </c>
    </row>
    <row r="1260" spans="24:26" x14ac:dyDescent="0.25">
      <c r="X1260" t="s">
        <v>613</v>
      </c>
      <c r="Y1260" t="s">
        <v>1245</v>
      </c>
      <c r="Z1260" t="s">
        <v>613</v>
      </c>
    </row>
    <row r="1261" spans="24:26" x14ac:dyDescent="0.25">
      <c r="X1261" t="s">
        <v>613</v>
      </c>
      <c r="Y1261" t="s">
        <v>1566</v>
      </c>
      <c r="Z1261" t="s">
        <v>1222</v>
      </c>
    </row>
    <row r="1262" spans="24:26" x14ac:dyDescent="0.25">
      <c r="X1262" t="s">
        <v>613</v>
      </c>
      <c r="Y1262" t="s">
        <v>1567</v>
      </c>
      <c r="Z1262" t="s">
        <v>1222</v>
      </c>
    </row>
    <row r="1263" spans="24:26" x14ac:dyDescent="0.25">
      <c r="X1263" t="s">
        <v>613</v>
      </c>
      <c r="Y1263" t="s">
        <v>1378</v>
      </c>
      <c r="Z1263" t="s">
        <v>1222</v>
      </c>
    </row>
    <row r="1264" spans="24:26" x14ac:dyDescent="0.25">
      <c r="X1264" t="s">
        <v>613</v>
      </c>
      <c r="Y1264" t="s">
        <v>1381</v>
      </c>
      <c r="Z1264" t="s">
        <v>1755</v>
      </c>
    </row>
    <row r="1265" spans="24:26" x14ac:dyDescent="0.25">
      <c r="X1265" t="s">
        <v>613</v>
      </c>
      <c r="Y1265" t="s">
        <v>1568</v>
      </c>
      <c r="Z1265" t="s">
        <v>1222</v>
      </c>
    </row>
    <row r="1266" spans="24:26" x14ac:dyDescent="0.25">
      <c r="X1266" t="s">
        <v>613</v>
      </c>
      <c r="Y1266" t="s">
        <v>1569</v>
      </c>
      <c r="Z1266" t="s">
        <v>1222</v>
      </c>
    </row>
    <row r="1267" spans="24:26" x14ac:dyDescent="0.25">
      <c r="X1267" t="s">
        <v>613</v>
      </c>
      <c r="Y1267" t="s">
        <v>1570</v>
      </c>
      <c r="Z1267" t="s">
        <v>1222</v>
      </c>
    </row>
    <row r="1268" spans="24:26" x14ac:dyDescent="0.25">
      <c r="X1268" t="s">
        <v>613</v>
      </c>
      <c r="Y1268" t="s">
        <v>1571</v>
      </c>
      <c r="Z1268" t="s">
        <v>1222</v>
      </c>
    </row>
    <row r="1269" spans="24:26" x14ac:dyDescent="0.25">
      <c r="X1269" t="s">
        <v>613</v>
      </c>
      <c r="Y1269" t="s">
        <v>1572</v>
      </c>
      <c r="Z1269" t="s">
        <v>1222</v>
      </c>
    </row>
    <row r="1270" spans="24:26" x14ac:dyDescent="0.25">
      <c r="X1270" t="s">
        <v>613</v>
      </c>
      <c r="Y1270" t="s">
        <v>1382</v>
      </c>
      <c r="Z1270" t="s">
        <v>1222</v>
      </c>
    </row>
    <row r="1271" spans="24:26" x14ac:dyDescent="0.25">
      <c r="X1271" t="s">
        <v>613</v>
      </c>
      <c r="Y1271" t="s">
        <v>1383</v>
      </c>
      <c r="Z1271" t="s">
        <v>1222</v>
      </c>
    </row>
    <row r="1272" spans="24:26" x14ac:dyDescent="0.25">
      <c r="X1272" t="s">
        <v>613</v>
      </c>
      <c r="Y1272" t="s">
        <v>1384</v>
      </c>
      <c r="Z1272" t="s">
        <v>1222</v>
      </c>
    </row>
    <row r="1273" spans="24:26" x14ac:dyDescent="0.25">
      <c r="X1273" t="s">
        <v>613</v>
      </c>
      <c r="Y1273" t="s">
        <v>1573</v>
      </c>
      <c r="Z1273" t="s">
        <v>1222</v>
      </c>
    </row>
    <row r="1274" spans="24:26" x14ac:dyDescent="0.25">
      <c r="X1274" t="s">
        <v>613</v>
      </c>
      <c r="Y1274" t="s">
        <v>1232</v>
      </c>
      <c r="Z1274" t="s">
        <v>1222</v>
      </c>
    </row>
    <row r="1275" spans="24:26" x14ac:dyDescent="0.25">
      <c r="X1275" t="s">
        <v>613</v>
      </c>
      <c r="Y1275" t="s">
        <v>1224</v>
      </c>
      <c r="Z1275" t="s">
        <v>1222</v>
      </c>
    </row>
    <row r="1276" spans="24:26" x14ac:dyDescent="0.25">
      <c r="X1276" t="s">
        <v>613</v>
      </c>
      <c r="Y1276" t="s">
        <v>1394</v>
      </c>
      <c r="Z1276" t="s">
        <v>613</v>
      </c>
    </row>
    <row r="1277" spans="24:26" x14ac:dyDescent="0.25">
      <c r="X1277" t="s">
        <v>613</v>
      </c>
      <c r="Y1277" t="s">
        <v>1395</v>
      </c>
      <c r="Z1277" t="s">
        <v>613</v>
      </c>
    </row>
    <row r="1278" spans="24:26" x14ac:dyDescent="0.25">
      <c r="X1278" t="s">
        <v>613</v>
      </c>
      <c r="Y1278" t="s">
        <v>1396</v>
      </c>
      <c r="Z1278" t="s">
        <v>613</v>
      </c>
    </row>
    <row r="1279" spans="24:26" x14ac:dyDescent="0.25">
      <c r="X1279" t="s">
        <v>613</v>
      </c>
      <c r="Y1279" t="s">
        <v>1397</v>
      </c>
      <c r="Z1279" t="s">
        <v>613</v>
      </c>
    </row>
    <row r="1280" spans="24:26" x14ac:dyDescent="0.25">
      <c r="X1280" t="s">
        <v>613</v>
      </c>
      <c r="Y1280" t="s">
        <v>1398</v>
      </c>
      <c r="Z1280" t="s">
        <v>1222</v>
      </c>
    </row>
    <row r="1281" spans="24:26" x14ac:dyDescent="0.25">
      <c r="X1281" t="s">
        <v>613</v>
      </c>
      <c r="Y1281" t="s">
        <v>1399</v>
      </c>
      <c r="Z1281" t="s">
        <v>1222</v>
      </c>
    </row>
    <row r="1282" spans="24:26" x14ac:dyDescent="0.25">
      <c r="X1282" t="s">
        <v>613</v>
      </c>
      <c r="Y1282" t="s">
        <v>1400</v>
      </c>
      <c r="Z1282" t="s">
        <v>1222</v>
      </c>
    </row>
    <row r="1283" spans="24:26" x14ac:dyDescent="0.25">
      <c r="X1283" t="s">
        <v>613</v>
      </c>
      <c r="Y1283" t="s">
        <v>1401</v>
      </c>
      <c r="Z1283" t="s">
        <v>1222</v>
      </c>
    </row>
    <row r="1284" spans="24:26" x14ac:dyDescent="0.25">
      <c r="X1284" t="s">
        <v>613</v>
      </c>
      <c r="Y1284" t="s">
        <v>1402</v>
      </c>
      <c r="Z1284" t="s">
        <v>1222</v>
      </c>
    </row>
    <row r="1285" spans="24:26" x14ac:dyDescent="0.25">
      <c r="X1285" t="s">
        <v>613</v>
      </c>
      <c r="Y1285" t="s">
        <v>1403</v>
      </c>
      <c r="Z1285" t="s">
        <v>1222</v>
      </c>
    </row>
    <row r="1286" spans="24:26" x14ac:dyDescent="0.25">
      <c r="X1286" t="s">
        <v>613</v>
      </c>
      <c r="Y1286" t="s">
        <v>1404</v>
      </c>
      <c r="Z1286" t="s">
        <v>1222</v>
      </c>
    </row>
    <row r="1287" spans="24:26" x14ac:dyDescent="0.25">
      <c r="X1287" t="s">
        <v>613</v>
      </c>
      <c r="Y1287" t="s">
        <v>1574</v>
      </c>
      <c r="Z1287" t="s">
        <v>1222</v>
      </c>
    </row>
    <row r="1288" spans="24:26" x14ac:dyDescent="0.25">
      <c r="X1288" t="s">
        <v>613</v>
      </c>
      <c r="Y1288" t="s">
        <v>1445</v>
      </c>
      <c r="Z1288" t="s">
        <v>1222</v>
      </c>
    </row>
    <row r="1289" spans="24:26" x14ac:dyDescent="0.25">
      <c r="X1289" t="s">
        <v>613</v>
      </c>
      <c r="Y1289" t="s">
        <v>1446</v>
      </c>
      <c r="Z1289" t="s">
        <v>1222</v>
      </c>
    </row>
    <row r="1290" spans="24:26" x14ac:dyDescent="0.25">
      <c r="X1290" t="s">
        <v>613</v>
      </c>
      <c r="Y1290" t="s">
        <v>1447</v>
      </c>
      <c r="Z1290" t="s">
        <v>1222</v>
      </c>
    </row>
    <row r="1291" spans="24:26" x14ac:dyDescent="0.25">
      <c r="X1291" t="s">
        <v>613</v>
      </c>
      <c r="Y1291" t="s">
        <v>1448</v>
      </c>
      <c r="Z1291" t="s">
        <v>1222</v>
      </c>
    </row>
    <row r="1292" spans="24:26" x14ac:dyDescent="0.25">
      <c r="X1292" t="s">
        <v>613</v>
      </c>
      <c r="Y1292" t="s">
        <v>1449</v>
      </c>
      <c r="Z1292" t="s">
        <v>1222</v>
      </c>
    </row>
    <row r="1293" spans="24:26" x14ac:dyDescent="0.25">
      <c r="X1293" t="s">
        <v>613</v>
      </c>
      <c r="Y1293" t="s">
        <v>1450</v>
      </c>
      <c r="Z1293" t="s">
        <v>1222</v>
      </c>
    </row>
    <row r="1294" spans="24:26" x14ac:dyDescent="0.25">
      <c r="X1294" t="s">
        <v>613</v>
      </c>
      <c r="Y1294" t="s">
        <v>1451</v>
      </c>
      <c r="Z1294" t="s">
        <v>1222</v>
      </c>
    </row>
    <row r="1295" spans="24:26" x14ac:dyDescent="0.25">
      <c r="X1295" t="s">
        <v>613</v>
      </c>
      <c r="Y1295" t="s">
        <v>1452</v>
      </c>
      <c r="Z1295" t="s">
        <v>1222</v>
      </c>
    </row>
    <row r="1296" spans="24:26" x14ac:dyDescent="0.25">
      <c r="X1296" t="s">
        <v>613</v>
      </c>
      <c r="Y1296" t="s">
        <v>1453</v>
      </c>
      <c r="Z1296" t="s">
        <v>1222</v>
      </c>
    </row>
    <row r="1297" spans="24:26" x14ac:dyDescent="0.25">
      <c r="X1297" t="s">
        <v>613</v>
      </c>
      <c r="Y1297" t="s">
        <v>1454</v>
      </c>
      <c r="Z1297" t="s">
        <v>1222</v>
      </c>
    </row>
    <row r="1298" spans="24:26" x14ac:dyDescent="0.25">
      <c r="X1298" t="s">
        <v>613</v>
      </c>
      <c r="Y1298" t="s">
        <v>1455</v>
      </c>
      <c r="Z1298" t="s">
        <v>1222</v>
      </c>
    </row>
    <row r="1299" spans="24:26" x14ac:dyDescent="0.25">
      <c r="X1299" t="s">
        <v>613</v>
      </c>
      <c r="Y1299" t="s">
        <v>1456</v>
      </c>
      <c r="Z1299" t="s">
        <v>1222</v>
      </c>
    </row>
    <row r="1300" spans="24:26" x14ac:dyDescent="0.25">
      <c r="X1300" t="s">
        <v>613</v>
      </c>
      <c r="Y1300" t="s">
        <v>1575</v>
      </c>
      <c r="Z1300" t="s">
        <v>1222</v>
      </c>
    </row>
    <row r="1301" spans="24:26" x14ac:dyDescent="0.25">
      <c r="X1301" t="s">
        <v>613</v>
      </c>
      <c r="Y1301" t="s">
        <v>1457</v>
      </c>
      <c r="Z1301" t="s">
        <v>1222</v>
      </c>
    </row>
    <row r="1302" spans="24:26" x14ac:dyDescent="0.25">
      <c r="X1302" t="s">
        <v>613</v>
      </c>
      <c r="Y1302" t="s">
        <v>1458</v>
      </c>
      <c r="Z1302" t="s">
        <v>1222</v>
      </c>
    </row>
    <row r="1303" spans="24:26" x14ac:dyDescent="0.25">
      <c r="X1303" t="s">
        <v>613</v>
      </c>
      <c r="Y1303" t="s">
        <v>1459</v>
      </c>
      <c r="Z1303" t="s">
        <v>1222</v>
      </c>
    </row>
    <row r="1304" spans="24:26" x14ac:dyDescent="0.25">
      <c r="X1304" t="s">
        <v>613</v>
      </c>
      <c r="Y1304" t="s">
        <v>1229</v>
      </c>
      <c r="Z1304" t="s">
        <v>1222</v>
      </c>
    </row>
    <row r="1305" spans="24:26" x14ac:dyDescent="0.25">
      <c r="X1305" t="s">
        <v>613</v>
      </c>
      <c r="Y1305" t="s">
        <v>1577</v>
      </c>
      <c r="Z1305" t="s">
        <v>1222</v>
      </c>
    </row>
    <row r="1306" spans="24:26" x14ac:dyDescent="0.25">
      <c r="X1306" t="s">
        <v>613</v>
      </c>
      <c r="Y1306" t="s">
        <v>1460</v>
      </c>
      <c r="Z1306" t="s">
        <v>1222</v>
      </c>
    </row>
    <row r="1307" spans="24:26" x14ac:dyDescent="0.25">
      <c r="X1307" t="s">
        <v>613</v>
      </c>
      <c r="Y1307" t="s">
        <v>1534</v>
      </c>
      <c r="Z1307" t="s">
        <v>1723</v>
      </c>
    </row>
    <row r="1308" spans="24:26" x14ac:dyDescent="0.25">
      <c r="X1308" t="s">
        <v>613</v>
      </c>
      <c r="Y1308" t="s">
        <v>1668</v>
      </c>
      <c r="Z1308" t="s">
        <v>1723</v>
      </c>
    </row>
    <row r="1309" spans="24:26" x14ac:dyDescent="0.25">
      <c r="X1309" t="s">
        <v>613</v>
      </c>
      <c r="Y1309" t="s">
        <v>1579</v>
      </c>
      <c r="Z1309" t="s">
        <v>1723</v>
      </c>
    </row>
    <row r="1310" spans="24:26" x14ac:dyDescent="0.25">
      <c r="X1310" t="s">
        <v>613</v>
      </c>
      <c r="Y1310" t="s">
        <v>1465</v>
      </c>
      <c r="Z1310" t="s">
        <v>1723</v>
      </c>
    </row>
    <row r="1311" spans="24:26" x14ac:dyDescent="0.25">
      <c r="X1311" t="s">
        <v>613</v>
      </c>
      <c r="Y1311" t="s">
        <v>1580</v>
      </c>
      <c r="Z1311" t="s">
        <v>1723</v>
      </c>
    </row>
    <row r="1312" spans="24:26" x14ac:dyDescent="0.25">
      <c r="X1312" t="s">
        <v>613</v>
      </c>
      <c r="Y1312" t="s">
        <v>1468</v>
      </c>
      <c r="Z1312" t="s">
        <v>1732</v>
      </c>
    </row>
    <row r="1313" spans="24:26" x14ac:dyDescent="0.25">
      <c r="X1313" t="s">
        <v>613</v>
      </c>
      <c r="Y1313" t="s">
        <v>1469</v>
      </c>
      <c r="Z1313" t="s">
        <v>1732</v>
      </c>
    </row>
    <row r="1314" spans="24:26" x14ac:dyDescent="0.25">
      <c r="X1314" t="s">
        <v>613</v>
      </c>
      <c r="Y1314" t="s">
        <v>1470</v>
      </c>
      <c r="Z1314" t="s">
        <v>1732</v>
      </c>
    </row>
    <row r="1315" spans="24:26" x14ac:dyDescent="0.25">
      <c r="X1315" t="s">
        <v>613</v>
      </c>
      <c r="Y1315" t="s">
        <v>1471</v>
      </c>
      <c r="Z1315" t="s">
        <v>1732</v>
      </c>
    </row>
    <row r="1316" spans="24:26" x14ac:dyDescent="0.25">
      <c r="X1316" t="s">
        <v>613</v>
      </c>
      <c r="Y1316" t="s">
        <v>1623</v>
      </c>
      <c r="Z1316" t="s">
        <v>1723</v>
      </c>
    </row>
    <row r="1317" spans="24:26" x14ac:dyDescent="0.25">
      <c r="X1317" t="s">
        <v>613</v>
      </c>
      <c r="Y1317" t="s">
        <v>1221</v>
      </c>
      <c r="Z1317" t="s">
        <v>1728</v>
      </c>
    </row>
    <row r="1318" spans="24:26" x14ac:dyDescent="0.25">
      <c r="X1318" t="s">
        <v>613</v>
      </c>
      <c r="Y1318" t="s">
        <v>1609</v>
      </c>
      <c r="Z1318" t="s">
        <v>1723</v>
      </c>
    </row>
    <row r="1319" spans="24:26" x14ac:dyDescent="0.25">
      <c r="X1319" t="s">
        <v>613</v>
      </c>
      <c r="Y1319" t="s">
        <v>1610</v>
      </c>
      <c r="Z1319" t="s">
        <v>1723</v>
      </c>
    </row>
    <row r="1320" spans="24:26" x14ac:dyDescent="0.25">
      <c r="X1320" t="s">
        <v>613</v>
      </c>
      <c r="Y1320" t="s">
        <v>1611</v>
      </c>
      <c r="Z1320" t="s">
        <v>1723</v>
      </c>
    </row>
    <row r="1321" spans="24:26" x14ac:dyDescent="0.25">
      <c r="X1321" t="s">
        <v>613</v>
      </c>
      <c r="Y1321" t="s">
        <v>1612</v>
      </c>
      <c r="Z1321" t="s">
        <v>1723</v>
      </c>
    </row>
    <row r="1322" spans="24:26" x14ac:dyDescent="0.25">
      <c r="X1322" t="s">
        <v>613</v>
      </c>
      <c r="Y1322" t="s">
        <v>1613</v>
      </c>
      <c r="Z1322" t="s">
        <v>1723</v>
      </c>
    </row>
    <row r="1323" spans="24:26" x14ac:dyDescent="0.25">
      <c r="X1323" t="s">
        <v>613</v>
      </c>
      <c r="Y1323" t="s">
        <v>1614</v>
      </c>
      <c r="Z1323" t="s">
        <v>1723</v>
      </c>
    </row>
    <row r="1324" spans="24:26" x14ac:dyDescent="0.25">
      <c r="X1324" t="s">
        <v>613</v>
      </c>
      <c r="Y1324" t="s">
        <v>1615</v>
      </c>
      <c r="Z1324" t="s">
        <v>1723</v>
      </c>
    </row>
    <row r="1325" spans="24:26" x14ac:dyDescent="0.25">
      <c r="X1325" t="s">
        <v>613</v>
      </c>
      <c r="Y1325" t="s">
        <v>1616</v>
      </c>
      <c r="Z1325" t="s">
        <v>1723</v>
      </c>
    </row>
    <row r="1326" spans="24:26" x14ac:dyDescent="0.25">
      <c r="X1326" t="s">
        <v>613</v>
      </c>
      <c r="Y1326" t="s">
        <v>1268</v>
      </c>
      <c r="Z1326" t="s">
        <v>1723</v>
      </c>
    </row>
    <row r="1327" spans="24:26" x14ac:dyDescent="0.25">
      <c r="X1327" t="s">
        <v>300</v>
      </c>
    </row>
    <row r="1328" spans="24:26" x14ac:dyDescent="0.25">
      <c r="X1328" t="s">
        <v>613</v>
      </c>
      <c r="Y1328" t="s">
        <v>1547</v>
      </c>
      <c r="Z1328" t="s">
        <v>1735</v>
      </c>
    </row>
    <row r="1329" spans="24:26" x14ac:dyDescent="0.25">
      <c r="X1329" t="s">
        <v>613</v>
      </c>
      <c r="Y1329" t="s">
        <v>1548</v>
      </c>
      <c r="Z1329" t="s">
        <v>1723</v>
      </c>
    </row>
    <row r="1330" spans="24:26" x14ac:dyDescent="0.25">
      <c r="X1330" t="s">
        <v>613</v>
      </c>
      <c r="Y1330" t="s">
        <v>1269</v>
      </c>
      <c r="Z1330" t="s">
        <v>1736</v>
      </c>
    </row>
    <row r="1331" spans="24:26" x14ac:dyDescent="0.25">
      <c r="X1331" t="s">
        <v>613</v>
      </c>
      <c r="Y1331" t="s">
        <v>1270</v>
      </c>
      <c r="Z1331" t="s">
        <v>613</v>
      </c>
    </row>
    <row r="1332" spans="24:26" x14ac:dyDescent="0.25">
      <c r="X1332" t="s">
        <v>613</v>
      </c>
      <c r="Y1332" t="s">
        <v>1242</v>
      </c>
      <c r="Z1332" t="s">
        <v>613</v>
      </c>
    </row>
    <row r="1333" spans="24:26" x14ac:dyDescent="0.25">
      <c r="X1333" t="s">
        <v>613</v>
      </c>
      <c r="Y1333" t="s">
        <v>1617</v>
      </c>
      <c r="Z1333" t="s">
        <v>1723</v>
      </c>
    </row>
    <row r="1334" spans="24:26" x14ac:dyDescent="0.25">
      <c r="X1334" t="s">
        <v>613</v>
      </c>
      <c r="Y1334" t="s">
        <v>1226</v>
      </c>
      <c r="Z1334" t="s">
        <v>1695</v>
      </c>
    </row>
    <row r="1335" spans="24:26" x14ac:dyDescent="0.25">
      <c r="X1335" t="s">
        <v>613</v>
      </c>
      <c r="Y1335" t="s">
        <v>1669</v>
      </c>
      <c r="Z1335" t="s">
        <v>1695</v>
      </c>
    </row>
    <row r="1336" spans="24:26" x14ac:dyDescent="0.25">
      <c r="X1336" t="s">
        <v>613</v>
      </c>
      <c r="Y1336" t="s">
        <v>1670</v>
      </c>
      <c r="Z1336" t="s">
        <v>1695</v>
      </c>
    </row>
    <row r="1337" spans="24:26" x14ac:dyDescent="0.25">
      <c r="X1337" t="s">
        <v>613</v>
      </c>
      <c r="Y1337" t="s">
        <v>1671</v>
      </c>
      <c r="Z1337" t="s">
        <v>1695</v>
      </c>
    </row>
    <row r="1338" spans="24:26" x14ac:dyDescent="0.25">
      <c r="X1338" t="s">
        <v>613</v>
      </c>
      <c r="Y1338" t="s">
        <v>1672</v>
      </c>
      <c r="Z1338" t="s">
        <v>1695</v>
      </c>
    </row>
    <row r="1339" spans="24:26" x14ac:dyDescent="0.25">
      <c r="X1339" t="s">
        <v>613</v>
      </c>
      <c r="Y1339" t="s">
        <v>1673</v>
      </c>
      <c r="Z1339" t="s">
        <v>1695</v>
      </c>
    </row>
    <row r="1340" spans="24:26" x14ac:dyDescent="0.25">
      <c r="X1340" t="s">
        <v>613</v>
      </c>
      <c r="Y1340" t="s">
        <v>1674</v>
      </c>
      <c r="Z1340" t="s">
        <v>1695</v>
      </c>
    </row>
    <row r="1341" spans="24:26" x14ac:dyDescent="0.25">
      <c r="X1341" t="s">
        <v>613</v>
      </c>
      <c r="Y1341" t="s">
        <v>1675</v>
      </c>
      <c r="Z1341" t="s">
        <v>1695</v>
      </c>
    </row>
    <row r="1342" spans="24:26" x14ac:dyDescent="0.25">
      <c r="X1342" t="s">
        <v>613</v>
      </c>
      <c r="Y1342" t="s">
        <v>1676</v>
      </c>
      <c r="Z1342" t="s">
        <v>1695</v>
      </c>
    </row>
    <row r="1343" spans="24:26" x14ac:dyDescent="0.25">
      <c r="X1343" t="s">
        <v>613</v>
      </c>
      <c r="Y1343" t="s">
        <v>1677</v>
      </c>
      <c r="Z1343" t="s">
        <v>1695</v>
      </c>
    </row>
    <row r="1344" spans="24:26" x14ac:dyDescent="0.25">
      <c r="X1344" t="s">
        <v>613</v>
      </c>
      <c r="Y1344" t="s">
        <v>1678</v>
      </c>
      <c r="Z1344" t="s">
        <v>1695</v>
      </c>
    </row>
    <row r="1345" spans="24:26" x14ac:dyDescent="0.25">
      <c r="X1345" t="s">
        <v>613</v>
      </c>
      <c r="Y1345" t="s">
        <v>1679</v>
      </c>
      <c r="Z1345" t="s">
        <v>1691</v>
      </c>
    </row>
    <row r="1346" spans="24:26" x14ac:dyDescent="0.25">
      <c r="X1346" t="s">
        <v>613</v>
      </c>
      <c r="Y1346" t="s">
        <v>1680</v>
      </c>
      <c r="Z1346" t="s">
        <v>1691</v>
      </c>
    </row>
    <row r="1347" spans="24:26" x14ac:dyDescent="0.25">
      <c r="X1347" t="s">
        <v>613</v>
      </c>
      <c r="Y1347" t="s">
        <v>1681</v>
      </c>
      <c r="Z1347" t="s">
        <v>1691</v>
      </c>
    </row>
    <row r="1348" spans="24:26" x14ac:dyDescent="0.25">
      <c r="X1348" t="s">
        <v>613</v>
      </c>
      <c r="Y1348" t="s">
        <v>1682</v>
      </c>
      <c r="Z1348" t="s">
        <v>1691</v>
      </c>
    </row>
    <row r="1349" spans="24:26" x14ac:dyDescent="0.25">
      <c r="X1349" t="s">
        <v>613</v>
      </c>
      <c r="Y1349" t="s">
        <v>1683</v>
      </c>
      <c r="Z1349" t="s">
        <v>1691</v>
      </c>
    </row>
    <row r="1350" spans="24:26" x14ac:dyDescent="0.25">
      <c r="X1350" t="s">
        <v>613</v>
      </c>
      <c r="Y1350" t="s">
        <v>1564</v>
      </c>
      <c r="Z1350" t="s">
        <v>1222</v>
      </c>
    </row>
    <row r="1351" spans="24:26" x14ac:dyDescent="0.25">
      <c r="X1351" t="s">
        <v>613</v>
      </c>
      <c r="Y1351" t="s">
        <v>1565</v>
      </c>
      <c r="Z1351" t="s">
        <v>1222</v>
      </c>
    </row>
    <row r="1352" spans="24:26" x14ac:dyDescent="0.25">
      <c r="X1352" t="s">
        <v>613</v>
      </c>
      <c r="Y1352" t="s">
        <v>1368</v>
      </c>
      <c r="Z1352" t="s">
        <v>1222</v>
      </c>
    </row>
    <row r="1353" spans="24:26" x14ac:dyDescent="0.25">
      <c r="X1353" t="s">
        <v>613</v>
      </c>
      <c r="Y1353" t="s">
        <v>1369</v>
      </c>
      <c r="Z1353" t="s">
        <v>1222</v>
      </c>
    </row>
    <row r="1354" spans="24:26" x14ac:dyDescent="0.25">
      <c r="X1354" t="s">
        <v>613</v>
      </c>
      <c r="Y1354" t="s">
        <v>1370</v>
      </c>
      <c r="Z1354" t="s">
        <v>1222</v>
      </c>
    </row>
    <row r="1355" spans="24:26" x14ac:dyDescent="0.25">
      <c r="X1355" t="s">
        <v>613</v>
      </c>
      <c r="Y1355" t="s">
        <v>1371</v>
      </c>
      <c r="Z1355" t="s">
        <v>1222</v>
      </c>
    </row>
    <row r="1356" spans="24:26" x14ac:dyDescent="0.25">
      <c r="X1356" t="s">
        <v>613</v>
      </c>
      <c r="Y1356" t="s">
        <v>1372</v>
      </c>
      <c r="Z1356" t="s">
        <v>1222</v>
      </c>
    </row>
    <row r="1357" spans="24:26" x14ac:dyDescent="0.25">
      <c r="X1357" t="s">
        <v>613</v>
      </c>
      <c r="Y1357" t="s">
        <v>1373</v>
      </c>
      <c r="Z1357" t="s">
        <v>1222</v>
      </c>
    </row>
    <row r="1358" spans="24:26" x14ac:dyDescent="0.25">
      <c r="X1358" t="s">
        <v>613</v>
      </c>
      <c r="Y1358" t="s">
        <v>1374</v>
      </c>
      <c r="Z1358" t="s">
        <v>1222</v>
      </c>
    </row>
    <row r="1359" spans="24:26" x14ac:dyDescent="0.25">
      <c r="X1359" t="s">
        <v>613</v>
      </c>
      <c r="Y1359" t="s">
        <v>1375</v>
      </c>
      <c r="Z1359" t="s">
        <v>1222</v>
      </c>
    </row>
    <row r="1360" spans="24:26" x14ac:dyDescent="0.25">
      <c r="X1360" t="s">
        <v>613</v>
      </c>
      <c r="Y1360" t="s">
        <v>1376</v>
      </c>
      <c r="Z1360" t="s">
        <v>1222</v>
      </c>
    </row>
    <row r="1361" spans="24:26" x14ac:dyDescent="0.25">
      <c r="X1361" t="s">
        <v>613</v>
      </c>
      <c r="Y1361" t="s">
        <v>1245</v>
      </c>
      <c r="Z1361" t="s">
        <v>613</v>
      </c>
    </row>
    <row r="1362" spans="24:26" x14ac:dyDescent="0.25">
      <c r="X1362" t="s">
        <v>613</v>
      </c>
      <c r="Y1362" t="s">
        <v>1566</v>
      </c>
      <c r="Z1362" t="s">
        <v>1222</v>
      </c>
    </row>
    <row r="1363" spans="24:26" x14ac:dyDescent="0.25">
      <c r="X1363" t="s">
        <v>613</v>
      </c>
      <c r="Y1363" t="s">
        <v>1567</v>
      </c>
      <c r="Z1363" t="s">
        <v>1222</v>
      </c>
    </row>
    <row r="1364" spans="24:26" x14ac:dyDescent="0.25">
      <c r="X1364" t="s">
        <v>613</v>
      </c>
      <c r="Y1364" t="s">
        <v>1378</v>
      </c>
      <c r="Z1364" t="s">
        <v>1222</v>
      </c>
    </row>
    <row r="1365" spans="24:26" x14ac:dyDescent="0.25">
      <c r="X1365" t="s">
        <v>613</v>
      </c>
      <c r="Y1365" t="s">
        <v>1381</v>
      </c>
      <c r="Z1365" t="s">
        <v>1755</v>
      </c>
    </row>
    <row r="1366" spans="24:26" x14ac:dyDescent="0.25">
      <c r="X1366" t="s">
        <v>613</v>
      </c>
      <c r="Y1366" t="s">
        <v>1568</v>
      </c>
      <c r="Z1366" t="s">
        <v>1222</v>
      </c>
    </row>
    <row r="1367" spans="24:26" x14ac:dyDescent="0.25">
      <c r="X1367" t="s">
        <v>613</v>
      </c>
      <c r="Y1367" t="s">
        <v>1569</v>
      </c>
      <c r="Z1367" t="s">
        <v>1222</v>
      </c>
    </row>
    <row r="1368" spans="24:26" x14ac:dyDescent="0.25">
      <c r="X1368" t="s">
        <v>613</v>
      </c>
      <c r="Y1368" t="s">
        <v>1570</v>
      </c>
      <c r="Z1368" t="s">
        <v>1222</v>
      </c>
    </row>
    <row r="1369" spans="24:26" x14ac:dyDescent="0.25">
      <c r="X1369" t="s">
        <v>613</v>
      </c>
      <c r="Y1369" t="s">
        <v>1571</v>
      </c>
      <c r="Z1369" t="s">
        <v>1222</v>
      </c>
    </row>
    <row r="1370" spans="24:26" x14ac:dyDescent="0.25">
      <c r="X1370" t="s">
        <v>613</v>
      </c>
      <c r="Y1370" t="s">
        <v>1572</v>
      </c>
      <c r="Z1370" t="s">
        <v>1222</v>
      </c>
    </row>
    <row r="1371" spans="24:26" x14ac:dyDescent="0.25">
      <c r="X1371" t="s">
        <v>613</v>
      </c>
      <c r="Y1371" t="s">
        <v>1382</v>
      </c>
      <c r="Z1371" t="s">
        <v>1222</v>
      </c>
    </row>
    <row r="1372" spans="24:26" x14ac:dyDescent="0.25">
      <c r="X1372" t="s">
        <v>613</v>
      </c>
      <c r="Y1372" t="s">
        <v>1383</v>
      </c>
      <c r="Z1372" t="s">
        <v>1222</v>
      </c>
    </row>
    <row r="1373" spans="24:26" x14ac:dyDescent="0.25">
      <c r="X1373" t="s">
        <v>613</v>
      </c>
      <c r="Y1373" t="s">
        <v>1384</v>
      </c>
      <c r="Z1373" t="s">
        <v>1222</v>
      </c>
    </row>
    <row r="1374" spans="24:26" x14ac:dyDescent="0.25">
      <c r="X1374" t="s">
        <v>613</v>
      </c>
      <c r="Y1374" t="s">
        <v>1573</v>
      </c>
      <c r="Z1374" t="s">
        <v>1222</v>
      </c>
    </row>
    <row r="1375" spans="24:26" x14ac:dyDescent="0.25">
      <c r="X1375" t="s">
        <v>613</v>
      </c>
      <c r="Y1375" t="s">
        <v>1232</v>
      </c>
      <c r="Z1375" t="s">
        <v>1222</v>
      </c>
    </row>
    <row r="1376" spans="24:26" x14ac:dyDescent="0.25">
      <c r="X1376" t="s">
        <v>613</v>
      </c>
      <c r="Y1376" t="s">
        <v>1394</v>
      </c>
      <c r="Z1376" t="s">
        <v>613</v>
      </c>
    </row>
    <row r="1377" spans="24:26" x14ac:dyDescent="0.25">
      <c r="X1377" t="s">
        <v>613</v>
      </c>
      <c r="Y1377" t="s">
        <v>1395</v>
      </c>
      <c r="Z1377" t="s">
        <v>613</v>
      </c>
    </row>
    <row r="1378" spans="24:26" x14ac:dyDescent="0.25">
      <c r="X1378" t="s">
        <v>613</v>
      </c>
      <c r="Y1378" t="s">
        <v>1396</v>
      </c>
      <c r="Z1378" t="s">
        <v>613</v>
      </c>
    </row>
    <row r="1379" spans="24:26" x14ac:dyDescent="0.25">
      <c r="X1379" t="s">
        <v>613</v>
      </c>
      <c r="Y1379" t="s">
        <v>1397</v>
      </c>
      <c r="Z1379" t="s">
        <v>613</v>
      </c>
    </row>
    <row r="1380" spans="24:26" x14ac:dyDescent="0.25">
      <c r="X1380" t="s">
        <v>613</v>
      </c>
      <c r="Y1380" t="s">
        <v>1398</v>
      </c>
      <c r="Z1380" t="s">
        <v>1222</v>
      </c>
    </row>
    <row r="1381" spans="24:26" x14ac:dyDescent="0.25">
      <c r="X1381" t="s">
        <v>613</v>
      </c>
      <c r="Y1381" t="s">
        <v>1399</v>
      </c>
      <c r="Z1381" t="s">
        <v>1222</v>
      </c>
    </row>
    <row r="1382" spans="24:26" x14ac:dyDescent="0.25">
      <c r="X1382" t="s">
        <v>613</v>
      </c>
      <c r="Y1382" t="s">
        <v>1400</v>
      </c>
      <c r="Z1382" t="s">
        <v>1222</v>
      </c>
    </row>
    <row r="1383" spans="24:26" x14ac:dyDescent="0.25">
      <c r="X1383" t="s">
        <v>613</v>
      </c>
      <c r="Y1383" t="s">
        <v>1401</v>
      </c>
      <c r="Z1383" t="s">
        <v>1222</v>
      </c>
    </row>
    <row r="1384" spans="24:26" x14ac:dyDescent="0.25">
      <c r="X1384" t="s">
        <v>613</v>
      </c>
      <c r="Y1384" t="s">
        <v>1402</v>
      </c>
      <c r="Z1384" t="s">
        <v>1222</v>
      </c>
    </row>
    <row r="1385" spans="24:26" x14ac:dyDescent="0.25">
      <c r="X1385" t="s">
        <v>613</v>
      </c>
      <c r="Y1385" t="s">
        <v>1403</v>
      </c>
      <c r="Z1385" t="s">
        <v>1222</v>
      </c>
    </row>
    <row r="1386" spans="24:26" x14ac:dyDescent="0.25">
      <c r="X1386" t="s">
        <v>613</v>
      </c>
      <c r="Y1386" t="s">
        <v>1404</v>
      </c>
      <c r="Z1386" t="s">
        <v>1222</v>
      </c>
    </row>
    <row r="1387" spans="24:26" x14ac:dyDescent="0.25">
      <c r="X1387" t="s">
        <v>613</v>
      </c>
      <c r="Y1387" t="s">
        <v>1574</v>
      </c>
      <c r="Z1387" t="s">
        <v>1222</v>
      </c>
    </row>
    <row r="1388" spans="24:26" x14ac:dyDescent="0.25">
      <c r="X1388" t="s">
        <v>613</v>
      </c>
      <c r="Y1388" t="s">
        <v>1445</v>
      </c>
      <c r="Z1388" t="s">
        <v>1222</v>
      </c>
    </row>
    <row r="1389" spans="24:26" x14ac:dyDescent="0.25">
      <c r="X1389" t="s">
        <v>613</v>
      </c>
      <c r="Y1389" t="s">
        <v>1446</v>
      </c>
      <c r="Z1389" t="s">
        <v>1222</v>
      </c>
    </row>
    <row r="1390" spans="24:26" x14ac:dyDescent="0.25">
      <c r="X1390" t="s">
        <v>613</v>
      </c>
      <c r="Y1390" t="s">
        <v>1447</v>
      </c>
      <c r="Z1390" t="s">
        <v>1222</v>
      </c>
    </row>
    <row r="1391" spans="24:26" x14ac:dyDescent="0.25">
      <c r="X1391" t="s">
        <v>613</v>
      </c>
      <c r="Y1391" t="s">
        <v>1448</v>
      </c>
      <c r="Z1391" t="s">
        <v>1222</v>
      </c>
    </row>
    <row r="1392" spans="24:26" x14ac:dyDescent="0.25">
      <c r="X1392" t="s">
        <v>613</v>
      </c>
      <c r="Y1392" t="s">
        <v>1449</v>
      </c>
      <c r="Z1392" t="s">
        <v>1222</v>
      </c>
    </row>
    <row r="1393" spans="24:26" x14ac:dyDescent="0.25">
      <c r="X1393" t="s">
        <v>613</v>
      </c>
      <c r="Y1393" t="s">
        <v>1450</v>
      </c>
      <c r="Z1393" t="s">
        <v>1222</v>
      </c>
    </row>
    <row r="1394" spans="24:26" x14ac:dyDescent="0.25">
      <c r="X1394" t="s">
        <v>613</v>
      </c>
      <c r="Y1394" t="s">
        <v>1451</v>
      </c>
      <c r="Z1394" t="s">
        <v>1222</v>
      </c>
    </row>
    <row r="1395" spans="24:26" x14ac:dyDescent="0.25">
      <c r="X1395" t="s">
        <v>613</v>
      </c>
      <c r="Y1395" t="s">
        <v>1452</v>
      </c>
      <c r="Z1395" t="s">
        <v>1222</v>
      </c>
    </row>
    <row r="1396" spans="24:26" x14ac:dyDescent="0.25">
      <c r="X1396" t="s">
        <v>613</v>
      </c>
      <c r="Y1396" t="s">
        <v>1453</v>
      </c>
      <c r="Z1396" t="s">
        <v>1222</v>
      </c>
    </row>
    <row r="1397" spans="24:26" x14ac:dyDescent="0.25">
      <c r="X1397" t="s">
        <v>613</v>
      </c>
      <c r="Y1397" t="s">
        <v>1454</v>
      </c>
      <c r="Z1397" t="s">
        <v>1222</v>
      </c>
    </row>
    <row r="1398" spans="24:26" x14ac:dyDescent="0.25">
      <c r="X1398" t="s">
        <v>613</v>
      </c>
      <c r="Y1398" t="s">
        <v>1455</v>
      </c>
      <c r="Z1398" t="s">
        <v>1222</v>
      </c>
    </row>
    <row r="1399" spans="24:26" x14ac:dyDescent="0.25">
      <c r="X1399" t="s">
        <v>613</v>
      </c>
      <c r="Y1399" t="s">
        <v>1456</v>
      </c>
      <c r="Z1399" t="s">
        <v>1222</v>
      </c>
    </row>
    <row r="1400" spans="24:26" x14ac:dyDescent="0.25">
      <c r="X1400" t="s">
        <v>613</v>
      </c>
      <c r="Y1400" t="s">
        <v>1575</v>
      </c>
      <c r="Z1400" t="s">
        <v>1222</v>
      </c>
    </row>
    <row r="1401" spans="24:26" x14ac:dyDescent="0.25">
      <c r="X1401" t="s">
        <v>613</v>
      </c>
      <c r="Y1401" t="s">
        <v>1457</v>
      </c>
      <c r="Z1401" t="s">
        <v>1222</v>
      </c>
    </row>
    <row r="1402" spans="24:26" x14ac:dyDescent="0.25">
      <c r="X1402" t="s">
        <v>613</v>
      </c>
      <c r="Y1402" t="s">
        <v>1458</v>
      </c>
      <c r="Z1402" t="s">
        <v>1222</v>
      </c>
    </row>
    <row r="1403" spans="24:26" x14ac:dyDescent="0.25">
      <c r="X1403" t="s">
        <v>613</v>
      </c>
      <c r="Y1403" t="s">
        <v>1459</v>
      </c>
      <c r="Z1403" t="s">
        <v>1222</v>
      </c>
    </row>
    <row r="1404" spans="24:26" x14ac:dyDescent="0.25">
      <c r="X1404" t="s">
        <v>613</v>
      </c>
      <c r="Y1404" t="s">
        <v>1577</v>
      </c>
      <c r="Z1404" t="s">
        <v>1222</v>
      </c>
    </row>
    <row r="1405" spans="24:26" x14ac:dyDescent="0.25">
      <c r="X1405" t="s">
        <v>613</v>
      </c>
      <c r="Y1405" t="s">
        <v>1460</v>
      </c>
      <c r="Z1405" t="s">
        <v>1222</v>
      </c>
    </row>
    <row r="1406" spans="24:26" x14ac:dyDescent="0.25">
      <c r="X1406" t="s">
        <v>613</v>
      </c>
      <c r="Y1406" t="s">
        <v>1625</v>
      </c>
      <c r="Z1406" t="s">
        <v>1723</v>
      </c>
    </row>
    <row r="1407" spans="24:26" x14ac:dyDescent="0.25">
      <c r="X1407" t="s">
        <v>613</v>
      </c>
      <c r="Y1407" t="s">
        <v>1668</v>
      </c>
      <c r="Z1407" t="s">
        <v>1723</v>
      </c>
    </row>
    <row r="1408" spans="24:26" x14ac:dyDescent="0.25">
      <c r="X1408" t="s">
        <v>613</v>
      </c>
      <c r="Y1408" t="s">
        <v>1579</v>
      </c>
      <c r="Z1408" t="s">
        <v>1723</v>
      </c>
    </row>
    <row r="1409" spans="24:26" x14ac:dyDescent="0.25">
      <c r="X1409" t="s">
        <v>613</v>
      </c>
      <c r="Y1409" t="s">
        <v>1465</v>
      </c>
      <c r="Z1409" t="s">
        <v>1723</v>
      </c>
    </row>
    <row r="1410" spans="24:26" x14ac:dyDescent="0.25">
      <c r="X1410" t="s">
        <v>613</v>
      </c>
      <c r="Y1410" t="s">
        <v>1580</v>
      </c>
      <c r="Z1410" t="s">
        <v>1723</v>
      </c>
    </row>
    <row r="1411" spans="24:26" x14ac:dyDescent="0.25">
      <c r="X1411" t="s">
        <v>613</v>
      </c>
      <c r="Y1411" t="s">
        <v>1468</v>
      </c>
      <c r="Z1411" t="s">
        <v>1732</v>
      </c>
    </row>
    <row r="1412" spans="24:26" x14ac:dyDescent="0.25">
      <c r="X1412" t="s">
        <v>613</v>
      </c>
      <c r="Y1412" t="s">
        <v>1469</v>
      </c>
      <c r="Z1412" t="s">
        <v>1732</v>
      </c>
    </row>
    <row r="1413" spans="24:26" x14ac:dyDescent="0.25">
      <c r="X1413" t="s">
        <v>613</v>
      </c>
      <c r="Y1413" t="s">
        <v>1470</v>
      </c>
      <c r="Z1413" t="s">
        <v>1732</v>
      </c>
    </row>
    <row r="1414" spans="24:26" x14ac:dyDescent="0.25">
      <c r="X1414" t="s">
        <v>613</v>
      </c>
      <c r="Y1414" t="s">
        <v>1471</v>
      </c>
      <c r="Z1414" t="s">
        <v>1732</v>
      </c>
    </row>
    <row r="1415" spans="24:26" x14ac:dyDescent="0.25">
      <c r="X1415" t="s">
        <v>613</v>
      </c>
      <c r="Y1415" t="s">
        <v>1623</v>
      </c>
      <c r="Z1415" t="s">
        <v>1723</v>
      </c>
    </row>
    <row r="1416" spans="24:26" x14ac:dyDescent="0.25">
      <c r="X1416" t="s">
        <v>613</v>
      </c>
      <c r="Y1416" t="s">
        <v>1221</v>
      </c>
      <c r="Z1416" t="s">
        <v>1748</v>
      </c>
    </row>
    <row r="1417" spans="24:26" x14ac:dyDescent="0.25">
      <c r="X1417" t="s">
        <v>613</v>
      </c>
      <c r="Y1417" t="s">
        <v>1267</v>
      </c>
      <c r="Z1417" t="s">
        <v>1723</v>
      </c>
    </row>
    <row r="1418" spans="24:26" x14ac:dyDescent="0.25">
      <c r="X1418" t="s">
        <v>613</v>
      </c>
      <c r="Y1418" t="s">
        <v>1268</v>
      </c>
      <c r="Z1418" t="s">
        <v>1723</v>
      </c>
    </row>
    <row r="1419" spans="24:26" x14ac:dyDescent="0.25">
      <c r="X1419" t="s">
        <v>613</v>
      </c>
      <c r="Y1419" t="s">
        <v>1269</v>
      </c>
      <c r="Z1419" t="s">
        <v>1736</v>
      </c>
    </row>
    <row r="1420" spans="24:26" x14ac:dyDescent="0.25">
      <c r="X1420" t="s">
        <v>613</v>
      </c>
      <c r="Y1420" t="s">
        <v>1270</v>
      </c>
      <c r="Z1420" t="s">
        <v>613</v>
      </c>
    </row>
    <row r="1421" spans="24:26" x14ac:dyDescent="0.25">
      <c r="X1421" t="s">
        <v>613</v>
      </c>
      <c r="Y1421" t="s">
        <v>1242</v>
      </c>
      <c r="Z1421" t="s">
        <v>613</v>
      </c>
    </row>
    <row r="1422" spans="24:26" x14ac:dyDescent="0.25">
      <c r="X1422" t="s">
        <v>613</v>
      </c>
      <c r="Y1422" t="s">
        <v>1271</v>
      </c>
      <c r="Z1422" t="s">
        <v>1707</v>
      </c>
    </row>
    <row r="1423" spans="24:26" x14ac:dyDescent="0.25">
      <c r="X1423" t="s">
        <v>613</v>
      </c>
      <c r="Y1423" t="s">
        <v>1272</v>
      </c>
      <c r="Z1423" t="s">
        <v>613</v>
      </c>
    </row>
    <row r="1424" spans="24:26" x14ac:dyDescent="0.25">
      <c r="X1424" t="s">
        <v>613</v>
      </c>
      <c r="Y1424" t="s">
        <v>1273</v>
      </c>
      <c r="Z1424" t="s">
        <v>613</v>
      </c>
    </row>
    <row r="1425" spans="24:26" x14ac:dyDescent="0.25">
      <c r="X1425" t="s">
        <v>613</v>
      </c>
      <c r="Y1425" t="s">
        <v>1274</v>
      </c>
      <c r="Z1425" t="s">
        <v>613</v>
      </c>
    </row>
    <row r="1426" spans="24:26" x14ac:dyDescent="0.25">
      <c r="X1426" t="s">
        <v>120</v>
      </c>
    </row>
    <row r="1427" spans="24:26" x14ac:dyDescent="0.25">
      <c r="X1427" t="s">
        <v>613</v>
      </c>
      <c r="Y1427" t="s">
        <v>1275</v>
      </c>
      <c r="Z1427" t="s">
        <v>613</v>
      </c>
    </row>
    <row r="1428" spans="24:26" x14ac:dyDescent="0.25">
      <c r="X1428" t="s">
        <v>613</v>
      </c>
      <c r="Y1428" t="s">
        <v>1276</v>
      </c>
      <c r="Z1428" t="s">
        <v>1723</v>
      </c>
    </row>
    <row r="1429" spans="24:26" x14ac:dyDescent="0.25">
      <c r="X1429" t="s">
        <v>613</v>
      </c>
      <c r="Y1429" t="s">
        <v>1277</v>
      </c>
      <c r="Z1429" t="s">
        <v>1720</v>
      </c>
    </row>
    <row r="1430" spans="24:26" x14ac:dyDescent="0.25">
      <c r="X1430" t="s">
        <v>613</v>
      </c>
      <c r="Y1430" t="s">
        <v>1278</v>
      </c>
      <c r="Z1430" t="s">
        <v>1721</v>
      </c>
    </row>
    <row r="1431" spans="24:26" x14ac:dyDescent="0.25">
      <c r="X1431" t="s">
        <v>613</v>
      </c>
      <c r="Y1431" t="s">
        <v>1279</v>
      </c>
      <c r="Z1431" t="s">
        <v>1707</v>
      </c>
    </row>
    <row r="1432" spans="24:26" x14ac:dyDescent="0.25">
      <c r="X1432" t="s">
        <v>613</v>
      </c>
      <c r="Y1432" t="s">
        <v>1280</v>
      </c>
      <c r="Z1432" t="s">
        <v>1722</v>
      </c>
    </row>
    <row r="1433" spans="24:26" x14ac:dyDescent="0.25">
      <c r="X1433" t="s">
        <v>613</v>
      </c>
      <c r="Y1433" t="s">
        <v>1281</v>
      </c>
      <c r="Z1433" t="s">
        <v>1723</v>
      </c>
    </row>
    <row r="1434" spans="24:26" x14ac:dyDescent="0.25">
      <c r="X1434" t="s">
        <v>613</v>
      </c>
      <c r="Y1434" t="s">
        <v>1282</v>
      </c>
      <c r="Z1434" t="s">
        <v>1723</v>
      </c>
    </row>
    <row r="1435" spans="24:26" x14ac:dyDescent="0.25">
      <c r="X1435" t="s">
        <v>613</v>
      </c>
      <c r="Y1435" t="s">
        <v>1283</v>
      </c>
      <c r="Z1435" t="s">
        <v>1723</v>
      </c>
    </row>
    <row r="1436" spans="24:26" x14ac:dyDescent="0.25">
      <c r="X1436" t="s">
        <v>613</v>
      </c>
      <c r="Y1436" t="s">
        <v>1284</v>
      </c>
      <c r="Z1436" t="s">
        <v>1723</v>
      </c>
    </row>
    <row r="1437" spans="24:26" x14ac:dyDescent="0.25">
      <c r="X1437" t="s">
        <v>613</v>
      </c>
      <c r="Y1437" t="s">
        <v>1285</v>
      </c>
      <c r="Z1437" t="s">
        <v>1723</v>
      </c>
    </row>
    <row r="1438" spans="24:26" x14ac:dyDescent="0.25">
      <c r="X1438" t="s">
        <v>613</v>
      </c>
      <c r="Y1438" t="s">
        <v>1286</v>
      </c>
      <c r="Z1438" t="s">
        <v>1723</v>
      </c>
    </row>
    <row r="1439" spans="24:26" x14ac:dyDescent="0.25">
      <c r="X1439" t="s">
        <v>613</v>
      </c>
      <c r="Y1439" t="s">
        <v>1287</v>
      </c>
      <c r="Z1439" t="s">
        <v>1723</v>
      </c>
    </row>
    <row r="1440" spans="24:26" x14ac:dyDescent="0.25">
      <c r="X1440" t="s">
        <v>613</v>
      </c>
      <c r="Y1440" t="s">
        <v>1288</v>
      </c>
      <c r="Z1440" t="s">
        <v>1731</v>
      </c>
    </row>
    <row r="1441" spans="24:26" x14ac:dyDescent="0.25">
      <c r="X1441" t="s">
        <v>613</v>
      </c>
      <c r="Y1441" t="s">
        <v>1289</v>
      </c>
      <c r="Z1441" t="s">
        <v>1723</v>
      </c>
    </row>
    <row r="1442" spans="24:26" x14ac:dyDescent="0.25">
      <c r="X1442" t="s">
        <v>613</v>
      </c>
      <c r="Y1442" t="s">
        <v>1290</v>
      </c>
      <c r="Z1442" t="s">
        <v>1723</v>
      </c>
    </row>
    <row r="1443" spans="24:26" x14ac:dyDescent="0.25">
      <c r="X1443" t="s">
        <v>613</v>
      </c>
      <c r="Y1443" t="s">
        <v>1291</v>
      </c>
      <c r="Z1443" t="s">
        <v>1707</v>
      </c>
    </row>
    <row r="1444" spans="24:26" x14ac:dyDescent="0.25">
      <c r="X1444" t="s">
        <v>613</v>
      </c>
      <c r="Y1444" t="s">
        <v>1292</v>
      </c>
      <c r="Z1444" t="s">
        <v>1723</v>
      </c>
    </row>
    <row r="1445" spans="24:26" x14ac:dyDescent="0.25">
      <c r="X1445" t="s">
        <v>613</v>
      </c>
      <c r="Y1445" t="s">
        <v>1293</v>
      </c>
      <c r="Z1445" t="s">
        <v>1723</v>
      </c>
    </row>
    <row r="1446" spans="24:26" x14ac:dyDescent="0.25">
      <c r="X1446" t="s">
        <v>613</v>
      </c>
      <c r="Y1446" t="s">
        <v>1294</v>
      </c>
      <c r="Z1446" t="s">
        <v>1723</v>
      </c>
    </row>
    <row r="1447" spans="24:26" x14ac:dyDescent="0.25">
      <c r="X1447" t="s">
        <v>613</v>
      </c>
      <c r="Y1447" t="s">
        <v>1295</v>
      </c>
      <c r="Z1447" t="s">
        <v>1723</v>
      </c>
    </row>
    <row r="1448" spans="24:26" x14ac:dyDescent="0.25">
      <c r="X1448" t="s">
        <v>613</v>
      </c>
      <c r="Y1448" t="s">
        <v>1296</v>
      </c>
      <c r="Z1448" t="s">
        <v>1723</v>
      </c>
    </row>
    <row r="1449" spans="24:26" x14ac:dyDescent="0.25">
      <c r="X1449" t="s">
        <v>613</v>
      </c>
      <c r="Y1449" t="s">
        <v>1297</v>
      </c>
      <c r="Z1449" t="s">
        <v>1723</v>
      </c>
    </row>
    <row r="1450" spans="24:26" x14ac:dyDescent="0.25">
      <c r="X1450" t="s">
        <v>613</v>
      </c>
      <c r="Y1450" t="s">
        <v>1298</v>
      </c>
      <c r="Z1450" t="s">
        <v>1723</v>
      </c>
    </row>
    <row r="1451" spans="24:26" x14ac:dyDescent="0.25">
      <c r="X1451" t="s">
        <v>613</v>
      </c>
      <c r="Y1451" t="s">
        <v>1299</v>
      </c>
      <c r="Z1451" t="s">
        <v>1757</v>
      </c>
    </row>
    <row r="1452" spans="24:26" x14ac:dyDescent="0.25">
      <c r="X1452" t="s">
        <v>613</v>
      </c>
      <c r="Y1452" t="s">
        <v>1300</v>
      </c>
      <c r="Z1452" t="s">
        <v>1757</v>
      </c>
    </row>
    <row r="1453" spans="24:26" x14ac:dyDescent="0.25">
      <c r="X1453" t="s">
        <v>613</v>
      </c>
      <c r="Y1453" t="s">
        <v>1301</v>
      </c>
      <c r="Z1453" t="s">
        <v>1757</v>
      </c>
    </row>
    <row r="1454" spans="24:26" x14ac:dyDescent="0.25">
      <c r="X1454" t="s">
        <v>613</v>
      </c>
      <c r="Y1454" t="s">
        <v>1302</v>
      </c>
      <c r="Z1454" t="s">
        <v>1757</v>
      </c>
    </row>
    <row r="1455" spans="24:26" x14ac:dyDescent="0.25">
      <c r="X1455" t="s">
        <v>613</v>
      </c>
      <c r="Y1455" t="s">
        <v>1303</v>
      </c>
      <c r="Z1455" t="s">
        <v>1757</v>
      </c>
    </row>
    <row r="1456" spans="24:26" x14ac:dyDescent="0.25">
      <c r="X1456" t="s">
        <v>613</v>
      </c>
      <c r="Y1456" t="s">
        <v>1304</v>
      </c>
      <c r="Z1456" t="s">
        <v>1723</v>
      </c>
    </row>
    <row r="1457" spans="24:26" x14ac:dyDescent="0.25">
      <c r="X1457" t="s">
        <v>613</v>
      </c>
      <c r="Y1457" t="s">
        <v>1305</v>
      </c>
      <c r="Z1457" t="s">
        <v>1723</v>
      </c>
    </row>
    <row r="1458" spans="24:26" x14ac:dyDescent="0.25">
      <c r="X1458" t="s">
        <v>613</v>
      </c>
      <c r="Y1458" t="s">
        <v>1306</v>
      </c>
      <c r="Z1458" t="s">
        <v>1723</v>
      </c>
    </row>
    <row r="1459" spans="24:26" x14ac:dyDescent="0.25">
      <c r="X1459" t="s">
        <v>613</v>
      </c>
      <c r="Y1459" t="s">
        <v>1307</v>
      </c>
      <c r="Z1459" t="s">
        <v>1723</v>
      </c>
    </row>
    <row r="1460" spans="24:26" x14ac:dyDescent="0.25">
      <c r="X1460" t="s">
        <v>613</v>
      </c>
      <c r="Y1460" t="s">
        <v>1308</v>
      </c>
      <c r="Z1460" t="s">
        <v>1756</v>
      </c>
    </row>
    <row r="1461" spans="24:26" x14ac:dyDescent="0.25">
      <c r="X1461" t="s">
        <v>613</v>
      </c>
      <c r="Y1461" t="s">
        <v>1309</v>
      </c>
      <c r="Z1461" t="s">
        <v>1757</v>
      </c>
    </row>
    <row r="1462" spans="24:26" x14ac:dyDescent="0.25">
      <c r="X1462" t="s">
        <v>613</v>
      </c>
      <c r="Y1462" t="s">
        <v>1310</v>
      </c>
      <c r="Z1462" t="s">
        <v>1757</v>
      </c>
    </row>
    <row r="1463" spans="24:26" x14ac:dyDescent="0.25">
      <c r="X1463" t="s">
        <v>613</v>
      </c>
      <c r="Y1463" t="s">
        <v>1311</v>
      </c>
      <c r="Z1463" t="s">
        <v>1757</v>
      </c>
    </row>
    <row r="1464" spans="24:26" x14ac:dyDescent="0.25">
      <c r="X1464" t="s">
        <v>613</v>
      </c>
      <c r="Y1464" t="s">
        <v>1312</v>
      </c>
      <c r="Z1464" t="s">
        <v>1757</v>
      </c>
    </row>
    <row r="1465" spans="24:26" x14ac:dyDescent="0.25">
      <c r="X1465" t="s">
        <v>613</v>
      </c>
      <c r="Y1465" t="s">
        <v>1313</v>
      </c>
      <c r="Z1465" t="s">
        <v>1757</v>
      </c>
    </row>
    <row r="1466" spans="24:26" x14ac:dyDescent="0.25">
      <c r="X1466" t="s">
        <v>613</v>
      </c>
      <c r="Y1466" t="s">
        <v>1314</v>
      </c>
      <c r="Z1466" t="s">
        <v>1757</v>
      </c>
    </row>
    <row r="1467" spans="24:26" x14ac:dyDescent="0.25">
      <c r="X1467" t="s">
        <v>613</v>
      </c>
      <c r="Y1467" t="s">
        <v>1315</v>
      </c>
      <c r="Z1467" t="s">
        <v>1757</v>
      </c>
    </row>
    <row r="1468" spans="24:26" x14ac:dyDescent="0.25">
      <c r="X1468" t="s">
        <v>613</v>
      </c>
      <c r="Y1468" t="s">
        <v>1316</v>
      </c>
      <c r="Z1468" t="s">
        <v>1691</v>
      </c>
    </row>
    <row r="1469" spans="24:26" x14ac:dyDescent="0.25">
      <c r="X1469" t="s">
        <v>613</v>
      </c>
      <c r="Y1469" t="s">
        <v>1317</v>
      </c>
      <c r="Z1469" t="s">
        <v>1757</v>
      </c>
    </row>
    <row r="1470" spans="24:26" x14ac:dyDescent="0.25">
      <c r="X1470" t="s">
        <v>613</v>
      </c>
      <c r="Y1470" t="s">
        <v>1318</v>
      </c>
      <c r="Z1470" t="s">
        <v>1691</v>
      </c>
    </row>
    <row r="1471" spans="24:26" x14ac:dyDescent="0.25">
      <c r="X1471" t="s">
        <v>613</v>
      </c>
      <c r="Y1471" t="s">
        <v>1319</v>
      </c>
      <c r="Z1471" t="s">
        <v>1691</v>
      </c>
    </row>
    <row r="1472" spans="24:26" x14ac:dyDescent="0.25">
      <c r="X1472" t="s">
        <v>613</v>
      </c>
      <c r="Y1472" t="s">
        <v>1320</v>
      </c>
      <c r="Z1472" t="s">
        <v>1691</v>
      </c>
    </row>
    <row r="1473" spans="24:26" x14ac:dyDescent="0.25">
      <c r="X1473" t="s">
        <v>613</v>
      </c>
      <c r="Y1473" t="s">
        <v>1321</v>
      </c>
      <c r="Z1473" t="s">
        <v>1723</v>
      </c>
    </row>
    <row r="1474" spans="24:26" x14ac:dyDescent="0.25">
      <c r="X1474" t="s">
        <v>613</v>
      </c>
      <c r="Y1474" t="s">
        <v>1322</v>
      </c>
      <c r="Z1474" t="s">
        <v>1757</v>
      </c>
    </row>
    <row r="1475" spans="24:26" x14ac:dyDescent="0.25">
      <c r="X1475" t="s">
        <v>613</v>
      </c>
      <c r="Y1475" t="s">
        <v>1323</v>
      </c>
      <c r="Z1475" t="s">
        <v>1699</v>
      </c>
    </row>
    <row r="1476" spans="24:26" x14ac:dyDescent="0.25">
      <c r="X1476" t="s">
        <v>613</v>
      </c>
      <c r="Y1476" t="s">
        <v>1324</v>
      </c>
      <c r="Z1476" t="s">
        <v>1757</v>
      </c>
    </row>
    <row r="1477" spans="24:26" x14ac:dyDescent="0.25">
      <c r="X1477" t="s">
        <v>613</v>
      </c>
      <c r="Y1477" t="s">
        <v>1325</v>
      </c>
      <c r="Z1477" t="s">
        <v>1691</v>
      </c>
    </row>
    <row r="1478" spans="24:26" x14ac:dyDescent="0.25">
      <c r="X1478" t="s">
        <v>613</v>
      </c>
      <c r="Y1478" t="s">
        <v>1326</v>
      </c>
      <c r="Z1478" t="s">
        <v>1757</v>
      </c>
    </row>
    <row r="1479" spans="24:26" x14ac:dyDescent="0.25">
      <c r="X1479" t="s">
        <v>613</v>
      </c>
      <c r="Y1479" t="s">
        <v>1327</v>
      </c>
      <c r="Z1479" t="s">
        <v>1691</v>
      </c>
    </row>
    <row r="1480" spans="24:26" x14ac:dyDescent="0.25">
      <c r="X1480" t="s">
        <v>613</v>
      </c>
      <c r="Y1480" t="s">
        <v>1328</v>
      </c>
      <c r="Z1480" t="s">
        <v>1691</v>
      </c>
    </row>
    <row r="1481" spans="24:26" x14ac:dyDescent="0.25">
      <c r="X1481" t="s">
        <v>613</v>
      </c>
      <c r="Y1481" t="s">
        <v>1329</v>
      </c>
      <c r="Z1481" t="s">
        <v>1691</v>
      </c>
    </row>
    <row r="1482" spans="24:26" x14ac:dyDescent="0.25">
      <c r="X1482" t="s">
        <v>613</v>
      </c>
      <c r="Y1482" t="s">
        <v>1330</v>
      </c>
      <c r="Z1482" t="s">
        <v>1691</v>
      </c>
    </row>
    <row r="1483" spans="24:26" x14ac:dyDescent="0.25">
      <c r="X1483" t="s">
        <v>613</v>
      </c>
      <c r="Y1483" t="s">
        <v>1331</v>
      </c>
      <c r="Z1483" t="s">
        <v>1691</v>
      </c>
    </row>
    <row r="1484" spans="24:26" x14ac:dyDescent="0.25">
      <c r="X1484" t="s">
        <v>613</v>
      </c>
      <c r="Y1484" t="s">
        <v>1332</v>
      </c>
      <c r="Z1484" t="s">
        <v>1708</v>
      </c>
    </row>
    <row r="1485" spans="24:26" x14ac:dyDescent="0.25">
      <c r="X1485" t="s">
        <v>613</v>
      </c>
      <c r="Y1485" t="s">
        <v>1333</v>
      </c>
      <c r="Z1485" t="s">
        <v>613</v>
      </c>
    </row>
    <row r="1486" spans="24:26" x14ac:dyDescent="0.25">
      <c r="X1486" t="s">
        <v>613</v>
      </c>
      <c r="Y1486" t="s">
        <v>1334</v>
      </c>
      <c r="Z1486" t="s">
        <v>1691</v>
      </c>
    </row>
    <row r="1487" spans="24:26" x14ac:dyDescent="0.25">
      <c r="X1487" t="s">
        <v>613</v>
      </c>
      <c r="Y1487" t="s">
        <v>1335</v>
      </c>
      <c r="Z1487" t="s">
        <v>1691</v>
      </c>
    </row>
    <row r="1488" spans="24:26" x14ac:dyDescent="0.25">
      <c r="X1488" t="s">
        <v>613</v>
      </c>
      <c r="Y1488" t="s">
        <v>1336</v>
      </c>
      <c r="Z1488" t="s">
        <v>1691</v>
      </c>
    </row>
    <row r="1489" spans="24:26" x14ac:dyDescent="0.25">
      <c r="X1489" t="s">
        <v>613</v>
      </c>
      <c r="Y1489" t="s">
        <v>1337</v>
      </c>
      <c r="Z1489" t="s">
        <v>1712</v>
      </c>
    </row>
    <row r="1490" spans="24:26" x14ac:dyDescent="0.25">
      <c r="X1490" t="s">
        <v>613</v>
      </c>
      <c r="Y1490" t="s">
        <v>1338</v>
      </c>
      <c r="Z1490" t="s">
        <v>1691</v>
      </c>
    </row>
    <row r="1491" spans="24:26" x14ac:dyDescent="0.25">
      <c r="X1491" t="s">
        <v>613</v>
      </c>
      <c r="Y1491" t="s">
        <v>1339</v>
      </c>
      <c r="Z1491" t="s">
        <v>1691</v>
      </c>
    </row>
    <row r="1492" spans="24:26" x14ac:dyDescent="0.25">
      <c r="X1492" t="s">
        <v>613</v>
      </c>
      <c r="Y1492" t="s">
        <v>1340</v>
      </c>
      <c r="Z1492" t="s">
        <v>1712</v>
      </c>
    </row>
    <row r="1493" spans="24:26" x14ac:dyDescent="0.25">
      <c r="X1493" t="s">
        <v>613</v>
      </c>
      <c r="Y1493" t="s">
        <v>1341</v>
      </c>
      <c r="Z1493" t="s">
        <v>1712</v>
      </c>
    </row>
    <row r="1494" spans="24:26" x14ac:dyDescent="0.25">
      <c r="X1494" t="s">
        <v>613</v>
      </c>
      <c r="Y1494" t="s">
        <v>1342</v>
      </c>
      <c r="Z1494" t="s">
        <v>1712</v>
      </c>
    </row>
    <row r="1495" spans="24:26" x14ac:dyDescent="0.25">
      <c r="X1495" t="s">
        <v>613</v>
      </c>
      <c r="Y1495" t="s">
        <v>1343</v>
      </c>
      <c r="Z1495" t="s">
        <v>1712</v>
      </c>
    </row>
    <row r="1496" spans="24:26" x14ac:dyDescent="0.25">
      <c r="X1496" t="s">
        <v>613</v>
      </c>
      <c r="Y1496" t="s">
        <v>1344</v>
      </c>
      <c r="Z1496" t="s">
        <v>1691</v>
      </c>
    </row>
    <row r="1497" spans="24:26" x14ac:dyDescent="0.25">
      <c r="X1497" t="s">
        <v>613</v>
      </c>
      <c r="Y1497" t="s">
        <v>1345</v>
      </c>
      <c r="Z1497" t="s">
        <v>1691</v>
      </c>
    </row>
    <row r="1498" spans="24:26" x14ac:dyDescent="0.25">
      <c r="X1498" t="s">
        <v>613</v>
      </c>
      <c r="Y1498" t="s">
        <v>1346</v>
      </c>
      <c r="Z1498" t="s">
        <v>1723</v>
      </c>
    </row>
    <row r="1499" spans="24:26" x14ac:dyDescent="0.25">
      <c r="X1499" t="s">
        <v>613</v>
      </c>
      <c r="Y1499" t="s">
        <v>1347</v>
      </c>
      <c r="Z1499" t="s">
        <v>1723</v>
      </c>
    </row>
    <row r="1500" spans="24:26" x14ac:dyDescent="0.25">
      <c r="X1500" t="s">
        <v>613</v>
      </c>
      <c r="Y1500" t="s">
        <v>1348</v>
      </c>
      <c r="Z1500" t="s">
        <v>1723</v>
      </c>
    </row>
    <row r="1501" spans="24:26" x14ac:dyDescent="0.25">
      <c r="X1501" t="s">
        <v>613</v>
      </c>
      <c r="Y1501" t="s">
        <v>1349</v>
      </c>
      <c r="Z1501" t="s">
        <v>1691</v>
      </c>
    </row>
    <row r="1502" spans="24:26" x14ac:dyDescent="0.25">
      <c r="X1502" t="s">
        <v>613</v>
      </c>
      <c r="Y1502" t="s">
        <v>1350</v>
      </c>
      <c r="Z1502" t="s">
        <v>1723</v>
      </c>
    </row>
    <row r="1503" spans="24:26" x14ac:dyDescent="0.25">
      <c r="X1503" t="s">
        <v>613</v>
      </c>
      <c r="Y1503" t="s">
        <v>1351</v>
      </c>
      <c r="Z1503" t="s">
        <v>1723</v>
      </c>
    </row>
    <row r="1504" spans="24:26" x14ac:dyDescent="0.25">
      <c r="X1504" t="s">
        <v>613</v>
      </c>
      <c r="Y1504" t="s">
        <v>1352</v>
      </c>
      <c r="Z1504" t="s">
        <v>1723</v>
      </c>
    </row>
    <row r="1505" spans="24:26" x14ac:dyDescent="0.25">
      <c r="X1505" t="s">
        <v>613</v>
      </c>
      <c r="Y1505" t="s">
        <v>1226</v>
      </c>
      <c r="Z1505" t="s">
        <v>1695</v>
      </c>
    </row>
    <row r="1506" spans="24:26" x14ac:dyDescent="0.25">
      <c r="X1506" t="s">
        <v>613</v>
      </c>
      <c r="Y1506" t="s">
        <v>1353</v>
      </c>
      <c r="Z1506" t="s">
        <v>1695</v>
      </c>
    </row>
    <row r="1507" spans="24:26" x14ac:dyDescent="0.25">
      <c r="X1507" t="s">
        <v>613</v>
      </c>
      <c r="Y1507" t="s">
        <v>1354</v>
      </c>
      <c r="Z1507" t="s">
        <v>1695</v>
      </c>
    </row>
    <row r="1508" spans="24:26" x14ac:dyDescent="0.25">
      <c r="X1508" t="s">
        <v>613</v>
      </c>
      <c r="Y1508" t="s">
        <v>1355</v>
      </c>
      <c r="Z1508" t="s">
        <v>1695</v>
      </c>
    </row>
    <row r="1509" spans="24:26" x14ac:dyDescent="0.25">
      <c r="X1509" t="s">
        <v>613</v>
      </c>
      <c r="Y1509" t="s">
        <v>1356</v>
      </c>
      <c r="Z1509" t="s">
        <v>1695</v>
      </c>
    </row>
    <row r="1510" spans="24:26" x14ac:dyDescent="0.25">
      <c r="X1510" t="s">
        <v>613</v>
      </c>
      <c r="Y1510" t="s">
        <v>1357</v>
      </c>
      <c r="Z1510" t="s">
        <v>1695</v>
      </c>
    </row>
    <row r="1511" spans="24:26" x14ac:dyDescent="0.25">
      <c r="X1511" t="s">
        <v>613</v>
      </c>
      <c r="Y1511" t="s">
        <v>1358</v>
      </c>
      <c r="Z1511" t="s">
        <v>1695</v>
      </c>
    </row>
    <row r="1512" spans="24:26" x14ac:dyDescent="0.25">
      <c r="X1512" t="s">
        <v>613</v>
      </c>
      <c r="Y1512" t="s">
        <v>1359</v>
      </c>
      <c r="Z1512" t="s">
        <v>1695</v>
      </c>
    </row>
    <row r="1513" spans="24:26" x14ac:dyDescent="0.25">
      <c r="X1513" t="s">
        <v>613</v>
      </c>
      <c r="Y1513" t="s">
        <v>1360</v>
      </c>
      <c r="Z1513" t="s">
        <v>1695</v>
      </c>
    </row>
    <row r="1514" spans="24:26" x14ac:dyDescent="0.25">
      <c r="X1514" t="s">
        <v>613</v>
      </c>
      <c r="Y1514" t="s">
        <v>1361</v>
      </c>
      <c r="Z1514" t="s">
        <v>1695</v>
      </c>
    </row>
    <row r="1515" spans="24:26" x14ac:dyDescent="0.25">
      <c r="X1515" t="s">
        <v>613</v>
      </c>
      <c r="Y1515" t="s">
        <v>1362</v>
      </c>
      <c r="Z1515" t="s">
        <v>1695</v>
      </c>
    </row>
    <row r="1516" spans="24:26" x14ac:dyDescent="0.25">
      <c r="X1516" t="s">
        <v>613</v>
      </c>
      <c r="Y1516" t="s">
        <v>1363</v>
      </c>
      <c r="Z1516" t="s">
        <v>1691</v>
      </c>
    </row>
    <row r="1517" spans="24:26" x14ac:dyDescent="0.25">
      <c r="X1517" t="s">
        <v>613</v>
      </c>
      <c r="Y1517" t="s">
        <v>1364</v>
      </c>
      <c r="Z1517" t="s">
        <v>1691</v>
      </c>
    </row>
    <row r="1518" spans="24:26" x14ac:dyDescent="0.25">
      <c r="X1518" t="s">
        <v>613</v>
      </c>
      <c r="Y1518" t="s">
        <v>1365</v>
      </c>
      <c r="Z1518" t="s">
        <v>1691</v>
      </c>
    </row>
    <row r="1519" spans="24:26" x14ac:dyDescent="0.25">
      <c r="X1519" t="s">
        <v>613</v>
      </c>
      <c r="Y1519" t="s">
        <v>1366</v>
      </c>
      <c r="Z1519" t="s">
        <v>1691</v>
      </c>
    </row>
    <row r="1520" spans="24:26" x14ac:dyDescent="0.25">
      <c r="X1520" t="s">
        <v>613</v>
      </c>
      <c r="Y1520" t="s">
        <v>1367</v>
      </c>
      <c r="Z1520" t="s">
        <v>1691</v>
      </c>
    </row>
    <row r="1521" spans="24:26" x14ac:dyDescent="0.25">
      <c r="X1521" t="s">
        <v>613</v>
      </c>
      <c r="Y1521" t="s">
        <v>1564</v>
      </c>
      <c r="Z1521" t="s">
        <v>1222</v>
      </c>
    </row>
    <row r="1522" spans="24:26" x14ac:dyDescent="0.25">
      <c r="X1522" t="s">
        <v>613</v>
      </c>
      <c r="Y1522" t="s">
        <v>1565</v>
      </c>
      <c r="Z1522" t="s">
        <v>1222</v>
      </c>
    </row>
    <row r="1523" spans="24:26" x14ac:dyDescent="0.25">
      <c r="X1523" t="s">
        <v>613</v>
      </c>
      <c r="Y1523" t="s">
        <v>1368</v>
      </c>
      <c r="Z1523" t="s">
        <v>1222</v>
      </c>
    </row>
    <row r="1524" spans="24:26" x14ac:dyDescent="0.25">
      <c r="X1524" t="s">
        <v>613</v>
      </c>
      <c r="Y1524" t="s">
        <v>1369</v>
      </c>
      <c r="Z1524" t="s">
        <v>1222</v>
      </c>
    </row>
    <row r="1525" spans="24:26" x14ac:dyDescent="0.25">
      <c r="X1525" t="s">
        <v>613</v>
      </c>
      <c r="Y1525" t="s">
        <v>1370</v>
      </c>
      <c r="Z1525" t="s">
        <v>1222</v>
      </c>
    </row>
    <row r="1526" spans="24:26" x14ac:dyDescent="0.25">
      <c r="X1526" t="s">
        <v>613</v>
      </c>
      <c r="Y1526" t="s">
        <v>1371</v>
      </c>
      <c r="Z1526" t="s">
        <v>1222</v>
      </c>
    </row>
    <row r="1527" spans="24:26" x14ac:dyDescent="0.25">
      <c r="X1527" t="s">
        <v>613</v>
      </c>
      <c r="Y1527" t="s">
        <v>1372</v>
      </c>
      <c r="Z1527" t="s">
        <v>1222</v>
      </c>
    </row>
    <row r="1528" spans="24:26" x14ac:dyDescent="0.25">
      <c r="X1528" t="s">
        <v>613</v>
      </c>
      <c r="Y1528" t="s">
        <v>1373</v>
      </c>
      <c r="Z1528" t="s">
        <v>1222</v>
      </c>
    </row>
    <row r="1529" spans="24:26" x14ac:dyDescent="0.25">
      <c r="X1529" t="s">
        <v>613</v>
      </c>
      <c r="Y1529" t="s">
        <v>1374</v>
      </c>
      <c r="Z1529" t="s">
        <v>1222</v>
      </c>
    </row>
    <row r="1530" spans="24:26" x14ac:dyDescent="0.25">
      <c r="X1530" t="s">
        <v>613</v>
      </c>
      <c r="Y1530" t="s">
        <v>1375</v>
      </c>
      <c r="Z1530" t="s">
        <v>1222</v>
      </c>
    </row>
    <row r="1531" spans="24:26" x14ac:dyDescent="0.25">
      <c r="X1531" t="s">
        <v>613</v>
      </c>
      <c r="Y1531" t="s">
        <v>1376</v>
      </c>
      <c r="Z1531" t="s">
        <v>1222</v>
      </c>
    </row>
    <row r="1532" spans="24:26" x14ac:dyDescent="0.25">
      <c r="X1532" t="s">
        <v>613</v>
      </c>
      <c r="Y1532" t="s">
        <v>1245</v>
      </c>
      <c r="Z1532" t="s">
        <v>613</v>
      </c>
    </row>
    <row r="1533" spans="24:26" x14ac:dyDescent="0.25">
      <c r="X1533" t="s">
        <v>613</v>
      </c>
      <c r="Y1533" t="s">
        <v>1566</v>
      </c>
      <c r="Z1533" t="s">
        <v>1222</v>
      </c>
    </row>
    <row r="1534" spans="24:26" x14ac:dyDescent="0.25">
      <c r="X1534" t="s">
        <v>613</v>
      </c>
      <c r="Y1534" t="s">
        <v>1567</v>
      </c>
      <c r="Z1534" t="s">
        <v>1222</v>
      </c>
    </row>
    <row r="1535" spans="24:26" x14ac:dyDescent="0.25">
      <c r="X1535" t="s">
        <v>613</v>
      </c>
      <c r="Y1535" t="s">
        <v>1378</v>
      </c>
      <c r="Z1535" t="s">
        <v>1222</v>
      </c>
    </row>
    <row r="1536" spans="24:26" x14ac:dyDescent="0.25">
      <c r="X1536" t="s">
        <v>613</v>
      </c>
      <c r="Y1536" t="s">
        <v>1379</v>
      </c>
      <c r="Z1536" t="s">
        <v>1222</v>
      </c>
    </row>
    <row r="1537" spans="24:26" x14ac:dyDescent="0.25">
      <c r="X1537" t="s">
        <v>613</v>
      </c>
      <c r="Y1537" t="s">
        <v>1380</v>
      </c>
      <c r="Z1537" t="s">
        <v>1222</v>
      </c>
    </row>
    <row r="1538" spans="24:26" x14ac:dyDescent="0.25">
      <c r="X1538" t="s">
        <v>613</v>
      </c>
      <c r="Y1538" t="s">
        <v>1381</v>
      </c>
      <c r="Z1538" t="s">
        <v>1755</v>
      </c>
    </row>
    <row r="1539" spans="24:26" x14ac:dyDescent="0.25">
      <c r="X1539" t="s">
        <v>613</v>
      </c>
      <c r="Y1539" t="s">
        <v>1382</v>
      </c>
      <c r="Z1539" t="s">
        <v>1222</v>
      </c>
    </row>
    <row r="1540" spans="24:26" x14ac:dyDescent="0.25">
      <c r="X1540" t="s">
        <v>613</v>
      </c>
      <c r="Y1540" t="s">
        <v>1383</v>
      </c>
      <c r="Z1540" t="s">
        <v>1222</v>
      </c>
    </row>
    <row r="1541" spans="24:26" x14ac:dyDescent="0.25">
      <c r="X1541" t="s">
        <v>613</v>
      </c>
      <c r="Y1541" t="s">
        <v>1384</v>
      </c>
      <c r="Z1541" t="s">
        <v>1222</v>
      </c>
    </row>
    <row r="1542" spans="24:26" x14ac:dyDescent="0.25">
      <c r="X1542" t="s">
        <v>613</v>
      </c>
      <c r="Y1542" t="s">
        <v>1385</v>
      </c>
      <c r="Z1542" t="s">
        <v>1222</v>
      </c>
    </row>
    <row r="1543" spans="24:26" x14ac:dyDescent="0.25">
      <c r="X1543" t="s">
        <v>613</v>
      </c>
      <c r="Y1543" t="s">
        <v>1386</v>
      </c>
      <c r="Z1543" t="s">
        <v>613</v>
      </c>
    </row>
    <row r="1544" spans="24:26" x14ac:dyDescent="0.25">
      <c r="X1544" t="s">
        <v>613</v>
      </c>
      <c r="Y1544" t="s">
        <v>1387</v>
      </c>
      <c r="Z1544" t="s">
        <v>613</v>
      </c>
    </row>
    <row r="1545" spans="24:26" x14ac:dyDescent="0.25">
      <c r="X1545" t="s">
        <v>613</v>
      </c>
      <c r="Y1545" t="s">
        <v>1388</v>
      </c>
      <c r="Z1545" t="s">
        <v>1222</v>
      </c>
    </row>
    <row r="1546" spans="24:26" x14ac:dyDescent="0.25">
      <c r="X1546" t="s">
        <v>613</v>
      </c>
      <c r="Y1546" t="s">
        <v>1232</v>
      </c>
      <c r="Z1546" t="s">
        <v>1222</v>
      </c>
    </row>
    <row r="1547" spans="24:26" x14ac:dyDescent="0.25">
      <c r="X1547" t="s">
        <v>613</v>
      </c>
      <c r="Y1547" t="s">
        <v>1389</v>
      </c>
      <c r="Z1547" t="s">
        <v>1222</v>
      </c>
    </row>
    <row r="1548" spans="24:26" x14ac:dyDescent="0.25">
      <c r="X1548" t="s">
        <v>613</v>
      </c>
      <c r="Y1548" t="s">
        <v>1390</v>
      </c>
      <c r="Z1548" t="s">
        <v>1222</v>
      </c>
    </row>
    <row r="1549" spans="24:26" x14ac:dyDescent="0.25">
      <c r="X1549" t="s">
        <v>613</v>
      </c>
      <c r="Y1549" t="s">
        <v>1391</v>
      </c>
      <c r="Z1549" t="s">
        <v>1222</v>
      </c>
    </row>
    <row r="1550" spans="24:26" x14ac:dyDescent="0.25">
      <c r="X1550" t="s">
        <v>613</v>
      </c>
      <c r="Y1550" t="s">
        <v>1392</v>
      </c>
      <c r="Z1550" t="s">
        <v>1222</v>
      </c>
    </row>
    <row r="1551" spans="24:26" x14ac:dyDescent="0.25">
      <c r="X1551" t="s">
        <v>613</v>
      </c>
      <c r="Y1551" t="s">
        <v>1393</v>
      </c>
      <c r="Z1551" t="s">
        <v>1222</v>
      </c>
    </row>
    <row r="1552" spans="24:26" x14ac:dyDescent="0.25">
      <c r="X1552" t="s">
        <v>613</v>
      </c>
      <c r="Y1552" t="s">
        <v>1394</v>
      </c>
      <c r="Z1552" t="s">
        <v>613</v>
      </c>
    </row>
    <row r="1553" spans="24:26" x14ac:dyDescent="0.25">
      <c r="X1553" t="s">
        <v>613</v>
      </c>
      <c r="Y1553" t="s">
        <v>1395</v>
      </c>
      <c r="Z1553" t="s">
        <v>613</v>
      </c>
    </row>
    <row r="1554" spans="24:26" x14ac:dyDescent="0.25">
      <c r="X1554" t="s">
        <v>613</v>
      </c>
      <c r="Y1554" t="s">
        <v>1396</v>
      </c>
      <c r="Z1554" t="s">
        <v>613</v>
      </c>
    </row>
    <row r="1555" spans="24:26" x14ac:dyDescent="0.25">
      <c r="X1555" t="s">
        <v>613</v>
      </c>
      <c r="Y1555" t="s">
        <v>1397</v>
      </c>
      <c r="Z1555" t="s">
        <v>613</v>
      </c>
    </row>
    <row r="1556" spans="24:26" x14ac:dyDescent="0.25">
      <c r="X1556" t="s">
        <v>613</v>
      </c>
      <c r="Y1556" t="s">
        <v>1398</v>
      </c>
      <c r="Z1556" t="s">
        <v>1222</v>
      </c>
    </row>
    <row r="1557" spans="24:26" x14ac:dyDescent="0.25">
      <c r="X1557" t="s">
        <v>613</v>
      </c>
      <c r="Y1557" t="s">
        <v>1399</v>
      </c>
      <c r="Z1557" t="s">
        <v>1222</v>
      </c>
    </row>
    <row r="1558" spans="24:26" x14ac:dyDescent="0.25">
      <c r="X1558" t="s">
        <v>613</v>
      </c>
      <c r="Y1558" t="s">
        <v>1400</v>
      </c>
      <c r="Z1558" t="s">
        <v>1222</v>
      </c>
    </row>
    <row r="1559" spans="24:26" x14ac:dyDescent="0.25">
      <c r="X1559" t="s">
        <v>613</v>
      </c>
      <c r="Y1559" t="s">
        <v>1401</v>
      </c>
      <c r="Z1559" t="s">
        <v>1222</v>
      </c>
    </row>
    <row r="1560" spans="24:26" x14ac:dyDescent="0.25">
      <c r="X1560" t="s">
        <v>613</v>
      </c>
      <c r="Y1560" t="s">
        <v>1402</v>
      </c>
      <c r="Z1560" t="s">
        <v>1222</v>
      </c>
    </row>
    <row r="1561" spans="24:26" x14ac:dyDescent="0.25">
      <c r="X1561" t="s">
        <v>613</v>
      </c>
      <c r="Y1561" t="s">
        <v>1403</v>
      </c>
      <c r="Z1561" t="s">
        <v>1222</v>
      </c>
    </row>
    <row r="1562" spans="24:26" x14ac:dyDescent="0.25">
      <c r="X1562" t="s">
        <v>613</v>
      </c>
      <c r="Y1562" t="s">
        <v>1404</v>
      </c>
      <c r="Z1562" t="s">
        <v>1222</v>
      </c>
    </row>
    <row r="1563" spans="24:26" x14ac:dyDescent="0.25">
      <c r="X1563" t="s">
        <v>613</v>
      </c>
      <c r="Y1563" t="s">
        <v>1442</v>
      </c>
      <c r="Z1563" t="s">
        <v>1222</v>
      </c>
    </row>
    <row r="1564" spans="24:26" x14ac:dyDescent="0.25">
      <c r="X1564" t="s">
        <v>613</v>
      </c>
      <c r="Y1564" t="s">
        <v>1443</v>
      </c>
      <c r="Z1564" t="s">
        <v>613</v>
      </c>
    </row>
    <row r="1565" spans="24:26" x14ac:dyDescent="0.25">
      <c r="X1565" t="s">
        <v>613</v>
      </c>
      <c r="Y1565" t="s">
        <v>1444</v>
      </c>
      <c r="Z1565" t="s">
        <v>613</v>
      </c>
    </row>
    <row r="1566" spans="24:26" x14ac:dyDescent="0.25">
      <c r="X1566" t="s">
        <v>613</v>
      </c>
      <c r="Y1566" t="s">
        <v>1584</v>
      </c>
      <c r="Z1566" t="s">
        <v>1750</v>
      </c>
    </row>
    <row r="1567" spans="24:26" x14ac:dyDescent="0.25">
      <c r="X1567" t="s">
        <v>613</v>
      </c>
      <c r="Y1567" t="s">
        <v>1585</v>
      </c>
      <c r="Z1567" t="s">
        <v>1750</v>
      </c>
    </row>
    <row r="1568" spans="24:26" x14ac:dyDescent="0.25">
      <c r="X1568" t="s">
        <v>613</v>
      </c>
      <c r="Y1568" t="s">
        <v>1586</v>
      </c>
      <c r="Z1568" t="s">
        <v>1750</v>
      </c>
    </row>
    <row r="1569" spans="24:26" x14ac:dyDescent="0.25">
      <c r="X1569" t="s">
        <v>613</v>
      </c>
      <c r="Y1569" t="s">
        <v>1587</v>
      </c>
      <c r="Z1569" t="s">
        <v>1750</v>
      </c>
    </row>
    <row r="1570" spans="24:26" x14ac:dyDescent="0.25">
      <c r="X1570" t="s">
        <v>613</v>
      </c>
      <c r="Y1570" t="s">
        <v>1588</v>
      </c>
      <c r="Z1570" t="s">
        <v>1750</v>
      </c>
    </row>
    <row r="1571" spans="24:26" x14ac:dyDescent="0.25">
      <c r="X1571" t="s">
        <v>613</v>
      </c>
      <c r="Y1571" t="s">
        <v>1589</v>
      </c>
      <c r="Z1571" t="s">
        <v>1750</v>
      </c>
    </row>
    <row r="1572" spans="24:26" x14ac:dyDescent="0.25">
      <c r="X1572" t="s">
        <v>613</v>
      </c>
      <c r="Y1572" t="s">
        <v>1590</v>
      </c>
      <c r="Z1572" t="s">
        <v>1750</v>
      </c>
    </row>
    <row r="1573" spans="24:26" x14ac:dyDescent="0.25">
      <c r="X1573" t="s">
        <v>613</v>
      </c>
      <c r="Y1573" t="s">
        <v>1591</v>
      </c>
      <c r="Z1573" t="s">
        <v>1750</v>
      </c>
    </row>
    <row r="1574" spans="24:26" x14ac:dyDescent="0.25">
      <c r="X1574" t="s">
        <v>613</v>
      </c>
      <c r="Y1574" t="s">
        <v>1592</v>
      </c>
      <c r="Z1574" t="s">
        <v>1750</v>
      </c>
    </row>
    <row r="1575" spans="24:26" x14ac:dyDescent="0.25">
      <c r="X1575" t="s">
        <v>613</v>
      </c>
      <c r="Y1575" t="s">
        <v>1593</v>
      </c>
      <c r="Z1575" t="s">
        <v>1750</v>
      </c>
    </row>
    <row r="1576" spans="24:26" x14ac:dyDescent="0.25">
      <c r="X1576" t="s">
        <v>613</v>
      </c>
      <c r="Y1576" t="s">
        <v>1594</v>
      </c>
      <c r="Z1576" t="s">
        <v>1750</v>
      </c>
    </row>
    <row r="1577" spans="24:26" x14ac:dyDescent="0.25">
      <c r="X1577" t="s">
        <v>613</v>
      </c>
      <c r="Y1577" t="s">
        <v>1595</v>
      </c>
      <c r="Z1577" t="s">
        <v>1750</v>
      </c>
    </row>
    <row r="1578" spans="24:26" x14ac:dyDescent="0.25">
      <c r="X1578" t="s">
        <v>613</v>
      </c>
      <c r="Y1578" t="s">
        <v>1596</v>
      </c>
      <c r="Z1578" t="s">
        <v>1750</v>
      </c>
    </row>
    <row r="1579" spans="24:26" x14ac:dyDescent="0.25">
      <c r="X1579" t="s">
        <v>613</v>
      </c>
      <c r="Y1579" t="s">
        <v>1597</v>
      </c>
      <c r="Z1579" t="s">
        <v>1750</v>
      </c>
    </row>
    <row r="1580" spans="24:26" x14ac:dyDescent="0.25">
      <c r="X1580" t="s">
        <v>613</v>
      </c>
      <c r="Y1580" t="s">
        <v>1598</v>
      </c>
      <c r="Z1580" t="s">
        <v>1750</v>
      </c>
    </row>
    <row r="1581" spans="24:26" x14ac:dyDescent="0.25">
      <c r="X1581" t="s">
        <v>613</v>
      </c>
      <c r="Y1581" t="s">
        <v>1599</v>
      </c>
      <c r="Z1581" t="s">
        <v>1750</v>
      </c>
    </row>
    <row r="1582" spans="24:26" x14ac:dyDescent="0.25">
      <c r="X1582" t="s">
        <v>613</v>
      </c>
      <c r="Y1582" t="s">
        <v>1600</v>
      </c>
      <c r="Z1582" t="s">
        <v>1750</v>
      </c>
    </row>
    <row r="1583" spans="24:26" x14ac:dyDescent="0.25">
      <c r="X1583" t="s">
        <v>613</v>
      </c>
      <c r="Y1583" t="s">
        <v>1445</v>
      </c>
      <c r="Z1583" t="s">
        <v>1222</v>
      </c>
    </row>
    <row r="1584" spans="24:26" x14ac:dyDescent="0.25">
      <c r="X1584" t="s">
        <v>613</v>
      </c>
      <c r="Y1584" t="s">
        <v>1446</v>
      </c>
      <c r="Z1584" t="s">
        <v>1222</v>
      </c>
    </row>
    <row r="1585" spans="24:26" x14ac:dyDescent="0.25">
      <c r="X1585" t="s">
        <v>613</v>
      </c>
      <c r="Y1585" t="s">
        <v>1447</v>
      </c>
      <c r="Z1585" t="s">
        <v>1222</v>
      </c>
    </row>
    <row r="1586" spans="24:26" x14ac:dyDescent="0.25">
      <c r="X1586" t="s">
        <v>613</v>
      </c>
      <c r="Y1586" t="s">
        <v>1448</v>
      </c>
      <c r="Z1586" t="s">
        <v>1222</v>
      </c>
    </row>
    <row r="1587" spans="24:26" x14ac:dyDescent="0.25">
      <c r="X1587" t="s">
        <v>613</v>
      </c>
      <c r="Y1587" t="s">
        <v>1449</v>
      </c>
      <c r="Z1587" t="s">
        <v>1222</v>
      </c>
    </row>
    <row r="1588" spans="24:26" x14ac:dyDescent="0.25">
      <c r="X1588" t="s">
        <v>613</v>
      </c>
      <c r="Y1588" t="s">
        <v>1450</v>
      </c>
      <c r="Z1588" t="s">
        <v>1222</v>
      </c>
    </row>
    <row r="1589" spans="24:26" x14ac:dyDescent="0.25">
      <c r="X1589" t="s">
        <v>613</v>
      </c>
      <c r="Y1589" t="s">
        <v>1451</v>
      </c>
      <c r="Z1589" t="s">
        <v>1222</v>
      </c>
    </row>
    <row r="1590" spans="24:26" x14ac:dyDescent="0.25">
      <c r="X1590" t="s">
        <v>613</v>
      </c>
      <c r="Y1590" t="s">
        <v>1452</v>
      </c>
      <c r="Z1590" t="s">
        <v>1222</v>
      </c>
    </row>
    <row r="1591" spans="24:26" x14ac:dyDescent="0.25">
      <c r="X1591" t="s">
        <v>613</v>
      </c>
      <c r="Y1591" t="s">
        <v>1453</v>
      </c>
      <c r="Z1591" t="s">
        <v>1222</v>
      </c>
    </row>
    <row r="1592" spans="24:26" x14ac:dyDescent="0.25">
      <c r="X1592" t="s">
        <v>613</v>
      </c>
      <c r="Y1592" t="s">
        <v>1454</v>
      </c>
      <c r="Z1592" t="s">
        <v>1222</v>
      </c>
    </row>
    <row r="1593" spans="24:26" x14ac:dyDescent="0.25">
      <c r="X1593" t="s">
        <v>613</v>
      </c>
      <c r="Y1593" t="s">
        <v>1455</v>
      </c>
      <c r="Z1593" t="s">
        <v>1222</v>
      </c>
    </row>
    <row r="1594" spans="24:26" x14ac:dyDescent="0.25">
      <c r="X1594" t="s">
        <v>613</v>
      </c>
      <c r="Y1594" t="s">
        <v>1456</v>
      </c>
      <c r="Z1594" t="s">
        <v>1222</v>
      </c>
    </row>
    <row r="1595" spans="24:26" x14ac:dyDescent="0.25">
      <c r="X1595" t="s">
        <v>613</v>
      </c>
      <c r="Y1595" t="s">
        <v>1575</v>
      </c>
      <c r="Z1595" t="s">
        <v>1222</v>
      </c>
    </row>
    <row r="1596" spans="24:26" x14ac:dyDescent="0.25">
      <c r="X1596" t="s">
        <v>613</v>
      </c>
      <c r="Y1596" t="s">
        <v>1457</v>
      </c>
      <c r="Z1596" t="s">
        <v>1222</v>
      </c>
    </row>
    <row r="1597" spans="24:26" x14ac:dyDescent="0.25">
      <c r="X1597" t="s">
        <v>613</v>
      </c>
      <c r="Y1597" t="s">
        <v>1458</v>
      </c>
      <c r="Z1597" t="s">
        <v>1222</v>
      </c>
    </row>
    <row r="1598" spans="24:26" x14ac:dyDescent="0.25">
      <c r="X1598" t="s">
        <v>613</v>
      </c>
      <c r="Y1598" t="s">
        <v>1459</v>
      </c>
      <c r="Z1598" t="s">
        <v>1222</v>
      </c>
    </row>
    <row r="1599" spans="24:26" x14ac:dyDescent="0.25">
      <c r="X1599" t="s">
        <v>613</v>
      </c>
      <c r="Y1599" t="s">
        <v>1229</v>
      </c>
      <c r="Z1599" t="s">
        <v>1755</v>
      </c>
    </row>
    <row r="1600" spans="24:26" x14ac:dyDescent="0.25">
      <c r="X1600" t="s">
        <v>613</v>
      </c>
      <c r="Y1600" t="s">
        <v>1577</v>
      </c>
      <c r="Z1600" t="s">
        <v>1222</v>
      </c>
    </row>
    <row r="1601" spans="24:26" x14ac:dyDescent="0.25">
      <c r="X1601" t="s">
        <v>613</v>
      </c>
      <c r="Y1601" t="s">
        <v>1460</v>
      </c>
      <c r="Z1601" t="s">
        <v>1222</v>
      </c>
    </row>
    <row r="1602" spans="24:26" x14ac:dyDescent="0.25">
      <c r="X1602" t="s">
        <v>613</v>
      </c>
      <c r="Y1602" t="s">
        <v>1625</v>
      </c>
      <c r="Z1602" t="s">
        <v>1723</v>
      </c>
    </row>
    <row r="1603" spans="24:26" x14ac:dyDescent="0.25">
      <c r="X1603" t="s">
        <v>613</v>
      </c>
      <c r="Y1603" t="s">
        <v>1248</v>
      </c>
      <c r="Z1603" t="s">
        <v>1723</v>
      </c>
    </row>
    <row r="1604" spans="24:26" x14ac:dyDescent="0.25">
      <c r="X1604" t="s">
        <v>613</v>
      </c>
      <c r="Y1604" t="s">
        <v>1626</v>
      </c>
      <c r="Z1604" t="s">
        <v>1723</v>
      </c>
    </row>
    <row r="1605" spans="24:26" x14ac:dyDescent="0.25">
      <c r="X1605" t="s">
        <v>613</v>
      </c>
      <c r="Y1605" t="s">
        <v>1464</v>
      </c>
      <c r="Z1605" t="s">
        <v>1723</v>
      </c>
    </row>
    <row r="1606" spans="24:26" x14ac:dyDescent="0.25">
      <c r="X1606" t="s">
        <v>613</v>
      </c>
      <c r="Y1606" t="s">
        <v>1465</v>
      </c>
      <c r="Z1606" t="s">
        <v>1723</v>
      </c>
    </row>
    <row r="1607" spans="24:26" x14ac:dyDescent="0.25">
      <c r="X1607" t="s">
        <v>613</v>
      </c>
      <c r="Y1607" t="s">
        <v>1466</v>
      </c>
      <c r="Z1607" t="s">
        <v>1723</v>
      </c>
    </row>
    <row r="1608" spans="24:26" x14ac:dyDescent="0.25">
      <c r="X1608" t="s">
        <v>613</v>
      </c>
      <c r="Y1608" t="s">
        <v>1627</v>
      </c>
      <c r="Z1608" t="s">
        <v>1723</v>
      </c>
    </row>
    <row r="1609" spans="24:26" x14ac:dyDescent="0.25">
      <c r="X1609" t="s">
        <v>613</v>
      </c>
      <c r="Y1609" t="s">
        <v>1468</v>
      </c>
      <c r="Z1609" t="s">
        <v>1732</v>
      </c>
    </row>
    <row r="1610" spans="24:26" x14ac:dyDescent="0.25">
      <c r="X1610" t="s">
        <v>613</v>
      </c>
      <c r="Y1610" t="s">
        <v>1469</v>
      </c>
      <c r="Z1610" t="s">
        <v>1732</v>
      </c>
    </row>
    <row r="1611" spans="24:26" x14ac:dyDescent="0.25">
      <c r="X1611" t="s">
        <v>613</v>
      </c>
      <c r="Y1611" t="s">
        <v>1470</v>
      </c>
      <c r="Z1611" t="s">
        <v>1732</v>
      </c>
    </row>
    <row r="1612" spans="24:26" x14ac:dyDescent="0.25">
      <c r="X1612" t="s">
        <v>613</v>
      </c>
      <c r="Y1612" t="s">
        <v>1471</v>
      </c>
      <c r="Z1612" t="s">
        <v>1732</v>
      </c>
    </row>
    <row r="1613" spans="24:26" x14ac:dyDescent="0.25">
      <c r="X1613" t="s">
        <v>613</v>
      </c>
      <c r="Y1613" t="s">
        <v>1538</v>
      </c>
      <c r="Z1613" t="s">
        <v>1723</v>
      </c>
    </row>
    <row r="1614" spans="24:26" x14ac:dyDescent="0.25">
      <c r="X1614" t="s">
        <v>613</v>
      </c>
      <c r="Y1614" t="s">
        <v>1630</v>
      </c>
      <c r="Z1614" t="s">
        <v>1723</v>
      </c>
    </row>
    <row r="1615" spans="24:26" x14ac:dyDescent="0.25">
      <c r="X1615" t="s">
        <v>613</v>
      </c>
      <c r="Y1615" t="s">
        <v>1653</v>
      </c>
      <c r="Z1615" t="s">
        <v>1723</v>
      </c>
    </row>
    <row r="1616" spans="24:26" x14ac:dyDescent="0.25">
      <c r="X1616" t="s">
        <v>613</v>
      </c>
      <c r="Y1616" t="s">
        <v>1603</v>
      </c>
      <c r="Z1616" t="s">
        <v>1723</v>
      </c>
    </row>
    <row r="1617" spans="24:26" x14ac:dyDescent="0.25">
      <c r="X1617" t="s">
        <v>613</v>
      </c>
      <c r="Y1617" t="s">
        <v>1684</v>
      </c>
      <c r="Z1617" t="s">
        <v>1723</v>
      </c>
    </row>
    <row r="1618" spans="24:26" x14ac:dyDescent="0.25">
      <c r="X1618" t="s">
        <v>613</v>
      </c>
      <c r="Y1618" t="s">
        <v>1685</v>
      </c>
      <c r="Z1618" t="s">
        <v>1723</v>
      </c>
    </row>
    <row r="1619" spans="24:26" x14ac:dyDescent="0.25">
      <c r="X1619" t="s">
        <v>613</v>
      </c>
      <c r="Y1619" t="s">
        <v>1686</v>
      </c>
      <c r="Z1619" t="s">
        <v>1723</v>
      </c>
    </row>
    <row r="1620" spans="24:26" x14ac:dyDescent="0.25">
      <c r="X1620" t="s">
        <v>613</v>
      </c>
      <c r="Y1620" t="s">
        <v>1687</v>
      </c>
      <c r="Z1620" t="s">
        <v>1725</v>
      </c>
    </row>
    <row r="1621" spans="24:26" x14ac:dyDescent="0.25">
      <c r="X1621" t="s">
        <v>613</v>
      </c>
      <c r="Y1621" t="s">
        <v>1472</v>
      </c>
      <c r="Z1621" t="s">
        <v>1723</v>
      </c>
    </row>
    <row r="1622" spans="24:26" x14ac:dyDescent="0.25">
      <c r="X1622" t="s">
        <v>613</v>
      </c>
      <c r="Y1622" t="s">
        <v>1688</v>
      </c>
      <c r="Z1622" t="s">
        <v>1723</v>
      </c>
    </row>
    <row r="1623" spans="24:26" x14ac:dyDescent="0.25">
      <c r="X1623" t="s">
        <v>613</v>
      </c>
      <c r="Y1623" t="s">
        <v>1689</v>
      </c>
      <c r="Z1623" t="s">
        <v>1726</v>
      </c>
    </row>
    <row r="1624" spans="24:26" x14ac:dyDescent="0.25">
      <c r="X1624" t="s">
        <v>613</v>
      </c>
      <c r="Y1624" t="s">
        <v>1473</v>
      </c>
      <c r="Z1624" t="s">
        <v>1723</v>
      </c>
    </row>
    <row r="1625" spans="24:26" x14ac:dyDescent="0.25">
      <c r="X1625" t="s">
        <v>613</v>
      </c>
      <c r="Y1625" t="s">
        <v>1655</v>
      </c>
      <c r="Z1625" t="s">
        <v>1727</v>
      </c>
    </row>
    <row r="1626" spans="24:26" x14ac:dyDescent="0.25">
      <c r="X1626" t="s">
        <v>613</v>
      </c>
      <c r="Y1626" t="s">
        <v>1656</v>
      </c>
      <c r="Z1626" t="s">
        <v>1723</v>
      </c>
    </row>
    <row r="1627" spans="24:26" x14ac:dyDescent="0.25">
      <c r="X1627" t="s">
        <v>613</v>
      </c>
      <c r="Y1627" t="s">
        <v>1657</v>
      </c>
      <c r="Z1627" t="s">
        <v>1723</v>
      </c>
    </row>
    <row r="1628" spans="24:26" x14ac:dyDescent="0.25">
      <c r="X1628" t="s">
        <v>613</v>
      </c>
      <c r="Y1628" t="s">
        <v>1658</v>
      </c>
      <c r="Z1628" t="s">
        <v>1723</v>
      </c>
    </row>
    <row r="1629" spans="24:26" x14ac:dyDescent="0.25">
      <c r="X1629" t="s">
        <v>613</v>
      </c>
      <c r="Y1629" t="s">
        <v>1659</v>
      </c>
      <c r="Z1629" t="s">
        <v>1723</v>
      </c>
    </row>
    <row r="1630" spans="24:26" x14ac:dyDescent="0.25">
      <c r="X1630" t="s">
        <v>613</v>
      </c>
      <c r="Y1630" t="s">
        <v>1660</v>
      </c>
      <c r="Z1630" t="s">
        <v>1726</v>
      </c>
    </row>
    <row r="1631" spans="24:26" x14ac:dyDescent="0.25">
      <c r="X1631" t="s">
        <v>613</v>
      </c>
      <c r="Y1631" t="s">
        <v>1690</v>
      </c>
      <c r="Z1631" t="s">
        <v>1723</v>
      </c>
    </row>
    <row r="1632" spans="24:26" x14ac:dyDescent="0.25">
      <c r="X1632" t="s">
        <v>613</v>
      </c>
      <c r="Y1632" t="s">
        <v>1661</v>
      </c>
      <c r="Z1632" t="s">
        <v>1723</v>
      </c>
    </row>
    <row r="1633" spans="24:26" x14ac:dyDescent="0.25">
      <c r="X1633" t="s">
        <v>613</v>
      </c>
      <c r="Y1633" t="s">
        <v>1221</v>
      </c>
      <c r="Z1633" t="s">
        <v>1728</v>
      </c>
    </row>
  </sheetData>
  <autoFilter ref="AU1:AY213" xr:uid="{E91D8230-010D-4853-BA98-FB64C42B0612}"/>
  <mergeCells count="2">
    <mergeCell ref="AU280:AU281"/>
    <mergeCell ref="AM1:AO1"/>
  </mergeCells>
  <pageMargins left="0.7" right="0.7" top="0.75" bottom="0.75" header="0.3" footer="0.3"/>
  <pageSetup paperSize="9" orientation="portrait" r:id="rId1"/>
  <tableParts count="2">
    <tablePart r:id="rId2"/>
    <tablePart r:id="rId3"/>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6EC8-81C7-4328-AE2E-67F377B89C3B}">
  <sheetPr codeName="Sheet7">
    <tabColor theme="7" tint="0.79998168889431442"/>
  </sheetPr>
  <dimension ref="A1:AJ780"/>
  <sheetViews>
    <sheetView showGridLines="0" tabSelected="1" topLeftCell="A756" workbookViewId="0">
      <selection activeCell="E776" sqref="E776"/>
    </sheetView>
  </sheetViews>
  <sheetFormatPr defaultRowHeight="15" x14ac:dyDescent="0.25"/>
  <cols>
    <col min="1" max="1" width="6" style="7" bestFit="1" customWidth="1"/>
    <col min="2" max="2" width="17.7109375" bestFit="1" customWidth="1"/>
    <col min="3" max="3" width="18.85546875" customWidth="1"/>
    <col min="4" max="4" width="37" customWidth="1"/>
    <col min="5" max="5" width="20.28515625" bestFit="1" customWidth="1"/>
    <col min="6" max="7" width="22.85546875" style="198" bestFit="1" customWidth="1"/>
    <col min="8" max="8" width="12.7109375" customWidth="1"/>
    <col min="9" max="9" width="105.5703125" bestFit="1" customWidth="1"/>
  </cols>
  <sheetData>
    <row r="1" spans="1:9" x14ac:dyDescent="0.25">
      <c r="A1" s="18" t="s">
        <v>101</v>
      </c>
      <c r="B1" s="18" t="s">
        <v>0</v>
      </c>
      <c r="C1" s="18" t="s">
        <v>106</v>
      </c>
      <c r="D1" s="18" t="s">
        <v>107</v>
      </c>
      <c r="E1" s="18" t="s">
        <v>108</v>
      </c>
      <c r="F1" s="194" t="s">
        <v>109</v>
      </c>
      <c r="G1" s="194" t="s">
        <v>109</v>
      </c>
      <c r="H1" s="18" t="s">
        <v>110</v>
      </c>
      <c r="I1" s="18" t="s">
        <v>122</v>
      </c>
    </row>
    <row r="2" spans="1:9" x14ac:dyDescent="0.25">
      <c r="A2" s="23">
        <v>1</v>
      </c>
      <c r="B2" s="25">
        <v>44714</v>
      </c>
      <c r="C2" s="19" t="s">
        <v>111</v>
      </c>
      <c r="D2" s="19" t="s">
        <v>112</v>
      </c>
      <c r="E2" s="20">
        <v>20</v>
      </c>
      <c r="F2" s="195" t="s">
        <v>2183</v>
      </c>
      <c r="G2" s="195">
        <v>4111.0697110000001</v>
      </c>
      <c r="H2" s="19" t="s">
        <v>113</v>
      </c>
      <c r="I2" s="19" t="s">
        <v>123</v>
      </c>
    </row>
    <row r="3" spans="1:9" x14ac:dyDescent="0.25">
      <c r="A3" s="23">
        <v>1</v>
      </c>
      <c r="B3" s="25">
        <v>44714</v>
      </c>
      <c r="C3" s="19" t="s">
        <v>111</v>
      </c>
      <c r="D3" s="19" t="s">
        <v>114</v>
      </c>
      <c r="E3" s="20">
        <v>75</v>
      </c>
      <c r="F3" s="195" t="s">
        <v>2183</v>
      </c>
      <c r="G3" s="195">
        <v>4111.0697110000001</v>
      </c>
      <c r="H3" s="19" t="s">
        <v>113</v>
      </c>
      <c r="I3" s="19" t="s">
        <v>123</v>
      </c>
    </row>
    <row r="4" spans="1:9" x14ac:dyDescent="0.25">
      <c r="A4" s="23">
        <v>1</v>
      </c>
      <c r="B4" s="25">
        <v>44714</v>
      </c>
      <c r="C4" s="19" t="s">
        <v>111</v>
      </c>
      <c r="D4" s="19" t="s">
        <v>115</v>
      </c>
      <c r="E4" s="20">
        <v>200</v>
      </c>
      <c r="F4" s="195" t="s">
        <v>2183</v>
      </c>
      <c r="G4" s="195">
        <v>4111.0697110000001</v>
      </c>
      <c r="H4" s="19" t="s">
        <v>113</v>
      </c>
      <c r="I4" s="19" t="s">
        <v>123</v>
      </c>
    </row>
    <row r="5" spans="1:9" x14ac:dyDescent="0.25">
      <c r="A5" s="23">
        <v>1</v>
      </c>
      <c r="B5" s="25">
        <v>44714</v>
      </c>
      <c r="C5" s="19" t="s">
        <v>111</v>
      </c>
      <c r="D5" s="19" t="s">
        <v>116</v>
      </c>
      <c r="E5" s="20">
        <v>5</v>
      </c>
      <c r="F5" s="195" t="s">
        <v>2184</v>
      </c>
      <c r="G5" s="195">
        <v>4111.0697110000001</v>
      </c>
      <c r="H5" s="19" t="s">
        <v>113</v>
      </c>
      <c r="I5" s="19" t="s">
        <v>123</v>
      </c>
    </row>
    <row r="6" spans="1:9" x14ac:dyDescent="0.25">
      <c r="A6" s="23">
        <v>1</v>
      </c>
      <c r="B6" s="25">
        <v>44714</v>
      </c>
      <c r="C6" s="19" t="s">
        <v>111</v>
      </c>
      <c r="D6" s="19" t="s">
        <v>117</v>
      </c>
      <c r="E6" s="20">
        <v>240</v>
      </c>
      <c r="F6" s="195" t="s">
        <v>2184</v>
      </c>
      <c r="G6" s="195">
        <v>4111.0697110000001</v>
      </c>
      <c r="H6" s="19" t="s">
        <v>113</v>
      </c>
      <c r="I6" s="19" t="s">
        <v>123</v>
      </c>
    </row>
    <row r="7" spans="1:9" x14ac:dyDescent="0.25">
      <c r="A7" s="23">
        <v>1</v>
      </c>
      <c r="B7" s="25">
        <v>44714</v>
      </c>
      <c r="C7" s="19" t="s">
        <v>111</v>
      </c>
      <c r="D7" s="19" t="s">
        <v>118</v>
      </c>
      <c r="E7" s="20">
        <v>-575</v>
      </c>
      <c r="F7" s="195" t="s">
        <v>2185</v>
      </c>
      <c r="G7" s="195">
        <v>4110.9197109999996</v>
      </c>
      <c r="H7" s="19" t="s">
        <v>113</v>
      </c>
      <c r="I7" s="19" t="s">
        <v>123</v>
      </c>
    </row>
    <row r="8" spans="1:9" x14ac:dyDescent="0.25">
      <c r="A8" s="23">
        <v>1</v>
      </c>
      <c r="B8" s="25">
        <v>44714</v>
      </c>
      <c r="C8" s="19" t="s">
        <v>111</v>
      </c>
      <c r="D8" s="19" t="s">
        <v>119</v>
      </c>
      <c r="E8" s="20">
        <v>10</v>
      </c>
      <c r="F8" s="195" t="s">
        <v>2184</v>
      </c>
      <c r="G8" s="195">
        <v>4111.0697110000001</v>
      </c>
      <c r="H8" s="19" t="s">
        <v>113</v>
      </c>
      <c r="I8" s="19" t="s">
        <v>123</v>
      </c>
    </row>
    <row r="9" spans="1:9" x14ac:dyDescent="0.25">
      <c r="A9" s="23">
        <v>1</v>
      </c>
      <c r="B9" s="25">
        <v>44714</v>
      </c>
      <c r="C9" s="19" t="s">
        <v>111</v>
      </c>
      <c r="D9" s="19" t="s">
        <v>120</v>
      </c>
      <c r="E9" s="20">
        <v>25</v>
      </c>
      <c r="F9" s="195" t="s">
        <v>2184</v>
      </c>
      <c r="G9" s="195">
        <v>4111.0697110000001</v>
      </c>
      <c r="H9" s="19" t="s">
        <v>113</v>
      </c>
      <c r="I9" s="19" t="s">
        <v>123</v>
      </c>
    </row>
    <row r="10" spans="1:9" x14ac:dyDescent="0.25">
      <c r="A10" s="24">
        <v>2</v>
      </c>
      <c r="B10" s="26">
        <v>44714</v>
      </c>
      <c r="C10" s="21" t="s">
        <v>121</v>
      </c>
      <c r="D10" s="21" t="s">
        <v>112</v>
      </c>
      <c r="E10" s="22">
        <v>40</v>
      </c>
      <c r="F10" s="196" t="s">
        <v>2186</v>
      </c>
      <c r="G10" s="196">
        <v>4054.5248980000001</v>
      </c>
      <c r="H10" s="21" t="s">
        <v>113</v>
      </c>
      <c r="I10" s="21" t="s">
        <v>123</v>
      </c>
    </row>
    <row r="11" spans="1:9" x14ac:dyDescent="0.25">
      <c r="A11" s="24">
        <v>2</v>
      </c>
      <c r="B11" s="26">
        <v>44714</v>
      </c>
      <c r="C11" s="21" t="s">
        <v>121</v>
      </c>
      <c r="D11" s="21" t="s">
        <v>114</v>
      </c>
      <c r="E11" s="22">
        <v>140</v>
      </c>
      <c r="F11" s="196" t="s">
        <v>2186</v>
      </c>
      <c r="G11" s="196">
        <v>4054.5248980000001</v>
      </c>
      <c r="H11" s="21" t="s">
        <v>113</v>
      </c>
      <c r="I11" s="21" t="s">
        <v>123</v>
      </c>
    </row>
    <row r="12" spans="1:9" x14ac:dyDescent="0.25">
      <c r="A12" s="24">
        <v>2</v>
      </c>
      <c r="B12" s="26">
        <v>44714</v>
      </c>
      <c r="C12" s="21" t="s">
        <v>121</v>
      </c>
      <c r="D12" s="21" t="s">
        <v>115</v>
      </c>
      <c r="E12" s="22">
        <v>390</v>
      </c>
      <c r="F12" s="196" t="s">
        <v>2186</v>
      </c>
      <c r="G12" s="196">
        <v>4054.5248980000001</v>
      </c>
      <c r="H12" s="21" t="s">
        <v>113</v>
      </c>
      <c r="I12" s="21" t="s">
        <v>123</v>
      </c>
    </row>
    <row r="13" spans="1:9" x14ac:dyDescent="0.25">
      <c r="A13" s="24">
        <v>2</v>
      </c>
      <c r="B13" s="26">
        <v>44714</v>
      </c>
      <c r="C13" s="21" t="s">
        <v>121</v>
      </c>
      <c r="D13" s="21" t="s">
        <v>116</v>
      </c>
      <c r="E13" s="22">
        <v>20</v>
      </c>
      <c r="F13" s="196" t="s">
        <v>2186</v>
      </c>
      <c r="G13" s="196">
        <v>4054.5248980000001</v>
      </c>
      <c r="H13" s="21" t="s">
        <v>113</v>
      </c>
      <c r="I13" s="21" t="s">
        <v>123</v>
      </c>
    </row>
    <row r="14" spans="1:9" x14ac:dyDescent="0.25">
      <c r="A14" s="24">
        <v>2</v>
      </c>
      <c r="B14" s="26">
        <v>44714</v>
      </c>
      <c r="C14" s="21" t="s">
        <v>121</v>
      </c>
      <c r="D14" s="21" t="s">
        <v>117</v>
      </c>
      <c r="E14" s="22">
        <v>350</v>
      </c>
      <c r="F14" s="196" t="s">
        <v>2186</v>
      </c>
      <c r="G14" s="196">
        <v>4054.5248980000001</v>
      </c>
      <c r="H14" s="21" t="s">
        <v>113</v>
      </c>
      <c r="I14" s="21" t="s">
        <v>123</v>
      </c>
    </row>
    <row r="15" spans="1:9" x14ac:dyDescent="0.25">
      <c r="A15" s="24">
        <v>2</v>
      </c>
      <c r="B15" s="26">
        <v>44714</v>
      </c>
      <c r="C15" s="21" t="s">
        <v>121</v>
      </c>
      <c r="D15" s="21" t="s">
        <v>118</v>
      </c>
      <c r="E15" s="22">
        <v>-1040</v>
      </c>
      <c r="F15" s="196" t="s">
        <v>2187</v>
      </c>
      <c r="G15" s="196">
        <v>4054.5248980000001</v>
      </c>
      <c r="H15" s="21" t="s">
        <v>113</v>
      </c>
      <c r="I15" s="21" t="s">
        <v>123</v>
      </c>
    </row>
    <row r="16" spans="1:9" x14ac:dyDescent="0.25">
      <c r="A16" s="24">
        <v>2</v>
      </c>
      <c r="B16" s="26">
        <v>44714</v>
      </c>
      <c r="C16" s="21" t="s">
        <v>121</v>
      </c>
      <c r="D16" s="21" t="s">
        <v>119</v>
      </c>
      <c r="E16" s="22">
        <v>-30</v>
      </c>
      <c r="F16" s="196" t="s">
        <v>2187</v>
      </c>
      <c r="G16" s="196">
        <v>4054.5248980000001</v>
      </c>
      <c r="H16" s="21" t="s">
        <v>113</v>
      </c>
      <c r="I16" s="21" t="s">
        <v>123</v>
      </c>
    </row>
    <row r="17" spans="1:9" x14ac:dyDescent="0.25">
      <c r="A17" s="24">
        <v>2</v>
      </c>
      <c r="B17" s="26">
        <v>44714</v>
      </c>
      <c r="C17" s="21" t="s">
        <v>121</v>
      </c>
      <c r="D17" s="21" t="s">
        <v>120</v>
      </c>
      <c r="E17" s="22">
        <v>130</v>
      </c>
      <c r="F17" s="196" t="s">
        <v>2186</v>
      </c>
      <c r="G17" s="196">
        <v>4054.5248980000001</v>
      </c>
      <c r="H17" s="21" t="s">
        <v>113</v>
      </c>
      <c r="I17" s="21" t="s">
        <v>123</v>
      </c>
    </row>
    <row r="18" spans="1:9" x14ac:dyDescent="0.25">
      <c r="A18" s="23">
        <v>3</v>
      </c>
      <c r="B18" s="25">
        <v>44720</v>
      </c>
      <c r="C18" s="19" t="s">
        <v>146</v>
      </c>
      <c r="D18" s="19" t="s">
        <v>114</v>
      </c>
      <c r="E18" s="20">
        <v>300</v>
      </c>
      <c r="F18" s="195" t="s">
        <v>2188</v>
      </c>
      <c r="G18" s="195">
        <v>11746.895911</v>
      </c>
      <c r="H18" s="19" t="s">
        <v>147</v>
      </c>
      <c r="I18" s="19" t="s">
        <v>123</v>
      </c>
    </row>
    <row r="19" spans="1:9" x14ac:dyDescent="0.25">
      <c r="A19" s="23">
        <v>3</v>
      </c>
      <c r="B19" s="25">
        <v>44720</v>
      </c>
      <c r="C19" s="19" t="s">
        <v>146</v>
      </c>
      <c r="D19" s="19" t="s">
        <v>117</v>
      </c>
      <c r="E19" s="20">
        <v>1500</v>
      </c>
      <c r="F19" s="195" t="s">
        <v>2188</v>
      </c>
      <c r="G19" s="195">
        <v>11746.895911</v>
      </c>
      <c r="H19" s="19" t="s">
        <v>147</v>
      </c>
      <c r="I19" s="19" t="s">
        <v>123</v>
      </c>
    </row>
    <row r="20" spans="1:9" x14ac:dyDescent="0.25">
      <c r="A20" s="23">
        <v>3</v>
      </c>
      <c r="B20" s="25">
        <v>44720</v>
      </c>
      <c r="C20" s="19" t="s">
        <v>146</v>
      </c>
      <c r="D20" s="19" t="s">
        <v>119</v>
      </c>
      <c r="E20" s="20">
        <v>-1800</v>
      </c>
      <c r="F20" s="195" t="s">
        <v>2189</v>
      </c>
      <c r="G20" s="195">
        <v>11746.795910999999</v>
      </c>
      <c r="H20" s="19" t="s">
        <v>147</v>
      </c>
      <c r="I20" s="19" t="s">
        <v>123</v>
      </c>
    </row>
    <row r="21" spans="1:9" x14ac:dyDescent="0.25">
      <c r="A21" s="24">
        <v>4</v>
      </c>
      <c r="B21" s="26">
        <v>44720</v>
      </c>
      <c r="C21" s="21" t="s">
        <v>121</v>
      </c>
      <c r="D21" s="21" t="s">
        <v>112</v>
      </c>
      <c r="E21" s="22">
        <v>15</v>
      </c>
      <c r="F21" s="196" t="s">
        <v>2190</v>
      </c>
      <c r="G21" s="196">
        <v>4046.5768189999999</v>
      </c>
      <c r="H21" s="21" t="s">
        <v>155</v>
      </c>
      <c r="I21" s="21" t="s">
        <v>123</v>
      </c>
    </row>
    <row r="22" spans="1:9" x14ac:dyDescent="0.25">
      <c r="A22" s="24">
        <v>4</v>
      </c>
      <c r="B22" s="26">
        <v>44720</v>
      </c>
      <c r="C22" s="21" t="s">
        <v>121</v>
      </c>
      <c r="D22" s="21" t="s">
        <v>114</v>
      </c>
      <c r="E22" s="22">
        <v>50</v>
      </c>
      <c r="F22" s="196" t="s">
        <v>2190</v>
      </c>
      <c r="G22" s="196">
        <v>4046.5768189999999</v>
      </c>
      <c r="H22" s="21" t="s">
        <v>155</v>
      </c>
      <c r="I22" s="21" t="s">
        <v>123</v>
      </c>
    </row>
    <row r="23" spans="1:9" x14ac:dyDescent="0.25">
      <c r="A23" s="24">
        <v>4</v>
      </c>
      <c r="B23" s="26">
        <v>44720</v>
      </c>
      <c r="C23" s="21" t="s">
        <v>121</v>
      </c>
      <c r="D23" s="21" t="s">
        <v>115</v>
      </c>
      <c r="E23" s="22">
        <v>-420</v>
      </c>
      <c r="F23" s="196" t="s">
        <v>2191</v>
      </c>
      <c r="G23" s="196">
        <v>4046.5768189999999</v>
      </c>
      <c r="H23" s="21" t="s">
        <v>155</v>
      </c>
      <c r="I23" s="21" t="s">
        <v>123</v>
      </c>
    </row>
    <row r="24" spans="1:9" x14ac:dyDescent="0.25">
      <c r="A24" s="24">
        <v>4</v>
      </c>
      <c r="B24" s="26">
        <v>44720</v>
      </c>
      <c r="C24" s="21" t="s">
        <v>121</v>
      </c>
      <c r="D24" s="21" t="s">
        <v>116</v>
      </c>
      <c r="E24" s="22">
        <v>85</v>
      </c>
      <c r="F24" s="196" t="s">
        <v>2190</v>
      </c>
      <c r="G24" s="196">
        <v>4046.5768189999999</v>
      </c>
      <c r="H24" s="21" t="s">
        <v>155</v>
      </c>
      <c r="I24" s="21" t="s">
        <v>123</v>
      </c>
    </row>
    <row r="25" spans="1:9" x14ac:dyDescent="0.25">
      <c r="A25" s="24">
        <v>4</v>
      </c>
      <c r="B25" s="26">
        <v>44720</v>
      </c>
      <c r="C25" s="21" t="s">
        <v>121</v>
      </c>
      <c r="D25" s="21" t="s">
        <v>117</v>
      </c>
      <c r="E25" s="22">
        <v>325</v>
      </c>
      <c r="F25" s="196" t="s">
        <v>2190</v>
      </c>
      <c r="G25" s="196">
        <v>4046.5768189999999</v>
      </c>
      <c r="H25" s="21" t="s">
        <v>155</v>
      </c>
      <c r="I25" s="21" t="s">
        <v>123</v>
      </c>
    </row>
    <row r="26" spans="1:9" x14ac:dyDescent="0.25">
      <c r="A26" s="24">
        <v>4</v>
      </c>
      <c r="B26" s="26">
        <v>44720</v>
      </c>
      <c r="C26" s="21" t="s">
        <v>121</v>
      </c>
      <c r="D26" s="21" t="s">
        <v>118</v>
      </c>
      <c r="E26" s="22">
        <v>120</v>
      </c>
      <c r="F26" s="196" t="s">
        <v>2190</v>
      </c>
      <c r="G26" s="196">
        <v>4046.5768189999999</v>
      </c>
      <c r="H26" s="21" t="s">
        <v>155</v>
      </c>
      <c r="I26" s="21" t="s">
        <v>123</v>
      </c>
    </row>
    <row r="27" spans="1:9" x14ac:dyDescent="0.25">
      <c r="A27" s="24">
        <v>4</v>
      </c>
      <c r="B27" s="26">
        <v>44720</v>
      </c>
      <c r="C27" s="21" t="s">
        <v>121</v>
      </c>
      <c r="D27" s="21" t="s">
        <v>119</v>
      </c>
      <c r="E27" s="22">
        <v>-300</v>
      </c>
      <c r="F27" s="196" t="s">
        <v>2191</v>
      </c>
      <c r="G27" s="196">
        <v>4046.5768189999999</v>
      </c>
      <c r="H27" s="21" t="s">
        <v>155</v>
      </c>
      <c r="I27" s="21" t="s">
        <v>123</v>
      </c>
    </row>
    <row r="28" spans="1:9" x14ac:dyDescent="0.25">
      <c r="A28" s="24">
        <v>4</v>
      </c>
      <c r="B28" s="26">
        <v>44720</v>
      </c>
      <c r="C28" s="21" t="s">
        <v>121</v>
      </c>
      <c r="D28" s="21" t="s">
        <v>120</v>
      </c>
      <c r="E28" s="22">
        <v>125</v>
      </c>
      <c r="F28" s="196" t="s">
        <v>2190</v>
      </c>
      <c r="G28" s="196">
        <v>4046.5768189999999</v>
      </c>
      <c r="H28" s="21" t="s">
        <v>155</v>
      </c>
      <c r="I28" s="21" t="s">
        <v>123</v>
      </c>
    </row>
    <row r="29" spans="1:9" x14ac:dyDescent="0.25">
      <c r="A29" s="29">
        <v>5</v>
      </c>
      <c r="B29" s="25">
        <v>44720</v>
      </c>
      <c r="C29" s="30" t="s">
        <v>111</v>
      </c>
      <c r="D29" s="30" t="s">
        <v>112</v>
      </c>
      <c r="E29" s="31">
        <v>10</v>
      </c>
      <c r="F29" s="197" t="s">
        <v>2192</v>
      </c>
      <c r="G29" s="197">
        <v>4101.9788719999997</v>
      </c>
      <c r="H29" s="30" t="s">
        <v>155</v>
      </c>
      <c r="I29" s="30" t="s">
        <v>123</v>
      </c>
    </row>
    <row r="30" spans="1:9" x14ac:dyDescent="0.25">
      <c r="A30" s="29">
        <v>5</v>
      </c>
      <c r="B30" s="25">
        <v>44720</v>
      </c>
      <c r="C30" s="30" t="s">
        <v>111</v>
      </c>
      <c r="D30" s="30" t="s">
        <v>114</v>
      </c>
      <c r="E30" s="31">
        <v>30</v>
      </c>
      <c r="F30" s="197" t="s">
        <v>2192</v>
      </c>
      <c r="G30" s="197">
        <v>4101.9788719999997</v>
      </c>
      <c r="H30" s="30" t="s">
        <v>155</v>
      </c>
      <c r="I30" s="30" t="s">
        <v>123</v>
      </c>
    </row>
    <row r="31" spans="1:9" x14ac:dyDescent="0.25">
      <c r="A31" s="29">
        <v>5</v>
      </c>
      <c r="B31" s="25">
        <v>44720</v>
      </c>
      <c r="C31" s="30" t="s">
        <v>111</v>
      </c>
      <c r="D31" s="30" t="s">
        <v>115</v>
      </c>
      <c r="E31" s="31">
        <v>-235</v>
      </c>
      <c r="F31" s="197" t="s">
        <v>2193</v>
      </c>
      <c r="G31" s="197">
        <v>4101.828872</v>
      </c>
      <c r="H31" s="30" t="s">
        <v>155</v>
      </c>
      <c r="I31" s="30" t="s">
        <v>123</v>
      </c>
    </row>
    <row r="32" spans="1:9" x14ac:dyDescent="0.25">
      <c r="A32" s="29">
        <v>5</v>
      </c>
      <c r="B32" s="25">
        <v>44720</v>
      </c>
      <c r="C32" s="30" t="s">
        <v>111</v>
      </c>
      <c r="D32" s="30" t="s">
        <v>116</v>
      </c>
      <c r="E32" s="31">
        <v>50</v>
      </c>
      <c r="F32" s="197" t="s">
        <v>2192</v>
      </c>
      <c r="G32" s="197">
        <v>4101.9788719999997</v>
      </c>
      <c r="H32" s="30" t="s">
        <v>155</v>
      </c>
      <c r="I32" s="30" t="s">
        <v>123</v>
      </c>
    </row>
    <row r="33" spans="1:9" x14ac:dyDescent="0.25">
      <c r="A33" s="29">
        <v>5</v>
      </c>
      <c r="B33" s="25">
        <v>44720</v>
      </c>
      <c r="C33" s="30" t="s">
        <v>111</v>
      </c>
      <c r="D33" s="30" t="s">
        <v>117</v>
      </c>
      <c r="E33" s="31">
        <v>205</v>
      </c>
      <c r="F33" s="197" t="s">
        <v>2192</v>
      </c>
      <c r="G33" s="197">
        <v>4101.9788719999997</v>
      </c>
      <c r="H33" s="30" t="s">
        <v>155</v>
      </c>
      <c r="I33" s="30" t="s">
        <v>123</v>
      </c>
    </row>
    <row r="34" spans="1:9" x14ac:dyDescent="0.25">
      <c r="A34" s="29">
        <v>5</v>
      </c>
      <c r="B34" s="25">
        <v>44720</v>
      </c>
      <c r="C34" s="30" t="s">
        <v>111</v>
      </c>
      <c r="D34" s="30" t="s">
        <v>118</v>
      </c>
      <c r="E34" s="31">
        <v>50</v>
      </c>
      <c r="F34" s="197" t="s">
        <v>2192</v>
      </c>
      <c r="G34" s="197">
        <v>4101.9788719999997</v>
      </c>
      <c r="H34" s="30" t="s">
        <v>155</v>
      </c>
      <c r="I34" s="30" t="s">
        <v>123</v>
      </c>
    </row>
    <row r="35" spans="1:9" x14ac:dyDescent="0.25">
      <c r="A35" s="29">
        <v>5</v>
      </c>
      <c r="B35" s="25">
        <v>44720</v>
      </c>
      <c r="C35" s="30" t="s">
        <v>111</v>
      </c>
      <c r="D35" s="30" t="s">
        <v>119</v>
      </c>
      <c r="E35" s="31">
        <v>-170</v>
      </c>
      <c r="F35" s="197" t="s">
        <v>2193</v>
      </c>
      <c r="G35" s="197">
        <v>4101.828872</v>
      </c>
      <c r="H35" s="30" t="s">
        <v>155</v>
      </c>
      <c r="I35" s="30" t="s">
        <v>123</v>
      </c>
    </row>
    <row r="36" spans="1:9" x14ac:dyDescent="0.25">
      <c r="A36" s="29">
        <v>5</v>
      </c>
      <c r="B36" s="25">
        <v>44720</v>
      </c>
      <c r="C36" s="30" t="s">
        <v>111</v>
      </c>
      <c r="D36" s="30" t="s">
        <v>120</v>
      </c>
      <c r="E36" s="31">
        <v>60</v>
      </c>
      <c r="F36" s="197" t="s">
        <v>2192</v>
      </c>
      <c r="G36" s="197">
        <v>4101.9788719999997</v>
      </c>
      <c r="H36" s="30" t="s">
        <v>155</v>
      </c>
      <c r="I36" s="30" t="s">
        <v>123</v>
      </c>
    </row>
    <row r="37" spans="1:9" x14ac:dyDescent="0.25">
      <c r="A37" s="24">
        <v>6</v>
      </c>
      <c r="B37" s="26">
        <v>44732</v>
      </c>
      <c r="C37" s="21" t="s">
        <v>111</v>
      </c>
      <c r="D37" s="21" t="s">
        <v>112</v>
      </c>
      <c r="E37" s="22">
        <v>4</v>
      </c>
      <c r="F37" s="196" t="s">
        <v>2194</v>
      </c>
      <c r="G37" s="196">
        <v>4149.4478209999997</v>
      </c>
      <c r="H37" s="21" t="s">
        <v>113</v>
      </c>
      <c r="I37" s="21" t="s">
        <v>123</v>
      </c>
    </row>
    <row r="38" spans="1:9" x14ac:dyDescent="0.25">
      <c r="A38" s="24">
        <v>6</v>
      </c>
      <c r="B38" s="26">
        <v>44732</v>
      </c>
      <c r="C38" s="21" t="s">
        <v>111</v>
      </c>
      <c r="D38" s="21" t="s">
        <v>114</v>
      </c>
      <c r="E38" s="22">
        <v>17</v>
      </c>
      <c r="F38" s="196" t="s">
        <v>2194</v>
      </c>
      <c r="G38" s="196">
        <v>4149.4478209999997</v>
      </c>
      <c r="H38" s="21" t="s">
        <v>113</v>
      </c>
      <c r="I38" s="21" t="s">
        <v>123</v>
      </c>
    </row>
    <row r="39" spans="1:9" x14ac:dyDescent="0.25">
      <c r="A39" s="24">
        <v>6</v>
      </c>
      <c r="B39" s="26">
        <v>44732</v>
      </c>
      <c r="C39" s="21" t="s">
        <v>111</v>
      </c>
      <c r="D39" s="21" t="s">
        <v>115</v>
      </c>
      <c r="E39" s="22">
        <v>30</v>
      </c>
      <c r="F39" s="196" t="s">
        <v>2194</v>
      </c>
      <c r="G39" s="196">
        <v>4149.4478209999997</v>
      </c>
      <c r="H39" s="21" t="s">
        <v>113</v>
      </c>
      <c r="I39" s="21" t="s">
        <v>123</v>
      </c>
    </row>
    <row r="40" spans="1:9" x14ac:dyDescent="0.25">
      <c r="A40" s="24">
        <v>6</v>
      </c>
      <c r="B40" s="26">
        <v>44732</v>
      </c>
      <c r="C40" s="21" t="s">
        <v>111</v>
      </c>
      <c r="D40" s="21" t="s">
        <v>116</v>
      </c>
      <c r="E40" s="22">
        <v>-69</v>
      </c>
      <c r="F40" s="196" t="s">
        <v>2195</v>
      </c>
      <c r="G40" s="196">
        <v>4149.2978210000001</v>
      </c>
      <c r="H40" s="21" t="s">
        <v>113</v>
      </c>
      <c r="I40" s="21" t="s">
        <v>123</v>
      </c>
    </row>
    <row r="41" spans="1:9" x14ac:dyDescent="0.25">
      <c r="A41" s="24">
        <v>6</v>
      </c>
      <c r="B41" s="26">
        <v>44732</v>
      </c>
      <c r="C41" s="21" t="s">
        <v>111</v>
      </c>
      <c r="D41" s="21" t="s">
        <v>117</v>
      </c>
      <c r="E41" s="22">
        <v>170</v>
      </c>
      <c r="F41" s="196" t="s">
        <v>2194</v>
      </c>
      <c r="G41" s="196">
        <v>4149.4478209999997</v>
      </c>
      <c r="H41" s="21" t="s">
        <v>113</v>
      </c>
      <c r="I41" s="21" t="s">
        <v>123</v>
      </c>
    </row>
    <row r="42" spans="1:9" x14ac:dyDescent="0.25">
      <c r="A42" s="24">
        <v>6</v>
      </c>
      <c r="B42" s="26">
        <v>44732</v>
      </c>
      <c r="C42" s="21" t="s">
        <v>111</v>
      </c>
      <c r="D42" s="21" t="s">
        <v>118</v>
      </c>
      <c r="E42" s="22">
        <v>-150</v>
      </c>
      <c r="F42" s="196" t="s">
        <v>2195</v>
      </c>
      <c r="G42" s="196">
        <v>4149.2978210000001</v>
      </c>
      <c r="H42" s="21" t="s">
        <v>113</v>
      </c>
      <c r="I42" s="21" t="s">
        <v>123</v>
      </c>
    </row>
    <row r="43" spans="1:9" x14ac:dyDescent="0.25">
      <c r="A43" s="24">
        <v>6</v>
      </c>
      <c r="B43" s="26">
        <v>44732</v>
      </c>
      <c r="C43" s="21" t="s">
        <v>111</v>
      </c>
      <c r="D43" s="21" t="s">
        <v>119</v>
      </c>
      <c r="E43" s="22">
        <v>-100</v>
      </c>
      <c r="F43" s="196" t="s">
        <v>2195</v>
      </c>
      <c r="G43" s="196">
        <v>4149.2978210000001</v>
      </c>
      <c r="H43" s="21" t="s">
        <v>113</v>
      </c>
      <c r="I43" s="21" t="s">
        <v>123</v>
      </c>
    </row>
    <row r="44" spans="1:9" x14ac:dyDescent="0.25">
      <c r="A44" s="24">
        <v>6</v>
      </c>
      <c r="B44" s="26">
        <v>44732</v>
      </c>
      <c r="C44" s="21" t="s">
        <v>111</v>
      </c>
      <c r="D44" s="21" t="s">
        <v>120</v>
      </c>
      <c r="E44" s="22">
        <v>98</v>
      </c>
      <c r="F44" s="196" t="s">
        <v>2194</v>
      </c>
      <c r="G44" s="196">
        <v>4149.4478209999997</v>
      </c>
      <c r="H44" s="21" t="s">
        <v>113</v>
      </c>
      <c r="I44" s="21" t="s">
        <v>123</v>
      </c>
    </row>
    <row r="45" spans="1:9" x14ac:dyDescent="0.25">
      <c r="A45" s="29">
        <v>7</v>
      </c>
      <c r="B45" s="25">
        <v>44734</v>
      </c>
      <c r="C45" s="30" t="s">
        <v>146</v>
      </c>
      <c r="D45" s="30" t="s">
        <v>112</v>
      </c>
      <c r="E45" s="31">
        <v>700</v>
      </c>
      <c r="F45" s="197" t="s">
        <v>2196</v>
      </c>
      <c r="G45" s="197">
        <v>11798.009502999999</v>
      </c>
      <c r="H45" s="30" t="s">
        <v>113</v>
      </c>
      <c r="I45" s="30" t="s">
        <v>123</v>
      </c>
    </row>
    <row r="46" spans="1:9" x14ac:dyDescent="0.25">
      <c r="A46" s="29">
        <v>7</v>
      </c>
      <c r="B46" s="25">
        <v>44734</v>
      </c>
      <c r="C46" s="30" t="s">
        <v>146</v>
      </c>
      <c r="D46" s="30" t="s">
        <v>119</v>
      </c>
      <c r="E46" s="31">
        <v>-700</v>
      </c>
      <c r="F46" s="197" t="s">
        <v>2197</v>
      </c>
      <c r="G46" s="197">
        <v>11797.909503000001</v>
      </c>
      <c r="H46" s="30" t="s">
        <v>113</v>
      </c>
      <c r="I46" s="30" t="s">
        <v>123</v>
      </c>
    </row>
    <row r="47" spans="1:9" x14ac:dyDescent="0.25">
      <c r="A47" s="29">
        <v>7</v>
      </c>
      <c r="B47" s="25">
        <v>44734</v>
      </c>
      <c r="C47" s="30" t="s">
        <v>121</v>
      </c>
      <c r="D47" s="30" t="s">
        <v>112</v>
      </c>
      <c r="E47" s="31">
        <v>245</v>
      </c>
      <c r="F47" s="197" t="s">
        <v>2198</v>
      </c>
      <c r="G47" s="197">
        <v>4041.690904</v>
      </c>
      <c r="H47" s="30" t="s">
        <v>113</v>
      </c>
      <c r="I47" s="30" t="s">
        <v>123</v>
      </c>
    </row>
    <row r="48" spans="1:9" x14ac:dyDescent="0.25">
      <c r="A48" s="29">
        <v>7</v>
      </c>
      <c r="B48" s="25">
        <v>44734</v>
      </c>
      <c r="C48" s="30" t="s">
        <v>121</v>
      </c>
      <c r="D48" s="30" t="s">
        <v>115</v>
      </c>
      <c r="E48" s="31">
        <v>-245</v>
      </c>
      <c r="F48" s="197" t="s">
        <v>2199</v>
      </c>
      <c r="G48" s="197">
        <v>4041.540904</v>
      </c>
      <c r="H48" s="30" t="s">
        <v>113</v>
      </c>
      <c r="I48" s="30" t="s">
        <v>123</v>
      </c>
    </row>
    <row r="49" spans="1:9" x14ac:dyDescent="0.25">
      <c r="A49" s="29">
        <v>7</v>
      </c>
      <c r="B49" s="25">
        <v>44734</v>
      </c>
      <c r="C49" s="30" t="s">
        <v>111</v>
      </c>
      <c r="D49" s="30" t="s">
        <v>112</v>
      </c>
      <c r="E49" s="31">
        <v>105</v>
      </c>
      <c r="F49" s="197" t="s">
        <v>2200</v>
      </c>
      <c r="G49" s="197">
        <v>4099.9320019999996</v>
      </c>
      <c r="H49" s="30" t="s">
        <v>113</v>
      </c>
      <c r="I49" s="30" t="s">
        <v>123</v>
      </c>
    </row>
    <row r="50" spans="1:9" x14ac:dyDescent="0.25">
      <c r="A50" s="29">
        <v>7</v>
      </c>
      <c r="B50" s="25">
        <v>44734</v>
      </c>
      <c r="C50" s="30" t="s">
        <v>111</v>
      </c>
      <c r="D50" s="30" t="s">
        <v>115</v>
      </c>
      <c r="E50" s="31">
        <v>-105</v>
      </c>
      <c r="F50" s="197" t="s">
        <v>2201</v>
      </c>
      <c r="G50" s="197">
        <v>4099.7820019999999</v>
      </c>
      <c r="H50" s="30" t="s">
        <v>113</v>
      </c>
      <c r="I50" s="30" t="s">
        <v>123</v>
      </c>
    </row>
    <row r="51" spans="1:9" x14ac:dyDescent="0.25">
      <c r="A51" s="24">
        <v>8</v>
      </c>
      <c r="B51" s="26">
        <v>44736</v>
      </c>
      <c r="C51" s="21" t="s">
        <v>383</v>
      </c>
      <c r="D51" s="21" t="s">
        <v>114</v>
      </c>
      <c r="E51" s="22">
        <v>1250</v>
      </c>
      <c r="F51" s="196" t="s">
        <v>2202</v>
      </c>
      <c r="G51" s="196">
        <v>11730.460832000001</v>
      </c>
      <c r="H51" s="21" t="s">
        <v>147</v>
      </c>
      <c r="I51" s="21" t="s">
        <v>123</v>
      </c>
    </row>
    <row r="52" spans="1:9" x14ac:dyDescent="0.25">
      <c r="A52" s="24">
        <v>8</v>
      </c>
      <c r="B52" s="26">
        <v>44736</v>
      </c>
      <c r="C52" s="21" t="s">
        <v>383</v>
      </c>
      <c r="D52" s="21" t="s">
        <v>115</v>
      </c>
      <c r="E52" s="22">
        <v>-500</v>
      </c>
      <c r="F52" s="196" t="s">
        <v>2203</v>
      </c>
      <c r="G52" s="196">
        <v>11730.360832</v>
      </c>
      <c r="H52" s="21" t="s">
        <v>147</v>
      </c>
      <c r="I52" s="21" t="s">
        <v>123</v>
      </c>
    </row>
    <row r="53" spans="1:9" x14ac:dyDescent="0.25">
      <c r="A53" s="24">
        <v>8</v>
      </c>
      <c r="B53" s="26">
        <v>44736</v>
      </c>
      <c r="C53" s="21" t="s">
        <v>383</v>
      </c>
      <c r="D53" s="21" t="s">
        <v>116</v>
      </c>
      <c r="E53" s="22">
        <v>400</v>
      </c>
      <c r="F53" s="196" t="s">
        <v>2202</v>
      </c>
      <c r="G53" s="196">
        <v>11730.460832000001</v>
      </c>
      <c r="H53" s="21" t="s">
        <v>147</v>
      </c>
      <c r="I53" s="21" t="s">
        <v>123</v>
      </c>
    </row>
    <row r="54" spans="1:9" x14ac:dyDescent="0.25">
      <c r="A54" s="24">
        <v>8</v>
      </c>
      <c r="B54" s="26">
        <v>44736</v>
      </c>
      <c r="C54" s="21" t="s">
        <v>383</v>
      </c>
      <c r="D54" s="21" t="s">
        <v>117</v>
      </c>
      <c r="E54" s="22">
        <v>6000</v>
      </c>
      <c r="F54" s="196" t="s">
        <v>2202</v>
      </c>
      <c r="G54" s="196">
        <v>11730.460832000001</v>
      </c>
      <c r="H54" s="21" t="s">
        <v>147</v>
      </c>
      <c r="I54" s="21" t="s">
        <v>123</v>
      </c>
    </row>
    <row r="55" spans="1:9" x14ac:dyDescent="0.25">
      <c r="A55" s="24">
        <v>8</v>
      </c>
      <c r="B55" s="26">
        <v>44736</v>
      </c>
      <c r="C55" s="21" t="s">
        <v>383</v>
      </c>
      <c r="D55" s="21" t="s">
        <v>118</v>
      </c>
      <c r="E55" s="22">
        <v>1100</v>
      </c>
      <c r="F55" s="196" t="s">
        <v>2202</v>
      </c>
      <c r="G55" s="196">
        <v>11730.460832000001</v>
      </c>
      <c r="H55" s="21" t="s">
        <v>147</v>
      </c>
      <c r="I55" s="21" t="s">
        <v>123</v>
      </c>
    </row>
    <row r="56" spans="1:9" x14ac:dyDescent="0.25">
      <c r="A56" s="24">
        <v>8</v>
      </c>
      <c r="B56" s="26">
        <v>44736</v>
      </c>
      <c r="C56" s="21" t="s">
        <v>383</v>
      </c>
      <c r="D56" s="21" t="s">
        <v>119</v>
      </c>
      <c r="E56" s="22">
        <v>-1600</v>
      </c>
      <c r="F56" s="196" t="s">
        <v>2203</v>
      </c>
      <c r="G56" s="196">
        <v>11730.360832</v>
      </c>
      <c r="H56" s="21" t="s">
        <v>147</v>
      </c>
      <c r="I56" s="21" t="s">
        <v>123</v>
      </c>
    </row>
    <row r="57" spans="1:9" x14ac:dyDescent="0.25">
      <c r="A57" s="24">
        <v>8</v>
      </c>
      <c r="B57" s="26">
        <v>44736</v>
      </c>
      <c r="C57" s="21" t="s">
        <v>383</v>
      </c>
      <c r="D57" s="21" t="s">
        <v>300</v>
      </c>
      <c r="E57" s="22">
        <v>-10450</v>
      </c>
      <c r="F57" s="196" t="s">
        <v>2203</v>
      </c>
      <c r="G57" s="196">
        <v>11730.360832</v>
      </c>
      <c r="H57" s="21" t="s">
        <v>147</v>
      </c>
      <c r="I57" s="21" t="s">
        <v>123</v>
      </c>
    </row>
    <row r="58" spans="1:9" x14ac:dyDescent="0.25">
      <c r="A58" s="24">
        <v>8</v>
      </c>
      <c r="B58" s="26">
        <v>44736</v>
      </c>
      <c r="C58" s="21" t="s">
        <v>383</v>
      </c>
      <c r="D58" s="21" t="s">
        <v>120</v>
      </c>
      <c r="E58" s="22">
        <v>3800</v>
      </c>
      <c r="F58" s="196" t="s">
        <v>2202</v>
      </c>
      <c r="G58" s="196">
        <v>11730.460832000001</v>
      </c>
      <c r="H58" s="21" t="s">
        <v>147</v>
      </c>
      <c r="I58" s="21" t="s">
        <v>123</v>
      </c>
    </row>
    <row r="59" spans="1:9" x14ac:dyDescent="0.25">
      <c r="A59" s="29">
        <v>9</v>
      </c>
      <c r="B59" s="25">
        <v>44748</v>
      </c>
      <c r="C59" s="30" t="s">
        <v>413</v>
      </c>
      <c r="D59" s="30" t="s">
        <v>298</v>
      </c>
      <c r="E59" s="31">
        <v>-160</v>
      </c>
      <c r="F59" s="197" t="s">
        <v>2204</v>
      </c>
      <c r="G59" s="197">
        <v>11850.203377</v>
      </c>
      <c r="H59" s="30" t="s">
        <v>147</v>
      </c>
      <c r="I59" s="30" t="s">
        <v>123</v>
      </c>
    </row>
    <row r="60" spans="1:9" x14ac:dyDescent="0.25">
      <c r="A60" s="29">
        <v>9</v>
      </c>
      <c r="B60" s="25">
        <v>44748</v>
      </c>
      <c r="C60" s="30" t="s">
        <v>413</v>
      </c>
      <c r="D60" s="30" t="s">
        <v>414</v>
      </c>
      <c r="E60" s="31">
        <v>160</v>
      </c>
      <c r="F60" s="197" t="s">
        <v>2205</v>
      </c>
      <c r="G60" s="197">
        <v>11850.303377</v>
      </c>
      <c r="H60" s="30" t="s">
        <v>147</v>
      </c>
      <c r="I60" s="30" t="s">
        <v>123</v>
      </c>
    </row>
    <row r="61" spans="1:9" x14ac:dyDescent="0.25">
      <c r="A61" s="24">
        <v>10</v>
      </c>
      <c r="B61" s="26">
        <v>44750</v>
      </c>
      <c r="C61" s="21" t="s">
        <v>146</v>
      </c>
      <c r="D61" s="21" t="s">
        <v>115</v>
      </c>
      <c r="E61" s="22">
        <v>2000</v>
      </c>
      <c r="F61" s="196" t="s">
        <v>2206</v>
      </c>
      <c r="G61" s="196">
        <v>11868.725458999999</v>
      </c>
      <c r="H61" s="21" t="s">
        <v>155</v>
      </c>
      <c r="I61" s="21" t="s">
        <v>2207</v>
      </c>
    </row>
    <row r="62" spans="1:9" x14ac:dyDescent="0.25">
      <c r="A62" s="24">
        <v>10</v>
      </c>
      <c r="B62" s="26">
        <v>44750</v>
      </c>
      <c r="C62" s="21" t="s">
        <v>146</v>
      </c>
      <c r="D62" s="21" t="s">
        <v>119</v>
      </c>
      <c r="E62" s="22">
        <v>-2000</v>
      </c>
      <c r="F62" s="196" t="s">
        <v>2208</v>
      </c>
      <c r="G62" s="196">
        <v>11868.625459000001</v>
      </c>
      <c r="H62" s="21" t="s">
        <v>155</v>
      </c>
      <c r="I62" s="21" t="s">
        <v>2207</v>
      </c>
    </row>
    <row r="63" spans="1:9" x14ac:dyDescent="0.25">
      <c r="A63" s="29">
        <v>11</v>
      </c>
      <c r="B63" s="25">
        <v>44753</v>
      </c>
      <c r="C63" s="30" t="s">
        <v>146</v>
      </c>
      <c r="D63" s="30" t="s">
        <v>112</v>
      </c>
      <c r="E63" s="31">
        <v>-1000</v>
      </c>
      <c r="F63" s="197" t="s">
        <v>2209</v>
      </c>
      <c r="G63" s="197">
        <v>11874.238555</v>
      </c>
      <c r="H63" s="30" t="s">
        <v>155</v>
      </c>
      <c r="I63" s="30" t="s">
        <v>123</v>
      </c>
    </row>
    <row r="64" spans="1:9" x14ac:dyDescent="0.25">
      <c r="A64" s="29">
        <v>11</v>
      </c>
      <c r="B64" s="25">
        <v>44753</v>
      </c>
      <c r="C64" s="30" t="s">
        <v>146</v>
      </c>
      <c r="D64" s="30" t="s">
        <v>114</v>
      </c>
      <c r="E64" s="31">
        <v>-1000</v>
      </c>
      <c r="F64" s="197" t="s">
        <v>2209</v>
      </c>
      <c r="G64" s="197">
        <v>11874.238555</v>
      </c>
      <c r="H64" s="30" t="s">
        <v>155</v>
      </c>
      <c r="I64" s="30" t="s">
        <v>123</v>
      </c>
    </row>
    <row r="65" spans="1:9" x14ac:dyDescent="0.25">
      <c r="A65" s="29">
        <v>11</v>
      </c>
      <c r="B65" s="25">
        <v>44753</v>
      </c>
      <c r="C65" s="30" t="s">
        <v>146</v>
      </c>
      <c r="D65" s="30" t="s">
        <v>115</v>
      </c>
      <c r="E65" s="31">
        <v>6000</v>
      </c>
      <c r="F65" s="197" t="s">
        <v>2210</v>
      </c>
      <c r="G65" s="197">
        <v>11874.338555</v>
      </c>
      <c r="H65" s="30" t="s">
        <v>155</v>
      </c>
      <c r="I65" s="30" t="s">
        <v>123</v>
      </c>
    </row>
    <row r="66" spans="1:9" x14ac:dyDescent="0.25">
      <c r="A66" s="29">
        <v>11</v>
      </c>
      <c r="B66" s="25">
        <v>44753</v>
      </c>
      <c r="C66" s="30" t="s">
        <v>146</v>
      </c>
      <c r="D66" s="30" t="s">
        <v>116</v>
      </c>
      <c r="E66" s="31">
        <v>-1000</v>
      </c>
      <c r="F66" s="197" t="s">
        <v>2209</v>
      </c>
      <c r="G66" s="197">
        <v>11874.238555</v>
      </c>
      <c r="H66" s="30" t="s">
        <v>155</v>
      </c>
      <c r="I66" s="30" t="s">
        <v>123</v>
      </c>
    </row>
    <row r="67" spans="1:9" x14ac:dyDescent="0.25">
      <c r="A67" s="29">
        <v>11</v>
      </c>
      <c r="B67" s="25">
        <v>44753</v>
      </c>
      <c r="C67" s="30" t="s">
        <v>146</v>
      </c>
      <c r="D67" s="30" t="s">
        <v>414</v>
      </c>
      <c r="E67" s="31">
        <v>-1000</v>
      </c>
      <c r="F67" s="197" t="s">
        <v>2209</v>
      </c>
      <c r="G67" s="197">
        <v>11874.238555</v>
      </c>
      <c r="H67" s="30" t="s">
        <v>155</v>
      </c>
      <c r="I67" s="30" t="s">
        <v>123</v>
      </c>
    </row>
    <row r="68" spans="1:9" x14ac:dyDescent="0.25">
      <c r="A68" s="29">
        <v>11</v>
      </c>
      <c r="B68" s="25">
        <v>44753</v>
      </c>
      <c r="C68" s="30" t="s">
        <v>146</v>
      </c>
      <c r="D68" s="30" t="s">
        <v>118</v>
      </c>
      <c r="E68" s="31">
        <v>-1000</v>
      </c>
      <c r="F68" s="197" t="s">
        <v>2209</v>
      </c>
      <c r="G68" s="197">
        <v>11874.238555</v>
      </c>
      <c r="H68" s="30" t="s">
        <v>155</v>
      </c>
      <c r="I68" s="30" t="s">
        <v>123</v>
      </c>
    </row>
    <row r="69" spans="1:9" x14ac:dyDescent="0.25">
      <c r="A69" s="29">
        <v>11</v>
      </c>
      <c r="B69" s="25">
        <v>44753</v>
      </c>
      <c r="C69" s="30" t="s">
        <v>146</v>
      </c>
      <c r="D69" s="30" t="s">
        <v>120</v>
      </c>
      <c r="E69" s="31">
        <v>-1000</v>
      </c>
      <c r="F69" s="197" t="s">
        <v>2209</v>
      </c>
      <c r="G69" s="197">
        <v>11874.238555</v>
      </c>
      <c r="H69" s="30" t="s">
        <v>155</v>
      </c>
      <c r="I69" s="30" t="s">
        <v>123</v>
      </c>
    </row>
    <row r="70" spans="1:9" x14ac:dyDescent="0.25">
      <c r="A70" s="24">
        <v>12</v>
      </c>
      <c r="B70" s="26">
        <v>44761</v>
      </c>
      <c r="C70" s="21" t="s">
        <v>383</v>
      </c>
      <c r="D70" s="21" t="s">
        <v>115</v>
      </c>
      <c r="E70" s="22">
        <v>1800</v>
      </c>
      <c r="F70" s="196"/>
      <c r="G70" s="196"/>
      <c r="H70" s="21" t="s">
        <v>155</v>
      </c>
      <c r="I70" s="21" t="s">
        <v>123</v>
      </c>
    </row>
    <row r="71" spans="1:9" x14ac:dyDescent="0.25">
      <c r="A71" s="24">
        <v>12</v>
      </c>
      <c r="B71" s="26">
        <v>44761</v>
      </c>
      <c r="C71" s="21" t="s">
        <v>383</v>
      </c>
      <c r="D71" s="21" t="s">
        <v>112</v>
      </c>
      <c r="E71" s="22">
        <v>200</v>
      </c>
      <c r="F71" s="196"/>
      <c r="G71" s="196"/>
      <c r="H71" s="21" t="s">
        <v>155</v>
      </c>
      <c r="I71" s="21" t="s">
        <v>123</v>
      </c>
    </row>
    <row r="72" spans="1:9" x14ac:dyDescent="0.25">
      <c r="A72" s="24">
        <v>12</v>
      </c>
      <c r="B72" s="26">
        <v>44761</v>
      </c>
      <c r="C72" s="21" t="s">
        <v>383</v>
      </c>
      <c r="D72" s="21" t="s">
        <v>114</v>
      </c>
      <c r="E72" s="22">
        <v>500</v>
      </c>
      <c r="F72" s="196"/>
      <c r="G72" s="196"/>
      <c r="H72" s="21" t="s">
        <v>155</v>
      </c>
      <c r="I72" s="21" t="s">
        <v>123</v>
      </c>
    </row>
    <row r="73" spans="1:9" x14ac:dyDescent="0.25">
      <c r="A73" s="24">
        <v>12</v>
      </c>
      <c r="B73" s="26">
        <v>44761</v>
      </c>
      <c r="C73" s="21" t="s">
        <v>383</v>
      </c>
      <c r="D73" s="21" t="s">
        <v>300</v>
      </c>
      <c r="E73" s="22">
        <v>-2500</v>
      </c>
      <c r="F73" s="196"/>
      <c r="G73" s="196"/>
      <c r="H73" s="21" t="s">
        <v>155</v>
      </c>
      <c r="I73" s="21" t="s">
        <v>123</v>
      </c>
    </row>
    <row r="74" spans="1:9" x14ac:dyDescent="0.25">
      <c r="A74" s="29">
        <v>13</v>
      </c>
      <c r="B74" s="25">
        <v>44777</v>
      </c>
      <c r="C74" s="30" t="s">
        <v>488</v>
      </c>
      <c r="D74" s="30" t="s">
        <v>298</v>
      </c>
      <c r="E74" s="31">
        <v>-150</v>
      </c>
      <c r="F74" s="197" t="s">
        <v>2211</v>
      </c>
      <c r="G74" s="197">
        <v>11920.12709</v>
      </c>
      <c r="H74" s="30" t="s">
        <v>113</v>
      </c>
      <c r="I74" s="30" t="s">
        <v>489</v>
      </c>
    </row>
    <row r="75" spans="1:9" x14ac:dyDescent="0.25">
      <c r="A75" s="29">
        <v>13</v>
      </c>
      <c r="B75" s="25">
        <v>44777</v>
      </c>
      <c r="C75" s="30" t="s">
        <v>488</v>
      </c>
      <c r="D75" s="30" t="s">
        <v>120</v>
      </c>
      <c r="E75" s="31">
        <v>150</v>
      </c>
      <c r="F75" s="197" t="s">
        <v>2212</v>
      </c>
      <c r="G75" s="197">
        <v>11920.22709</v>
      </c>
      <c r="H75" s="30" t="s">
        <v>113</v>
      </c>
      <c r="I75" s="30" t="s">
        <v>489</v>
      </c>
    </row>
    <row r="76" spans="1:9" x14ac:dyDescent="0.25">
      <c r="A76" s="24">
        <v>14</v>
      </c>
      <c r="B76" s="26">
        <v>44778</v>
      </c>
      <c r="C76" s="21" t="s">
        <v>146</v>
      </c>
      <c r="D76" s="21" t="s">
        <v>112</v>
      </c>
      <c r="E76" s="22">
        <v>300</v>
      </c>
      <c r="F76" s="196" t="s">
        <v>2213</v>
      </c>
      <c r="G76" s="196">
        <v>11986.023331</v>
      </c>
      <c r="H76" s="21" t="s">
        <v>147</v>
      </c>
      <c r="I76" s="21" t="s">
        <v>123</v>
      </c>
    </row>
    <row r="77" spans="1:9" x14ac:dyDescent="0.25">
      <c r="A77" s="24">
        <v>14</v>
      </c>
      <c r="B77" s="26">
        <v>44778</v>
      </c>
      <c r="C77" s="21" t="s">
        <v>146</v>
      </c>
      <c r="D77" s="21" t="s">
        <v>114</v>
      </c>
      <c r="E77" s="22">
        <v>900</v>
      </c>
      <c r="F77" s="196" t="s">
        <v>2213</v>
      </c>
      <c r="G77" s="196">
        <v>11986.023331</v>
      </c>
      <c r="H77" s="21" t="s">
        <v>147</v>
      </c>
      <c r="I77" s="21" t="s">
        <v>123</v>
      </c>
    </row>
    <row r="78" spans="1:9" x14ac:dyDescent="0.25">
      <c r="A78" s="24">
        <v>14</v>
      </c>
      <c r="B78" s="26">
        <v>44778</v>
      </c>
      <c r="C78" s="21" t="s">
        <v>146</v>
      </c>
      <c r="D78" s="21" t="s">
        <v>115</v>
      </c>
      <c r="E78" s="22">
        <v>-4200</v>
      </c>
      <c r="F78" s="196" t="s">
        <v>2214</v>
      </c>
      <c r="G78" s="196">
        <v>11985.923331</v>
      </c>
      <c r="H78" s="21" t="s">
        <v>147</v>
      </c>
      <c r="I78" s="21" t="s">
        <v>123</v>
      </c>
    </row>
    <row r="79" spans="1:9" x14ac:dyDescent="0.25">
      <c r="A79" s="24">
        <v>14</v>
      </c>
      <c r="B79" s="26">
        <v>44778</v>
      </c>
      <c r="C79" s="21" t="s">
        <v>146</v>
      </c>
      <c r="D79" s="21" t="s">
        <v>119</v>
      </c>
      <c r="E79" s="22">
        <v>-500</v>
      </c>
      <c r="F79" s="196" t="s">
        <v>2214</v>
      </c>
      <c r="G79" s="196">
        <v>11985.923331</v>
      </c>
      <c r="H79" s="21" t="s">
        <v>147</v>
      </c>
      <c r="I79" s="21" t="s">
        <v>123</v>
      </c>
    </row>
    <row r="80" spans="1:9" x14ac:dyDescent="0.25">
      <c r="A80" s="24">
        <v>14</v>
      </c>
      <c r="B80" s="26">
        <v>44778</v>
      </c>
      <c r="C80" s="21" t="s">
        <v>146</v>
      </c>
      <c r="D80" s="21" t="s">
        <v>120</v>
      </c>
      <c r="E80" s="22">
        <v>3500</v>
      </c>
      <c r="F80" s="196" t="s">
        <v>2213</v>
      </c>
      <c r="G80" s="196">
        <v>11986.023331</v>
      </c>
      <c r="H80" s="21" t="s">
        <v>147</v>
      </c>
      <c r="I80" s="21" t="s">
        <v>123</v>
      </c>
    </row>
    <row r="81" spans="1:9" x14ac:dyDescent="0.25">
      <c r="A81" s="29">
        <v>15</v>
      </c>
      <c r="B81" s="25">
        <v>44784</v>
      </c>
      <c r="C81" s="30" t="s">
        <v>488</v>
      </c>
      <c r="D81" s="30" t="s">
        <v>298</v>
      </c>
      <c r="E81" s="31">
        <v>-850</v>
      </c>
      <c r="F81" s="197" t="s">
        <v>2215</v>
      </c>
      <c r="G81" s="197">
        <v>11948.192847</v>
      </c>
      <c r="H81" s="30" t="s">
        <v>147</v>
      </c>
      <c r="I81" s="30" t="s">
        <v>489</v>
      </c>
    </row>
    <row r="82" spans="1:9" x14ac:dyDescent="0.25">
      <c r="A82" s="29">
        <v>15</v>
      </c>
      <c r="B82" s="25">
        <v>44784</v>
      </c>
      <c r="C82" s="30" t="s">
        <v>488</v>
      </c>
      <c r="D82" s="30" t="s">
        <v>116</v>
      </c>
      <c r="E82" s="31">
        <v>100</v>
      </c>
      <c r="F82" s="197" t="s">
        <v>2216</v>
      </c>
      <c r="G82" s="197">
        <v>11948.292847000001</v>
      </c>
      <c r="H82" s="30" t="s">
        <v>147</v>
      </c>
      <c r="I82" s="30" t="s">
        <v>489</v>
      </c>
    </row>
    <row r="83" spans="1:9" x14ac:dyDescent="0.25">
      <c r="A83" s="29">
        <v>15</v>
      </c>
      <c r="B83" s="25">
        <v>44784</v>
      </c>
      <c r="C83" s="30" t="s">
        <v>488</v>
      </c>
      <c r="D83" s="30" t="s">
        <v>414</v>
      </c>
      <c r="E83" s="31">
        <v>100</v>
      </c>
      <c r="F83" s="197" t="s">
        <v>2216</v>
      </c>
      <c r="G83" s="197">
        <v>11948.292847000001</v>
      </c>
      <c r="H83" s="30" t="s">
        <v>147</v>
      </c>
      <c r="I83" s="30" t="s">
        <v>489</v>
      </c>
    </row>
    <row r="84" spans="1:9" x14ac:dyDescent="0.25">
      <c r="A84" s="29">
        <v>15</v>
      </c>
      <c r="B84" s="25">
        <v>44784</v>
      </c>
      <c r="C84" s="30" t="s">
        <v>488</v>
      </c>
      <c r="D84" s="30" t="s">
        <v>118</v>
      </c>
      <c r="E84" s="31">
        <v>200</v>
      </c>
      <c r="F84" s="197" t="s">
        <v>2216</v>
      </c>
      <c r="G84" s="197">
        <v>11948.292847000001</v>
      </c>
      <c r="H84" s="30" t="s">
        <v>147</v>
      </c>
      <c r="I84" s="30" t="s">
        <v>489</v>
      </c>
    </row>
    <row r="85" spans="1:9" x14ac:dyDescent="0.25">
      <c r="A85" s="29">
        <v>15</v>
      </c>
      <c r="B85" s="25">
        <v>44784</v>
      </c>
      <c r="C85" s="30" t="s">
        <v>488</v>
      </c>
      <c r="D85" s="30" t="s">
        <v>120</v>
      </c>
      <c r="E85" s="31">
        <v>450</v>
      </c>
      <c r="F85" s="197" t="s">
        <v>2216</v>
      </c>
      <c r="G85" s="197">
        <v>11948.292847000001</v>
      </c>
      <c r="H85" s="30" t="s">
        <v>147</v>
      </c>
      <c r="I85" s="30" t="s">
        <v>489</v>
      </c>
    </row>
    <row r="86" spans="1:9" x14ac:dyDescent="0.25">
      <c r="A86" s="24">
        <v>16</v>
      </c>
      <c r="B86" s="26">
        <v>44802</v>
      </c>
      <c r="C86" s="21" t="s">
        <v>146</v>
      </c>
      <c r="D86" s="21" t="s">
        <v>414</v>
      </c>
      <c r="E86" s="22">
        <v>-1300</v>
      </c>
      <c r="F86" s="196" t="s">
        <v>2217</v>
      </c>
      <c r="G86" s="196">
        <v>12087.873446</v>
      </c>
      <c r="H86" s="21" t="s">
        <v>113</v>
      </c>
      <c r="I86" s="21" t="s">
        <v>583</v>
      </c>
    </row>
    <row r="87" spans="1:9" x14ac:dyDescent="0.25">
      <c r="A87" s="24">
        <v>16</v>
      </c>
      <c r="B87" s="26">
        <v>44802</v>
      </c>
      <c r="C87" s="21" t="s">
        <v>146</v>
      </c>
      <c r="D87" s="21" t="s">
        <v>118</v>
      </c>
      <c r="E87" s="22">
        <v>3000</v>
      </c>
      <c r="F87" s="196" t="s">
        <v>2218</v>
      </c>
      <c r="G87" s="196">
        <v>12087.973446</v>
      </c>
      <c r="H87" s="21" t="s">
        <v>113</v>
      </c>
      <c r="I87" s="21" t="s">
        <v>583</v>
      </c>
    </row>
    <row r="88" spans="1:9" x14ac:dyDescent="0.25">
      <c r="A88" s="24">
        <v>16</v>
      </c>
      <c r="B88" s="26">
        <v>44802</v>
      </c>
      <c r="C88" s="21" t="s">
        <v>146</v>
      </c>
      <c r="D88" s="21" t="s">
        <v>120</v>
      </c>
      <c r="E88" s="22">
        <v>-1700</v>
      </c>
      <c r="F88" s="196" t="s">
        <v>2217</v>
      </c>
      <c r="G88" s="196">
        <v>12087.873446</v>
      </c>
      <c r="H88" s="21" t="s">
        <v>113</v>
      </c>
      <c r="I88" s="21" t="s">
        <v>583</v>
      </c>
    </row>
    <row r="89" spans="1:9" x14ac:dyDescent="0.25">
      <c r="A89" s="29">
        <v>17</v>
      </c>
      <c r="B89" s="25">
        <v>44803</v>
      </c>
      <c r="C89" s="30" t="s">
        <v>584</v>
      </c>
      <c r="D89" s="30" t="s">
        <v>112</v>
      </c>
      <c r="E89" s="31">
        <v>400</v>
      </c>
      <c r="F89" s="197" t="s">
        <v>2219</v>
      </c>
      <c r="G89" s="197">
        <v>12043.060493999999</v>
      </c>
      <c r="H89" s="30" t="s">
        <v>147</v>
      </c>
      <c r="I89" s="30" t="s">
        <v>585</v>
      </c>
    </row>
    <row r="90" spans="1:9" ht="13.5" customHeight="1" x14ac:dyDescent="0.25">
      <c r="A90" s="29">
        <v>17</v>
      </c>
      <c r="B90" s="25">
        <v>44803</v>
      </c>
      <c r="C90" s="30" t="s">
        <v>584</v>
      </c>
      <c r="D90" s="30" t="s">
        <v>118</v>
      </c>
      <c r="E90" s="31">
        <v>-400</v>
      </c>
      <c r="F90" s="197" t="s">
        <v>2220</v>
      </c>
      <c r="G90" s="197">
        <v>12042.960494000001</v>
      </c>
      <c r="H90" s="30" t="s">
        <v>147</v>
      </c>
      <c r="I90" s="30" t="s">
        <v>585</v>
      </c>
    </row>
    <row r="91" spans="1:9" x14ac:dyDescent="0.25">
      <c r="A91" s="24">
        <v>18</v>
      </c>
      <c r="B91" s="26">
        <v>44812</v>
      </c>
      <c r="C91" s="21" t="s">
        <v>121</v>
      </c>
      <c r="D91" s="21" t="s">
        <v>119</v>
      </c>
      <c r="E91" s="22">
        <v>-258</v>
      </c>
      <c r="F91" s="196" t="s">
        <v>2221</v>
      </c>
      <c r="G91" s="196">
        <v>4090.8871100000001</v>
      </c>
      <c r="H91" s="21" t="s">
        <v>113</v>
      </c>
      <c r="I91" s="21" t="s">
        <v>123</v>
      </c>
    </row>
    <row r="92" spans="1:9" x14ac:dyDescent="0.25">
      <c r="A92" s="24">
        <v>18</v>
      </c>
      <c r="B92" s="26">
        <v>44812</v>
      </c>
      <c r="C92" s="21" t="s">
        <v>121</v>
      </c>
      <c r="D92" s="21" t="s">
        <v>118</v>
      </c>
      <c r="E92" s="22">
        <v>-250</v>
      </c>
      <c r="F92" s="196" t="s">
        <v>2221</v>
      </c>
      <c r="G92" s="196">
        <v>4090.8871100000001</v>
      </c>
      <c r="H92" s="21" t="s">
        <v>113</v>
      </c>
      <c r="I92" s="21" t="s">
        <v>123</v>
      </c>
    </row>
    <row r="93" spans="1:9" x14ac:dyDescent="0.25">
      <c r="A93" s="24">
        <v>18</v>
      </c>
      <c r="B93" s="26">
        <v>44812</v>
      </c>
      <c r="C93" s="21" t="s">
        <v>121</v>
      </c>
      <c r="D93" s="21" t="s">
        <v>116</v>
      </c>
      <c r="E93" s="22">
        <v>-33</v>
      </c>
      <c r="F93" s="196" t="s">
        <v>2221</v>
      </c>
      <c r="G93" s="196">
        <v>4090.8871100000001</v>
      </c>
      <c r="H93" s="21" t="s">
        <v>113</v>
      </c>
      <c r="I93" s="21" t="s">
        <v>123</v>
      </c>
    </row>
    <row r="94" spans="1:9" x14ac:dyDescent="0.25">
      <c r="A94" s="24">
        <v>18</v>
      </c>
      <c r="B94" s="26">
        <v>44812</v>
      </c>
      <c r="C94" s="21" t="s">
        <v>121</v>
      </c>
      <c r="D94" s="21" t="s">
        <v>112</v>
      </c>
      <c r="E94" s="22">
        <v>51</v>
      </c>
      <c r="F94" s="196" t="s">
        <v>2222</v>
      </c>
      <c r="G94" s="196">
        <v>4091.0371100000002</v>
      </c>
      <c r="H94" s="21" t="s">
        <v>113</v>
      </c>
      <c r="I94" s="21" t="s">
        <v>123</v>
      </c>
    </row>
    <row r="95" spans="1:9" x14ac:dyDescent="0.25">
      <c r="A95" s="24">
        <v>18</v>
      </c>
      <c r="B95" s="26">
        <v>44812</v>
      </c>
      <c r="C95" s="21" t="s">
        <v>121</v>
      </c>
      <c r="D95" s="21" t="s">
        <v>114</v>
      </c>
      <c r="E95" s="22">
        <v>80</v>
      </c>
      <c r="F95" s="196" t="s">
        <v>2222</v>
      </c>
      <c r="G95" s="196">
        <v>4091.0371100000002</v>
      </c>
      <c r="H95" s="21" t="s">
        <v>113</v>
      </c>
      <c r="I95" s="21" t="s">
        <v>123</v>
      </c>
    </row>
    <row r="96" spans="1:9" x14ac:dyDescent="0.25">
      <c r="A96" s="24">
        <v>18</v>
      </c>
      <c r="B96" s="26">
        <v>44812</v>
      </c>
      <c r="C96" s="21" t="s">
        <v>121</v>
      </c>
      <c r="D96" s="21" t="s">
        <v>120</v>
      </c>
      <c r="E96" s="22">
        <v>95</v>
      </c>
      <c r="F96" s="196" t="s">
        <v>2222</v>
      </c>
      <c r="G96" s="196">
        <v>4091.0371100000002</v>
      </c>
      <c r="H96" s="21" t="s">
        <v>113</v>
      </c>
      <c r="I96" s="21" t="s">
        <v>123</v>
      </c>
    </row>
    <row r="97" spans="1:9" x14ac:dyDescent="0.25">
      <c r="A97" s="24">
        <v>18</v>
      </c>
      <c r="B97" s="26">
        <v>44812</v>
      </c>
      <c r="C97" s="21" t="s">
        <v>121</v>
      </c>
      <c r="D97" s="21" t="s">
        <v>414</v>
      </c>
      <c r="E97" s="22">
        <v>315</v>
      </c>
      <c r="F97" s="196" t="s">
        <v>2222</v>
      </c>
      <c r="G97" s="196">
        <v>4091.0371100000002</v>
      </c>
      <c r="H97" s="21" t="s">
        <v>113</v>
      </c>
      <c r="I97" s="21" t="s">
        <v>123</v>
      </c>
    </row>
    <row r="98" spans="1:9" ht="13.5" customHeight="1" x14ac:dyDescent="0.25">
      <c r="A98" s="29">
        <v>19</v>
      </c>
      <c r="B98" s="25">
        <v>44817</v>
      </c>
      <c r="C98" s="30" t="s">
        <v>121</v>
      </c>
      <c r="D98" s="30" t="s">
        <v>118</v>
      </c>
      <c r="E98" s="31">
        <v>-400</v>
      </c>
      <c r="F98" s="197" t="s">
        <v>2223</v>
      </c>
      <c r="G98" s="197">
        <v>4096.3732040000004</v>
      </c>
      <c r="H98" s="30" t="s">
        <v>147</v>
      </c>
      <c r="I98" s="30" t="s">
        <v>123</v>
      </c>
    </row>
    <row r="99" spans="1:9" ht="13.5" customHeight="1" x14ac:dyDescent="0.25">
      <c r="A99" s="29">
        <v>19</v>
      </c>
      <c r="B99" s="25">
        <v>44817</v>
      </c>
      <c r="C99" s="30" t="s">
        <v>121</v>
      </c>
      <c r="D99" s="30" t="s">
        <v>112</v>
      </c>
      <c r="E99" s="31">
        <v>10</v>
      </c>
      <c r="F99" s="197" t="s">
        <v>2224</v>
      </c>
      <c r="G99" s="197">
        <v>4096.5232040000001</v>
      </c>
      <c r="H99" s="30" t="s">
        <v>147</v>
      </c>
      <c r="I99" s="30" t="s">
        <v>123</v>
      </c>
    </row>
    <row r="100" spans="1:9" ht="13.5" customHeight="1" x14ac:dyDescent="0.25">
      <c r="A100" s="29">
        <v>19</v>
      </c>
      <c r="B100" s="25">
        <v>44817</v>
      </c>
      <c r="C100" s="30" t="s">
        <v>121</v>
      </c>
      <c r="D100" s="30" t="s">
        <v>119</v>
      </c>
      <c r="E100" s="31">
        <v>20</v>
      </c>
      <c r="F100" s="197" t="s">
        <v>2224</v>
      </c>
      <c r="G100" s="197">
        <v>4096.5232040000001</v>
      </c>
      <c r="H100" s="30" t="s">
        <v>147</v>
      </c>
      <c r="I100" s="30" t="s">
        <v>123</v>
      </c>
    </row>
    <row r="101" spans="1:9" ht="13.5" customHeight="1" x14ac:dyDescent="0.25">
      <c r="A101" s="29">
        <v>19</v>
      </c>
      <c r="B101" s="25">
        <v>44817</v>
      </c>
      <c r="C101" s="30" t="s">
        <v>121</v>
      </c>
      <c r="D101" s="30" t="s">
        <v>114</v>
      </c>
      <c r="E101" s="31">
        <v>30</v>
      </c>
      <c r="F101" s="197" t="s">
        <v>2224</v>
      </c>
      <c r="G101" s="197">
        <v>4096.5232040000001</v>
      </c>
      <c r="H101" s="30" t="s">
        <v>147</v>
      </c>
      <c r="I101" s="30" t="s">
        <v>123</v>
      </c>
    </row>
    <row r="102" spans="1:9" ht="13.5" customHeight="1" x14ac:dyDescent="0.25">
      <c r="A102" s="29">
        <v>19</v>
      </c>
      <c r="B102" s="25">
        <v>44817</v>
      </c>
      <c r="C102" s="30" t="s">
        <v>121</v>
      </c>
      <c r="D102" s="30" t="s">
        <v>116</v>
      </c>
      <c r="E102" s="31">
        <v>55</v>
      </c>
      <c r="F102" s="197" t="s">
        <v>2224</v>
      </c>
      <c r="G102" s="197">
        <v>4096.5232040000001</v>
      </c>
      <c r="H102" s="30" t="s">
        <v>147</v>
      </c>
      <c r="I102" s="30" t="s">
        <v>123</v>
      </c>
    </row>
    <row r="103" spans="1:9" ht="13.5" customHeight="1" x14ac:dyDescent="0.25">
      <c r="A103" s="29">
        <v>19</v>
      </c>
      <c r="B103" s="25">
        <v>44817</v>
      </c>
      <c r="C103" s="30" t="s">
        <v>121</v>
      </c>
      <c r="D103" s="30" t="s">
        <v>414</v>
      </c>
      <c r="E103" s="31">
        <v>135</v>
      </c>
      <c r="F103" s="197" t="s">
        <v>2224</v>
      </c>
      <c r="G103" s="197">
        <v>4096.5232040000001</v>
      </c>
      <c r="H103" s="30" t="s">
        <v>147</v>
      </c>
      <c r="I103" s="30" t="s">
        <v>123</v>
      </c>
    </row>
    <row r="104" spans="1:9" ht="13.5" customHeight="1" x14ac:dyDescent="0.25">
      <c r="A104" s="29">
        <v>19</v>
      </c>
      <c r="B104" s="25">
        <v>44817</v>
      </c>
      <c r="C104" s="30" t="s">
        <v>121</v>
      </c>
      <c r="D104" s="30" t="s">
        <v>120</v>
      </c>
      <c r="E104" s="31">
        <v>150</v>
      </c>
      <c r="F104" s="197" t="s">
        <v>2224</v>
      </c>
      <c r="G104" s="197">
        <v>4096.5232040000001</v>
      </c>
      <c r="H104" s="30" t="s">
        <v>147</v>
      </c>
      <c r="I104" s="30" t="s">
        <v>123</v>
      </c>
    </row>
    <row r="105" spans="1:9" x14ac:dyDescent="0.25">
      <c r="A105" s="24">
        <v>20</v>
      </c>
      <c r="B105" s="26">
        <v>44831</v>
      </c>
      <c r="C105" s="21" t="s">
        <v>146</v>
      </c>
      <c r="D105" s="21" t="s">
        <v>118</v>
      </c>
      <c r="E105" s="22">
        <v>-3000</v>
      </c>
      <c r="F105" s="196" t="s">
        <v>2225</v>
      </c>
      <c r="G105" s="196">
        <v>12211.447878000001</v>
      </c>
      <c r="H105" s="21" t="s">
        <v>147</v>
      </c>
      <c r="I105" s="21" t="s">
        <v>123</v>
      </c>
    </row>
    <row r="106" spans="1:9" x14ac:dyDescent="0.25">
      <c r="A106" s="24">
        <v>20</v>
      </c>
      <c r="B106" s="26">
        <v>44831</v>
      </c>
      <c r="C106" s="21" t="s">
        <v>146</v>
      </c>
      <c r="D106" s="21" t="s">
        <v>119</v>
      </c>
      <c r="E106" s="22">
        <v>3000</v>
      </c>
      <c r="F106" s="196" t="s">
        <v>2226</v>
      </c>
      <c r="G106" s="196">
        <v>12211.547877999999</v>
      </c>
      <c r="H106" s="21" t="s">
        <v>147</v>
      </c>
      <c r="I106" s="21" t="s">
        <v>123</v>
      </c>
    </row>
    <row r="107" spans="1:9" ht="13.5" customHeight="1" x14ac:dyDescent="0.25">
      <c r="A107" s="29">
        <v>21</v>
      </c>
      <c r="B107" s="25">
        <v>44832</v>
      </c>
      <c r="C107" s="30" t="s">
        <v>146</v>
      </c>
      <c r="D107" s="30" t="s">
        <v>118</v>
      </c>
      <c r="E107" s="31">
        <v>-2000</v>
      </c>
      <c r="F107" s="197" t="s">
        <v>2227</v>
      </c>
      <c r="G107" s="197">
        <v>12217.674317999999</v>
      </c>
      <c r="H107" s="30" t="s">
        <v>113</v>
      </c>
      <c r="I107" s="30" t="s">
        <v>123</v>
      </c>
    </row>
    <row r="108" spans="1:9" ht="13.5" customHeight="1" x14ac:dyDescent="0.25">
      <c r="A108" s="29">
        <v>21</v>
      </c>
      <c r="B108" s="25">
        <v>44832</v>
      </c>
      <c r="C108" s="30" t="s">
        <v>146</v>
      </c>
      <c r="D108" s="30" t="s">
        <v>120</v>
      </c>
      <c r="E108" s="31">
        <v>-1700</v>
      </c>
      <c r="F108" s="197" t="s">
        <v>2227</v>
      </c>
      <c r="G108" s="197">
        <v>12217.674317999999</v>
      </c>
      <c r="H108" s="30" t="s">
        <v>113</v>
      </c>
      <c r="I108" s="30" t="s">
        <v>123</v>
      </c>
    </row>
    <row r="109" spans="1:9" ht="13.5" customHeight="1" x14ac:dyDescent="0.25">
      <c r="A109" s="29">
        <v>21</v>
      </c>
      <c r="B109" s="25">
        <v>44832</v>
      </c>
      <c r="C109" s="30" t="s">
        <v>146</v>
      </c>
      <c r="D109" s="30" t="s">
        <v>414</v>
      </c>
      <c r="E109" s="31">
        <v>-1500</v>
      </c>
      <c r="F109" s="197" t="s">
        <v>2227</v>
      </c>
      <c r="G109" s="197">
        <v>12217.674317999999</v>
      </c>
      <c r="H109" s="30" t="s">
        <v>113</v>
      </c>
      <c r="I109" s="30" t="s">
        <v>123</v>
      </c>
    </row>
    <row r="110" spans="1:9" ht="13.5" customHeight="1" x14ac:dyDescent="0.25">
      <c r="A110" s="29">
        <v>21</v>
      </c>
      <c r="B110" s="25">
        <v>44832</v>
      </c>
      <c r="C110" s="30" t="s">
        <v>146</v>
      </c>
      <c r="D110" s="30" t="s">
        <v>116</v>
      </c>
      <c r="E110" s="31">
        <v>-300</v>
      </c>
      <c r="F110" s="197" t="s">
        <v>2227</v>
      </c>
      <c r="G110" s="197">
        <v>12217.674317999999</v>
      </c>
      <c r="H110" s="30" t="s">
        <v>113</v>
      </c>
      <c r="I110" s="30" t="s">
        <v>123</v>
      </c>
    </row>
    <row r="111" spans="1:9" ht="13.5" customHeight="1" x14ac:dyDescent="0.25">
      <c r="A111" s="29">
        <v>21</v>
      </c>
      <c r="B111" s="25">
        <v>44832</v>
      </c>
      <c r="C111" s="30" t="s">
        <v>146</v>
      </c>
      <c r="D111" s="30" t="s">
        <v>114</v>
      </c>
      <c r="E111" s="31">
        <v>-100</v>
      </c>
      <c r="F111" s="197" t="s">
        <v>2227</v>
      </c>
      <c r="G111" s="197">
        <v>12217.674317999999</v>
      </c>
      <c r="H111" s="30" t="s">
        <v>113</v>
      </c>
      <c r="I111" s="30" t="s">
        <v>123</v>
      </c>
    </row>
    <row r="112" spans="1:9" ht="13.5" customHeight="1" x14ac:dyDescent="0.25">
      <c r="A112" s="29">
        <v>21</v>
      </c>
      <c r="B112" s="25">
        <v>44832</v>
      </c>
      <c r="C112" s="30" t="s">
        <v>146</v>
      </c>
      <c r="D112" s="30" t="s">
        <v>119</v>
      </c>
      <c r="E112" s="31">
        <v>2000</v>
      </c>
      <c r="F112" s="197" t="s">
        <v>2228</v>
      </c>
      <c r="G112" s="197">
        <v>12217.774318</v>
      </c>
      <c r="H112" s="30" t="s">
        <v>113</v>
      </c>
      <c r="I112" s="30" t="s">
        <v>123</v>
      </c>
    </row>
    <row r="113" spans="1:9" ht="13.5" customHeight="1" x14ac:dyDescent="0.25">
      <c r="A113" s="29">
        <v>21</v>
      </c>
      <c r="B113" s="25">
        <v>44832</v>
      </c>
      <c r="C113" s="30" t="s">
        <v>146</v>
      </c>
      <c r="D113" s="30" t="s">
        <v>115</v>
      </c>
      <c r="E113" s="31">
        <v>3600</v>
      </c>
      <c r="F113" s="197" t="s">
        <v>2228</v>
      </c>
      <c r="G113" s="197">
        <v>12217.774318</v>
      </c>
      <c r="H113" s="30" t="s">
        <v>113</v>
      </c>
      <c r="I113" s="30" t="s">
        <v>123</v>
      </c>
    </row>
    <row r="114" spans="1:9" x14ac:dyDescent="0.25">
      <c r="A114" s="24">
        <v>22</v>
      </c>
      <c r="B114" s="26">
        <v>44855</v>
      </c>
      <c r="C114" s="21" t="s">
        <v>832</v>
      </c>
      <c r="D114" s="21" t="s">
        <v>116</v>
      </c>
      <c r="E114" s="22">
        <v>300</v>
      </c>
      <c r="F114" s="196" t="s">
        <v>2229</v>
      </c>
      <c r="G114" s="196">
        <v>12227.634097</v>
      </c>
      <c r="H114" s="21" t="s">
        <v>147</v>
      </c>
      <c r="I114" s="21" t="s">
        <v>585</v>
      </c>
    </row>
    <row r="115" spans="1:9" x14ac:dyDescent="0.25">
      <c r="A115" s="24">
        <v>22</v>
      </c>
      <c r="B115" s="26">
        <v>44855</v>
      </c>
      <c r="C115" s="21" t="s">
        <v>832</v>
      </c>
      <c r="D115" s="21" t="s">
        <v>118</v>
      </c>
      <c r="E115" s="22">
        <v>-300</v>
      </c>
      <c r="F115" s="196" t="s">
        <v>2230</v>
      </c>
      <c r="G115" s="196">
        <v>12227.534097</v>
      </c>
      <c r="H115" s="21" t="s">
        <v>147</v>
      </c>
      <c r="I115" s="21" t="s">
        <v>585</v>
      </c>
    </row>
    <row r="116" spans="1:9" ht="13.5" customHeight="1" x14ac:dyDescent="0.25">
      <c r="A116" s="29">
        <v>23</v>
      </c>
      <c r="B116" s="25">
        <v>44886</v>
      </c>
      <c r="C116" s="30" t="s">
        <v>146</v>
      </c>
      <c r="D116" s="30" t="s">
        <v>120</v>
      </c>
      <c r="E116" s="31">
        <v>-1600</v>
      </c>
      <c r="F116" s="197" t="s">
        <v>2231</v>
      </c>
      <c r="G116" s="197">
        <v>12436.36803</v>
      </c>
      <c r="H116" s="30" t="s">
        <v>147</v>
      </c>
      <c r="I116" s="30" t="s">
        <v>583</v>
      </c>
    </row>
    <row r="117" spans="1:9" ht="13.5" customHeight="1" x14ac:dyDescent="0.25">
      <c r="A117" s="29">
        <v>23</v>
      </c>
      <c r="B117" s="25">
        <v>44886</v>
      </c>
      <c r="C117" s="30" t="s">
        <v>146</v>
      </c>
      <c r="D117" s="30" t="s">
        <v>414</v>
      </c>
      <c r="E117" s="31">
        <v>-1500</v>
      </c>
      <c r="F117" s="197" t="s">
        <v>2231</v>
      </c>
      <c r="G117" s="197">
        <v>12436.36803</v>
      </c>
      <c r="H117" s="30" t="s">
        <v>147</v>
      </c>
      <c r="I117" s="30" t="s">
        <v>583</v>
      </c>
    </row>
    <row r="118" spans="1:9" ht="13.5" customHeight="1" x14ac:dyDescent="0.25">
      <c r="A118" s="29">
        <v>23</v>
      </c>
      <c r="B118" s="25">
        <v>44886</v>
      </c>
      <c r="C118" s="30" t="s">
        <v>146</v>
      </c>
      <c r="D118" s="30" t="s">
        <v>114</v>
      </c>
      <c r="E118" s="31">
        <v>-150</v>
      </c>
      <c r="F118" s="197" t="s">
        <v>2231</v>
      </c>
      <c r="G118" s="197">
        <v>12436.36803</v>
      </c>
      <c r="H118" s="30" t="s">
        <v>147</v>
      </c>
      <c r="I118" s="30" t="s">
        <v>583</v>
      </c>
    </row>
    <row r="119" spans="1:9" ht="13.5" customHeight="1" x14ac:dyDescent="0.25">
      <c r="A119" s="29">
        <v>23</v>
      </c>
      <c r="B119" s="25">
        <v>44886</v>
      </c>
      <c r="C119" s="30" t="s">
        <v>146</v>
      </c>
      <c r="D119" s="30" t="s">
        <v>119</v>
      </c>
      <c r="E119" s="31">
        <v>800</v>
      </c>
      <c r="F119" s="197" t="s">
        <v>2232</v>
      </c>
      <c r="G119" s="197">
        <v>12436.268029999999</v>
      </c>
      <c r="H119" s="30" t="s">
        <v>147</v>
      </c>
      <c r="I119" s="30" t="s">
        <v>583</v>
      </c>
    </row>
    <row r="120" spans="1:9" ht="13.5" customHeight="1" x14ac:dyDescent="0.25">
      <c r="A120" s="29">
        <v>23</v>
      </c>
      <c r="B120" s="25">
        <v>44886</v>
      </c>
      <c r="C120" s="30" t="s">
        <v>146</v>
      </c>
      <c r="D120" s="30" t="s">
        <v>300</v>
      </c>
      <c r="E120" s="31">
        <v>1100</v>
      </c>
      <c r="F120" s="197" t="s">
        <v>2232</v>
      </c>
      <c r="G120" s="197">
        <v>12436.268029999999</v>
      </c>
      <c r="H120" s="30" t="s">
        <v>147</v>
      </c>
      <c r="I120" s="30" t="s">
        <v>583</v>
      </c>
    </row>
    <row r="121" spans="1:9" ht="13.5" customHeight="1" x14ac:dyDescent="0.25">
      <c r="A121" s="29">
        <v>23</v>
      </c>
      <c r="B121" s="25">
        <v>44886</v>
      </c>
      <c r="C121" s="30" t="s">
        <v>146</v>
      </c>
      <c r="D121" s="30" t="s">
        <v>115</v>
      </c>
      <c r="E121" s="31">
        <v>1350</v>
      </c>
      <c r="F121" s="197" t="s">
        <v>2232</v>
      </c>
      <c r="G121" s="197">
        <v>12436.268029999999</v>
      </c>
      <c r="H121" s="30" t="s">
        <v>147</v>
      </c>
      <c r="I121" s="30" t="s">
        <v>583</v>
      </c>
    </row>
    <row r="122" spans="1:9" x14ac:dyDescent="0.25">
      <c r="A122" s="24">
        <v>24</v>
      </c>
      <c r="B122" s="26">
        <v>44902</v>
      </c>
      <c r="C122" s="21" t="s">
        <v>146</v>
      </c>
      <c r="D122" s="21" t="s">
        <v>115</v>
      </c>
      <c r="E122" s="22">
        <v>3600</v>
      </c>
      <c r="F122" s="196" t="s">
        <v>2233</v>
      </c>
      <c r="G122" s="196">
        <v>12512.699667000001</v>
      </c>
      <c r="H122" s="21" t="s">
        <v>147</v>
      </c>
      <c r="I122" s="21" t="s">
        <v>583</v>
      </c>
    </row>
    <row r="123" spans="1:9" x14ac:dyDescent="0.25">
      <c r="A123" s="24">
        <v>24</v>
      </c>
      <c r="B123" s="26">
        <v>44902</v>
      </c>
      <c r="C123" s="21" t="s">
        <v>146</v>
      </c>
      <c r="D123" s="21" t="s">
        <v>119</v>
      </c>
      <c r="E123" s="22">
        <v>2700</v>
      </c>
      <c r="F123" s="196" t="s">
        <v>2233</v>
      </c>
      <c r="G123" s="196">
        <v>12512.699667000001</v>
      </c>
      <c r="H123" s="21" t="s">
        <v>147</v>
      </c>
      <c r="I123" s="21" t="s">
        <v>583</v>
      </c>
    </row>
    <row r="124" spans="1:9" x14ac:dyDescent="0.25">
      <c r="A124" s="24">
        <v>24</v>
      </c>
      <c r="B124" s="26">
        <v>44902</v>
      </c>
      <c r="C124" s="21" t="s">
        <v>146</v>
      </c>
      <c r="D124" s="21" t="s">
        <v>116</v>
      </c>
      <c r="E124" s="22">
        <v>-200</v>
      </c>
      <c r="F124" s="196" t="s">
        <v>2234</v>
      </c>
      <c r="G124" s="196">
        <v>12512.599667</v>
      </c>
      <c r="H124" s="21" t="s">
        <v>147</v>
      </c>
      <c r="I124" s="21" t="s">
        <v>583</v>
      </c>
    </row>
    <row r="125" spans="1:9" x14ac:dyDescent="0.25">
      <c r="A125" s="24">
        <v>24</v>
      </c>
      <c r="B125" s="26">
        <v>44902</v>
      </c>
      <c r="C125" s="21" t="s">
        <v>146</v>
      </c>
      <c r="D125" s="21" t="s">
        <v>114</v>
      </c>
      <c r="E125" s="22">
        <v>-500</v>
      </c>
      <c r="F125" s="196" t="s">
        <v>2234</v>
      </c>
      <c r="G125" s="196">
        <v>12512.599667</v>
      </c>
      <c r="H125" s="21" t="s">
        <v>147</v>
      </c>
      <c r="I125" s="21" t="s">
        <v>583</v>
      </c>
    </row>
    <row r="126" spans="1:9" x14ac:dyDescent="0.25">
      <c r="A126" s="24">
        <v>24</v>
      </c>
      <c r="B126" s="26">
        <v>44902</v>
      </c>
      <c r="C126" s="21" t="s">
        <v>146</v>
      </c>
      <c r="D126" s="21" t="s">
        <v>414</v>
      </c>
      <c r="E126" s="22">
        <v>-1600</v>
      </c>
      <c r="F126" s="196" t="s">
        <v>2234</v>
      </c>
      <c r="G126" s="196">
        <v>12512.599667</v>
      </c>
      <c r="H126" s="21" t="s">
        <v>147</v>
      </c>
      <c r="I126" s="21" t="s">
        <v>583</v>
      </c>
    </row>
    <row r="127" spans="1:9" x14ac:dyDescent="0.25">
      <c r="A127" s="24">
        <v>24</v>
      </c>
      <c r="B127" s="26">
        <v>44902</v>
      </c>
      <c r="C127" s="21" t="s">
        <v>146</v>
      </c>
      <c r="D127" s="21" t="s">
        <v>120</v>
      </c>
      <c r="E127" s="22">
        <v>-1700</v>
      </c>
      <c r="F127" s="196" t="s">
        <v>2234</v>
      </c>
      <c r="G127" s="196">
        <v>12512.599667</v>
      </c>
      <c r="H127" s="21" t="s">
        <v>147</v>
      </c>
      <c r="I127" s="21" t="s">
        <v>583</v>
      </c>
    </row>
    <row r="128" spans="1:9" x14ac:dyDescent="0.25">
      <c r="A128" s="24">
        <v>24</v>
      </c>
      <c r="B128" s="26">
        <v>44902</v>
      </c>
      <c r="C128" s="21" t="s">
        <v>146</v>
      </c>
      <c r="D128" s="21" t="s">
        <v>118</v>
      </c>
      <c r="E128" s="22">
        <v>-2300</v>
      </c>
      <c r="F128" s="196" t="s">
        <v>2234</v>
      </c>
      <c r="G128" s="196">
        <v>12512.599667</v>
      </c>
      <c r="H128" s="21" t="s">
        <v>147</v>
      </c>
      <c r="I128" s="21" t="s">
        <v>583</v>
      </c>
    </row>
    <row r="129" spans="1:9" ht="13.5" customHeight="1" x14ac:dyDescent="0.25">
      <c r="A129" s="29">
        <v>25</v>
      </c>
      <c r="B129" s="25">
        <v>44914</v>
      </c>
      <c r="C129" s="30" t="s">
        <v>413</v>
      </c>
      <c r="D129" s="30" t="s">
        <v>112</v>
      </c>
      <c r="E129" s="31">
        <v>-20</v>
      </c>
      <c r="F129" s="197" t="s">
        <v>2235</v>
      </c>
      <c r="G129" s="197">
        <v>12563.517164000001</v>
      </c>
      <c r="H129" s="30" t="s">
        <v>113</v>
      </c>
      <c r="I129" s="30" t="s">
        <v>583</v>
      </c>
    </row>
    <row r="130" spans="1:9" ht="13.5" customHeight="1" x14ac:dyDescent="0.25">
      <c r="A130" s="29">
        <v>25</v>
      </c>
      <c r="B130" s="25">
        <v>44914</v>
      </c>
      <c r="C130" s="30" t="s">
        <v>413</v>
      </c>
      <c r="D130" s="30" t="s">
        <v>115</v>
      </c>
      <c r="E130" s="31">
        <v>6300</v>
      </c>
      <c r="F130" s="197" t="s">
        <v>2236</v>
      </c>
      <c r="G130" s="197">
        <v>12563.617163999999</v>
      </c>
      <c r="H130" s="30" t="s">
        <v>113</v>
      </c>
      <c r="I130" s="30" t="s">
        <v>583</v>
      </c>
    </row>
    <row r="131" spans="1:9" ht="13.5" customHeight="1" x14ac:dyDescent="0.25">
      <c r="A131" s="29">
        <v>25</v>
      </c>
      <c r="B131" s="25">
        <v>44914</v>
      </c>
      <c r="C131" s="30" t="s">
        <v>413</v>
      </c>
      <c r="D131" s="30" t="s">
        <v>116</v>
      </c>
      <c r="E131" s="31">
        <v>-800</v>
      </c>
      <c r="F131" s="197" t="s">
        <v>2235</v>
      </c>
      <c r="G131" s="197">
        <v>12563.517164000001</v>
      </c>
      <c r="H131" s="30" t="s">
        <v>113</v>
      </c>
      <c r="I131" s="30" t="s">
        <v>583</v>
      </c>
    </row>
    <row r="132" spans="1:9" ht="13.5" customHeight="1" x14ac:dyDescent="0.25">
      <c r="A132" s="29">
        <v>25</v>
      </c>
      <c r="B132" s="25">
        <v>44914</v>
      </c>
      <c r="C132" s="30" t="s">
        <v>413</v>
      </c>
      <c r="D132" s="30" t="s">
        <v>414</v>
      </c>
      <c r="E132" s="31">
        <v>-2900</v>
      </c>
      <c r="F132" s="197" t="s">
        <v>2235</v>
      </c>
      <c r="G132" s="197">
        <v>12563.517164000001</v>
      </c>
      <c r="H132" s="30" t="s">
        <v>113</v>
      </c>
      <c r="I132" s="30" t="s">
        <v>583</v>
      </c>
    </row>
    <row r="133" spans="1:9" ht="13.5" customHeight="1" x14ac:dyDescent="0.25">
      <c r="A133" s="29">
        <v>25</v>
      </c>
      <c r="B133" s="25">
        <v>44914</v>
      </c>
      <c r="C133" s="30" t="s">
        <v>413</v>
      </c>
      <c r="D133" s="30" t="s">
        <v>118</v>
      </c>
      <c r="E133" s="31">
        <v>-5200</v>
      </c>
      <c r="F133" s="197" t="s">
        <v>2235</v>
      </c>
      <c r="G133" s="197">
        <v>12563.517164000001</v>
      </c>
      <c r="H133" s="30" t="s">
        <v>113</v>
      </c>
      <c r="I133" s="30" t="s">
        <v>583</v>
      </c>
    </row>
    <row r="134" spans="1:9" ht="13.5" customHeight="1" x14ac:dyDescent="0.25">
      <c r="A134" s="29">
        <v>25</v>
      </c>
      <c r="B134" s="25">
        <v>44914</v>
      </c>
      <c r="C134" s="30" t="s">
        <v>413</v>
      </c>
      <c r="D134" s="30" t="s">
        <v>119</v>
      </c>
      <c r="E134" s="31">
        <v>3200</v>
      </c>
      <c r="F134" s="197" t="s">
        <v>2236</v>
      </c>
      <c r="G134" s="197">
        <v>12563.617163999999</v>
      </c>
      <c r="H134" s="30" t="s">
        <v>113</v>
      </c>
      <c r="I134" s="30" t="s">
        <v>583</v>
      </c>
    </row>
    <row r="135" spans="1:9" ht="13.5" customHeight="1" x14ac:dyDescent="0.25">
      <c r="A135" s="29">
        <v>25</v>
      </c>
      <c r="B135" s="25">
        <v>44914</v>
      </c>
      <c r="C135" s="30" t="s">
        <v>413</v>
      </c>
      <c r="D135" s="30" t="s">
        <v>300</v>
      </c>
      <c r="E135" s="31">
        <v>2920</v>
      </c>
      <c r="F135" s="197" t="s">
        <v>2236</v>
      </c>
      <c r="G135" s="197">
        <v>12563.617163999999</v>
      </c>
      <c r="H135" s="30" t="s">
        <v>113</v>
      </c>
      <c r="I135" s="30" t="s">
        <v>583</v>
      </c>
    </row>
    <row r="136" spans="1:9" ht="13.5" customHeight="1" x14ac:dyDescent="0.25">
      <c r="A136" s="29">
        <v>25</v>
      </c>
      <c r="B136" s="25">
        <v>44914</v>
      </c>
      <c r="C136" s="30" t="s">
        <v>413</v>
      </c>
      <c r="D136" s="30" t="s">
        <v>120</v>
      </c>
      <c r="E136" s="31">
        <v>-3500</v>
      </c>
      <c r="F136" s="197" t="s">
        <v>2235</v>
      </c>
      <c r="G136" s="197">
        <v>12563.517164000001</v>
      </c>
      <c r="H136" s="30" t="s">
        <v>113</v>
      </c>
      <c r="I136" s="30" t="s">
        <v>583</v>
      </c>
    </row>
    <row r="137" spans="1:9" x14ac:dyDescent="0.25">
      <c r="A137" s="24">
        <v>26</v>
      </c>
      <c r="B137" s="26">
        <v>44929</v>
      </c>
      <c r="C137" s="21" t="s">
        <v>413</v>
      </c>
      <c r="D137" s="21" t="s">
        <v>112</v>
      </c>
      <c r="E137" s="22">
        <v>-660</v>
      </c>
      <c r="F137" s="196" t="s">
        <v>2237</v>
      </c>
      <c r="G137" s="196">
        <v>12641.476828999999</v>
      </c>
      <c r="H137" s="21" t="s">
        <v>147</v>
      </c>
      <c r="I137" s="21" t="s">
        <v>123</v>
      </c>
    </row>
    <row r="138" spans="1:9" x14ac:dyDescent="0.25">
      <c r="A138" s="24">
        <v>26</v>
      </c>
      <c r="B138" s="26">
        <v>44929</v>
      </c>
      <c r="C138" s="21" t="s">
        <v>413</v>
      </c>
      <c r="D138" s="21" t="s">
        <v>119</v>
      </c>
      <c r="E138" s="22">
        <v>660</v>
      </c>
      <c r="F138" s="196" t="s">
        <v>2238</v>
      </c>
      <c r="G138" s="196">
        <v>12641.576829</v>
      </c>
      <c r="H138" s="21" t="s">
        <v>147</v>
      </c>
      <c r="I138" s="21" t="s">
        <v>123</v>
      </c>
    </row>
    <row r="139" spans="1:9" x14ac:dyDescent="0.25">
      <c r="A139" s="24">
        <v>26</v>
      </c>
      <c r="B139" s="26">
        <v>44929</v>
      </c>
      <c r="C139" s="21" t="s">
        <v>121</v>
      </c>
      <c r="D139" s="21" t="s">
        <v>112</v>
      </c>
      <c r="E139" s="22">
        <v>100</v>
      </c>
      <c r="F139" s="196" t="s">
        <v>2239</v>
      </c>
      <c r="G139" s="196">
        <v>3883.3569680000001</v>
      </c>
      <c r="H139" s="21" t="s">
        <v>147</v>
      </c>
      <c r="I139" s="21" t="s">
        <v>123</v>
      </c>
    </row>
    <row r="140" spans="1:9" x14ac:dyDescent="0.25">
      <c r="A140" s="24">
        <v>26</v>
      </c>
      <c r="B140" s="26">
        <v>44929</v>
      </c>
      <c r="C140" s="21" t="s">
        <v>121</v>
      </c>
      <c r="D140" s="21" t="s">
        <v>119</v>
      </c>
      <c r="E140" s="22">
        <v>-100</v>
      </c>
      <c r="F140" s="196" t="s">
        <v>2240</v>
      </c>
      <c r="G140" s="196">
        <v>3883.206968</v>
      </c>
      <c r="H140" s="21" t="s">
        <v>147</v>
      </c>
      <c r="I140" s="21" t="s">
        <v>123</v>
      </c>
    </row>
    <row r="141" spans="1:9" ht="13.5" customHeight="1" x14ac:dyDescent="0.25">
      <c r="A141" s="24">
        <v>26</v>
      </c>
      <c r="B141" s="26">
        <v>44929</v>
      </c>
      <c r="C141" s="21" t="s">
        <v>413</v>
      </c>
      <c r="D141" s="21" t="s">
        <v>115</v>
      </c>
      <c r="E141" s="22">
        <v>3000</v>
      </c>
      <c r="F141" s="196" t="s">
        <v>2241</v>
      </c>
      <c r="G141" s="196">
        <v>12635.159679</v>
      </c>
      <c r="H141" s="21" t="s">
        <v>147</v>
      </c>
      <c r="I141" s="21" t="s">
        <v>123</v>
      </c>
    </row>
    <row r="142" spans="1:9" ht="13.5" customHeight="1" x14ac:dyDescent="0.25">
      <c r="A142" s="24">
        <v>26</v>
      </c>
      <c r="B142" s="26">
        <v>44929</v>
      </c>
      <c r="C142" s="21" t="s">
        <v>413</v>
      </c>
      <c r="D142" s="21" t="s">
        <v>118</v>
      </c>
      <c r="E142" s="22">
        <v>-6000</v>
      </c>
      <c r="F142" s="196" t="s">
        <v>2242</v>
      </c>
      <c r="G142" s="196">
        <v>12635.059679</v>
      </c>
      <c r="H142" s="21" t="s">
        <v>147</v>
      </c>
      <c r="I142" s="21" t="s">
        <v>123</v>
      </c>
    </row>
    <row r="143" spans="1:9" x14ac:dyDescent="0.25">
      <c r="A143" s="24">
        <v>26</v>
      </c>
      <c r="B143" s="26">
        <v>44929</v>
      </c>
      <c r="C143" s="21" t="s">
        <v>413</v>
      </c>
      <c r="D143" s="21" t="s">
        <v>119</v>
      </c>
      <c r="E143" s="22">
        <v>1500</v>
      </c>
      <c r="F143" s="196" t="s">
        <v>2241</v>
      </c>
      <c r="G143" s="196">
        <v>12635.159679</v>
      </c>
      <c r="H143" s="21" t="s">
        <v>147</v>
      </c>
      <c r="I143" s="21" t="s">
        <v>123</v>
      </c>
    </row>
    <row r="144" spans="1:9" x14ac:dyDescent="0.25">
      <c r="A144" s="24">
        <v>26</v>
      </c>
      <c r="B144" s="26">
        <v>44929</v>
      </c>
      <c r="C144" s="21" t="s">
        <v>413</v>
      </c>
      <c r="D144" s="21" t="s">
        <v>300</v>
      </c>
      <c r="E144" s="22">
        <v>1500</v>
      </c>
      <c r="F144" s="196" t="s">
        <v>2241</v>
      </c>
      <c r="G144" s="196">
        <v>12635.159679</v>
      </c>
      <c r="H144" s="21" t="s">
        <v>147</v>
      </c>
      <c r="I144" s="21" t="s">
        <v>123</v>
      </c>
    </row>
    <row r="145" spans="1:9" x14ac:dyDescent="0.25">
      <c r="A145" s="29">
        <v>27</v>
      </c>
      <c r="B145" s="25">
        <v>44930</v>
      </c>
      <c r="C145" s="30" t="s">
        <v>121</v>
      </c>
      <c r="D145" s="30" t="s">
        <v>112</v>
      </c>
      <c r="E145" s="31">
        <v>-130</v>
      </c>
      <c r="F145" s="197" t="s">
        <v>2243</v>
      </c>
      <c r="G145" s="197">
        <v>3836.477249</v>
      </c>
      <c r="H145" s="30" t="s">
        <v>147</v>
      </c>
      <c r="I145" s="30" t="s">
        <v>123</v>
      </c>
    </row>
    <row r="146" spans="1:9" ht="13.5" customHeight="1" x14ac:dyDescent="0.25">
      <c r="A146" s="29">
        <v>27</v>
      </c>
      <c r="B146" s="25">
        <v>44930</v>
      </c>
      <c r="C146" s="30" t="s">
        <v>121</v>
      </c>
      <c r="D146" s="30" t="s">
        <v>120</v>
      </c>
      <c r="E146" s="31">
        <v>130</v>
      </c>
      <c r="F146" s="197" t="s">
        <v>2244</v>
      </c>
      <c r="G146" s="197">
        <v>3836.6272490000001</v>
      </c>
      <c r="H146" s="30" t="s">
        <v>147</v>
      </c>
      <c r="I146" s="30" t="s">
        <v>123</v>
      </c>
    </row>
    <row r="147" spans="1:9" ht="13.5" customHeight="1" x14ac:dyDescent="0.25">
      <c r="A147" s="24">
        <v>28</v>
      </c>
      <c r="B147" s="26">
        <v>44935</v>
      </c>
      <c r="C147" s="21" t="s">
        <v>413</v>
      </c>
      <c r="D147" s="21" t="s">
        <v>118</v>
      </c>
      <c r="E147" s="22">
        <v>-5000</v>
      </c>
      <c r="F147" s="196" t="s">
        <v>2245</v>
      </c>
      <c r="G147" s="196">
        <v>12661.178298999999</v>
      </c>
      <c r="H147" s="21" t="s">
        <v>113</v>
      </c>
      <c r="I147" s="21" t="s">
        <v>123</v>
      </c>
    </row>
    <row r="148" spans="1:9" ht="13.5" customHeight="1" x14ac:dyDescent="0.25">
      <c r="A148" s="24">
        <v>28</v>
      </c>
      <c r="B148" s="26">
        <v>44935</v>
      </c>
      <c r="C148" s="21" t="s">
        <v>413</v>
      </c>
      <c r="D148" s="21" t="s">
        <v>115</v>
      </c>
      <c r="E148" s="22">
        <v>2500</v>
      </c>
      <c r="F148" s="196" t="s">
        <v>2246</v>
      </c>
      <c r="G148" s="196">
        <v>12661.278299</v>
      </c>
      <c r="H148" s="21" t="s">
        <v>113</v>
      </c>
      <c r="I148" s="21" t="s">
        <v>123</v>
      </c>
    </row>
    <row r="149" spans="1:9" ht="13.5" customHeight="1" x14ac:dyDescent="0.25">
      <c r="A149" s="24">
        <v>28</v>
      </c>
      <c r="B149" s="26">
        <v>44935</v>
      </c>
      <c r="C149" s="21" t="s">
        <v>413</v>
      </c>
      <c r="D149" s="21" t="s">
        <v>300</v>
      </c>
      <c r="E149" s="22">
        <v>2500</v>
      </c>
      <c r="F149" s="196" t="s">
        <v>2246</v>
      </c>
      <c r="G149" s="196">
        <v>12661.278299</v>
      </c>
      <c r="H149" s="21" t="s">
        <v>113</v>
      </c>
      <c r="I149" s="21" t="s">
        <v>123</v>
      </c>
    </row>
    <row r="150" spans="1:9" x14ac:dyDescent="0.25">
      <c r="A150" s="29">
        <v>29</v>
      </c>
      <c r="B150" s="25">
        <v>44936</v>
      </c>
      <c r="C150" s="30" t="s">
        <v>584</v>
      </c>
      <c r="D150" s="30" t="s">
        <v>112</v>
      </c>
      <c r="E150" s="31">
        <v>-650</v>
      </c>
      <c r="F150" s="197" t="s">
        <v>2247</v>
      </c>
      <c r="G150" s="197">
        <v>12635.804921999999</v>
      </c>
      <c r="H150" s="30" t="s">
        <v>147</v>
      </c>
      <c r="I150" s="30" t="s">
        <v>123</v>
      </c>
    </row>
    <row r="151" spans="1:9" x14ac:dyDescent="0.25">
      <c r="A151" s="29">
        <v>29</v>
      </c>
      <c r="B151" s="25">
        <v>44936</v>
      </c>
      <c r="C151" s="30" t="s">
        <v>383</v>
      </c>
      <c r="D151" s="30" t="s">
        <v>112</v>
      </c>
      <c r="E151" s="31">
        <v>-250</v>
      </c>
      <c r="F151" s="197" t="s">
        <v>2248</v>
      </c>
      <c r="G151" s="197">
        <v>12588.568912000001</v>
      </c>
      <c r="H151" s="30" t="s">
        <v>147</v>
      </c>
      <c r="I151" s="30" t="s">
        <v>123</v>
      </c>
    </row>
    <row r="152" spans="1:9" x14ac:dyDescent="0.25">
      <c r="A152" s="29">
        <v>29</v>
      </c>
      <c r="B152" s="25">
        <v>44936</v>
      </c>
      <c r="C152" s="30" t="s">
        <v>584</v>
      </c>
      <c r="D152" s="30" t="s">
        <v>115</v>
      </c>
      <c r="E152" s="31">
        <v>650</v>
      </c>
      <c r="F152" s="197" t="s">
        <v>2249</v>
      </c>
      <c r="G152" s="197">
        <v>12635.904922</v>
      </c>
      <c r="H152" s="30" t="s">
        <v>147</v>
      </c>
      <c r="I152" s="30" t="s">
        <v>123</v>
      </c>
    </row>
    <row r="153" spans="1:9" x14ac:dyDescent="0.25">
      <c r="A153" s="29">
        <v>29</v>
      </c>
      <c r="B153" s="25">
        <v>44936</v>
      </c>
      <c r="C153" s="30" t="s">
        <v>383</v>
      </c>
      <c r="D153" s="30" t="s">
        <v>115</v>
      </c>
      <c r="E153" s="31">
        <v>250</v>
      </c>
      <c r="F153" s="197" t="s">
        <v>2250</v>
      </c>
      <c r="G153" s="197">
        <v>12588.668911999999</v>
      </c>
      <c r="H153" s="30" t="s">
        <v>147</v>
      </c>
      <c r="I153" s="30" t="s">
        <v>123</v>
      </c>
    </row>
    <row r="154" spans="1:9" x14ac:dyDescent="0.25">
      <c r="A154" s="24">
        <v>30</v>
      </c>
      <c r="B154" s="26">
        <v>44937</v>
      </c>
      <c r="C154" s="21" t="s">
        <v>121</v>
      </c>
      <c r="D154" s="21" t="s">
        <v>118</v>
      </c>
      <c r="E154" s="22">
        <v>-660</v>
      </c>
      <c r="F154" s="196" t="s">
        <v>2251</v>
      </c>
      <c r="G154" s="196">
        <v>3903.1542880000002</v>
      </c>
      <c r="H154" s="21" t="s">
        <v>147</v>
      </c>
      <c r="I154" s="21" t="s">
        <v>123</v>
      </c>
    </row>
    <row r="155" spans="1:9" x14ac:dyDescent="0.25">
      <c r="A155" s="24">
        <v>30</v>
      </c>
      <c r="B155" s="26">
        <v>44937</v>
      </c>
      <c r="C155" s="21" t="s">
        <v>121</v>
      </c>
      <c r="D155" s="21" t="s">
        <v>112</v>
      </c>
      <c r="E155" s="22">
        <v>-51</v>
      </c>
      <c r="F155" s="196" t="s">
        <v>2251</v>
      </c>
      <c r="G155" s="196">
        <v>3903.1542880000002</v>
      </c>
      <c r="H155" s="21" t="s">
        <v>147</v>
      </c>
      <c r="I155" s="21" t="s">
        <v>123</v>
      </c>
    </row>
    <row r="156" spans="1:9" x14ac:dyDescent="0.25">
      <c r="A156" s="24">
        <v>30</v>
      </c>
      <c r="B156" s="26">
        <v>44937</v>
      </c>
      <c r="C156" s="21" t="s">
        <v>121</v>
      </c>
      <c r="D156" s="21" t="s">
        <v>119</v>
      </c>
      <c r="E156" s="22">
        <v>19</v>
      </c>
      <c r="F156" s="196" t="s">
        <v>2252</v>
      </c>
      <c r="G156" s="196">
        <v>3903.3042879999998</v>
      </c>
      <c r="H156" s="21" t="s">
        <v>147</v>
      </c>
      <c r="I156" s="21" t="s">
        <v>123</v>
      </c>
    </row>
    <row r="157" spans="1:9" x14ac:dyDescent="0.25">
      <c r="A157" s="24">
        <v>30</v>
      </c>
      <c r="B157" s="26">
        <v>44937</v>
      </c>
      <c r="C157" s="21" t="s">
        <v>121</v>
      </c>
      <c r="D157" s="21" t="s">
        <v>114</v>
      </c>
      <c r="E157" s="22">
        <v>29</v>
      </c>
      <c r="F157" s="196" t="s">
        <v>2252</v>
      </c>
      <c r="G157" s="196">
        <v>3903.3042879999998</v>
      </c>
      <c r="H157" s="21" t="s">
        <v>147</v>
      </c>
      <c r="I157" s="21" t="s">
        <v>123</v>
      </c>
    </row>
    <row r="158" spans="1:9" ht="13.5" customHeight="1" x14ac:dyDescent="0.25">
      <c r="A158" s="24">
        <v>30</v>
      </c>
      <c r="B158" s="26">
        <v>44937</v>
      </c>
      <c r="C158" s="21" t="s">
        <v>121</v>
      </c>
      <c r="D158" s="21" t="s">
        <v>115</v>
      </c>
      <c r="E158" s="22">
        <v>56</v>
      </c>
      <c r="F158" s="196" t="s">
        <v>2252</v>
      </c>
      <c r="G158" s="196">
        <v>3903.3042879999998</v>
      </c>
      <c r="H158" s="21" t="s">
        <v>147</v>
      </c>
      <c r="I158" s="21" t="s">
        <v>123</v>
      </c>
    </row>
    <row r="159" spans="1:9" ht="13.5" customHeight="1" x14ac:dyDescent="0.25">
      <c r="A159" s="24">
        <v>30</v>
      </c>
      <c r="B159" s="26">
        <v>44937</v>
      </c>
      <c r="C159" s="21" t="s">
        <v>121</v>
      </c>
      <c r="D159" s="21" t="s">
        <v>120</v>
      </c>
      <c r="E159" s="22">
        <v>157</v>
      </c>
      <c r="F159" s="196" t="s">
        <v>2252</v>
      </c>
      <c r="G159" s="196">
        <v>3903.3042879999998</v>
      </c>
      <c r="H159" s="21" t="s">
        <v>147</v>
      </c>
      <c r="I159" s="21" t="s">
        <v>123</v>
      </c>
    </row>
    <row r="160" spans="1:9" ht="13.5" customHeight="1" x14ac:dyDescent="0.25">
      <c r="A160" s="24">
        <v>30</v>
      </c>
      <c r="B160" s="26">
        <v>44937</v>
      </c>
      <c r="C160" s="21" t="s">
        <v>121</v>
      </c>
      <c r="D160" s="21" t="s">
        <v>116</v>
      </c>
      <c r="E160" s="22">
        <v>168</v>
      </c>
      <c r="F160" s="196" t="s">
        <v>2252</v>
      </c>
      <c r="G160" s="196">
        <v>3903.3042879999998</v>
      </c>
      <c r="H160" s="21" t="s">
        <v>147</v>
      </c>
      <c r="I160" s="21" t="s">
        <v>123</v>
      </c>
    </row>
    <row r="161" spans="1:9" ht="13.5" customHeight="1" x14ac:dyDescent="0.25">
      <c r="A161" s="24">
        <v>30</v>
      </c>
      <c r="B161" s="26">
        <v>44937</v>
      </c>
      <c r="C161" s="21" t="s">
        <v>121</v>
      </c>
      <c r="D161" s="21" t="s">
        <v>414</v>
      </c>
      <c r="E161" s="22">
        <v>282</v>
      </c>
      <c r="F161" s="196" t="s">
        <v>2252</v>
      </c>
      <c r="G161" s="196">
        <v>3903.3042879999998</v>
      </c>
      <c r="H161" s="21" t="s">
        <v>147</v>
      </c>
      <c r="I161" s="21" t="s">
        <v>123</v>
      </c>
    </row>
    <row r="162" spans="1:9" x14ac:dyDescent="0.25">
      <c r="A162" s="29">
        <v>31</v>
      </c>
      <c r="B162" s="25">
        <v>44942</v>
      </c>
      <c r="C162" s="30" t="s">
        <v>383</v>
      </c>
      <c r="D162" s="30" t="s">
        <v>112</v>
      </c>
      <c r="E162" s="31">
        <v>150</v>
      </c>
      <c r="F162" s="197" t="s">
        <v>2253</v>
      </c>
      <c r="G162" s="197">
        <v>12607.070718000001</v>
      </c>
      <c r="H162" s="30" t="s">
        <v>147</v>
      </c>
      <c r="I162" s="30" t="s">
        <v>123</v>
      </c>
    </row>
    <row r="163" spans="1:9" x14ac:dyDescent="0.25">
      <c r="A163" s="29">
        <v>31</v>
      </c>
      <c r="B163" s="25">
        <v>44942</v>
      </c>
      <c r="C163" s="30" t="s">
        <v>383</v>
      </c>
      <c r="D163" s="30" t="s">
        <v>115</v>
      </c>
      <c r="E163" s="31">
        <v>-150</v>
      </c>
      <c r="F163" s="197" t="s">
        <v>2254</v>
      </c>
      <c r="G163" s="197">
        <v>12606.970718</v>
      </c>
      <c r="H163" s="30" t="s">
        <v>147</v>
      </c>
      <c r="I163" s="30" t="s">
        <v>123</v>
      </c>
    </row>
    <row r="164" spans="1:9" x14ac:dyDescent="0.25">
      <c r="A164" s="29">
        <v>31</v>
      </c>
      <c r="B164" s="25">
        <v>44942</v>
      </c>
      <c r="C164" s="30" t="s">
        <v>121</v>
      </c>
      <c r="D164" s="30" t="s">
        <v>112</v>
      </c>
      <c r="E164" s="31">
        <v>-55</v>
      </c>
      <c r="F164" s="197" t="s">
        <v>2255</v>
      </c>
      <c r="G164" s="197">
        <v>3967.7933039999998</v>
      </c>
      <c r="H164" s="30" t="s">
        <v>147</v>
      </c>
      <c r="I164" s="30" t="s">
        <v>123</v>
      </c>
    </row>
    <row r="165" spans="1:9" x14ac:dyDescent="0.25">
      <c r="A165" s="29">
        <v>31</v>
      </c>
      <c r="B165" s="25">
        <v>44942</v>
      </c>
      <c r="C165" s="30" t="s">
        <v>121</v>
      </c>
      <c r="D165" s="30" t="s">
        <v>115</v>
      </c>
      <c r="E165" s="31">
        <v>55</v>
      </c>
      <c r="F165" s="197" t="s">
        <v>2256</v>
      </c>
      <c r="G165" s="197">
        <v>3967.9433039999999</v>
      </c>
      <c r="H165" s="30" t="s">
        <v>147</v>
      </c>
      <c r="I165" s="30" t="s">
        <v>123</v>
      </c>
    </row>
    <row r="166" spans="1:9" x14ac:dyDescent="0.25">
      <c r="A166" s="24">
        <v>32</v>
      </c>
      <c r="B166" s="26">
        <v>44943</v>
      </c>
      <c r="C166" s="21" t="s">
        <v>413</v>
      </c>
      <c r="D166" s="21" t="s">
        <v>118</v>
      </c>
      <c r="E166" s="22">
        <v>-5000</v>
      </c>
      <c r="F166" s="196" t="s">
        <v>2257</v>
      </c>
      <c r="G166" s="196">
        <v>12705.05272</v>
      </c>
      <c r="H166" s="21" t="s">
        <v>113</v>
      </c>
      <c r="I166" s="21" t="s">
        <v>123</v>
      </c>
    </row>
    <row r="167" spans="1:9" x14ac:dyDescent="0.25">
      <c r="A167" s="24">
        <v>32</v>
      </c>
      <c r="B167" s="26">
        <v>44943</v>
      </c>
      <c r="C167" s="21" t="s">
        <v>413</v>
      </c>
      <c r="D167" s="21" t="s">
        <v>115</v>
      </c>
      <c r="E167" s="22">
        <v>3000</v>
      </c>
      <c r="F167" s="196" t="s">
        <v>2258</v>
      </c>
      <c r="G167" s="196">
        <v>12705.15272</v>
      </c>
      <c r="H167" s="21" t="s">
        <v>113</v>
      </c>
      <c r="I167" s="21" t="s">
        <v>123</v>
      </c>
    </row>
    <row r="168" spans="1:9" x14ac:dyDescent="0.25">
      <c r="A168" s="24">
        <v>32</v>
      </c>
      <c r="B168" s="26">
        <v>44943</v>
      </c>
      <c r="C168" s="21" t="s">
        <v>413</v>
      </c>
      <c r="D168" s="21" t="s">
        <v>119</v>
      </c>
      <c r="E168" s="22">
        <v>500</v>
      </c>
      <c r="F168" s="196" t="s">
        <v>2258</v>
      </c>
      <c r="G168" s="196">
        <v>12705.15272</v>
      </c>
      <c r="H168" s="21" t="s">
        <v>113</v>
      </c>
      <c r="I168" s="21" t="s">
        <v>123</v>
      </c>
    </row>
    <row r="169" spans="1:9" x14ac:dyDescent="0.25">
      <c r="A169" s="24">
        <v>32</v>
      </c>
      <c r="B169" s="26">
        <v>44943</v>
      </c>
      <c r="C169" s="21" t="s">
        <v>413</v>
      </c>
      <c r="D169" s="21" t="s">
        <v>300</v>
      </c>
      <c r="E169" s="22">
        <v>1500</v>
      </c>
      <c r="F169" s="196" t="s">
        <v>2258</v>
      </c>
      <c r="G169" s="196">
        <v>12705.15272</v>
      </c>
      <c r="H169" s="21" t="s">
        <v>113</v>
      </c>
      <c r="I169" s="21" t="s">
        <v>123</v>
      </c>
    </row>
    <row r="170" spans="1:9" x14ac:dyDescent="0.25">
      <c r="A170" s="24">
        <v>32</v>
      </c>
      <c r="B170" s="26">
        <v>44943</v>
      </c>
      <c r="C170" s="21" t="s">
        <v>832</v>
      </c>
      <c r="D170" s="21" t="s">
        <v>112</v>
      </c>
      <c r="E170" s="22">
        <v>-840</v>
      </c>
      <c r="F170" s="196" t="s">
        <v>2259</v>
      </c>
      <c r="G170" s="196">
        <v>12606.42704</v>
      </c>
      <c r="H170" s="21" t="s">
        <v>113</v>
      </c>
      <c r="I170" s="21" t="s">
        <v>123</v>
      </c>
    </row>
    <row r="171" spans="1:9" x14ac:dyDescent="0.25">
      <c r="A171" s="24">
        <v>32</v>
      </c>
      <c r="B171" s="26">
        <v>44943</v>
      </c>
      <c r="C171" s="21" t="s">
        <v>832</v>
      </c>
      <c r="D171" s="21" t="s">
        <v>115</v>
      </c>
      <c r="E171" s="22">
        <v>840</v>
      </c>
      <c r="F171" s="196" t="s">
        <v>2260</v>
      </c>
      <c r="G171" s="196">
        <v>12606.527040000001</v>
      </c>
      <c r="H171" s="21" t="s">
        <v>113</v>
      </c>
      <c r="I171" s="21" t="s">
        <v>123</v>
      </c>
    </row>
    <row r="172" spans="1:9" x14ac:dyDescent="0.25">
      <c r="A172" s="29">
        <v>33</v>
      </c>
      <c r="B172" s="25">
        <v>44958</v>
      </c>
      <c r="C172" s="30" t="s">
        <v>2012</v>
      </c>
      <c r="D172" s="30" t="s">
        <v>118</v>
      </c>
      <c r="E172" s="31">
        <v>-297</v>
      </c>
      <c r="F172" s="197" t="s">
        <v>2261</v>
      </c>
      <c r="G172" s="197">
        <v>12770.646828000001</v>
      </c>
      <c r="H172" s="30" t="s">
        <v>2013</v>
      </c>
      <c r="I172" s="30" t="s">
        <v>123</v>
      </c>
    </row>
    <row r="173" spans="1:9" x14ac:dyDescent="0.25">
      <c r="A173" s="29">
        <v>33</v>
      </c>
      <c r="B173" s="25">
        <v>44958</v>
      </c>
      <c r="C173" s="30" t="s">
        <v>2012</v>
      </c>
      <c r="D173" s="30" t="s">
        <v>414</v>
      </c>
      <c r="E173" s="31">
        <v>-187</v>
      </c>
      <c r="F173" s="197" t="s">
        <v>2261</v>
      </c>
      <c r="G173" s="197">
        <v>12770.646828000001</v>
      </c>
      <c r="H173" s="30" t="s">
        <v>2013</v>
      </c>
      <c r="I173" s="30" t="s">
        <v>123</v>
      </c>
    </row>
    <row r="174" spans="1:9" x14ac:dyDescent="0.25">
      <c r="A174" s="29">
        <v>33</v>
      </c>
      <c r="B174" s="25">
        <v>44958</v>
      </c>
      <c r="C174" s="30" t="s">
        <v>2012</v>
      </c>
      <c r="D174" s="30" t="s">
        <v>114</v>
      </c>
      <c r="E174" s="31">
        <v>-26</v>
      </c>
      <c r="F174" s="197" t="s">
        <v>2261</v>
      </c>
      <c r="G174" s="197">
        <v>12770.646828000001</v>
      </c>
      <c r="H174" s="30" t="s">
        <v>2013</v>
      </c>
      <c r="I174" s="30" t="s">
        <v>123</v>
      </c>
    </row>
    <row r="175" spans="1:9" x14ac:dyDescent="0.25">
      <c r="A175" s="29">
        <v>33</v>
      </c>
      <c r="B175" s="25">
        <v>44958</v>
      </c>
      <c r="C175" s="30" t="s">
        <v>2012</v>
      </c>
      <c r="D175" s="30" t="s">
        <v>300</v>
      </c>
      <c r="E175" s="31">
        <v>297</v>
      </c>
      <c r="F175" s="197" t="s">
        <v>2262</v>
      </c>
      <c r="G175" s="197">
        <v>12770.746827999999</v>
      </c>
      <c r="H175" s="30" t="s">
        <v>2013</v>
      </c>
      <c r="I175" s="30" t="s">
        <v>123</v>
      </c>
    </row>
    <row r="176" spans="1:9" x14ac:dyDescent="0.25">
      <c r="A176" s="29">
        <v>33</v>
      </c>
      <c r="B176" s="25">
        <v>44958</v>
      </c>
      <c r="C176" s="30" t="s">
        <v>2012</v>
      </c>
      <c r="D176" s="30" t="s">
        <v>119</v>
      </c>
      <c r="E176" s="31">
        <v>187</v>
      </c>
      <c r="F176" s="197" t="s">
        <v>2262</v>
      </c>
      <c r="G176" s="197">
        <v>12770.746827999999</v>
      </c>
      <c r="H176" s="30" t="s">
        <v>2013</v>
      </c>
      <c r="I176" s="30" t="s">
        <v>123</v>
      </c>
    </row>
    <row r="177" spans="1:9" x14ac:dyDescent="0.25">
      <c r="A177" s="29">
        <v>33</v>
      </c>
      <c r="B177" s="25">
        <v>44958</v>
      </c>
      <c r="C177" s="30" t="s">
        <v>2012</v>
      </c>
      <c r="D177" s="30" t="s">
        <v>115</v>
      </c>
      <c r="E177" s="31">
        <v>26</v>
      </c>
      <c r="F177" s="197" t="s">
        <v>2262</v>
      </c>
      <c r="G177" s="197">
        <v>12770.746827999999</v>
      </c>
      <c r="H177" s="30" t="s">
        <v>2013</v>
      </c>
      <c r="I177" s="30" t="s">
        <v>123</v>
      </c>
    </row>
    <row r="178" spans="1:9" x14ac:dyDescent="0.25">
      <c r="A178" s="29">
        <v>33</v>
      </c>
      <c r="B178" s="25">
        <v>44958</v>
      </c>
      <c r="C178" s="30" t="s">
        <v>2014</v>
      </c>
      <c r="D178" s="30" t="s">
        <v>414</v>
      </c>
      <c r="E178" s="31">
        <v>-3000</v>
      </c>
      <c r="F178" s="197" t="s">
        <v>2263</v>
      </c>
      <c r="G178" s="197">
        <v>12769.816719</v>
      </c>
      <c r="H178" s="30" t="s">
        <v>2013</v>
      </c>
      <c r="I178" s="30" t="s">
        <v>123</v>
      </c>
    </row>
    <row r="179" spans="1:9" x14ac:dyDescent="0.25">
      <c r="A179" s="29">
        <v>33</v>
      </c>
      <c r="B179" s="25">
        <v>44958</v>
      </c>
      <c r="C179" s="30" t="s">
        <v>2014</v>
      </c>
      <c r="D179" s="30" t="s">
        <v>118</v>
      </c>
      <c r="E179" s="31">
        <v>-1365</v>
      </c>
      <c r="F179" s="197" t="s">
        <v>2263</v>
      </c>
      <c r="G179" s="197">
        <v>12769.816719</v>
      </c>
      <c r="H179" s="30" t="s">
        <v>2013</v>
      </c>
      <c r="I179" s="30" t="s">
        <v>123</v>
      </c>
    </row>
    <row r="180" spans="1:9" x14ac:dyDescent="0.25">
      <c r="A180" s="29">
        <v>33</v>
      </c>
      <c r="B180" s="25">
        <v>44958</v>
      </c>
      <c r="C180" s="30" t="s">
        <v>2014</v>
      </c>
      <c r="D180" s="30" t="s">
        <v>115</v>
      </c>
      <c r="E180" s="31">
        <v>4365</v>
      </c>
      <c r="F180" s="197" t="s">
        <v>2264</v>
      </c>
      <c r="G180" s="197">
        <v>12769.916719000001</v>
      </c>
      <c r="H180" s="30" t="s">
        <v>2013</v>
      </c>
      <c r="I180" s="30" t="s">
        <v>123</v>
      </c>
    </row>
    <row r="181" spans="1:9" x14ac:dyDescent="0.25">
      <c r="A181" s="24">
        <v>34</v>
      </c>
      <c r="B181" s="26">
        <v>44959</v>
      </c>
      <c r="C181" s="21" t="s">
        <v>2015</v>
      </c>
      <c r="D181" s="21" t="s">
        <v>118</v>
      </c>
      <c r="E181" s="22">
        <v>-39400</v>
      </c>
      <c r="F181" s="196" t="s">
        <v>2265</v>
      </c>
      <c r="G181" s="196">
        <v>3851.8423630000002</v>
      </c>
      <c r="H181" s="21" t="s">
        <v>2016</v>
      </c>
      <c r="I181" s="21" t="s">
        <v>123</v>
      </c>
    </row>
    <row r="182" spans="1:9" x14ac:dyDescent="0.25">
      <c r="A182" s="24">
        <v>34</v>
      </c>
      <c r="B182" s="26">
        <v>44959</v>
      </c>
      <c r="C182" s="21" t="s">
        <v>2015</v>
      </c>
      <c r="D182" s="21" t="s">
        <v>116</v>
      </c>
      <c r="E182" s="22">
        <v>-2200</v>
      </c>
      <c r="F182" s="196" t="s">
        <v>2265</v>
      </c>
      <c r="G182" s="196">
        <v>3851.8423630000002</v>
      </c>
      <c r="H182" s="21" t="s">
        <v>2016</v>
      </c>
      <c r="I182" s="21" t="s">
        <v>123</v>
      </c>
    </row>
    <row r="183" spans="1:9" x14ac:dyDescent="0.25">
      <c r="A183" s="24">
        <v>34</v>
      </c>
      <c r="B183" s="26">
        <v>44959</v>
      </c>
      <c r="C183" s="21" t="s">
        <v>2015</v>
      </c>
      <c r="D183" s="21" t="s">
        <v>119</v>
      </c>
      <c r="E183" s="22">
        <v>-1100</v>
      </c>
      <c r="F183" s="196" t="s">
        <v>2265</v>
      </c>
      <c r="G183" s="196">
        <v>3851.8423630000002</v>
      </c>
      <c r="H183" s="21" t="s">
        <v>2016</v>
      </c>
      <c r="I183" s="21" t="s">
        <v>123</v>
      </c>
    </row>
    <row r="184" spans="1:9" x14ac:dyDescent="0.25">
      <c r="A184" s="24">
        <v>34</v>
      </c>
      <c r="B184" s="26">
        <v>44959</v>
      </c>
      <c r="C184" s="21" t="s">
        <v>2015</v>
      </c>
      <c r="D184" s="21" t="s">
        <v>112</v>
      </c>
      <c r="E184" s="22">
        <v>2</v>
      </c>
      <c r="F184" s="196" t="s">
        <v>2266</v>
      </c>
      <c r="G184" s="196">
        <v>3851.9923629999998</v>
      </c>
      <c r="H184" s="21" t="s">
        <v>2016</v>
      </c>
      <c r="I184" s="21" t="s">
        <v>123</v>
      </c>
    </row>
    <row r="185" spans="1:9" x14ac:dyDescent="0.25">
      <c r="A185" s="24">
        <v>34</v>
      </c>
      <c r="B185" s="26">
        <v>44959</v>
      </c>
      <c r="C185" s="21" t="s">
        <v>2015</v>
      </c>
      <c r="D185" s="21" t="s">
        <v>114</v>
      </c>
      <c r="E185" s="22">
        <v>31</v>
      </c>
      <c r="F185" s="196" t="s">
        <v>2266</v>
      </c>
      <c r="G185" s="196">
        <v>3851.9923629999998</v>
      </c>
      <c r="H185" s="21" t="s">
        <v>2016</v>
      </c>
      <c r="I185" s="21" t="s">
        <v>123</v>
      </c>
    </row>
    <row r="186" spans="1:9" x14ac:dyDescent="0.25">
      <c r="A186" s="24">
        <v>34</v>
      </c>
      <c r="B186" s="26">
        <v>44959</v>
      </c>
      <c r="C186" s="21" t="s">
        <v>2015</v>
      </c>
      <c r="D186" s="21" t="s">
        <v>120</v>
      </c>
      <c r="E186" s="22">
        <v>59</v>
      </c>
      <c r="F186" s="196" t="s">
        <v>2266</v>
      </c>
      <c r="G186" s="196">
        <v>3851.9923629999998</v>
      </c>
      <c r="H186" s="21" t="s">
        <v>2016</v>
      </c>
      <c r="I186" s="21" t="s">
        <v>123</v>
      </c>
    </row>
    <row r="187" spans="1:9" x14ac:dyDescent="0.25">
      <c r="A187" s="24">
        <v>34</v>
      </c>
      <c r="B187" s="26">
        <v>44959</v>
      </c>
      <c r="C187" s="21" t="s">
        <v>2015</v>
      </c>
      <c r="D187" s="21" t="s">
        <v>414</v>
      </c>
      <c r="E187" s="22">
        <v>154</v>
      </c>
      <c r="F187" s="196" t="s">
        <v>2266</v>
      </c>
      <c r="G187" s="196">
        <v>3851.9923629999998</v>
      </c>
      <c r="H187" s="21" t="s">
        <v>2016</v>
      </c>
      <c r="I187" s="21" t="s">
        <v>123</v>
      </c>
    </row>
    <row r="188" spans="1:9" x14ac:dyDescent="0.25">
      <c r="A188" s="24">
        <v>34</v>
      </c>
      <c r="B188" s="26">
        <v>44959</v>
      </c>
      <c r="C188" s="21" t="s">
        <v>2015</v>
      </c>
      <c r="D188" s="21" t="s">
        <v>115</v>
      </c>
      <c r="E188" s="22">
        <v>181</v>
      </c>
      <c r="F188" s="196" t="s">
        <v>2266</v>
      </c>
      <c r="G188" s="196">
        <v>3851.9923629999998</v>
      </c>
      <c r="H188" s="21" t="s">
        <v>2016</v>
      </c>
      <c r="I188" s="21" t="s">
        <v>123</v>
      </c>
    </row>
    <row r="189" spans="1:9" x14ac:dyDescent="0.25">
      <c r="A189" s="29">
        <v>35</v>
      </c>
      <c r="B189" s="25">
        <v>44963</v>
      </c>
      <c r="C189" s="30" t="s">
        <v>584</v>
      </c>
      <c r="D189" s="30" t="s">
        <v>114</v>
      </c>
      <c r="E189" s="31">
        <v>-200</v>
      </c>
      <c r="F189" s="197" t="s">
        <v>2267</v>
      </c>
      <c r="G189" s="197">
        <v>12751.807579</v>
      </c>
      <c r="H189" s="30" t="s">
        <v>147</v>
      </c>
      <c r="I189" s="30" t="s">
        <v>123</v>
      </c>
    </row>
    <row r="190" spans="1:9" x14ac:dyDescent="0.25">
      <c r="A190" s="29">
        <v>35</v>
      </c>
      <c r="B190" s="25">
        <v>44963</v>
      </c>
      <c r="C190" s="30" t="s">
        <v>584</v>
      </c>
      <c r="D190" s="30" t="s">
        <v>115</v>
      </c>
      <c r="E190" s="31">
        <v>1600</v>
      </c>
      <c r="F190" s="197" t="s">
        <v>2268</v>
      </c>
      <c r="G190" s="197">
        <v>12751.907579000001</v>
      </c>
      <c r="H190" s="30" t="s">
        <v>147</v>
      </c>
      <c r="I190" s="30" t="s">
        <v>123</v>
      </c>
    </row>
    <row r="191" spans="1:9" x14ac:dyDescent="0.25">
      <c r="A191" s="29">
        <v>35</v>
      </c>
      <c r="B191" s="25">
        <v>44963</v>
      </c>
      <c r="C191" s="30" t="s">
        <v>584</v>
      </c>
      <c r="D191" s="30" t="s">
        <v>118</v>
      </c>
      <c r="E191" s="31">
        <v>-3000</v>
      </c>
      <c r="F191" s="197" t="s">
        <v>2267</v>
      </c>
      <c r="G191" s="197">
        <v>12751.807579</v>
      </c>
      <c r="H191" s="30" t="s">
        <v>147</v>
      </c>
      <c r="I191" s="30" t="s">
        <v>123</v>
      </c>
    </row>
    <row r="192" spans="1:9" x14ac:dyDescent="0.25">
      <c r="A192" s="29">
        <v>35</v>
      </c>
      <c r="B192" s="25">
        <v>44963</v>
      </c>
      <c r="C192" s="30" t="s">
        <v>584</v>
      </c>
      <c r="D192" s="30" t="s">
        <v>119</v>
      </c>
      <c r="E192" s="31">
        <v>1600</v>
      </c>
      <c r="F192" s="197" t="s">
        <v>2268</v>
      </c>
      <c r="G192" s="197">
        <v>12751.907579000001</v>
      </c>
      <c r="H192" s="30" t="s">
        <v>147</v>
      </c>
      <c r="I192" s="30" t="s">
        <v>123</v>
      </c>
    </row>
    <row r="193" spans="1:9" x14ac:dyDescent="0.25">
      <c r="A193" s="29">
        <v>35</v>
      </c>
      <c r="B193" s="25">
        <v>44963</v>
      </c>
      <c r="C193" s="30" t="s">
        <v>383</v>
      </c>
      <c r="D193" s="30" t="s">
        <v>112</v>
      </c>
      <c r="E193" s="31">
        <v>-20</v>
      </c>
      <c r="F193" s="197" t="s">
        <v>2269</v>
      </c>
      <c r="G193" s="197">
        <v>12710.50748</v>
      </c>
      <c r="H193" s="30" t="s">
        <v>147</v>
      </c>
      <c r="I193" s="30" t="s">
        <v>123</v>
      </c>
    </row>
    <row r="194" spans="1:9" x14ac:dyDescent="0.25">
      <c r="A194" s="29">
        <v>35</v>
      </c>
      <c r="B194" s="25">
        <v>44963</v>
      </c>
      <c r="C194" s="30" t="s">
        <v>383</v>
      </c>
      <c r="D194" s="30" t="s">
        <v>115</v>
      </c>
      <c r="E194" s="31">
        <v>20</v>
      </c>
      <c r="F194" s="197" t="s">
        <v>2270</v>
      </c>
      <c r="G194" s="197">
        <v>12710.607480000001</v>
      </c>
      <c r="H194" s="30" t="s">
        <v>147</v>
      </c>
      <c r="I194" s="30" t="s">
        <v>123</v>
      </c>
    </row>
    <row r="195" spans="1:9" x14ac:dyDescent="0.25">
      <c r="A195" s="24">
        <v>36</v>
      </c>
      <c r="B195" s="26">
        <v>44970</v>
      </c>
      <c r="C195" s="21" t="s">
        <v>2017</v>
      </c>
      <c r="D195" s="21" t="s">
        <v>114</v>
      </c>
      <c r="E195" s="22">
        <v>-300</v>
      </c>
      <c r="F195" s="196" t="s">
        <v>2271</v>
      </c>
      <c r="G195" s="196">
        <v>12785.133108</v>
      </c>
      <c r="H195" s="21" t="s">
        <v>2016</v>
      </c>
      <c r="I195" s="21" t="s">
        <v>123</v>
      </c>
    </row>
    <row r="196" spans="1:9" x14ac:dyDescent="0.25">
      <c r="A196" s="24">
        <v>36</v>
      </c>
      <c r="B196" s="26">
        <v>44970</v>
      </c>
      <c r="C196" s="21" t="s">
        <v>2017</v>
      </c>
      <c r="D196" s="21" t="s">
        <v>115</v>
      </c>
      <c r="E196" s="22">
        <v>3000</v>
      </c>
      <c r="F196" s="196" t="s">
        <v>2272</v>
      </c>
      <c r="G196" s="196">
        <v>12785.233108</v>
      </c>
      <c r="H196" s="21" t="s">
        <v>2016</v>
      </c>
      <c r="I196" s="21" t="s">
        <v>123</v>
      </c>
    </row>
    <row r="197" spans="1:9" x14ac:dyDescent="0.25">
      <c r="A197" s="24">
        <v>36</v>
      </c>
      <c r="B197" s="26">
        <v>44970</v>
      </c>
      <c r="C197" s="21" t="s">
        <v>2017</v>
      </c>
      <c r="D197" s="21" t="s">
        <v>118</v>
      </c>
      <c r="E197" s="22">
        <v>-2700</v>
      </c>
      <c r="F197" s="196" t="s">
        <v>2271</v>
      </c>
      <c r="G197" s="196">
        <v>12785.133108</v>
      </c>
      <c r="H197" s="21" t="s">
        <v>2016</v>
      </c>
      <c r="I197" s="21" t="s">
        <v>123</v>
      </c>
    </row>
    <row r="198" spans="1:9" x14ac:dyDescent="0.25">
      <c r="A198" s="29">
        <v>37</v>
      </c>
      <c r="B198" s="25">
        <v>44981</v>
      </c>
      <c r="C198" s="30" t="s">
        <v>2017</v>
      </c>
      <c r="D198" s="30" t="s">
        <v>120</v>
      </c>
      <c r="E198" s="31">
        <v>-3000</v>
      </c>
      <c r="F198" s="197" t="s">
        <v>2273</v>
      </c>
      <c r="G198" s="197">
        <v>12831.762664</v>
      </c>
      <c r="H198" s="30" t="s">
        <v>2013</v>
      </c>
      <c r="I198" s="30" t="s">
        <v>123</v>
      </c>
    </row>
    <row r="199" spans="1:9" x14ac:dyDescent="0.25">
      <c r="A199" s="29">
        <v>37</v>
      </c>
      <c r="B199" s="25">
        <v>44981</v>
      </c>
      <c r="C199" s="30" t="s">
        <v>2017</v>
      </c>
      <c r="D199" s="30" t="s">
        <v>118</v>
      </c>
      <c r="E199" s="31">
        <v>-1900</v>
      </c>
      <c r="F199" s="197" t="s">
        <v>2273</v>
      </c>
      <c r="G199" s="197">
        <v>12831.762664</v>
      </c>
      <c r="H199" s="30" t="s">
        <v>2013</v>
      </c>
      <c r="I199" s="30" t="s">
        <v>123</v>
      </c>
    </row>
    <row r="200" spans="1:9" x14ac:dyDescent="0.25">
      <c r="A200" s="29">
        <v>37</v>
      </c>
      <c r="B200" s="25">
        <v>44981</v>
      </c>
      <c r="C200" s="30" t="s">
        <v>2017</v>
      </c>
      <c r="D200" s="30" t="s">
        <v>414</v>
      </c>
      <c r="E200" s="31">
        <v>-1500</v>
      </c>
      <c r="F200" s="197" t="s">
        <v>2273</v>
      </c>
      <c r="G200" s="197">
        <v>12831.762664</v>
      </c>
      <c r="H200" s="30" t="s">
        <v>2013</v>
      </c>
      <c r="I200" s="30" t="s">
        <v>123</v>
      </c>
    </row>
    <row r="201" spans="1:9" x14ac:dyDescent="0.25">
      <c r="A201" s="29">
        <v>37</v>
      </c>
      <c r="B201" s="25">
        <v>44981</v>
      </c>
      <c r="C201" s="30" t="s">
        <v>2017</v>
      </c>
      <c r="D201" s="30" t="s">
        <v>116</v>
      </c>
      <c r="E201" s="31">
        <v>-1400</v>
      </c>
      <c r="F201" s="197" t="s">
        <v>2273</v>
      </c>
      <c r="G201" s="197">
        <v>12831.762664</v>
      </c>
      <c r="H201" s="30" t="s">
        <v>2013</v>
      </c>
      <c r="I201" s="30" t="s">
        <v>123</v>
      </c>
    </row>
    <row r="202" spans="1:9" x14ac:dyDescent="0.25">
      <c r="A202" s="29">
        <v>37</v>
      </c>
      <c r="B202" s="25">
        <v>44981</v>
      </c>
      <c r="C202" s="30" t="s">
        <v>2017</v>
      </c>
      <c r="D202" s="30" t="s">
        <v>114</v>
      </c>
      <c r="E202" s="31">
        <v>-200</v>
      </c>
      <c r="F202" s="197" t="s">
        <v>2273</v>
      </c>
      <c r="G202" s="197">
        <v>12831.762664</v>
      </c>
      <c r="H202" s="30" t="s">
        <v>2013</v>
      </c>
      <c r="I202" s="30" t="s">
        <v>123</v>
      </c>
    </row>
    <row r="203" spans="1:9" x14ac:dyDescent="0.25">
      <c r="A203" s="29">
        <v>37</v>
      </c>
      <c r="B203" s="25">
        <v>44981</v>
      </c>
      <c r="C203" s="30" t="s">
        <v>2017</v>
      </c>
      <c r="D203" s="30" t="s">
        <v>119</v>
      </c>
      <c r="E203" s="31">
        <v>2000</v>
      </c>
      <c r="F203" s="197" t="s">
        <v>2274</v>
      </c>
      <c r="G203" s="197">
        <v>12831.862664</v>
      </c>
      <c r="H203" s="30" t="s">
        <v>2013</v>
      </c>
      <c r="I203" s="30" t="s">
        <v>123</v>
      </c>
    </row>
    <row r="204" spans="1:9" x14ac:dyDescent="0.25">
      <c r="A204" s="29">
        <v>37</v>
      </c>
      <c r="B204" s="25">
        <v>44981</v>
      </c>
      <c r="C204" s="30" t="s">
        <v>2017</v>
      </c>
      <c r="D204" s="30" t="s">
        <v>300</v>
      </c>
      <c r="E204" s="31">
        <v>2800</v>
      </c>
      <c r="F204" s="197" t="s">
        <v>2274</v>
      </c>
      <c r="G204" s="197">
        <v>12831.862664</v>
      </c>
      <c r="H204" s="30" t="s">
        <v>2013</v>
      </c>
      <c r="I204" s="30" t="s">
        <v>123</v>
      </c>
    </row>
    <row r="205" spans="1:9" x14ac:dyDescent="0.25">
      <c r="A205" s="29">
        <v>37</v>
      </c>
      <c r="B205" s="25">
        <v>44981</v>
      </c>
      <c r="C205" s="30" t="s">
        <v>2017</v>
      </c>
      <c r="D205" s="30" t="s">
        <v>115</v>
      </c>
      <c r="E205" s="31">
        <v>3200</v>
      </c>
      <c r="F205" s="197" t="s">
        <v>2274</v>
      </c>
      <c r="G205" s="197">
        <v>12831.862664</v>
      </c>
      <c r="H205" s="30" t="s">
        <v>2013</v>
      </c>
      <c r="I205" s="30" t="s">
        <v>123</v>
      </c>
    </row>
    <row r="206" spans="1:9" x14ac:dyDescent="0.25">
      <c r="A206" s="29">
        <v>37</v>
      </c>
      <c r="B206" s="25">
        <v>44981</v>
      </c>
      <c r="C206" s="30" t="s">
        <v>2018</v>
      </c>
      <c r="D206" s="30" t="s">
        <v>112</v>
      </c>
      <c r="E206" s="31">
        <v>-30</v>
      </c>
      <c r="F206" s="197" t="s">
        <v>2275</v>
      </c>
      <c r="G206" s="197">
        <v>12796.747372</v>
      </c>
      <c r="H206" s="30" t="s">
        <v>2013</v>
      </c>
      <c r="I206" s="30" t="s">
        <v>123</v>
      </c>
    </row>
    <row r="207" spans="1:9" x14ac:dyDescent="0.25">
      <c r="A207" s="29">
        <v>37</v>
      </c>
      <c r="B207" s="25">
        <v>44981</v>
      </c>
      <c r="C207" s="30" t="s">
        <v>2018</v>
      </c>
      <c r="D207" s="30" t="s">
        <v>115</v>
      </c>
      <c r="E207" s="31">
        <v>30</v>
      </c>
      <c r="F207" s="197" t="s">
        <v>2276</v>
      </c>
      <c r="G207" s="197">
        <v>12796.847372</v>
      </c>
      <c r="H207" s="30" t="s">
        <v>2013</v>
      </c>
      <c r="I207" s="30" t="s">
        <v>123</v>
      </c>
    </row>
    <row r="208" spans="1:9" x14ac:dyDescent="0.25">
      <c r="A208" s="24">
        <v>38</v>
      </c>
      <c r="B208" s="26">
        <v>44985</v>
      </c>
      <c r="C208" s="21" t="s">
        <v>2019</v>
      </c>
      <c r="D208" s="21" t="s">
        <v>115</v>
      </c>
      <c r="E208" s="22">
        <v>3000</v>
      </c>
      <c r="F208" s="196" t="s">
        <v>2277</v>
      </c>
      <c r="G208" s="196">
        <v>12839.399619</v>
      </c>
      <c r="H208" s="21" t="s">
        <v>2013</v>
      </c>
      <c r="I208" s="21" t="s">
        <v>123</v>
      </c>
    </row>
    <row r="209" spans="1:9" x14ac:dyDescent="0.25">
      <c r="A209" s="24">
        <v>38</v>
      </c>
      <c r="B209" s="26">
        <v>44985</v>
      </c>
      <c r="C209" s="21" t="s">
        <v>2019</v>
      </c>
      <c r="D209" s="21" t="s">
        <v>118</v>
      </c>
      <c r="E209" s="22">
        <v>-3000</v>
      </c>
      <c r="F209" s="196" t="s">
        <v>2278</v>
      </c>
      <c r="G209" s="196">
        <v>12839.299618999999</v>
      </c>
      <c r="H209" s="21" t="s">
        <v>2013</v>
      </c>
      <c r="I209" s="21" t="s">
        <v>123</v>
      </c>
    </row>
    <row r="210" spans="1:9" x14ac:dyDescent="0.25">
      <c r="A210" s="29">
        <v>39</v>
      </c>
      <c r="B210" s="25">
        <v>44992</v>
      </c>
      <c r="C210" s="30" t="s">
        <v>383</v>
      </c>
      <c r="D210" s="30" t="s">
        <v>112</v>
      </c>
      <c r="E210" s="31">
        <v>-40</v>
      </c>
      <c r="F210" s="197" t="s">
        <v>2279</v>
      </c>
      <c r="G210" s="197">
        <v>12848.859168000001</v>
      </c>
      <c r="H210" s="30" t="s">
        <v>2020</v>
      </c>
      <c r="I210" s="30" t="s">
        <v>123</v>
      </c>
    </row>
    <row r="211" spans="1:9" x14ac:dyDescent="0.25">
      <c r="A211" s="29">
        <v>39</v>
      </c>
      <c r="B211" s="25">
        <v>44992</v>
      </c>
      <c r="C211" s="30" t="s">
        <v>383</v>
      </c>
      <c r="D211" s="30" t="s">
        <v>115</v>
      </c>
      <c r="E211" s="31">
        <v>40</v>
      </c>
      <c r="F211" s="197" t="s">
        <v>2280</v>
      </c>
      <c r="G211" s="197">
        <v>12848.959167999999</v>
      </c>
      <c r="H211" s="30" t="s">
        <v>2020</v>
      </c>
      <c r="I211" s="30" t="s">
        <v>123</v>
      </c>
    </row>
    <row r="212" spans="1:9" x14ac:dyDescent="0.25">
      <c r="A212" s="24">
        <v>40</v>
      </c>
      <c r="B212" s="26">
        <v>45007</v>
      </c>
      <c r="C212" s="21" t="s">
        <v>2019</v>
      </c>
      <c r="D212" s="21" t="s">
        <v>414</v>
      </c>
      <c r="E212" s="22">
        <v>6000</v>
      </c>
      <c r="F212" s="196" t="s">
        <v>2281</v>
      </c>
      <c r="G212" s="196">
        <v>12946.066986</v>
      </c>
      <c r="H212" s="21" t="s">
        <v>2016</v>
      </c>
      <c r="I212" s="21" t="s">
        <v>123</v>
      </c>
    </row>
    <row r="213" spans="1:9" x14ac:dyDescent="0.25">
      <c r="A213" s="24">
        <v>40</v>
      </c>
      <c r="B213" s="26">
        <v>45007</v>
      </c>
      <c r="C213" s="21" t="s">
        <v>2019</v>
      </c>
      <c r="D213" s="21" t="s">
        <v>118</v>
      </c>
      <c r="E213" s="22">
        <v>-3500</v>
      </c>
      <c r="F213" s="196" t="s">
        <v>2282</v>
      </c>
      <c r="G213" s="196">
        <v>12945.966985999999</v>
      </c>
      <c r="H213" s="21" t="s">
        <v>2016</v>
      </c>
      <c r="I213" s="21" t="s">
        <v>123</v>
      </c>
    </row>
    <row r="214" spans="1:9" x14ac:dyDescent="0.25">
      <c r="A214" s="24">
        <v>40</v>
      </c>
      <c r="B214" s="26">
        <v>45007</v>
      </c>
      <c r="C214" s="21" t="s">
        <v>2019</v>
      </c>
      <c r="D214" s="21" t="s">
        <v>120</v>
      </c>
      <c r="E214" s="22">
        <v>-2500</v>
      </c>
      <c r="F214" s="196" t="s">
        <v>2282</v>
      </c>
      <c r="G214" s="196">
        <v>12945.966985999999</v>
      </c>
      <c r="H214" s="21" t="s">
        <v>2016</v>
      </c>
      <c r="I214" s="21" t="s">
        <v>123</v>
      </c>
    </row>
    <row r="215" spans="1:9" x14ac:dyDescent="0.25">
      <c r="A215" s="24">
        <v>40</v>
      </c>
      <c r="B215" s="26">
        <v>45007</v>
      </c>
      <c r="C215" s="21" t="s">
        <v>2017</v>
      </c>
      <c r="D215" s="21" t="s">
        <v>114</v>
      </c>
      <c r="E215" s="22">
        <v>-500</v>
      </c>
      <c r="F215" s="196" t="s">
        <v>2283</v>
      </c>
      <c r="G215" s="196">
        <v>12951.486328999999</v>
      </c>
      <c r="H215" s="21" t="s">
        <v>2016</v>
      </c>
      <c r="I215" s="21" t="s">
        <v>123</v>
      </c>
    </row>
    <row r="216" spans="1:9" x14ac:dyDescent="0.25">
      <c r="A216" s="24">
        <v>40</v>
      </c>
      <c r="B216" s="26">
        <v>45007</v>
      </c>
      <c r="C216" s="21" t="s">
        <v>2017</v>
      </c>
      <c r="D216" s="21" t="s">
        <v>115</v>
      </c>
      <c r="E216" s="22">
        <v>500</v>
      </c>
      <c r="F216" s="196" t="s">
        <v>2284</v>
      </c>
      <c r="G216" s="196">
        <v>12951.586329</v>
      </c>
      <c r="H216" s="21" t="s">
        <v>2016</v>
      </c>
      <c r="I216" s="21" t="s">
        <v>123</v>
      </c>
    </row>
    <row r="217" spans="1:9" x14ac:dyDescent="0.25">
      <c r="A217" s="29">
        <v>41</v>
      </c>
      <c r="B217" s="25">
        <v>45019</v>
      </c>
      <c r="C217" s="30" t="s">
        <v>2025</v>
      </c>
      <c r="D217" s="30" t="s">
        <v>2021</v>
      </c>
      <c r="E217" s="31">
        <v>-227</v>
      </c>
      <c r="F217" s="197" t="s">
        <v>2285</v>
      </c>
      <c r="G217" s="197">
        <v>4059.644256</v>
      </c>
      <c r="H217" s="30" t="s">
        <v>2013</v>
      </c>
      <c r="I217" s="30" t="s">
        <v>123</v>
      </c>
    </row>
    <row r="218" spans="1:9" x14ac:dyDescent="0.25">
      <c r="A218" s="29">
        <v>41</v>
      </c>
      <c r="B218" s="25">
        <v>45019</v>
      </c>
      <c r="C218" s="30" t="s">
        <v>2015</v>
      </c>
      <c r="D218" s="30" t="s">
        <v>414</v>
      </c>
      <c r="E218" s="31">
        <v>-201</v>
      </c>
      <c r="F218" s="197" t="s">
        <v>2285</v>
      </c>
      <c r="G218" s="197">
        <v>4059.644256</v>
      </c>
      <c r="H218" s="30" t="s">
        <v>2013</v>
      </c>
      <c r="I218" s="30" t="s">
        <v>123</v>
      </c>
    </row>
    <row r="219" spans="1:9" x14ac:dyDescent="0.25">
      <c r="A219" s="29">
        <v>41</v>
      </c>
      <c r="B219" s="25">
        <v>45019</v>
      </c>
      <c r="C219" s="30" t="s">
        <v>2025</v>
      </c>
      <c r="D219" s="30" t="s">
        <v>2022</v>
      </c>
      <c r="E219" s="31">
        <v>-200</v>
      </c>
      <c r="F219" s="197" t="s">
        <v>2285</v>
      </c>
      <c r="G219" s="197">
        <v>4059.644256</v>
      </c>
      <c r="H219" s="30" t="s">
        <v>2013</v>
      </c>
      <c r="I219" s="30" t="s">
        <v>123</v>
      </c>
    </row>
    <row r="220" spans="1:9" x14ac:dyDescent="0.25">
      <c r="A220" s="29">
        <v>41</v>
      </c>
      <c r="B220" s="25">
        <v>45019</v>
      </c>
      <c r="C220" s="30" t="s">
        <v>2015</v>
      </c>
      <c r="D220" s="30" t="s">
        <v>115</v>
      </c>
      <c r="E220" s="31">
        <v>-110</v>
      </c>
      <c r="F220" s="197" t="s">
        <v>2285</v>
      </c>
      <c r="G220" s="197">
        <v>4059.644256</v>
      </c>
      <c r="H220" s="30" t="s">
        <v>2013</v>
      </c>
      <c r="I220" s="30" t="s">
        <v>123</v>
      </c>
    </row>
    <row r="221" spans="1:9" x14ac:dyDescent="0.25">
      <c r="A221" s="29">
        <v>41</v>
      </c>
      <c r="B221" s="25">
        <v>45019</v>
      </c>
      <c r="C221" s="30" t="s">
        <v>2015</v>
      </c>
      <c r="D221" s="30" t="s">
        <v>116</v>
      </c>
      <c r="E221" s="31">
        <v>-55</v>
      </c>
      <c r="F221" s="197" t="s">
        <v>2285</v>
      </c>
      <c r="G221" s="197">
        <v>4059.644256</v>
      </c>
      <c r="H221" s="30" t="s">
        <v>2013</v>
      </c>
      <c r="I221" s="30" t="s">
        <v>123</v>
      </c>
    </row>
    <row r="222" spans="1:9" x14ac:dyDescent="0.25">
      <c r="A222" s="29">
        <v>41</v>
      </c>
      <c r="B222" s="25">
        <v>45019</v>
      </c>
      <c r="C222" s="30" t="s">
        <v>2025</v>
      </c>
      <c r="D222" s="30" t="s">
        <v>2023</v>
      </c>
      <c r="E222" s="31">
        <v>-33</v>
      </c>
      <c r="F222" s="197" t="s">
        <v>2285</v>
      </c>
      <c r="G222" s="197">
        <v>4059.644256</v>
      </c>
      <c r="H222" s="30" t="s">
        <v>2013</v>
      </c>
      <c r="I222" s="30" t="s">
        <v>123</v>
      </c>
    </row>
    <row r="223" spans="1:9" x14ac:dyDescent="0.25">
      <c r="A223" s="29">
        <v>41</v>
      </c>
      <c r="B223" s="25">
        <v>45019</v>
      </c>
      <c r="C223" s="30" t="s">
        <v>2015</v>
      </c>
      <c r="D223" s="30" t="s">
        <v>114</v>
      </c>
      <c r="E223" s="31">
        <v>-31</v>
      </c>
      <c r="F223" s="197" t="s">
        <v>2285</v>
      </c>
      <c r="G223" s="197">
        <v>4059.644256</v>
      </c>
      <c r="H223" s="30" t="s">
        <v>2013</v>
      </c>
      <c r="I223" s="30" t="s">
        <v>123</v>
      </c>
    </row>
    <row r="224" spans="1:9" x14ac:dyDescent="0.25">
      <c r="A224" s="29">
        <v>41</v>
      </c>
      <c r="B224" s="25">
        <v>45019</v>
      </c>
      <c r="C224" s="30" t="s">
        <v>2025</v>
      </c>
      <c r="D224" s="30" t="s">
        <v>2024</v>
      </c>
      <c r="E224" s="31">
        <v>857</v>
      </c>
      <c r="F224" s="197" t="s">
        <v>2286</v>
      </c>
      <c r="G224" s="197">
        <v>4059.644256</v>
      </c>
      <c r="H224" s="30" t="s">
        <v>2013</v>
      </c>
      <c r="I224" s="30" t="s">
        <v>123</v>
      </c>
    </row>
    <row r="225" spans="1:9" x14ac:dyDescent="0.25">
      <c r="A225" s="24">
        <v>42</v>
      </c>
      <c r="B225" s="26">
        <v>45022</v>
      </c>
      <c r="C225" s="21" t="s">
        <v>2018</v>
      </c>
      <c r="D225" s="21" t="s">
        <v>120</v>
      </c>
      <c r="E225" s="22">
        <v>-1300</v>
      </c>
      <c r="F225" s="196" t="s">
        <v>2287</v>
      </c>
      <c r="G225" s="196">
        <v>12981.66194</v>
      </c>
      <c r="H225" s="21" t="s">
        <v>2013</v>
      </c>
      <c r="I225" s="21" t="s">
        <v>123</v>
      </c>
    </row>
    <row r="226" spans="1:9" x14ac:dyDescent="0.25">
      <c r="A226" s="24">
        <v>42</v>
      </c>
      <c r="B226" s="26">
        <v>45022</v>
      </c>
      <c r="C226" s="21" t="s">
        <v>2018</v>
      </c>
      <c r="D226" s="21" t="s">
        <v>118</v>
      </c>
      <c r="E226" s="22">
        <v>-700</v>
      </c>
      <c r="F226" s="196" t="s">
        <v>2287</v>
      </c>
      <c r="G226" s="196">
        <v>12981.66194</v>
      </c>
      <c r="H226" s="21" t="s">
        <v>2013</v>
      </c>
      <c r="I226" s="21" t="s">
        <v>123</v>
      </c>
    </row>
    <row r="227" spans="1:9" x14ac:dyDescent="0.25">
      <c r="A227" s="24">
        <v>42</v>
      </c>
      <c r="B227" s="26">
        <v>45022</v>
      </c>
      <c r="C227" s="21" t="s">
        <v>2028</v>
      </c>
      <c r="D227" s="21" t="s">
        <v>2026</v>
      </c>
      <c r="E227" s="22">
        <v>-60</v>
      </c>
      <c r="F227" s="196" t="s">
        <v>2287</v>
      </c>
      <c r="G227" s="196">
        <v>12981.66194</v>
      </c>
      <c r="H227" s="21" t="s">
        <v>2013</v>
      </c>
      <c r="I227" s="21" t="s">
        <v>123</v>
      </c>
    </row>
    <row r="228" spans="1:9" x14ac:dyDescent="0.25">
      <c r="A228" s="24">
        <v>42</v>
      </c>
      <c r="B228" s="26">
        <v>45022</v>
      </c>
      <c r="C228" s="21" t="s">
        <v>2018</v>
      </c>
      <c r="D228" s="21" t="s">
        <v>114</v>
      </c>
      <c r="E228" s="22">
        <v>-60</v>
      </c>
      <c r="F228" s="196" t="s">
        <v>2287</v>
      </c>
      <c r="G228" s="196">
        <v>12981.66194</v>
      </c>
      <c r="H228" s="21" t="s">
        <v>2013</v>
      </c>
      <c r="I228" s="21" t="s">
        <v>123</v>
      </c>
    </row>
    <row r="229" spans="1:9" x14ac:dyDescent="0.25">
      <c r="A229" s="24">
        <v>42</v>
      </c>
      <c r="B229" s="26">
        <v>45022</v>
      </c>
      <c r="C229" s="21" t="s">
        <v>2028</v>
      </c>
      <c r="D229" s="21" t="s">
        <v>2027</v>
      </c>
      <c r="E229" s="22">
        <v>2120</v>
      </c>
      <c r="F229" s="196" t="s">
        <v>2288</v>
      </c>
      <c r="G229" s="196">
        <v>12981.76194</v>
      </c>
      <c r="H229" s="21" t="s">
        <v>2013</v>
      </c>
      <c r="I229" s="21" t="s">
        <v>123</v>
      </c>
    </row>
    <row r="230" spans="1:9" x14ac:dyDescent="0.25">
      <c r="A230" s="29">
        <v>43</v>
      </c>
      <c r="B230" s="25">
        <v>45054</v>
      </c>
      <c r="C230" s="30" t="s">
        <v>2015</v>
      </c>
      <c r="D230" s="30" t="s">
        <v>114</v>
      </c>
      <c r="E230" s="31">
        <v>-40</v>
      </c>
      <c r="F230" s="197" t="s">
        <v>2289</v>
      </c>
      <c r="G230" s="197">
        <v>4281.6675070000001</v>
      </c>
      <c r="H230" s="30" t="s">
        <v>2013</v>
      </c>
      <c r="I230" s="30" t="s">
        <v>123</v>
      </c>
    </row>
    <row r="231" spans="1:9" x14ac:dyDescent="0.25">
      <c r="A231" s="29">
        <v>43</v>
      </c>
      <c r="B231" s="25">
        <v>45054</v>
      </c>
      <c r="C231" s="30" t="s">
        <v>2015</v>
      </c>
      <c r="D231" s="30" t="s">
        <v>116</v>
      </c>
      <c r="E231" s="31">
        <v>-20</v>
      </c>
      <c r="F231" s="197" t="s">
        <v>2289</v>
      </c>
      <c r="G231" s="197">
        <v>4281.6675070000001</v>
      </c>
      <c r="H231" s="30" t="s">
        <v>2013</v>
      </c>
      <c r="I231" s="30" t="s">
        <v>123</v>
      </c>
    </row>
    <row r="232" spans="1:9" x14ac:dyDescent="0.25">
      <c r="A232" s="29">
        <v>43</v>
      </c>
      <c r="B232" s="25">
        <v>45054</v>
      </c>
      <c r="C232" s="30" t="s">
        <v>2025</v>
      </c>
      <c r="D232" s="30" t="s">
        <v>2029</v>
      </c>
      <c r="E232" s="31">
        <v>-60</v>
      </c>
      <c r="F232" s="197" t="s">
        <v>2289</v>
      </c>
      <c r="G232" s="197">
        <v>4281.6675070000001</v>
      </c>
      <c r="H232" s="30" t="s">
        <v>2013</v>
      </c>
      <c r="I232" s="30" t="s">
        <v>123</v>
      </c>
    </row>
    <row r="233" spans="1:9" x14ac:dyDescent="0.25">
      <c r="A233" s="29">
        <v>43</v>
      </c>
      <c r="B233" s="25">
        <v>45054</v>
      </c>
      <c r="C233" s="30" t="s">
        <v>2015</v>
      </c>
      <c r="D233" s="30" t="s">
        <v>118</v>
      </c>
      <c r="E233" s="31">
        <v>-200</v>
      </c>
      <c r="F233" s="197" t="s">
        <v>2289</v>
      </c>
      <c r="G233" s="197">
        <v>4281.6675070000001</v>
      </c>
      <c r="H233" s="30" t="s">
        <v>2013</v>
      </c>
      <c r="I233" s="30" t="s">
        <v>123</v>
      </c>
    </row>
    <row r="234" spans="1:9" x14ac:dyDescent="0.25">
      <c r="A234" s="29">
        <v>43</v>
      </c>
      <c r="B234" s="25">
        <v>45054</v>
      </c>
      <c r="C234" s="30" t="s">
        <v>2025</v>
      </c>
      <c r="D234" s="30" t="s">
        <v>2023</v>
      </c>
      <c r="E234" s="31">
        <v>320</v>
      </c>
      <c r="F234" s="197" t="s">
        <v>2290</v>
      </c>
      <c r="G234" s="197">
        <v>4281.8175069999998</v>
      </c>
      <c r="H234" s="30" t="s">
        <v>2013</v>
      </c>
      <c r="I234" s="30" t="s">
        <v>123</v>
      </c>
    </row>
    <row r="235" spans="1:9" x14ac:dyDescent="0.25">
      <c r="A235" s="29">
        <v>43</v>
      </c>
      <c r="B235" s="25">
        <v>45054</v>
      </c>
      <c r="C235" s="30" t="s">
        <v>2025</v>
      </c>
      <c r="D235" s="30" t="s">
        <v>2024</v>
      </c>
      <c r="E235" s="31">
        <v>240</v>
      </c>
      <c r="F235" s="197" t="s">
        <v>2290</v>
      </c>
      <c r="G235" s="197">
        <v>4281.8175069999998</v>
      </c>
      <c r="H235" s="30" t="s">
        <v>2013</v>
      </c>
      <c r="I235" s="30" t="s">
        <v>123</v>
      </c>
    </row>
    <row r="236" spans="1:9" x14ac:dyDescent="0.25">
      <c r="A236" s="29">
        <v>43</v>
      </c>
      <c r="B236" s="25">
        <v>45054</v>
      </c>
      <c r="C236" s="30" t="s">
        <v>2015</v>
      </c>
      <c r="D236" s="30" t="s">
        <v>120</v>
      </c>
      <c r="E236" s="31">
        <v>-240</v>
      </c>
      <c r="F236" s="197" t="s">
        <v>2289</v>
      </c>
      <c r="G236" s="197">
        <v>4281.6675070000001</v>
      </c>
      <c r="H236" s="30" t="s">
        <v>2013</v>
      </c>
      <c r="I236" s="30" t="s">
        <v>123</v>
      </c>
    </row>
    <row r="237" spans="1:9" x14ac:dyDescent="0.25">
      <c r="A237" s="24">
        <v>44</v>
      </c>
      <c r="B237" s="26">
        <v>45068</v>
      </c>
      <c r="C237" s="21" t="s">
        <v>2025</v>
      </c>
      <c r="D237" s="21" t="s">
        <v>2030</v>
      </c>
      <c r="E237" s="22">
        <v>-73</v>
      </c>
      <c r="F237" s="196" t="s">
        <v>2291</v>
      </c>
      <c r="G237" s="196">
        <v>4260.2344460000004</v>
      </c>
      <c r="H237" s="21" t="s">
        <v>2013</v>
      </c>
      <c r="I237" s="21" t="s">
        <v>123</v>
      </c>
    </row>
    <row r="238" spans="1:9" x14ac:dyDescent="0.25">
      <c r="A238" s="24">
        <v>44</v>
      </c>
      <c r="B238" s="26">
        <v>45068</v>
      </c>
      <c r="C238" s="21" t="s">
        <v>2015</v>
      </c>
      <c r="D238" s="21" t="s">
        <v>116</v>
      </c>
      <c r="E238" s="22">
        <v>-25</v>
      </c>
      <c r="F238" s="196" t="s">
        <v>2291</v>
      </c>
      <c r="G238" s="196">
        <v>4260.2344460000004</v>
      </c>
      <c r="H238" s="21" t="s">
        <v>2013</v>
      </c>
      <c r="I238" s="21" t="s">
        <v>123</v>
      </c>
    </row>
    <row r="239" spans="1:9" x14ac:dyDescent="0.25">
      <c r="A239" s="24">
        <v>44</v>
      </c>
      <c r="B239" s="26">
        <v>45068</v>
      </c>
      <c r="C239" s="21" t="s">
        <v>2025</v>
      </c>
      <c r="D239" s="21" t="s">
        <v>2031</v>
      </c>
      <c r="E239" s="22">
        <v>-13</v>
      </c>
      <c r="F239" s="196" t="s">
        <v>2291</v>
      </c>
      <c r="G239" s="196">
        <v>4260.2344460000004</v>
      </c>
      <c r="H239" s="21" t="s">
        <v>2013</v>
      </c>
      <c r="I239" s="21" t="s">
        <v>123</v>
      </c>
    </row>
    <row r="240" spans="1:9" x14ac:dyDescent="0.25">
      <c r="A240" s="24">
        <v>44</v>
      </c>
      <c r="B240" s="26">
        <v>45068</v>
      </c>
      <c r="C240" s="21" t="s">
        <v>2015</v>
      </c>
      <c r="D240" s="21" t="s">
        <v>119</v>
      </c>
      <c r="E240" s="22">
        <v>-5</v>
      </c>
      <c r="F240" s="196" t="s">
        <v>2291</v>
      </c>
      <c r="G240" s="196">
        <v>4260.2344460000004</v>
      </c>
      <c r="H240" s="21" t="s">
        <v>2013</v>
      </c>
      <c r="I240" s="21" t="s">
        <v>123</v>
      </c>
    </row>
    <row r="241" spans="1:9" x14ac:dyDescent="0.25">
      <c r="A241" s="24">
        <v>44</v>
      </c>
      <c r="B241" s="26">
        <v>45068</v>
      </c>
      <c r="C241" s="21" t="s">
        <v>2015</v>
      </c>
      <c r="D241" s="21" t="s">
        <v>112</v>
      </c>
      <c r="E241" s="22">
        <v>-3</v>
      </c>
      <c r="F241" s="196" t="s">
        <v>2291</v>
      </c>
      <c r="G241" s="196">
        <v>4260.2344460000004</v>
      </c>
      <c r="H241" s="21" t="s">
        <v>2013</v>
      </c>
      <c r="I241" s="21" t="s">
        <v>123</v>
      </c>
    </row>
    <row r="242" spans="1:9" x14ac:dyDescent="0.25">
      <c r="A242" s="24">
        <v>44</v>
      </c>
      <c r="B242" s="26">
        <v>45068</v>
      </c>
      <c r="C242" s="21" t="s">
        <v>2015</v>
      </c>
      <c r="D242" s="21" t="s">
        <v>114</v>
      </c>
      <c r="E242" s="22">
        <v>7</v>
      </c>
      <c r="F242" s="196" t="s">
        <v>2292</v>
      </c>
      <c r="G242" s="196">
        <v>4260.384446</v>
      </c>
      <c r="H242" s="21" t="s">
        <v>2013</v>
      </c>
      <c r="I242" s="21" t="s">
        <v>123</v>
      </c>
    </row>
    <row r="243" spans="1:9" x14ac:dyDescent="0.25">
      <c r="A243" s="24">
        <v>44</v>
      </c>
      <c r="B243" s="26">
        <v>45068</v>
      </c>
      <c r="C243" s="21" t="s">
        <v>2025</v>
      </c>
      <c r="D243" s="21" t="s">
        <v>2029</v>
      </c>
      <c r="E243" s="22">
        <v>23</v>
      </c>
      <c r="F243" s="196" t="s">
        <v>2292</v>
      </c>
      <c r="G243" s="196">
        <v>4260.384446</v>
      </c>
      <c r="H243" s="21" t="s">
        <v>2013</v>
      </c>
      <c r="I243" s="21" t="s">
        <v>123</v>
      </c>
    </row>
    <row r="244" spans="1:9" x14ac:dyDescent="0.25">
      <c r="A244" s="24">
        <v>44</v>
      </c>
      <c r="B244" s="26">
        <v>45068</v>
      </c>
      <c r="C244" s="21" t="s">
        <v>2025</v>
      </c>
      <c r="D244" s="21" t="s">
        <v>2022</v>
      </c>
      <c r="E244" s="22">
        <v>44</v>
      </c>
      <c r="F244" s="196" t="s">
        <v>2292</v>
      </c>
      <c r="G244" s="196">
        <v>4260.384446</v>
      </c>
      <c r="H244" s="21" t="s">
        <v>2013</v>
      </c>
      <c r="I244" s="21" t="s">
        <v>123</v>
      </c>
    </row>
    <row r="245" spans="1:9" x14ac:dyDescent="0.25">
      <c r="A245" s="24">
        <v>44</v>
      </c>
      <c r="B245" s="26">
        <v>45068</v>
      </c>
      <c r="C245" s="21" t="s">
        <v>2025</v>
      </c>
      <c r="D245" s="21" t="s">
        <v>2027</v>
      </c>
      <c r="E245" s="22">
        <v>45</v>
      </c>
      <c r="F245" s="196" t="s">
        <v>2292</v>
      </c>
      <c r="G245" s="196">
        <v>4260.384446</v>
      </c>
      <c r="H245" s="21" t="s">
        <v>2013</v>
      </c>
      <c r="I245" s="21" t="s">
        <v>123</v>
      </c>
    </row>
    <row r="246" spans="1:9" x14ac:dyDescent="0.25">
      <c r="A246" s="29">
        <v>45</v>
      </c>
      <c r="B246" s="25">
        <v>45070</v>
      </c>
      <c r="C246" s="30" t="s">
        <v>2035</v>
      </c>
      <c r="D246" s="30" t="s">
        <v>120</v>
      </c>
      <c r="E246" s="31">
        <v>-1950</v>
      </c>
      <c r="F246" s="197" t="s">
        <v>2293</v>
      </c>
      <c r="G246" s="197">
        <v>13225.504623000001</v>
      </c>
      <c r="H246" s="30" t="s">
        <v>2020</v>
      </c>
      <c r="I246" s="30" t="s">
        <v>123</v>
      </c>
    </row>
    <row r="247" spans="1:9" x14ac:dyDescent="0.25">
      <c r="A247" s="29">
        <v>45</v>
      </c>
      <c r="B247" s="25">
        <v>45070</v>
      </c>
      <c r="C247" s="30" t="s">
        <v>488</v>
      </c>
      <c r="D247" s="30" t="s">
        <v>414</v>
      </c>
      <c r="E247" s="31">
        <v>-1400</v>
      </c>
      <c r="F247" s="197" t="s">
        <v>2293</v>
      </c>
      <c r="G247" s="197">
        <v>13225.504623000001</v>
      </c>
      <c r="H247" s="30" t="s">
        <v>2020</v>
      </c>
      <c r="I247" s="30" t="s">
        <v>123</v>
      </c>
    </row>
    <row r="248" spans="1:9" x14ac:dyDescent="0.25">
      <c r="A248" s="29">
        <v>45</v>
      </c>
      <c r="B248" s="25">
        <v>45070</v>
      </c>
      <c r="C248" s="30" t="s">
        <v>488</v>
      </c>
      <c r="D248" s="30" t="s">
        <v>118</v>
      </c>
      <c r="E248" s="31">
        <v>-1300</v>
      </c>
      <c r="F248" s="197" t="s">
        <v>2293</v>
      </c>
      <c r="G248" s="197">
        <v>13225.504623000001</v>
      </c>
      <c r="H248" s="30" t="s">
        <v>2020</v>
      </c>
      <c r="I248" s="30" t="s">
        <v>123</v>
      </c>
    </row>
    <row r="249" spans="1:9" x14ac:dyDescent="0.25">
      <c r="A249" s="29">
        <v>45</v>
      </c>
      <c r="B249" s="25">
        <v>45070</v>
      </c>
      <c r="C249" s="30" t="s">
        <v>2035</v>
      </c>
      <c r="D249" s="30" t="s">
        <v>2032</v>
      </c>
      <c r="E249" s="31">
        <v>-500</v>
      </c>
      <c r="F249" s="197" t="s">
        <v>2293</v>
      </c>
      <c r="G249" s="197">
        <v>13225.504623000001</v>
      </c>
      <c r="H249" s="30" t="s">
        <v>2020</v>
      </c>
      <c r="I249" s="30" t="s">
        <v>123</v>
      </c>
    </row>
    <row r="250" spans="1:9" x14ac:dyDescent="0.25">
      <c r="A250" s="29">
        <v>45</v>
      </c>
      <c r="B250" s="25">
        <v>45070</v>
      </c>
      <c r="C250" s="30" t="s">
        <v>2035</v>
      </c>
      <c r="D250" s="30" t="s">
        <v>2033</v>
      </c>
      <c r="E250" s="31">
        <v>-300</v>
      </c>
      <c r="F250" s="197" t="s">
        <v>2293</v>
      </c>
      <c r="G250" s="197">
        <v>13225.504623000001</v>
      </c>
      <c r="H250" s="30" t="s">
        <v>2020</v>
      </c>
      <c r="I250" s="30" t="s">
        <v>123</v>
      </c>
    </row>
    <row r="251" spans="1:9" x14ac:dyDescent="0.25">
      <c r="A251" s="29">
        <v>45</v>
      </c>
      <c r="B251" s="25">
        <v>45070</v>
      </c>
      <c r="C251" s="30" t="s">
        <v>2035</v>
      </c>
      <c r="D251" s="30" t="s">
        <v>2034</v>
      </c>
      <c r="E251" s="31">
        <v>450</v>
      </c>
      <c r="F251" s="197" t="s">
        <v>2294</v>
      </c>
      <c r="G251" s="197">
        <v>13225.504623000001</v>
      </c>
      <c r="H251" s="30" t="s">
        <v>2020</v>
      </c>
      <c r="I251" s="30" t="s">
        <v>123</v>
      </c>
    </row>
    <row r="252" spans="1:9" x14ac:dyDescent="0.25">
      <c r="A252" s="29">
        <v>45</v>
      </c>
      <c r="B252" s="25">
        <v>45070</v>
      </c>
      <c r="C252" s="30" t="s">
        <v>488</v>
      </c>
      <c r="D252" s="30" t="s">
        <v>119</v>
      </c>
      <c r="E252" s="31">
        <v>2000</v>
      </c>
      <c r="F252" s="197" t="s">
        <v>2294</v>
      </c>
      <c r="G252" s="197">
        <v>13225.504623000001</v>
      </c>
      <c r="H252" s="30" t="s">
        <v>2020</v>
      </c>
      <c r="I252" s="30" t="s">
        <v>123</v>
      </c>
    </row>
    <row r="253" spans="1:9" x14ac:dyDescent="0.25">
      <c r="A253" s="29">
        <v>45</v>
      </c>
      <c r="B253" s="25">
        <v>45070</v>
      </c>
      <c r="C253" s="30" t="s">
        <v>488</v>
      </c>
      <c r="D253" s="30" t="s">
        <v>115</v>
      </c>
      <c r="E253" s="31">
        <v>3000</v>
      </c>
      <c r="F253" s="197" t="s">
        <v>2294</v>
      </c>
      <c r="G253" s="197">
        <v>13225.504623000001</v>
      </c>
      <c r="H253" s="30" t="s">
        <v>2020</v>
      </c>
      <c r="I253" s="30" t="s">
        <v>123</v>
      </c>
    </row>
    <row r="254" spans="1:9" x14ac:dyDescent="0.25">
      <c r="A254" s="24">
        <v>46</v>
      </c>
      <c r="B254" s="26">
        <v>45082</v>
      </c>
      <c r="C254" s="21" t="s">
        <v>2037</v>
      </c>
      <c r="D254" s="21" t="s">
        <v>2036</v>
      </c>
      <c r="E254" s="22">
        <v>-2000</v>
      </c>
      <c r="F254" s="196" t="s">
        <v>2295</v>
      </c>
      <c r="G254" s="196">
        <v>13286.276438999999</v>
      </c>
      <c r="H254" s="21" t="s">
        <v>2013</v>
      </c>
      <c r="I254" s="21" t="s">
        <v>123</v>
      </c>
    </row>
    <row r="255" spans="1:9" x14ac:dyDescent="0.25">
      <c r="A255" s="24">
        <v>46</v>
      </c>
      <c r="B255" s="26">
        <v>45082</v>
      </c>
      <c r="C255" s="21" t="s">
        <v>2037</v>
      </c>
      <c r="D255" s="21" t="s">
        <v>2022</v>
      </c>
      <c r="E255" s="22">
        <v>-2000</v>
      </c>
      <c r="F255" s="196" t="s">
        <v>2295</v>
      </c>
      <c r="G255" s="196">
        <v>13286.276438999999</v>
      </c>
      <c r="H255" s="21" t="s">
        <v>2013</v>
      </c>
      <c r="I255" s="21" t="s">
        <v>123</v>
      </c>
    </row>
    <row r="256" spans="1:9" x14ac:dyDescent="0.25">
      <c r="A256" s="24">
        <v>46</v>
      </c>
      <c r="B256" s="26">
        <v>45082</v>
      </c>
      <c r="C256" s="21" t="s">
        <v>2037</v>
      </c>
      <c r="D256" s="21" t="s">
        <v>2031</v>
      </c>
      <c r="E256" s="22">
        <v>-2000</v>
      </c>
      <c r="F256" s="196" t="s">
        <v>2295</v>
      </c>
      <c r="G256" s="196">
        <v>13286.276438999999</v>
      </c>
      <c r="H256" s="21" t="s">
        <v>2013</v>
      </c>
      <c r="I256" s="21" t="s">
        <v>123</v>
      </c>
    </row>
    <row r="257" spans="1:9" x14ac:dyDescent="0.25">
      <c r="A257" s="24">
        <v>46</v>
      </c>
      <c r="B257" s="26">
        <v>45082</v>
      </c>
      <c r="C257" s="21" t="s">
        <v>2019</v>
      </c>
      <c r="D257" s="21" t="s">
        <v>119</v>
      </c>
      <c r="E257" s="22">
        <v>1000</v>
      </c>
      <c r="F257" s="196" t="s">
        <v>2296</v>
      </c>
      <c r="G257" s="196">
        <v>13286.376439</v>
      </c>
      <c r="H257" s="21" t="s">
        <v>2013</v>
      </c>
      <c r="I257" s="21" t="s">
        <v>123</v>
      </c>
    </row>
    <row r="258" spans="1:9" x14ac:dyDescent="0.25">
      <c r="A258" s="24">
        <v>46</v>
      </c>
      <c r="B258" s="26">
        <v>45082</v>
      </c>
      <c r="C258" s="21" t="s">
        <v>2037</v>
      </c>
      <c r="D258" s="21" t="s">
        <v>2024</v>
      </c>
      <c r="E258" s="22">
        <v>1500</v>
      </c>
      <c r="F258" s="196" t="s">
        <v>2296</v>
      </c>
      <c r="G258" s="196">
        <v>13286.376439</v>
      </c>
      <c r="H258" s="21" t="s">
        <v>2013</v>
      </c>
      <c r="I258" s="21" t="s">
        <v>123</v>
      </c>
    </row>
    <row r="259" spans="1:9" x14ac:dyDescent="0.25">
      <c r="A259" s="24">
        <v>46</v>
      </c>
      <c r="B259" s="26">
        <v>45082</v>
      </c>
      <c r="C259" s="21" t="s">
        <v>2019</v>
      </c>
      <c r="D259" s="21" t="s">
        <v>115</v>
      </c>
      <c r="E259" s="22">
        <v>3500</v>
      </c>
      <c r="F259" s="196" t="s">
        <v>2296</v>
      </c>
      <c r="G259" s="196">
        <v>13286.376439</v>
      </c>
      <c r="H259" s="21" t="s">
        <v>2013</v>
      </c>
      <c r="I259" s="21" t="s">
        <v>123</v>
      </c>
    </row>
    <row r="260" spans="1:9" x14ac:dyDescent="0.25">
      <c r="A260" s="29">
        <v>47</v>
      </c>
      <c r="B260" s="25">
        <v>45091</v>
      </c>
      <c r="C260" s="30" t="s">
        <v>584</v>
      </c>
      <c r="D260" s="30" t="s">
        <v>114</v>
      </c>
      <c r="E260" s="31">
        <v>-600</v>
      </c>
      <c r="F260" s="197" t="s">
        <v>2297</v>
      </c>
      <c r="G260" s="197">
        <v>13340.394419</v>
      </c>
      <c r="H260" s="30" t="s">
        <v>2042</v>
      </c>
      <c r="I260" s="30" t="s">
        <v>123</v>
      </c>
    </row>
    <row r="261" spans="1:9" x14ac:dyDescent="0.25">
      <c r="A261" s="29">
        <v>47</v>
      </c>
      <c r="B261" s="25">
        <v>45091</v>
      </c>
      <c r="C261" s="30" t="s">
        <v>584</v>
      </c>
      <c r="D261" s="30" t="s">
        <v>115</v>
      </c>
      <c r="E261" s="31">
        <v>-720</v>
      </c>
      <c r="F261" s="197" t="s">
        <v>2297</v>
      </c>
      <c r="G261" s="197">
        <v>13340.394419</v>
      </c>
      <c r="H261" s="30" t="s">
        <v>2042</v>
      </c>
      <c r="I261" s="30" t="s">
        <v>123</v>
      </c>
    </row>
    <row r="262" spans="1:9" x14ac:dyDescent="0.25">
      <c r="A262" s="29">
        <v>47</v>
      </c>
      <c r="B262" s="25">
        <v>45091</v>
      </c>
      <c r="C262" s="30" t="s">
        <v>2041</v>
      </c>
      <c r="D262" s="30" t="s">
        <v>2033</v>
      </c>
      <c r="E262" s="31">
        <v>-1500</v>
      </c>
      <c r="F262" s="197" t="s">
        <v>2297</v>
      </c>
      <c r="G262" s="197">
        <v>13340.394419</v>
      </c>
      <c r="H262" s="30" t="s">
        <v>2042</v>
      </c>
      <c r="I262" s="30" t="s">
        <v>123</v>
      </c>
    </row>
    <row r="263" spans="1:9" x14ac:dyDescent="0.25">
      <c r="A263" s="29">
        <v>47</v>
      </c>
      <c r="B263" s="25">
        <v>45091</v>
      </c>
      <c r="C263" s="30" t="s">
        <v>2041</v>
      </c>
      <c r="D263" s="30" t="s">
        <v>2038</v>
      </c>
      <c r="E263" s="31">
        <v>-1950</v>
      </c>
      <c r="F263" s="197" t="s">
        <v>2297</v>
      </c>
      <c r="G263" s="197">
        <v>13340.394419</v>
      </c>
      <c r="H263" s="30" t="s">
        <v>2042</v>
      </c>
      <c r="I263" s="30" t="s">
        <v>123</v>
      </c>
    </row>
    <row r="264" spans="1:9" x14ac:dyDescent="0.25">
      <c r="A264" s="29">
        <v>47</v>
      </c>
      <c r="B264" s="25">
        <v>45091</v>
      </c>
      <c r="C264" s="30" t="s">
        <v>2041</v>
      </c>
      <c r="D264" s="30" t="s">
        <v>2039</v>
      </c>
      <c r="E264" s="31">
        <v>-720</v>
      </c>
      <c r="F264" s="197" t="s">
        <v>2297</v>
      </c>
      <c r="G264" s="197">
        <v>13340.394419</v>
      </c>
      <c r="H264" s="30" t="s">
        <v>2042</v>
      </c>
      <c r="I264" s="30" t="s">
        <v>123</v>
      </c>
    </row>
    <row r="265" spans="1:9" x14ac:dyDescent="0.25">
      <c r="A265" s="29">
        <v>47</v>
      </c>
      <c r="B265" s="25">
        <v>45091</v>
      </c>
      <c r="C265" s="30" t="s">
        <v>2041</v>
      </c>
      <c r="D265" s="30" t="s">
        <v>2034</v>
      </c>
      <c r="E265" s="31">
        <v>-710</v>
      </c>
      <c r="F265" s="197" t="s">
        <v>2297</v>
      </c>
      <c r="G265" s="197">
        <v>13340.394419</v>
      </c>
      <c r="H265" s="30" t="s">
        <v>2042</v>
      </c>
      <c r="I265" s="30" t="s">
        <v>123</v>
      </c>
    </row>
    <row r="266" spans="1:9" x14ac:dyDescent="0.25">
      <c r="A266" s="29">
        <v>47</v>
      </c>
      <c r="B266" s="25">
        <v>45091</v>
      </c>
      <c r="C266" s="30" t="s">
        <v>2041</v>
      </c>
      <c r="D266" s="30" t="s">
        <v>2040</v>
      </c>
      <c r="E266" s="31">
        <v>-3800</v>
      </c>
      <c r="F266" s="197" t="s">
        <v>2297</v>
      </c>
      <c r="G266" s="197">
        <v>13340.394419</v>
      </c>
      <c r="H266" s="30" t="s">
        <v>2042</v>
      </c>
      <c r="I266" s="30" t="s">
        <v>123</v>
      </c>
    </row>
    <row r="267" spans="1:9" x14ac:dyDescent="0.25">
      <c r="A267" s="24">
        <v>48</v>
      </c>
      <c r="B267" s="26">
        <v>45104</v>
      </c>
      <c r="C267" s="21" t="s">
        <v>2046</v>
      </c>
      <c r="D267" s="21" t="s">
        <v>2043</v>
      </c>
      <c r="E267" s="22">
        <v>-788</v>
      </c>
      <c r="F267" s="196" t="s">
        <v>2298</v>
      </c>
      <c r="G267" s="196">
        <v>4339.963471</v>
      </c>
      <c r="H267" s="21" t="s">
        <v>2016</v>
      </c>
      <c r="I267" s="21" t="s">
        <v>123</v>
      </c>
    </row>
    <row r="268" spans="1:9" x14ac:dyDescent="0.25">
      <c r="A268" s="24">
        <v>48</v>
      </c>
      <c r="B268" s="26">
        <v>45104</v>
      </c>
      <c r="C268" s="21" t="s">
        <v>2047</v>
      </c>
      <c r="D268" s="21" t="s">
        <v>112</v>
      </c>
      <c r="E268" s="22">
        <v>6</v>
      </c>
      <c r="F268" s="196" t="s">
        <v>2299</v>
      </c>
      <c r="G268" s="196">
        <v>4340.1134709999997</v>
      </c>
      <c r="H268" s="21" t="s">
        <v>2016</v>
      </c>
      <c r="I268" s="21" t="s">
        <v>123</v>
      </c>
    </row>
    <row r="269" spans="1:9" x14ac:dyDescent="0.25">
      <c r="A269" s="24">
        <v>48</v>
      </c>
      <c r="B269" s="26">
        <v>45104</v>
      </c>
      <c r="C269" s="21" t="s">
        <v>2047</v>
      </c>
      <c r="D269" s="21" t="s">
        <v>300</v>
      </c>
      <c r="E269" s="22">
        <v>22</v>
      </c>
      <c r="F269" s="196" t="s">
        <v>2299</v>
      </c>
      <c r="G269" s="196">
        <v>4340.1134709999997</v>
      </c>
      <c r="H269" s="21" t="s">
        <v>2016</v>
      </c>
      <c r="I269" s="21" t="s">
        <v>123</v>
      </c>
    </row>
    <row r="270" spans="1:9" x14ac:dyDescent="0.25">
      <c r="A270" s="24">
        <v>48</v>
      </c>
      <c r="B270" s="26">
        <v>45104</v>
      </c>
      <c r="C270" s="21" t="s">
        <v>2046</v>
      </c>
      <c r="D270" s="21" t="s">
        <v>2044</v>
      </c>
      <c r="E270" s="22">
        <v>49</v>
      </c>
      <c r="F270" s="196" t="s">
        <v>2299</v>
      </c>
      <c r="G270" s="196">
        <v>4340.1134709999997</v>
      </c>
      <c r="H270" s="21" t="s">
        <v>2016</v>
      </c>
      <c r="I270" s="21" t="s">
        <v>123</v>
      </c>
    </row>
    <row r="271" spans="1:9" x14ac:dyDescent="0.25">
      <c r="A271" s="24">
        <v>48</v>
      </c>
      <c r="B271" s="26">
        <v>45104</v>
      </c>
      <c r="C271" s="21" t="s">
        <v>2046</v>
      </c>
      <c r="D271" s="21" t="s">
        <v>2045</v>
      </c>
      <c r="E271" s="22">
        <v>89</v>
      </c>
      <c r="F271" s="196" t="s">
        <v>2299</v>
      </c>
      <c r="G271" s="196">
        <v>4340.1134709999997</v>
      </c>
      <c r="H271" s="21" t="s">
        <v>2016</v>
      </c>
      <c r="I271" s="21" t="s">
        <v>123</v>
      </c>
    </row>
    <row r="272" spans="1:9" x14ac:dyDescent="0.25">
      <c r="A272" s="24">
        <v>48</v>
      </c>
      <c r="B272" s="26">
        <v>45104</v>
      </c>
      <c r="C272" s="21" t="s">
        <v>2046</v>
      </c>
      <c r="D272" s="21" t="s">
        <v>2023</v>
      </c>
      <c r="E272" s="22">
        <v>93</v>
      </c>
      <c r="F272" s="196" t="s">
        <v>2299</v>
      </c>
      <c r="G272" s="196">
        <v>4340.1134709999997</v>
      </c>
      <c r="H272" s="21" t="s">
        <v>2016</v>
      </c>
      <c r="I272" s="21" t="s">
        <v>123</v>
      </c>
    </row>
    <row r="273" spans="1:9" x14ac:dyDescent="0.25">
      <c r="A273" s="24">
        <v>48</v>
      </c>
      <c r="B273" s="26">
        <v>45104</v>
      </c>
      <c r="C273" s="21" t="s">
        <v>2046</v>
      </c>
      <c r="D273" s="21" t="s">
        <v>2031</v>
      </c>
      <c r="E273" s="22">
        <v>152</v>
      </c>
      <c r="F273" s="196" t="s">
        <v>2299</v>
      </c>
      <c r="G273" s="196">
        <v>4340.1134709999997</v>
      </c>
      <c r="H273" s="21" t="s">
        <v>2016</v>
      </c>
      <c r="I273" s="21" t="s">
        <v>123</v>
      </c>
    </row>
    <row r="274" spans="1:9" x14ac:dyDescent="0.25">
      <c r="A274" s="24">
        <v>48</v>
      </c>
      <c r="B274" s="26">
        <v>45104</v>
      </c>
      <c r="C274" s="21" t="s">
        <v>2046</v>
      </c>
      <c r="D274" s="21" t="s">
        <v>2022</v>
      </c>
      <c r="E274" s="22">
        <v>181</v>
      </c>
      <c r="F274" s="196" t="s">
        <v>2299</v>
      </c>
      <c r="G274" s="196">
        <v>4340.1134709999997</v>
      </c>
      <c r="H274" s="21" t="s">
        <v>2016</v>
      </c>
      <c r="I274" s="21" t="s">
        <v>123</v>
      </c>
    </row>
    <row r="275" spans="1:9" x14ac:dyDescent="0.25">
      <c r="A275" s="24">
        <v>48</v>
      </c>
      <c r="B275" s="26">
        <v>45104</v>
      </c>
      <c r="C275" s="21" t="s">
        <v>2046</v>
      </c>
      <c r="D275" s="21" t="s">
        <v>2029</v>
      </c>
      <c r="E275" s="22">
        <v>196</v>
      </c>
      <c r="F275" s="196" t="s">
        <v>2299</v>
      </c>
      <c r="G275" s="196">
        <v>4340.1134709999997</v>
      </c>
      <c r="H275" s="21" t="s">
        <v>2016</v>
      </c>
      <c r="I275" s="21" t="s">
        <v>123</v>
      </c>
    </row>
    <row r="276" spans="1:9" x14ac:dyDescent="0.25">
      <c r="A276" s="29">
        <v>49</v>
      </c>
      <c r="B276" s="25">
        <v>45107</v>
      </c>
      <c r="C276" s="30" t="s">
        <v>2028</v>
      </c>
      <c r="D276" s="30" t="s">
        <v>2048</v>
      </c>
      <c r="E276" s="31">
        <v>-1150</v>
      </c>
      <c r="F276" s="197" t="s">
        <v>2300</v>
      </c>
      <c r="G276" s="197">
        <v>13381.472413</v>
      </c>
      <c r="H276" s="30" t="s">
        <v>2013</v>
      </c>
      <c r="I276" s="30" t="s">
        <v>123</v>
      </c>
    </row>
    <row r="277" spans="1:9" x14ac:dyDescent="0.25">
      <c r="A277" s="29">
        <v>49</v>
      </c>
      <c r="B277" s="25">
        <v>45107</v>
      </c>
      <c r="C277" s="30" t="s">
        <v>2018</v>
      </c>
      <c r="D277" s="30" t="s">
        <v>119</v>
      </c>
      <c r="E277" s="31">
        <v>500</v>
      </c>
      <c r="F277" s="197" t="s">
        <v>2301</v>
      </c>
      <c r="G277" s="197">
        <v>13381.572413</v>
      </c>
      <c r="H277" s="30" t="s">
        <v>2013</v>
      </c>
      <c r="I277" s="30" t="s">
        <v>123</v>
      </c>
    </row>
    <row r="278" spans="1:9" x14ac:dyDescent="0.25">
      <c r="A278" s="29">
        <v>49</v>
      </c>
      <c r="B278" s="25">
        <v>45107</v>
      </c>
      <c r="C278" s="30" t="s">
        <v>2018</v>
      </c>
      <c r="D278" s="30" t="s">
        <v>300</v>
      </c>
      <c r="E278" s="31">
        <v>650</v>
      </c>
      <c r="F278" s="197" t="s">
        <v>2301</v>
      </c>
      <c r="G278" s="197">
        <v>13381.572413</v>
      </c>
      <c r="H278" s="30" t="s">
        <v>2013</v>
      </c>
      <c r="I278" s="30" t="s">
        <v>123</v>
      </c>
    </row>
    <row r="279" spans="1:9" x14ac:dyDescent="0.25">
      <c r="A279" s="24">
        <v>50</v>
      </c>
      <c r="B279" s="26">
        <v>45110</v>
      </c>
      <c r="C279" s="21" t="s">
        <v>2049</v>
      </c>
      <c r="D279" s="21" t="s">
        <v>2048</v>
      </c>
      <c r="E279" s="22">
        <v>-300</v>
      </c>
      <c r="F279" s="196" t="s">
        <v>2302</v>
      </c>
      <c r="G279" s="196">
        <v>13433.05623</v>
      </c>
      <c r="H279" s="21" t="s">
        <v>2016</v>
      </c>
      <c r="I279" s="21" t="s">
        <v>123</v>
      </c>
    </row>
    <row r="280" spans="1:9" x14ac:dyDescent="0.25">
      <c r="A280" s="24">
        <v>50</v>
      </c>
      <c r="B280" s="26">
        <v>45110</v>
      </c>
      <c r="C280" s="21" t="s">
        <v>2017</v>
      </c>
      <c r="D280" s="21" t="s">
        <v>119</v>
      </c>
      <c r="E280" s="22">
        <v>150</v>
      </c>
      <c r="F280" s="196" t="s">
        <v>2303</v>
      </c>
      <c r="G280" s="196">
        <v>13433.156230000001</v>
      </c>
      <c r="H280" s="21" t="s">
        <v>2016</v>
      </c>
      <c r="I280" s="21" t="s">
        <v>123</v>
      </c>
    </row>
    <row r="281" spans="1:9" x14ac:dyDescent="0.25">
      <c r="A281" s="24">
        <v>50</v>
      </c>
      <c r="B281" s="26">
        <v>45110</v>
      </c>
      <c r="C281" s="21" t="s">
        <v>2049</v>
      </c>
      <c r="D281" s="21" t="s">
        <v>2024</v>
      </c>
      <c r="E281" s="22">
        <v>150</v>
      </c>
      <c r="F281" s="196" t="s">
        <v>2303</v>
      </c>
      <c r="G281" s="196">
        <v>13433.156230000001</v>
      </c>
      <c r="H281" s="21" t="s">
        <v>2016</v>
      </c>
      <c r="I281" s="21" t="s">
        <v>123</v>
      </c>
    </row>
    <row r="282" spans="1:9" x14ac:dyDescent="0.25">
      <c r="A282" s="24">
        <v>50</v>
      </c>
      <c r="B282" s="26">
        <v>45110</v>
      </c>
      <c r="C282" s="21" t="s">
        <v>2050</v>
      </c>
      <c r="D282" s="21" t="s">
        <v>2048</v>
      </c>
      <c r="E282" s="22">
        <v>800</v>
      </c>
      <c r="F282" s="196" t="s">
        <v>2304</v>
      </c>
      <c r="G282" s="196">
        <v>13375.072705</v>
      </c>
      <c r="H282" s="21" t="s">
        <v>2016</v>
      </c>
      <c r="I282" s="21" t="s">
        <v>123</v>
      </c>
    </row>
    <row r="283" spans="1:9" x14ac:dyDescent="0.25">
      <c r="A283" s="24">
        <v>50</v>
      </c>
      <c r="B283" s="26">
        <v>45110</v>
      </c>
      <c r="C283" s="21" t="s">
        <v>2050</v>
      </c>
      <c r="D283" s="21" t="s">
        <v>2027</v>
      </c>
      <c r="E283" s="22">
        <v>-800</v>
      </c>
      <c r="F283" s="196" t="s">
        <v>2305</v>
      </c>
      <c r="G283" s="196">
        <v>13374.972705</v>
      </c>
      <c r="H283" s="21" t="s">
        <v>2016</v>
      </c>
      <c r="I283" s="21" t="s">
        <v>123</v>
      </c>
    </row>
    <row r="284" spans="1:9" x14ac:dyDescent="0.25">
      <c r="A284" s="29">
        <v>51</v>
      </c>
      <c r="B284" s="25">
        <v>45112</v>
      </c>
      <c r="C284" s="30" t="s">
        <v>2037</v>
      </c>
      <c r="D284" s="30" t="s">
        <v>2048</v>
      </c>
      <c r="E284" s="31">
        <v>-300</v>
      </c>
      <c r="F284" s="197" t="s">
        <v>2306</v>
      </c>
      <c r="G284" s="197">
        <v>13428.690570999999</v>
      </c>
      <c r="H284" s="30" t="s">
        <v>2016</v>
      </c>
      <c r="I284" s="30" t="s">
        <v>123</v>
      </c>
    </row>
    <row r="285" spans="1:9" x14ac:dyDescent="0.25">
      <c r="A285" s="29">
        <v>51</v>
      </c>
      <c r="B285" s="25">
        <v>45112</v>
      </c>
      <c r="C285" s="30" t="s">
        <v>2037</v>
      </c>
      <c r="D285" s="30" t="s">
        <v>2023</v>
      </c>
      <c r="E285" s="31">
        <v>300</v>
      </c>
      <c r="F285" s="197" t="s">
        <v>2307</v>
      </c>
      <c r="G285" s="197">
        <v>13428.790571</v>
      </c>
      <c r="H285" s="30" t="s">
        <v>2016</v>
      </c>
      <c r="I285" s="30" t="s">
        <v>123</v>
      </c>
    </row>
    <row r="286" spans="1:9" x14ac:dyDescent="0.25">
      <c r="A286" s="24">
        <v>52</v>
      </c>
      <c r="B286" s="26">
        <v>45117</v>
      </c>
      <c r="C286" s="21" t="s">
        <v>2050</v>
      </c>
      <c r="D286" s="21" t="s">
        <v>2048</v>
      </c>
      <c r="E286" s="22">
        <v>-1100</v>
      </c>
      <c r="F286" s="196" t="s">
        <v>2308</v>
      </c>
      <c r="G286" s="196">
        <v>13413.550234</v>
      </c>
      <c r="H286" s="21" t="s">
        <v>2013</v>
      </c>
      <c r="I286" s="21" t="s">
        <v>123</v>
      </c>
    </row>
    <row r="287" spans="1:9" x14ac:dyDescent="0.25">
      <c r="A287" s="24">
        <v>52</v>
      </c>
      <c r="B287" s="26">
        <v>45117</v>
      </c>
      <c r="C287" s="21" t="s">
        <v>2050</v>
      </c>
      <c r="D287" s="21" t="s">
        <v>2027</v>
      </c>
      <c r="E287" s="22">
        <v>550</v>
      </c>
      <c r="F287" s="196" t="s">
        <v>2309</v>
      </c>
      <c r="G287" s="196">
        <v>13413.650234000001</v>
      </c>
      <c r="H287" s="21" t="s">
        <v>2013</v>
      </c>
      <c r="I287" s="21" t="s">
        <v>123</v>
      </c>
    </row>
    <row r="288" spans="1:9" x14ac:dyDescent="0.25">
      <c r="A288" s="24">
        <v>52</v>
      </c>
      <c r="B288" s="26">
        <v>45117</v>
      </c>
      <c r="C288" s="21" t="s">
        <v>2050</v>
      </c>
      <c r="D288" s="21" t="s">
        <v>2023</v>
      </c>
      <c r="E288" s="22">
        <v>275</v>
      </c>
      <c r="F288" s="196" t="s">
        <v>2309</v>
      </c>
      <c r="G288" s="196">
        <v>13413.650234000001</v>
      </c>
      <c r="H288" s="21" t="s">
        <v>2013</v>
      </c>
      <c r="I288" s="21" t="s">
        <v>123</v>
      </c>
    </row>
    <row r="289" spans="1:9" x14ac:dyDescent="0.25">
      <c r="A289" s="24">
        <v>52</v>
      </c>
      <c r="B289" s="26">
        <v>45117</v>
      </c>
      <c r="C289" s="21" t="s">
        <v>2050</v>
      </c>
      <c r="D289" s="21" t="s">
        <v>2024</v>
      </c>
      <c r="E289" s="22">
        <v>275</v>
      </c>
      <c r="F289" s="196" t="s">
        <v>2309</v>
      </c>
      <c r="G289" s="196">
        <v>13413.650234000001</v>
      </c>
      <c r="H289" s="21" t="s">
        <v>2013</v>
      </c>
      <c r="I289" s="21" t="s">
        <v>123</v>
      </c>
    </row>
    <row r="290" spans="1:9" x14ac:dyDescent="0.25">
      <c r="A290" s="29">
        <v>53</v>
      </c>
      <c r="B290" s="25">
        <v>45118</v>
      </c>
      <c r="C290" s="30" t="s">
        <v>2046</v>
      </c>
      <c r="D290" s="30" t="s">
        <v>2048</v>
      </c>
      <c r="E290" s="31">
        <v>-1250</v>
      </c>
      <c r="F290" s="197" t="s">
        <v>2310</v>
      </c>
      <c r="G290" s="197">
        <v>4351.160554</v>
      </c>
      <c r="H290" s="30" t="s">
        <v>2016</v>
      </c>
      <c r="I290" s="30" t="s">
        <v>123</v>
      </c>
    </row>
    <row r="291" spans="1:9" x14ac:dyDescent="0.25">
      <c r="A291" s="29">
        <v>53</v>
      </c>
      <c r="B291" s="25">
        <v>45118</v>
      </c>
      <c r="C291" s="30" t="s">
        <v>2046</v>
      </c>
      <c r="D291" s="30" t="s">
        <v>2026</v>
      </c>
      <c r="E291" s="31">
        <v>4</v>
      </c>
      <c r="F291" s="197" t="s">
        <v>2311</v>
      </c>
      <c r="G291" s="197">
        <v>4351.3105539999997</v>
      </c>
      <c r="H291" s="30" t="s">
        <v>2016</v>
      </c>
      <c r="I291" s="30" t="s">
        <v>123</v>
      </c>
    </row>
    <row r="292" spans="1:9" x14ac:dyDescent="0.25">
      <c r="A292" s="29">
        <v>53</v>
      </c>
      <c r="B292" s="25">
        <v>45118</v>
      </c>
      <c r="C292" s="30" t="s">
        <v>2046</v>
      </c>
      <c r="D292" s="30" t="s">
        <v>2024</v>
      </c>
      <c r="E292" s="31">
        <v>14</v>
      </c>
      <c r="F292" s="197" t="s">
        <v>2311</v>
      </c>
      <c r="G292" s="197">
        <v>4351.3105539999997</v>
      </c>
      <c r="H292" s="30" t="s">
        <v>2016</v>
      </c>
      <c r="I292" s="30" t="s">
        <v>123</v>
      </c>
    </row>
    <row r="293" spans="1:9" x14ac:dyDescent="0.25">
      <c r="A293" s="29">
        <v>53</v>
      </c>
      <c r="B293" s="25">
        <v>45118</v>
      </c>
      <c r="C293" s="30" t="s">
        <v>2046</v>
      </c>
      <c r="D293" s="30" t="s">
        <v>2022</v>
      </c>
      <c r="E293" s="31">
        <v>118</v>
      </c>
      <c r="F293" s="197" t="s">
        <v>2311</v>
      </c>
      <c r="G293" s="197">
        <v>4351.3105539999997</v>
      </c>
      <c r="H293" s="30" t="s">
        <v>2016</v>
      </c>
      <c r="I293" s="30" t="s">
        <v>123</v>
      </c>
    </row>
    <row r="294" spans="1:9" x14ac:dyDescent="0.25">
      <c r="A294" s="29">
        <v>53</v>
      </c>
      <c r="B294" s="25">
        <v>45118</v>
      </c>
      <c r="C294" s="30" t="s">
        <v>2046</v>
      </c>
      <c r="D294" s="30" t="s">
        <v>2023</v>
      </c>
      <c r="E294" s="31">
        <v>152</v>
      </c>
      <c r="F294" s="197" t="s">
        <v>2311</v>
      </c>
      <c r="G294" s="197">
        <v>4351.3105539999997</v>
      </c>
      <c r="H294" s="30" t="s">
        <v>2016</v>
      </c>
      <c r="I294" s="30" t="s">
        <v>123</v>
      </c>
    </row>
    <row r="295" spans="1:9" x14ac:dyDescent="0.25">
      <c r="A295" s="29">
        <v>53</v>
      </c>
      <c r="B295" s="25">
        <v>45118</v>
      </c>
      <c r="C295" s="30" t="s">
        <v>2046</v>
      </c>
      <c r="D295" s="30" t="s">
        <v>2045</v>
      </c>
      <c r="E295" s="31">
        <v>190</v>
      </c>
      <c r="F295" s="197" t="s">
        <v>2311</v>
      </c>
      <c r="G295" s="197">
        <v>4351.3105539999997</v>
      </c>
      <c r="H295" s="30" t="s">
        <v>2016</v>
      </c>
      <c r="I295" s="30" t="s">
        <v>123</v>
      </c>
    </row>
    <row r="296" spans="1:9" x14ac:dyDescent="0.25">
      <c r="A296" s="29">
        <v>53</v>
      </c>
      <c r="B296" s="25">
        <v>45118</v>
      </c>
      <c r="C296" s="30" t="s">
        <v>2046</v>
      </c>
      <c r="D296" s="30" t="s">
        <v>2029</v>
      </c>
      <c r="E296" s="31">
        <v>367</v>
      </c>
      <c r="F296" s="197" t="s">
        <v>2311</v>
      </c>
      <c r="G296" s="197">
        <v>4351.3105539999997</v>
      </c>
      <c r="H296" s="30" t="s">
        <v>2016</v>
      </c>
      <c r="I296" s="30" t="s">
        <v>123</v>
      </c>
    </row>
    <row r="297" spans="1:9" x14ac:dyDescent="0.25">
      <c r="A297" s="29">
        <v>53</v>
      </c>
      <c r="B297" s="25">
        <v>45118</v>
      </c>
      <c r="C297" s="30" t="s">
        <v>2046</v>
      </c>
      <c r="D297" s="30" t="s">
        <v>2027</v>
      </c>
      <c r="E297" s="31">
        <v>405</v>
      </c>
      <c r="F297" s="197" t="s">
        <v>2311</v>
      </c>
      <c r="G297" s="197">
        <v>4351.3105539999997</v>
      </c>
      <c r="H297" s="30" t="s">
        <v>2016</v>
      </c>
      <c r="I297" s="30" t="s">
        <v>123</v>
      </c>
    </row>
    <row r="298" spans="1:9" x14ac:dyDescent="0.25">
      <c r="A298" s="24">
        <v>54</v>
      </c>
      <c r="B298" s="26">
        <v>45119</v>
      </c>
      <c r="C298" s="21" t="s">
        <v>2050</v>
      </c>
      <c r="D298" s="21" t="s">
        <v>2048</v>
      </c>
      <c r="E298" s="22">
        <v>400</v>
      </c>
      <c r="F298" s="196" t="s">
        <v>2312</v>
      </c>
      <c r="G298" s="196">
        <v>13419.199498</v>
      </c>
      <c r="H298" s="21" t="s">
        <v>2013</v>
      </c>
      <c r="I298" s="21" t="s">
        <v>123</v>
      </c>
    </row>
    <row r="299" spans="1:9" x14ac:dyDescent="0.25">
      <c r="A299" s="24">
        <v>54</v>
      </c>
      <c r="B299" s="26">
        <v>45119</v>
      </c>
      <c r="C299" s="21" t="s">
        <v>2050</v>
      </c>
      <c r="D299" s="21" t="s">
        <v>2027</v>
      </c>
      <c r="E299" s="22">
        <v>-400</v>
      </c>
      <c r="F299" s="196" t="s">
        <v>2313</v>
      </c>
      <c r="G299" s="196">
        <v>13419.099498</v>
      </c>
      <c r="H299" s="21" t="s">
        <v>2013</v>
      </c>
      <c r="I299" s="21" t="s">
        <v>123</v>
      </c>
    </row>
    <row r="300" spans="1:9" x14ac:dyDescent="0.25">
      <c r="A300" s="29">
        <v>55</v>
      </c>
      <c r="B300" s="25">
        <v>45120</v>
      </c>
      <c r="C300" s="30" t="s">
        <v>2050</v>
      </c>
      <c r="D300" s="30" t="s">
        <v>2048</v>
      </c>
      <c r="E300" s="31">
        <v>-500</v>
      </c>
      <c r="F300" s="197" t="s">
        <v>2314</v>
      </c>
      <c r="G300" s="197">
        <v>13431.78233</v>
      </c>
      <c r="H300" s="30" t="s">
        <v>2016</v>
      </c>
      <c r="I300" s="30" t="s">
        <v>123</v>
      </c>
    </row>
    <row r="301" spans="1:9" x14ac:dyDescent="0.25">
      <c r="A301" s="29">
        <v>55</v>
      </c>
      <c r="B301" s="25">
        <v>45120</v>
      </c>
      <c r="C301" s="30" t="s">
        <v>2050</v>
      </c>
      <c r="D301" s="30" t="s">
        <v>2027</v>
      </c>
      <c r="E301" s="31" t="s">
        <v>2051</v>
      </c>
      <c r="F301" s="197" t="s">
        <v>2315</v>
      </c>
      <c r="G301" s="197">
        <v>13431.88233</v>
      </c>
      <c r="H301" s="30" t="s">
        <v>2016</v>
      </c>
      <c r="I301" s="30" t="s">
        <v>123</v>
      </c>
    </row>
    <row r="302" spans="1:9" x14ac:dyDescent="0.25">
      <c r="A302" s="29">
        <v>55</v>
      </c>
      <c r="B302" s="25">
        <v>45120</v>
      </c>
      <c r="C302" s="30" t="s">
        <v>2050</v>
      </c>
      <c r="D302" s="30" t="s">
        <v>2023</v>
      </c>
      <c r="E302" s="31" t="s">
        <v>2052</v>
      </c>
      <c r="F302" s="197" t="s">
        <v>2315</v>
      </c>
      <c r="G302" s="197">
        <v>13431.88233</v>
      </c>
      <c r="H302" s="30" t="s">
        <v>2016</v>
      </c>
      <c r="I302" s="30" t="s">
        <v>123</v>
      </c>
    </row>
    <row r="303" spans="1:9" x14ac:dyDescent="0.25">
      <c r="A303" s="24">
        <v>56</v>
      </c>
      <c r="B303" s="26">
        <v>45121</v>
      </c>
      <c r="C303" s="21" t="s">
        <v>2025</v>
      </c>
      <c r="D303" s="21" t="s">
        <v>2048</v>
      </c>
      <c r="E303" s="22">
        <v>-230</v>
      </c>
      <c r="F303" s="196" t="s">
        <v>2316</v>
      </c>
      <c r="G303" s="196">
        <v>4442.4202029999997</v>
      </c>
      <c r="H303" s="21" t="s">
        <v>2013</v>
      </c>
      <c r="I303" s="21" t="s">
        <v>123</v>
      </c>
    </row>
    <row r="304" spans="1:9" x14ac:dyDescent="0.25">
      <c r="A304" s="24">
        <v>56</v>
      </c>
      <c r="B304" s="26">
        <v>45121</v>
      </c>
      <c r="C304" s="21" t="s">
        <v>2025</v>
      </c>
      <c r="D304" s="21" t="s">
        <v>2022</v>
      </c>
      <c r="E304" s="22">
        <v>-29</v>
      </c>
      <c r="F304" s="196" t="s">
        <v>2316</v>
      </c>
      <c r="G304" s="196">
        <v>4442.4202029999997</v>
      </c>
      <c r="H304" s="21" t="s">
        <v>2013</v>
      </c>
      <c r="I304" s="21" t="s">
        <v>123</v>
      </c>
    </row>
    <row r="305" spans="1:9" x14ac:dyDescent="0.25">
      <c r="A305" s="24">
        <v>56</v>
      </c>
      <c r="B305" s="26">
        <v>45121</v>
      </c>
      <c r="C305" s="21" t="s">
        <v>2025</v>
      </c>
      <c r="D305" s="21" t="s">
        <v>2026</v>
      </c>
      <c r="E305" s="22">
        <v>1</v>
      </c>
      <c r="F305" s="196" t="s">
        <v>2317</v>
      </c>
      <c r="G305" s="196">
        <v>4442.270203</v>
      </c>
      <c r="H305" s="21" t="s">
        <v>2013</v>
      </c>
      <c r="I305" s="21" t="s">
        <v>123</v>
      </c>
    </row>
    <row r="306" spans="1:9" x14ac:dyDescent="0.25">
      <c r="A306" s="24">
        <v>56</v>
      </c>
      <c r="B306" s="26">
        <v>45121</v>
      </c>
      <c r="C306" s="21" t="s">
        <v>2025</v>
      </c>
      <c r="D306" s="21" t="s">
        <v>2031</v>
      </c>
      <c r="E306" s="22">
        <v>12</v>
      </c>
      <c r="F306" s="196" t="s">
        <v>2317</v>
      </c>
      <c r="G306" s="196">
        <v>4442.270203</v>
      </c>
      <c r="H306" s="21" t="s">
        <v>2013</v>
      </c>
      <c r="I306" s="21" t="s">
        <v>123</v>
      </c>
    </row>
    <row r="307" spans="1:9" x14ac:dyDescent="0.25">
      <c r="A307" s="24">
        <v>56</v>
      </c>
      <c r="B307" s="26">
        <v>45121</v>
      </c>
      <c r="C307" s="21" t="s">
        <v>2025</v>
      </c>
      <c r="D307" s="21" t="s">
        <v>2023</v>
      </c>
      <c r="E307" s="22">
        <v>25</v>
      </c>
      <c r="F307" s="196" t="s">
        <v>2317</v>
      </c>
      <c r="G307" s="196">
        <v>4442.270203</v>
      </c>
      <c r="H307" s="21" t="s">
        <v>2013</v>
      </c>
      <c r="I307" s="21" t="s">
        <v>123</v>
      </c>
    </row>
    <row r="308" spans="1:9" x14ac:dyDescent="0.25">
      <c r="A308" s="24">
        <v>56</v>
      </c>
      <c r="B308" s="26">
        <v>45121</v>
      </c>
      <c r="C308" s="21" t="s">
        <v>2025</v>
      </c>
      <c r="D308" s="21" t="s">
        <v>2029</v>
      </c>
      <c r="E308" s="22">
        <v>28</v>
      </c>
      <c r="F308" s="196" t="s">
        <v>2317</v>
      </c>
      <c r="G308" s="196">
        <v>4442.270203</v>
      </c>
      <c r="H308" s="21" t="s">
        <v>2013</v>
      </c>
      <c r="I308" s="21" t="s">
        <v>123</v>
      </c>
    </row>
    <row r="309" spans="1:9" x14ac:dyDescent="0.25">
      <c r="A309" s="24">
        <v>56</v>
      </c>
      <c r="B309" s="26">
        <v>45121</v>
      </c>
      <c r="C309" s="21" t="s">
        <v>2025</v>
      </c>
      <c r="D309" s="21" t="s">
        <v>2045</v>
      </c>
      <c r="E309" s="22">
        <v>43</v>
      </c>
      <c r="F309" s="196" t="s">
        <v>2317</v>
      </c>
      <c r="G309" s="196">
        <v>4442.270203</v>
      </c>
      <c r="H309" s="21" t="s">
        <v>2013</v>
      </c>
      <c r="I309" s="21" t="s">
        <v>123</v>
      </c>
    </row>
    <row r="310" spans="1:9" x14ac:dyDescent="0.25">
      <c r="A310" s="24">
        <v>56</v>
      </c>
      <c r="B310" s="26">
        <v>45121</v>
      </c>
      <c r="C310" s="21" t="s">
        <v>2025</v>
      </c>
      <c r="D310" s="21" t="s">
        <v>2027</v>
      </c>
      <c r="E310" s="22">
        <v>150</v>
      </c>
      <c r="F310" s="196" t="s">
        <v>2317</v>
      </c>
      <c r="G310" s="196">
        <v>4442.270203</v>
      </c>
      <c r="H310" s="21" t="s">
        <v>2013</v>
      </c>
      <c r="I310" s="21" t="s">
        <v>123</v>
      </c>
    </row>
    <row r="311" spans="1:9" x14ac:dyDescent="0.25">
      <c r="A311" s="24">
        <v>56</v>
      </c>
      <c r="B311" s="26">
        <v>45121</v>
      </c>
      <c r="C311" s="21" t="s">
        <v>2046</v>
      </c>
      <c r="D311" s="21" t="s">
        <v>2048</v>
      </c>
      <c r="E311" s="22">
        <v>-275</v>
      </c>
      <c r="F311" s="196" t="s">
        <v>2318</v>
      </c>
      <c r="G311" s="196">
        <v>4350.1084259999998</v>
      </c>
      <c r="H311" s="21" t="s">
        <v>2013</v>
      </c>
      <c r="I311" s="21" t="s">
        <v>123</v>
      </c>
    </row>
    <row r="312" spans="1:9" x14ac:dyDescent="0.25">
      <c r="A312" s="24">
        <v>56</v>
      </c>
      <c r="B312" s="26">
        <v>45121</v>
      </c>
      <c r="C312" s="21" t="s">
        <v>2046</v>
      </c>
      <c r="D312" s="21" t="s">
        <v>2022</v>
      </c>
      <c r="E312" s="22">
        <v>-51</v>
      </c>
      <c r="F312" s="196" t="s">
        <v>2318</v>
      </c>
      <c r="G312" s="196">
        <v>4350.1084259999998</v>
      </c>
      <c r="H312" s="21" t="s">
        <v>2013</v>
      </c>
      <c r="I312" s="21" t="s">
        <v>123</v>
      </c>
    </row>
    <row r="313" spans="1:9" x14ac:dyDescent="0.25">
      <c r="A313" s="24">
        <v>56</v>
      </c>
      <c r="B313" s="26">
        <v>45121</v>
      </c>
      <c r="C313" s="21" t="s">
        <v>2046</v>
      </c>
      <c r="D313" s="21" t="s">
        <v>2031</v>
      </c>
      <c r="E313" s="22">
        <v>-10</v>
      </c>
      <c r="F313" s="196" t="s">
        <v>2318</v>
      </c>
      <c r="G313" s="196">
        <v>4350.1084259999998</v>
      </c>
      <c r="H313" s="21" t="s">
        <v>2013</v>
      </c>
      <c r="I313" s="21" t="s">
        <v>123</v>
      </c>
    </row>
    <row r="314" spans="1:9" x14ac:dyDescent="0.25">
      <c r="A314" s="24">
        <v>56</v>
      </c>
      <c r="B314" s="26">
        <v>45121</v>
      </c>
      <c r="C314" s="21" t="s">
        <v>2046</v>
      </c>
      <c r="D314" s="21" t="s">
        <v>2026</v>
      </c>
      <c r="E314" s="22">
        <v>2</v>
      </c>
      <c r="F314" s="196" t="s">
        <v>2319</v>
      </c>
      <c r="G314" s="196">
        <v>4349.9584260000001</v>
      </c>
      <c r="H314" s="21" t="s">
        <v>2013</v>
      </c>
      <c r="I314" s="21" t="s">
        <v>123</v>
      </c>
    </row>
    <row r="315" spans="1:9" x14ac:dyDescent="0.25">
      <c r="A315" s="24">
        <v>56</v>
      </c>
      <c r="B315" s="26">
        <v>45121</v>
      </c>
      <c r="C315" s="21" t="s">
        <v>2046</v>
      </c>
      <c r="D315" s="21" t="s">
        <v>2023</v>
      </c>
      <c r="E315" s="22">
        <v>16</v>
      </c>
      <c r="F315" s="196" t="s">
        <v>2319</v>
      </c>
      <c r="G315" s="196">
        <v>4349.9584260000001</v>
      </c>
      <c r="H315" s="21" t="s">
        <v>2013</v>
      </c>
      <c r="I315" s="21" t="s">
        <v>123</v>
      </c>
    </row>
    <row r="316" spans="1:9" x14ac:dyDescent="0.25">
      <c r="A316" s="24">
        <v>56</v>
      </c>
      <c r="B316" s="26">
        <v>45121</v>
      </c>
      <c r="C316" s="21" t="s">
        <v>2046</v>
      </c>
      <c r="D316" s="21" t="s">
        <v>2024</v>
      </c>
      <c r="E316" s="22">
        <v>21</v>
      </c>
      <c r="F316" s="196" t="s">
        <v>2319</v>
      </c>
      <c r="G316" s="196">
        <v>4349.9584260000001</v>
      </c>
      <c r="H316" s="21" t="s">
        <v>2013</v>
      </c>
      <c r="I316" s="21" t="s">
        <v>123</v>
      </c>
    </row>
    <row r="317" spans="1:9" x14ac:dyDescent="0.25">
      <c r="A317" s="24">
        <v>56</v>
      </c>
      <c r="B317" s="26">
        <v>45121</v>
      </c>
      <c r="C317" s="21" t="s">
        <v>2046</v>
      </c>
      <c r="D317" s="21" t="s">
        <v>2045</v>
      </c>
      <c r="E317" s="22">
        <v>52</v>
      </c>
      <c r="F317" s="196" t="s">
        <v>2319</v>
      </c>
      <c r="G317" s="196">
        <v>4349.9584260000001</v>
      </c>
      <c r="H317" s="21" t="s">
        <v>2013</v>
      </c>
      <c r="I317" s="21" t="s">
        <v>123</v>
      </c>
    </row>
    <row r="318" spans="1:9" x14ac:dyDescent="0.25">
      <c r="A318" s="24">
        <v>56</v>
      </c>
      <c r="B318" s="26">
        <v>45121</v>
      </c>
      <c r="C318" s="21" t="s">
        <v>2046</v>
      </c>
      <c r="D318" s="21" t="s">
        <v>2029</v>
      </c>
      <c r="E318" s="22">
        <v>53</v>
      </c>
      <c r="F318" s="196" t="s">
        <v>2319</v>
      </c>
      <c r="G318" s="196">
        <v>4349.9584260000001</v>
      </c>
      <c r="H318" s="21" t="s">
        <v>2013</v>
      </c>
      <c r="I318" s="21" t="s">
        <v>123</v>
      </c>
    </row>
    <row r="319" spans="1:9" x14ac:dyDescent="0.25">
      <c r="A319" s="24">
        <v>56</v>
      </c>
      <c r="B319" s="26">
        <v>45121</v>
      </c>
      <c r="C319" s="21" t="s">
        <v>2046</v>
      </c>
      <c r="D319" s="21" t="s">
        <v>2027</v>
      </c>
      <c r="E319" s="22">
        <v>192</v>
      </c>
      <c r="F319" s="196" t="s">
        <v>2319</v>
      </c>
      <c r="G319" s="196">
        <v>4349.9584260000001</v>
      </c>
      <c r="H319" s="21" t="s">
        <v>2013</v>
      </c>
      <c r="I319" s="21" t="s">
        <v>123</v>
      </c>
    </row>
    <row r="320" spans="1:9" x14ac:dyDescent="0.25">
      <c r="A320" s="29">
        <v>57</v>
      </c>
      <c r="B320" s="25">
        <v>45124</v>
      </c>
      <c r="C320" s="30" t="s">
        <v>2037</v>
      </c>
      <c r="D320" s="30" t="s">
        <v>2048</v>
      </c>
      <c r="E320" s="31">
        <v>150</v>
      </c>
      <c r="F320" s="197" t="s">
        <v>2320</v>
      </c>
      <c r="G320" s="197">
        <v>13483.179007000001</v>
      </c>
      <c r="H320" s="30" t="s">
        <v>2016</v>
      </c>
      <c r="I320" s="30" t="s">
        <v>123</v>
      </c>
    </row>
    <row r="321" spans="1:9" x14ac:dyDescent="0.25">
      <c r="A321" s="29">
        <v>57</v>
      </c>
      <c r="B321" s="25">
        <v>45124</v>
      </c>
      <c r="C321" s="30" t="s">
        <v>2037</v>
      </c>
      <c r="D321" s="30" t="s">
        <v>2027</v>
      </c>
      <c r="E321" s="31">
        <v>-150</v>
      </c>
      <c r="F321" s="197" t="s">
        <v>2321</v>
      </c>
      <c r="G321" s="197">
        <v>13483.079007</v>
      </c>
      <c r="H321" s="30" t="s">
        <v>2016</v>
      </c>
      <c r="I321" s="30" t="s">
        <v>123</v>
      </c>
    </row>
    <row r="322" spans="1:9" x14ac:dyDescent="0.25">
      <c r="A322" s="29">
        <v>57</v>
      </c>
      <c r="B322" s="25">
        <v>45124</v>
      </c>
      <c r="C322" s="30" t="s">
        <v>2025</v>
      </c>
      <c r="D322" s="30" t="s">
        <v>2044</v>
      </c>
      <c r="E322" s="31">
        <v>-46</v>
      </c>
      <c r="F322" s="197" t="s">
        <v>2322</v>
      </c>
      <c r="G322" s="197">
        <v>4421.658015</v>
      </c>
      <c r="H322" s="30" t="s">
        <v>2016</v>
      </c>
      <c r="I322" s="30" t="s">
        <v>123</v>
      </c>
    </row>
    <row r="323" spans="1:9" x14ac:dyDescent="0.25">
      <c r="A323" s="29">
        <v>57</v>
      </c>
      <c r="B323" s="25">
        <v>45124</v>
      </c>
      <c r="C323" s="30" t="s">
        <v>2025</v>
      </c>
      <c r="D323" s="30" t="s">
        <v>2027</v>
      </c>
      <c r="E323" s="31">
        <v>-43</v>
      </c>
      <c r="F323" s="197" t="s">
        <v>2322</v>
      </c>
      <c r="G323" s="197">
        <v>4421.658015</v>
      </c>
      <c r="H323" s="30" t="s">
        <v>2016</v>
      </c>
      <c r="I323" s="30" t="s">
        <v>123</v>
      </c>
    </row>
    <row r="324" spans="1:9" x14ac:dyDescent="0.25">
      <c r="A324" s="29">
        <v>57</v>
      </c>
      <c r="B324" s="25">
        <v>45124</v>
      </c>
      <c r="C324" s="30" t="s">
        <v>2025</v>
      </c>
      <c r="D324" s="30" t="s">
        <v>2045</v>
      </c>
      <c r="E324" s="31">
        <v>-5</v>
      </c>
      <c r="F324" s="197" t="s">
        <v>2322</v>
      </c>
      <c r="G324" s="197">
        <v>4421.658015</v>
      </c>
      <c r="H324" s="30" t="s">
        <v>2016</v>
      </c>
      <c r="I324" s="30" t="s">
        <v>123</v>
      </c>
    </row>
    <row r="325" spans="1:9" x14ac:dyDescent="0.25">
      <c r="A325" s="29">
        <v>57</v>
      </c>
      <c r="B325" s="25">
        <v>45124</v>
      </c>
      <c r="C325" s="30" t="s">
        <v>2025</v>
      </c>
      <c r="D325" s="30" t="s">
        <v>2029</v>
      </c>
      <c r="E325" s="31">
        <v>28</v>
      </c>
      <c r="F325" s="197" t="s">
        <v>2323</v>
      </c>
      <c r="G325" s="197">
        <v>4421.8080149999996</v>
      </c>
      <c r="H325" s="30" t="s">
        <v>2016</v>
      </c>
      <c r="I325" s="30" t="s">
        <v>123</v>
      </c>
    </row>
    <row r="326" spans="1:9" x14ac:dyDescent="0.25">
      <c r="A326" s="29">
        <v>57</v>
      </c>
      <c r="B326" s="25">
        <v>45124</v>
      </c>
      <c r="C326" s="30" t="s">
        <v>2025</v>
      </c>
      <c r="D326" s="30" t="s">
        <v>2022</v>
      </c>
      <c r="E326" s="31">
        <v>28</v>
      </c>
      <c r="F326" s="197" t="s">
        <v>2323</v>
      </c>
      <c r="G326" s="197">
        <v>4421.8080149999996</v>
      </c>
      <c r="H326" s="30" t="s">
        <v>2016</v>
      </c>
      <c r="I326" s="30" t="s">
        <v>123</v>
      </c>
    </row>
    <row r="327" spans="1:9" x14ac:dyDescent="0.25">
      <c r="A327" s="29">
        <v>57</v>
      </c>
      <c r="B327" s="25">
        <v>45124</v>
      </c>
      <c r="C327" s="30" t="s">
        <v>2025</v>
      </c>
      <c r="D327" s="30" t="s">
        <v>2023</v>
      </c>
      <c r="E327" s="31">
        <v>4</v>
      </c>
      <c r="F327" s="197" t="s">
        <v>2323</v>
      </c>
      <c r="G327" s="197">
        <v>4421.8080149999996</v>
      </c>
      <c r="H327" s="30" t="s">
        <v>2016</v>
      </c>
      <c r="I327" s="30" t="s">
        <v>123</v>
      </c>
    </row>
    <row r="328" spans="1:9" x14ac:dyDescent="0.25">
      <c r="A328" s="29">
        <v>57</v>
      </c>
      <c r="B328" s="25">
        <v>45124</v>
      </c>
      <c r="C328" s="30" t="s">
        <v>2025</v>
      </c>
      <c r="D328" s="30" t="s">
        <v>2024</v>
      </c>
      <c r="E328" s="31">
        <v>6</v>
      </c>
      <c r="F328" s="197" t="s">
        <v>2323</v>
      </c>
      <c r="G328" s="197">
        <v>4421.8080149999996</v>
      </c>
      <c r="H328" s="30" t="s">
        <v>2016</v>
      </c>
      <c r="I328" s="30" t="s">
        <v>123</v>
      </c>
    </row>
    <row r="329" spans="1:9" x14ac:dyDescent="0.25">
      <c r="A329" s="29">
        <v>57</v>
      </c>
      <c r="B329" s="25">
        <v>45124</v>
      </c>
      <c r="C329" s="30" t="s">
        <v>2025</v>
      </c>
      <c r="D329" s="30" t="s">
        <v>2031</v>
      </c>
      <c r="E329" s="31">
        <v>28</v>
      </c>
      <c r="F329" s="197" t="s">
        <v>2323</v>
      </c>
      <c r="G329" s="197">
        <v>4421.8080149999996</v>
      </c>
      <c r="H329" s="30" t="s">
        <v>2016</v>
      </c>
      <c r="I329" s="30" t="s">
        <v>123</v>
      </c>
    </row>
    <row r="330" spans="1:9" x14ac:dyDescent="0.25">
      <c r="A330" s="29">
        <v>57</v>
      </c>
      <c r="B330" s="25">
        <v>45124</v>
      </c>
      <c r="C330" s="30" t="s">
        <v>2046</v>
      </c>
      <c r="D330" s="30" t="s">
        <v>2026</v>
      </c>
      <c r="E330" s="31">
        <v>2</v>
      </c>
      <c r="F330" s="197" t="s">
        <v>2324</v>
      </c>
      <c r="G330" s="197">
        <v>4345.0830089999999</v>
      </c>
      <c r="H330" s="30" t="s">
        <v>2016</v>
      </c>
      <c r="I330" s="30" t="s">
        <v>123</v>
      </c>
    </row>
    <row r="331" spans="1:9" x14ac:dyDescent="0.25">
      <c r="A331" s="29">
        <v>57</v>
      </c>
      <c r="B331" s="25">
        <v>45124</v>
      </c>
      <c r="C331" s="30" t="s">
        <v>2046</v>
      </c>
      <c r="D331" s="30" t="s">
        <v>2044</v>
      </c>
      <c r="E331" s="31">
        <v>-211</v>
      </c>
      <c r="F331" s="197" t="s">
        <v>2325</v>
      </c>
      <c r="G331" s="197">
        <v>4344.9330090000003</v>
      </c>
      <c r="H331" s="30" t="s">
        <v>2016</v>
      </c>
      <c r="I331" s="30" t="s">
        <v>123</v>
      </c>
    </row>
    <row r="332" spans="1:9" x14ac:dyDescent="0.25">
      <c r="A332" s="29">
        <v>57</v>
      </c>
      <c r="B332" s="25">
        <v>45124</v>
      </c>
      <c r="C332" s="30" t="s">
        <v>2046</v>
      </c>
      <c r="D332" s="30" t="s">
        <v>2027</v>
      </c>
      <c r="E332" s="31">
        <v>16</v>
      </c>
      <c r="F332" s="197" t="s">
        <v>2324</v>
      </c>
      <c r="G332" s="197">
        <v>4345.0830089999999</v>
      </c>
      <c r="H332" s="30" t="s">
        <v>2016</v>
      </c>
      <c r="I332" s="30" t="s">
        <v>123</v>
      </c>
    </row>
    <row r="333" spans="1:9" x14ac:dyDescent="0.25">
      <c r="A333" s="29">
        <v>57</v>
      </c>
      <c r="B333" s="25">
        <v>45124</v>
      </c>
      <c r="C333" s="30" t="s">
        <v>2046</v>
      </c>
      <c r="D333" s="30" t="s">
        <v>2045</v>
      </c>
      <c r="E333" s="31">
        <v>12</v>
      </c>
      <c r="F333" s="197" t="s">
        <v>2324</v>
      </c>
      <c r="G333" s="197">
        <v>4345.0830089999999</v>
      </c>
      <c r="H333" s="30" t="s">
        <v>2016</v>
      </c>
      <c r="I333" s="30" t="s">
        <v>123</v>
      </c>
    </row>
    <row r="334" spans="1:9" x14ac:dyDescent="0.25">
      <c r="A334" s="29">
        <v>57</v>
      </c>
      <c r="B334" s="25">
        <v>45124</v>
      </c>
      <c r="C334" s="30" t="s">
        <v>2046</v>
      </c>
      <c r="D334" s="30" t="s">
        <v>2029</v>
      </c>
      <c r="E334" s="31">
        <v>52</v>
      </c>
      <c r="F334" s="197" t="s">
        <v>2324</v>
      </c>
      <c r="G334" s="197">
        <v>4345.0830089999999</v>
      </c>
      <c r="H334" s="30" t="s">
        <v>2016</v>
      </c>
      <c r="I334" s="30" t="s">
        <v>123</v>
      </c>
    </row>
    <row r="335" spans="1:9" x14ac:dyDescent="0.25">
      <c r="A335" s="29">
        <v>57</v>
      </c>
      <c r="B335" s="25">
        <v>45124</v>
      </c>
      <c r="C335" s="30" t="s">
        <v>2046</v>
      </c>
      <c r="D335" s="30" t="s">
        <v>2022</v>
      </c>
      <c r="E335" s="31">
        <v>58</v>
      </c>
      <c r="F335" s="197" t="s">
        <v>2324</v>
      </c>
      <c r="G335" s="197">
        <v>4345.0830089999999</v>
      </c>
      <c r="H335" s="30" t="s">
        <v>2016</v>
      </c>
      <c r="I335" s="30" t="s">
        <v>123</v>
      </c>
    </row>
    <row r="336" spans="1:9" x14ac:dyDescent="0.25">
      <c r="A336" s="29">
        <v>57</v>
      </c>
      <c r="B336" s="25">
        <v>45124</v>
      </c>
      <c r="C336" s="30" t="s">
        <v>2046</v>
      </c>
      <c r="D336" s="30" t="s">
        <v>2023</v>
      </c>
      <c r="E336" s="31">
        <v>15</v>
      </c>
      <c r="F336" s="197" t="s">
        <v>2324</v>
      </c>
      <c r="G336" s="197">
        <v>4345.0830089999999</v>
      </c>
      <c r="H336" s="30" t="s">
        <v>2016</v>
      </c>
      <c r="I336" s="30" t="s">
        <v>123</v>
      </c>
    </row>
    <row r="337" spans="1:9" x14ac:dyDescent="0.25">
      <c r="A337" s="29">
        <v>57</v>
      </c>
      <c r="B337" s="25">
        <v>45124</v>
      </c>
      <c r="C337" s="30" t="s">
        <v>2046</v>
      </c>
      <c r="D337" s="30" t="s">
        <v>2024</v>
      </c>
      <c r="E337" s="31">
        <v>-22</v>
      </c>
      <c r="F337" s="197" t="s">
        <v>2325</v>
      </c>
      <c r="G337" s="197">
        <v>4344.9330090000003</v>
      </c>
      <c r="H337" s="30" t="s">
        <v>2016</v>
      </c>
      <c r="I337" s="30" t="s">
        <v>123</v>
      </c>
    </row>
    <row r="338" spans="1:9" x14ac:dyDescent="0.25">
      <c r="A338" s="29">
        <v>57</v>
      </c>
      <c r="B338" s="25">
        <v>45124</v>
      </c>
      <c r="C338" s="30" t="s">
        <v>2046</v>
      </c>
      <c r="D338" s="30" t="s">
        <v>2031</v>
      </c>
      <c r="E338" s="31">
        <v>78</v>
      </c>
      <c r="F338" s="197" t="s">
        <v>2324</v>
      </c>
      <c r="G338" s="197">
        <v>4345.0830089999999</v>
      </c>
      <c r="H338" s="30" t="s">
        <v>2016</v>
      </c>
      <c r="I338" s="30" t="s">
        <v>123</v>
      </c>
    </row>
    <row r="339" spans="1:9" x14ac:dyDescent="0.25">
      <c r="A339" s="24">
        <v>58</v>
      </c>
      <c r="B339" s="26">
        <v>45125</v>
      </c>
      <c r="C339" s="21" t="s">
        <v>2050</v>
      </c>
      <c r="D339" s="21" t="s">
        <v>2053</v>
      </c>
      <c r="E339" s="22">
        <v>-15</v>
      </c>
      <c r="F339" s="196" t="s">
        <v>2326</v>
      </c>
      <c r="G339" s="196">
        <v>13448.401475999999</v>
      </c>
      <c r="H339" s="21" t="s">
        <v>2013</v>
      </c>
      <c r="I339" s="21" t="s">
        <v>123</v>
      </c>
    </row>
    <row r="340" spans="1:9" x14ac:dyDescent="0.25">
      <c r="A340" s="24">
        <v>58</v>
      </c>
      <c r="B340" s="26">
        <v>45125</v>
      </c>
      <c r="C340" s="21" t="s">
        <v>2050</v>
      </c>
      <c r="D340" s="21" t="s">
        <v>2044</v>
      </c>
      <c r="E340" s="22">
        <v>-225</v>
      </c>
      <c r="F340" s="196" t="s">
        <v>2326</v>
      </c>
      <c r="G340" s="196">
        <v>13448.401475999999</v>
      </c>
      <c r="H340" s="21" t="s">
        <v>2013</v>
      </c>
      <c r="I340" s="21" t="s">
        <v>123</v>
      </c>
    </row>
    <row r="341" spans="1:9" x14ac:dyDescent="0.25">
      <c r="A341" s="24">
        <v>58</v>
      </c>
      <c r="B341" s="26">
        <v>45125</v>
      </c>
      <c r="C341" s="21" t="s">
        <v>2050</v>
      </c>
      <c r="D341" s="21" t="s">
        <v>2027</v>
      </c>
      <c r="E341" s="22">
        <v>120</v>
      </c>
      <c r="F341" s="196" t="s">
        <v>2327</v>
      </c>
      <c r="G341" s="196">
        <v>13448.501475999999</v>
      </c>
      <c r="H341" s="21" t="s">
        <v>2013</v>
      </c>
      <c r="I341" s="21" t="s">
        <v>123</v>
      </c>
    </row>
    <row r="342" spans="1:9" x14ac:dyDescent="0.25">
      <c r="A342" s="24">
        <v>58</v>
      </c>
      <c r="B342" s="26">
        <v>45125</v>
      </c>
      <c r="C342" s="21" t="s">
        <v>2050</v>
      </c>
      <c r="D342" s="21" t="s">
        <v>2023</v>
      </c>
      <c r="E342" s="22">
        <v>120</v>
      </c>
      <c r="F342" s="196" t="s">
        <v>2327</v>
      </c>
      <c r="G342" s="196">
        <v>13448.501475999999</v>
      </c>
      <c r="H342" s="21" t="s">
        <v>2013</v>
      </c>
      <c r="I342" s="21" t="s">
        <v>123</v>
      </c>
    </row>
    <row r="343" spans="1:9" x14ac:dyDescent="0.25">
      <c r="A343" s="29">
        <v>59</v>
      </c>
      <c r="B343" s="25">
        <v>45126</v>
      </c>
      <c r="C343" s="30" t="s">
        <v>2025</v>
      </c>
      <c r="D343" s="30" t="s">
        <v>2048</v>
      </c>
      <c r="E343" s="31">
        <v>-131</v>
      </c>
      <c r="F343" s="197" t="s">
        <v>2328</v>
      </c>
      <c r="G343" s="197">
        <v>4449.1854489999996</v>
      </c>
      <c r="H343" s="30" t="s">
        <v>2013</v>
      </c>
      <c r="I343" s="30" t="s">
        <v>123</v>
      </c>
    </row>
    <row r="344" spans="1:9" x14ac:dyDescent="0.25">
      <c r="A344" s="29">
        <v>59</v>
      </c>
      <c r="B344" s="25">
        <v>45126</v>
      </c>
      <c r="C344" s="30" t="s">
        <v>2025</v>
      </c>
      <c r="D344" s="30" t="s">
        <v>2027</v>
      </c>
      <c r="E344" s="31">
        <v>38</v>
      </c>
      <c r="F344" s="197" t="s">
        <v>2329</v>
      </c>
      <c r="G344" s="197">
        <v>4449.3354490000002</v>
      </c>
      <c r="H344" s="30" t="s">
        <v>2013</v>
      </c>
      <c r="I344" s="30" t="s">
        <v>123</v>
      </c>
    </row>
    <row r="345" spans="1:9" x14ac:dyDescent="0.25">
      <c r="A345" s="29">
        <v>59</v>
      </c>
      <c r="B345" s="25">
        <v>45126</v>
      </c>
      <c r="C345" s="30" t="s">
        <v>2025</v>
      </c>
      <c r="D345" s="30" t="s">
        <v>2045</v>
      </c>
      <c r="E345" s="31">
        <v>5</v>
      </c>
      <c r="F345" s="197" t="s">
        <v>2329</v>
      </c>
      <c r="G345" s="197">
        <v>4449.3354490000002</v>
      </c>
      <c r="H345" s="30" t="s">
        <v>2013</v>
      </c>
      <c r="I345" s="30" t="s">
        <v>123</v>
      </c>
    </row>
    <row r="346" spans="1:9" x14ac:dyDescent="0.25">
      <c r="A346" s="29">
        <v>59</v>
      </c>
      <c r="B346" s="25">
        <v>45126</v>
      </c>
      <c r="C346" s="30" t="s">
        <v>2025</v>
      </c>
      <c r="D346" s="30" t="s">
        <v>2029</v>
      </c>
      <c r="E346" s="31">
        <v>30</v>
      </c>
      <c r="F346" s="197" t="s">
        <v>2329</v>
      </c>
      <c r="G346" s="197">
        <v>4449.3354490000002</v>
      </c>
      <c r="H346" s="30" t="s">
        <v>2013</v>
      </c>
      <c r="I346" s="30" t="s">
        <v>123</v>
      </c>
    </row>
    <row r="347" spans="1:9" x14ac:dyDescent="0.25">
      <c r="A347" s="29">
        <v>59</v>
      </c>
      <c r="B347" s="25">
        <v>45126</v>
      </c>
      <c r="C347" s="30" t="s">
        <v>2025</v>
      </c>
      <c r="D347" s="30" t="s">
        <v>2022</v>
      </c>
      <c r="E347" s="31">
        <v>28</v>
      </c>
      <c r="F347" s="197" t="s">
        <v>2329</v>
      </c>
      <c r="G347" s="197">
        <v>4449.3354490000002</v>
      </c>
      <c r="H347" s="30" t="s">
        <v>2013</v>
      </c>
      <c r="I347" s="30" t="s">
        <v>123</v>
      </c>
    </row>
    <row r="348" spans="1:9" x14ac:dyDescent="0.25">
      <c r="A348" s="29">
        <v>59</v>
      </c>
      <c r="B348" s="25">
        <v>45126</v>
      </c>
      <c r="C348" s="30" t="s">
        <v>2025</v>
      </c>
      <c r="D348" s="30" t="s">
        <v>2023</v>
      </c>
      <c r="E348" s="31">
        <v>5</v>
      </c>
      <c r="F348" s="197" t="s">
        <v>2329</v>
      </c>
      <c r="G348" s="197">
        <v>4449.3354490000002</v>
      </c>
      <c r="H348" s="30" t="s">
        <v>2013</v>
      </c>
      <c r="I348" s="30" t="s">
        <v>123</v>
      </c>
    </row>
    <row r="349" spans="1:9" x14ac:dyDescent="0.25">
      <c r="A349" s="29">
        <v>59</v>
      </c>
      <c r="B349" s="25">
        <v>45126</v>
      </c>
      <c r="C349" s="30" t="s">
        <v>2025</v>
      </c>
      <c r="D349" s="30" t="s">
        <v>2024</v>
      </c>
      <c r="E349" s="31">
        <v>5</v>
      </c>
      <c r="F349" s="197" t="s">
        <v>2329</v>
      </c>
      <c r="G349" s="197">
        <v>4449.3354490000002</v>
      </c>
      <c r="H349" s="30" t="s">
        <v>2013</v>
      </c>
      <c r="I349" s="30" t="s">
        <v>123</v>
      </c>
    </row>
    <row r="350" spans="1:9" x14ac:dyDescent="0.25">
      <c r="A350" s="29">
        <v>59</v>
      </c>
      <c r="B350" s="25">
        <v>45126</v>
      </c>
      <c r="C350" s="30" t="s">
        <v>2025</v>
      </c>
      <c r="D350" s="30" t="s">
        <v>2031</v>
      </c>
      <c r="E350" s="31">
        <v>20</v>
      </c>
      <c r="F350" s="197" t="s">
        <v>2329</v>
      </c>
      <c r="G350" s="197">
        <v>4449.3354490000002</v>
      </c>
      <c r="H350" s="30" t="s">
        <v>2013</v>
      </c>
      <c r="I350" s="30" t="s">
        <v>123</v>
      </c>
    </row>
    <row r="351" spans="1:9" x14ac:dyDescent="0.25">
      <c r="A351" s="29">
        <v>59</v>
      </c>
      <c r="B351" s="25">
        <v>45126</v>
      </c>
      <c r="C351" s="30" t="s">
        <v>2046</v>
      </c>
      <c r="D351" s="30" t="s">
        <v>2026</v>
      </c>
      <c r="E351" s="31">
        <v>2</v>
      </c>
      <c r="F351" s="197" t="s">
        <v>2330</v>
      </c>
      <c r="G351" s="197">
        <v>4361.5461859999996</v>
      </c>
      <c r="H351" s="30" t="s">
        <v>2013</v>
      </c>
      <c r="I351" s="30" t="s">
        <v>123</v>
      </c>
    </row>
    <row r="352" spans="1:9" x14ac:dyDescent="0.25">
      <c r="A352" s="29">
        <v>59</v>
      </c>
      <c r="B352" s="25">
        <v>45126</v>
      </c>
      <c r="C352" s="30" t="s">
        <v>2046</v>
      </c>
      <c r="D352" s="30" t="s">
        <v>2044</v>
      </c>
      <c r="E352" s="31">
        <v>-574</v>
      </c>
      <c r="F352" s="197" t="s">
        <v>2330</v>
      </c>
      <c r="G352" s="197">
        <v>4361.5461859999996</v>
      </c>
      <c r="H352" s="30" t="s">
        <v>2013</v>
      </c>
      <c r="I352" s="30" t="s">
        <v>123</v>
      </c>
    </row>
    <row r="353" spans="1:9" x14ac:dyDescent="0.25">
      <c r="A353" s="29">
        <v>59</v>
      </c>
      <c r="B353" s="25">
        <v>45126</v>
      </c>
      <c r="C353" s="30" t="s">
        <v>2046</v>
      </c>
      <c r="D353" s="30" t="s">
        <v>2027</v>
      </c>
      <c r="E353" s="31">
        <v>150</v>
      </c>
      <c r="F353" s="197" t="s">
        <v>2331</v>
      </c>
      <c r="G353" s="197">
        <v>4361.6961860000001</v>
      </c>
      <c r="H353" s="30" t="s">
        <v>2013</v>
      </c>
      <c r="I353" s="30" t="s">
        <v>123</v>
      </c>
    </row>
    <row r="354" spans="1:9" x14ac:dyDescent="0.25">
      <c r="A354" s="29">
        <v>59</v>
      </c>
      <c r="B354" s="25">
        <v>45126</v>
      </c>
      <c r="C354" s="30" t="s">
        <v>2046</v>
      </c>
      <c r="D354" s="30" t="s">
        <v>2045</v>
      </c>
      <c r="E354" s="31">
        <v>35</v>
      </c>
      <c r="F354" s="197" t="s">
        <v>2331</v>
      </c>
      <c r="G354" s="197">
        <v>4361.6961860000001</v>
      </c>
      <c r="H354" s="30" t="s">
        <v>2013</v>
      </c>
      <c r="I354" s="30" t="s">
        <v>123</v>
      </c>
    </row>
    <row r="355" spans="1:9" x14ac:dyDescent="0.25">
      <c r="A355" s="29">
        <v>59</v>
      </c>
      <c r="B355" s="25">
        <v>45126</v>
      </c>
      <c r="C355" s="30" t="s">
        <v>2046</v>
      </c>
      <c r="D355" s="30" t="s">
        <v>2029</v>
      </c>
      <c r="E355" s="31">
        <v>140</v>
      </c>
      <c r="F355" s="197" t="s">
        <v>2331</v>
      </c>
      <c r="G355" s="197">
        <v>4361.6961860000001</v>
      </c>
      <c r="H355" s="30" t="s">
        <v>2013</v>
      </c>
      <c r="I355" s="30" t="s">
        <v>123</v>
      </c>
    </row>
    <row r="356" spans="1:9" x14ac:dyDescent="0.25">
      <c r="A356" s="29">
        <v>59</v>
      </c>
      <c r="B356" s="25">
        <v>45126</v>
      </c>
      <c r="C356" s="30" t="s">
        <v>2046</v>
      </c>
      <c r="D356" s="30" t="s">
        <v>2022</v>
      </c>
      <c r="E356" s="31">
        <v>100</v>
      </c>
      <c r="F356" s="197" t="s">
        <v>2331</v>
      </c>
      <c r="G356" s="197">
        <v>4361.6961860000001</v>
      </c>
      <c r="H356" s="30" t="s">
        <v>2013</v>
      </c>
      <c r="I356" s="30" t="s">
        <v>123</v>
      </c>
    </row>
    <row r="357" spans="1:9" x14ac:dyDescent="0.25">
      <c r="A357" s="29">
        <v>59</v>
      </c>
      <c r="B357" s="25">
        <v>45126</v>
      </c>
      <c r="C357" s="30" t="s">
        <v>2046</v>
      </c>
      <c r="D357" s="30" t="s">
        <v>2023</v>
      </c>
      <c r="E357" s="31">
        <v>50</v>
      </c>
      <c r="F357" s="197" t="s">
        <v>2331</v>
      </c>
      <c r="G357" s="197">
        <v>4361.6961860000001</v>
      </c>
      <c r="H357" s="30" t="s">
        <v>2013</v>
      </c>
      <c r="I357" s="30" t="s">
        <v>123</v>
      </c>
    </row>
    <row r="358" spans="1:9" x14ac:dyDescent="0.25">
      <c r="A358" s="29">
        <v>59</v>
      </c>
      <c r="B358" s="25">
        <v>45126</v>
      </c>
      <c r="C358" s="30" t="s">
        <v>2046</v>
      </c>
      <c r="D358" s="30" t="s">
        <v>2024</v>
      </c>
      <c r="E358" s="31">
        <v>40</v>
      </c>
      <c r="F358" s="197" t="s">
        <v>2331</v>
      </c>
      <c r="G358" s="197">
        <v>4361.6961860000001</v>
      </c>
      <c r="H358" s="30" t="s">
        <v>2013</v>
      </c>
      <c r="I358" s="30" t="s">
        <v>123</v>
      </c>
    </row>
    <row r="359" spans="1:9" x14ac:dyDescent="0.25">
      <c r="A359" s="29">
        <v>59</v>
      </c>
      <c r="B359" s="25">
        <v>45126</v>
      </c>
      <c r="C359" s="30" t="s">
        <v>2046</v>
      </c>
      <c r="D359" s="30" t="s">
        <v>2031</v>
      </c>
      <c r="E359" s="31">
        <v>60</v>
      </c>
      <c r="F359" s="197" t="s">
        <v>2331</v>
      </c>
      <c r="G359" s="197">
        <v>4361.6961860000001</v>
      </c>
      <c r="H359" s="30" t="s">
        <v>2013</v>
      </c>
      <c r="I359" s="30" t="s">
        <v>123</v>
      </c>
    </row>
    <row r="360" spans="1:9" x14ac:dyDescent="0.25">
      <c r="A360" s="29">
        <v>59</v>
      </c>
      <c r="B360" s="25">
        <v>45126</v>
      </c>
      <c r="C360" s="30" t="s">
        <v>2050</v>
      </c>
      <c r="D360" s="30" t="s">
        <v>2048</v>
      </c>
      <c r="E360" s="31">
        <v>400</v>
      </c>
      <c r="F360" s="197" t="s">
        <v>2332</v>
      </c>
      <c r="G360" s="197">
        <v>13448.885646999999</v>
      </c>
      <c r="H360" s="30" t="s">
        <v>2013</v>
      </c>
      <c r="I360" s="30" t="s">
        <v>123</v>
      </c>
    </row>
    <row r="361" spans="1:9" x14ac:dyDescent="0.25">
      <c r="A361" s="29">
        <v>59</v>
      </c>
      <c r="B361" s="25">
        <v>45126</v>
      </c>
      <c r="C361" s="30" t="s">
        <v>2050</v>
      </c>
      <c r="D361" s="30" t="s">
        <v>2027</v>
      </c>
      <c r="E361" s="31">
        <v>-200</v>
      </c>
      <c r="F361" s="197" t="s">
        <v>2333</v>
      </c>
      <c r="G361" s="197">
        <v>13448.785647000001</v>
      </c>
      <c r="H361" s="30" t="s">
        <v>2013</v>
      </c>
      <c r="I361" s="30" t="s">
        <v>123</v>
      </c>
    </row>
    <row r="362" spans="1:9" x14ac:dyDescent="0.25">
      <c r="A362" s="29">
        <v>59</v>
      </c>
      <c r="B362" s="25">
        <v>45126</v>
      </c>
      <c r="C362" s="30" t="s">
        <v>2050</v>
      </c>
      <c r="D362" s="30" t="s">
        <v>2023</v>
      </c>
      <c r="E362" s="31">
        <v>-200</v>
      </c>
      <c r="F362" s="197" t="s">
        <v>2333</v>
      </c>
      <c r="G362" s="197">
        <v>13448.785647000001</v>
      </c>
      <c r="H362" s="30" t="s">
        <v>2013</v>
      </c>
      <c r="I362" s="30" t="s">
        <v>123</v>
      </c>
    </row>
    <row r="363" spans="1:9" x14ac:dyDescent="0.25">
      <c r="A363" s="24">
        <v>60</v>
      </c>
      <c r="B363" s="26">
        <v>45127</v>
      </c>
      <c r="C363" s="21" t="s">
        <v>2050</v>
      </c>
      <c r="D363" s="21" t="s">
        <v>2048</v>
      </c>
      <c r="E363" s="22">
        <v>-1100</v>
      </c>
      <c r="F363" s="196" t="s">
        <v>2334</v>
      </c>
      <c r="G363" s="196">
        <v>13462.783315999999</v>
      </c>
      <c r="H363" s="21" t="s">
        <v>2016</v>
      </c>
      <c r="I363" s="21" t="s">
        <v>123</v>
      </c>
    </row>
    <row r="364" spans="1:9" x14ac:dyDescent="0.25">
      <c r="A364" s="24">
        <v>60</v>
      </c>
      <c r="B364" s="26">
        <v>45127</v>
      </c>
      <c r="C364" s="21" t="s">
        <v>2050</v>
      </c>
      <c r="D364" s="21" t="s">
        <v>2027</v>
      </c>
      <c r="E364" s="22">
        <v>620</v>
      </c>
      <c r="F364" s="196" t="s">
        <v>2335</v>
      </c>
      <c r="G364" s="196">
        <v>13462.883315999999</v>
      </c>
      <c r="H364" s="21" t="s">
        <v>2016</v>
      </c>
      <c r="I364" s="21" t="s">
        <v>123</v>
      </c>
    </row>
    <row r="365" spans="1:9" x14ac:dyDescent="0.25">
      <c r="A365" s="24">
        <v>60</v>
      </c>
      <c r="B365" s="26">
        <v>45127</v>
      </c>
      <c r="C365" s="21" t="s">
        <v>2050</v>
      </c>
      <c r="D365" s="21" t="s">
        <v>2023</v>
      </c>
      <c r="E365" s="22">
        <v>480</v>
      </c>
      <c r="F365" s="196" t="s">
        <v>2335</v>
      </c>
      <c r="G365" s="196">
        <v>13462.883315999999</v>
      </c>
      <c r="H365" s="21" t="s">
        <v>2016</v>
      </c>
      <c r="I365" s="21" t="s">
        <v>123</v>
      </c>
    </row>
    <row r="366" spans="1:9" x14ac:dyDescent="0.25">
      <c r="A366" s="29">
        <v>61</v>
      </c>
      <c r="B366" s="25">
        <v>45138</v>
      </c>
      <c r="C366" s="30" t="s">
        <v>2046</v>
      </c>
      <c r="D366" s="30" t="s">
        <v>2030</v>
      </c>
      <c r="E366" s="31">
        <v>-279</v>
      </c>
      <c r="F366" s="197" t="s">
        <v>2336</v>
      </c>
      <c r="G366" s="197">
        <v>4386.6341549999997</v>
      </c>
      <c r="H366" s="30" t="s">
        <v>2013</v>
      </c>
      <c r="I366" s="30" t="s">
        <v>123</v>
      </c>
    </row>
    <row r="367" spans="1:9" x14ac:dyDescent="0.25">
      <c r="A367" s="29">
        <v>61</v>
      </c>
      <c r="B367" s="25">
        <v>45138</v>
      </c>
      <c r="C367" s="30" t="s">
        <v>2046</v>
      </c>
      <c r="D367" s="30" t="s">
        <v>2022</v>
      </c>
      <c r="E367" s="31">
        <v>-76</v>
      </c>
      <c r="F367" s="197" t="s">
        <v>2336</v>
      </c>
      <c r="G367" s="197">
        <v>4386.6341549999997</v>
      </c>
      <c r="H367" s="30" t="s">
        <v>2013</v>
      </c>
      <c r="I367" s="30" t="s">
        <v>123</v>
      </c>
    </row>
    <row r="368" spans="1:9" x14ac:dyDescent="0.25">
      <c r="A368" s="29">
        <v>61</v>
      </c>
      <c r="B368" s="25">
        <v>45138</v>
      </c>
      <c r="C368" s="30" t="s">
        <v>2046</v>
      </c>
      <c r="D368" s="30" t="s">
        <v>2031</v>
      </c>
      <c r="E368" s="31">
        <v>-57</v>
      </c>
      <c r="F368" s="197" t="s">
        <v>2336</v>
      </c>
      <c r="G368" s="197">
        <v>4386.6341549999997</v>
      </c>
      <c r="H368" s="30" t="s">
        <v>2013</v>
      </c>
      <c r="I368" s="30" t="s">
        <v>123</v>
      </c>
    </row>
    <row r="369" spans="1:9" x14ac:dyDescent="0.25">
      <c r="A369" s="29">
        <v>61</v>
      </c>
      <c r="B369" s="25">
        <v>45138</v>
      </c>
      <c r="C369" s="30" t="s">
        <v>2046</v>
      </c>
      <c r="D369" s="30" t="s">
        <v>2026</v>
      </c>
      <c r="E369" s="31">
        <v>-1</v>
      </c>
      <c r="F369" s="197" t="s">
        <v>2336</v>
      </c>
      <c r="G369" s="197">
        <v>4386.6341549999997</v>
      </c>
      <c r="H369" s="30" t="s">
        <v>2013</v>
      </c>
      <c r="I369" s="30" t="s">
        <v>123</v>
      </c>
    </row>
    <row r="370" spans="1:9" x14ac:dyDescent="0.25">
      <c r="A370" s="29">
        <v>61</v>
      </c>
      <c r="B370" s="25">
        <v>45138</v>
      </c>
      <c r="C370" s="30" t="s">
        <v>2046</v>
      </c>
      <c r="D370" s="30" t="s">
        <v>2044</v>
      </c>
      <c r="E370" s="31">
        <v>5</v>
      </c>
      <c r="F370" s="197" t="s">
        <v>2337</v>
      </c>
      <c r="G370" s="197">
        <v>4386.7841550000003</v>
      </c>
      <c r="H370" s="30" t="s">
        <v>2013</v>
      </c>
      <c r="I370" s="30" t="s">
        <v>123</v>
      </c>
    </row>
    <row r="371" spans="1:9" x14ac:dyDescent="0.25">
      <c r="A371" s="29">
        <v>61</v>
      </c>
      <c r="B371" s="25">
        <v>45138</v>
      </c>
      <c r="C371" s="30" t="s">
        <v>2046</v>
      </c>
      <c r="D371" s="30" t="s">
        <v>2045</v>
      </c>
      <c r="E371" s="31">
        <v>39</v>
      </c>
      <c r="F371" s="197" t="s">
        <v>2337</v>
      </c>
      <c r="G371" s="197">
        <v>4386.7841550000003</v>
      </c>
      <c r="H371" s="30" t="s">
        <v>2013</v>
      </c>
      <c r="I371" s="30" t="s">
        <v>123</v>
      </c>
    </row>
    <row r="372" spans="1:9" x14ac:dyDescent="0.25">
      <c r="A372" s="29">
        <v>61</v>
      </c>
      <c r="B372" s="25">
        <v>45138</v>
      </c>
      <c r="C372" s="30" t="s">
        <v>2046</v>
      </c>
      <c r="D372" s="30" t="s">
        <v>2029</v>
      </c>
      <c r="E372" s="31">
        <v>73</v>
      </c>
      <c r="F372" s="197" t="s">
        <v>2337</v>
      </c>
      <c r="G372" s="197">
        <v>4386.7841550000003</v>
      </c>
      <c r="H372" s="30" t="s">
        <v>2013</v>
      </c>
      <c r="I372" s="30" t="s">
        <v>123</v>
      </c>
    </row>
    <row r="373" spans="1:9" x14ac:dyDescent="0.25">
      <c r="A373" s="29">
        <v>61</v>
      </c>
      <c r="B373" s="25">
        <v>45138</v>
      </c>
      <c r="C373" s="30" t="s">
        <v>2046</v>
      </c>
      <c r="D373" s="30" t="s">
        <v>2027</v>
      </c>
      <c r="E373" s="31">
        <v>96</v>
      </c>
      <c r="F373" s="197" t="s">
        <v>2337</v>
      </c>
      <c r="G373" s="197">
        <v>4386.7841550000003</v>
      </c>
      <c r="H373" s="30" t="s">
        <v>2013</v>
      </c>
      <c r="I373" s="30" t="s">
        <v>123</v>
      </c>
    </row>
    <row r="374" spans="1:9" x14ac:dyDescent="0.25">
      <c r="A374" s="29">
        <v>61</v>
      </c>
      <c r="B374" s="25">
        <v>45138</v>
      </c>
      <c r="C374" s="30" t="s">
        <v>2046</v>
      </c>
      <c r="D374" s="30" t="s">
        <v>2023</v>
      </c>
      <c r="E374" s="31">
        <v>200</v>
      </c>
      <c r="F374" s="197" t="s">
        <v>2337</v>
      </c>
      <c r="G374" s="197">
        <v>4386.7841550000003</v>
      </c>
      <c r="H374" s="30" t="s">
        <v>2013</v>
      </c>
      <c r="I374" s="30" t="s">
        <v>123</v>
      </c>
    </row>
    <row r="375" spans="1:9" x14ac:dyDescent="0.25">
      <c r="A375" s="29">
        <v>61</v>
      </c>
      <c r="B375" s="25">
        <v>45138</v>
      </c>
      <c r="C375" s="30" t="s">
        <v>2025</v>
      </c>
      <c r="D375" s="30" t="s">
        <v>2030</v>
      </c>
      <c r="E375" s="31">
        <v>-59</v>
      </c>
      <c r="F375" s="197" t="s">
        <v>2338</v>
      </c>
      <c r="G375" s="197">
        <v>4516.9112640000003</v>
      </c>
      <c r="H375" s="30" t="s">
        <v>2013</v>
      </c>
      <c r="I375" s="30" t="s">
        <v>123</v>
      </c>
    </row>
    <row r="376" spans="1:9" x14ac:dyDescent="0.25">
      <c r="A376" s="29">
        <v>61</v>
      </c>
      <c r="B376" s="25">
        <v>45138</v>
      </c>
      <c r="C376" s="30" t="s">
        <v>2025</v>
      </c>
      <c r="D376" s="30" t="s">
        <v>2031</v>
      </c>
      <c r="E376" s="31">
        <v>-29</v>
      </c>
      <c r="F376" s="197" t="s">
        <v>2338</v>
      </c>
      <c r="G376" s="197">
        <v>4516.9112640000003</v>
      </c>
      <c r="H376" s="30" t="s">
        <v>2013</v>
      </c>
      <c r="I376" s="30" t="s">
        <v>123</v>
      </c>
    </row>
    <row r="377" spans="1:9" x14ac:dyDescent="0.25">
      <c r="A377" s="29">
        <v>61</v>
      </c>
      <c r="B377" s="25">
        <v>45138</v>
      </c>
      <c r="C377" s="30" t="s">
        <v>2025</v>
      </c>
      <c r="D377" s="30" t="s">
        <v>2022</v>
      </c>
      <c r="E377" s="31">
        <v>-24</v>
      </c>
      <c r="F377" s="197" t="s">
        <v>2338</v>
      </c>
      <c r="G377" s="197">
        <v>4516.9112640000003</v>
      </c>
      <c r="H377" s="30" t="s">
        <v>2013</v>
      </c>
      <c r="I377" s="30" t="s">
        <v>123</v>
      </c>
    </row>
    <row r="378" spans="1:9" x14ac:dyDescent="0.25">
      <c r="A378" s="29">
        <v>61</v>
      </c>
      <c r="B378" s="25">
        <v>45138</v>
      </c>
      <c r="C378" s="30" t="s">
        <v>2025</v>
      </c>
      <c r="D378" s="30" t="s">
        <v>2044</v>
      </c>
      <c r="E378" s="31">
        <v>2</v>
      </c>
      <c r="F378" s="197" t="s">
        <v>2339</v>
      </c>
      <c r="G378" s="197">
        <v>4517.0612639999999</v>
      </c>
      <c r="H378" s="30" t="s">
        <v>2013</v>
      </c>
      <c r="I378" s="30" t="s">
        <v>123</v>
      </c>
    </row>
    <row r="379" spans="1:9" x14ac:dyDescent="0.25">
      <c r="A379" s="29">
        <v>61</v>
      </c>
      <c r="B379" s="25">
        <v>45138</v>
      </c>
      <c r="C379" s="30" t="s">
        <v>2025</v>
      </c>
      <c r="D379" s="30" t="s">
        <v>2029</v>
      </c>
      <c r="E379" s="31">
        <v>3</v>
      </c>
      <c r="F379" s="197" t="s">
        <v>2339</v>
      </c>
      <c r="G379" s="197">
        <v>4517.0612639999999</v>
      </c>
      <c r="H379" s="30" t="s">
        <v>2013</v>
      </c>
      <c r="I379" s="30" t="s">
        <v>123</v>
      </c>
    </row>
    <row r="380" spans="1:9" x14ac:dyDescent="0.25">
      <c r="A380" s="29">
        <v>61</v>
      </c>
      <c r="B380" s="25">
        <v>45138</v>
      </c>
      <c r="C380" s="30" t="s">
        <v>2025</v>
      </c>
      <c r="D380" s="30" t="s">
        <v>2045</v>
      </c>
      <c r="E380" s="31">
        <v>6</v>
      </c>
      <c r="F380" s="197" t="s">
        <v>2339</v>
      </c>
      <c r="G380" s="197">
        <v>4517.0612639999999</v>
      </c>
      <c r="H380" s="30" t="s">
        <v>2013</v>
      </c>
      <c r="I380" s="30" t="s">
        <v>123</v>
      </c>
    </row>
    <row r="381" spans="1:9" x14ac:dyDescent="0.25">
      <c r="A381" s="29">
        <v>61</v>
      </c>
      <c r="B381" s="25">
        <v>45138</v>
      </c>
      <c r="C381" s="30" t="s">
        <v>2025</v>
      </c>
      <c r="D381" s="30" t="s">
        <v>2027</v>
      </c>
      <c r="E381" s="31">
        <v>50</v>
      </c>
      <c r="F381" s="197" t="s">
        <v>2339</v>
      </c>
      <c r="G381" s="197">
        <v>4517.0612639999999</v>
      </c>
      <c r="H381" s="30" t="s">
        <v>2013</v>
      </c>
      <c r="I381" s="30" t="s">
        <v>123</v>
      </c>
    </row>
    <row r="382" spans="1:9" x14ac:dyDescent="0.25">
      <c r="A382" s="29">
        <v>61</v>
      </c>
      <c r="B382" s="25">
        <v>45138</v>
      </c>
      <c r="C382" s="30" t="s">
        <v>2025</v>
      </c>
      <c r="D382" s="30" t="s">
        <v>2023</v>
      </c>
      <c r="E382" s="31">
        <v>51</v>
      </c>
      <c r="F382" s="197" t="s">
        <v>2339</v>
      </c>
      <c r="G382" s="197">
        <v>4517.0612639999999</v>
      </c>
      <c r="H382" s="30" t="s">
        <v>2013</v>
      </c>
      <c r="I382" s="30" t="s">
        <v>123</v>
      </c>
    </row>
    <row r="383" spans="1:9" x14ac:dyDescent="0.25">
      <c r="A383" s="24">
        <v>62</v>
      </c>
      <c r="B383" s="26">
        <v>45146</v>
      </c>
      <c r="C383" s="21" t="s">
        <v>2028</v>
      </c>
      <c r="D383" s="21" t="s">
        <v>2043</v>
      </c>
      <c r="E383" s="22">
        <v>4000</v>
      </c>
      <c r="F383" s="196" t="s">
        <v>2340</v>
      </c>
      <c r="G383" s="196">
        <v>13571.244269000001</v>
      </c>
      <c r="H383" s="21" t="s">
        <v>2016</v>
      </c>
      <c r="I383" s="21" t="s">
        <v>123</v>
      </c>
    </row>
    <row r="384" spans="1:9" x14ac:dyDescent="0.25">
      <c r="A384" s="24">
        <v>62</v>
      </c>
      <c r="B384" s="26">
        <v>45146</v>
      </c>
      <c r="C384" s="21" t="s">
        <v>2028</v>
      </c>
      <c r="D384" s="21" t="s">
        <v>2029</v>
      </c>
      <c r="E384" s="22">
        <v>-4000</v>
      </c>
      <c r="F384" s="196" t="s">
        <v>2341</v>
      </c>
      <c r="G384" s="196">
        <v>13571.144269</v>
      </c>
      <c r="H384" s="21" t="s">
        <v>2016</v>
      </c>
      <c r="I384" s="21" t="s">
        <v>123</v>
      </c>
    </row>
    <row r="385" spans="1:9" x14ac:dyDescent="0.25">
      <c r="A385" s="24">
        <v>62</v>
      </c>
      <c r="B385" s="26">
        <v>45146</v>
      </c>
      <c r="C385" s="21" t="s">
        <v>2028</v>
      </c>
      <c r="D385" s="21" t="s">
        <v>2022</v>
      </c>
      <c r="E385" s="22">
        <v>-3000</v>
      </c>
      <c r="F385" s="196" t="s">
        <v>2341</v>
      </c>
      <c r="G385" s="196">
        <v>13571.144269</v>
      </c>
      <c r="H385" s="21" t="s">
        <v>2016</v>
      </c>
      <c r="I385" s="21" t="s">
        <v>123</v>
      </c>
    </row>
    <row r="386" spans="1:9" x14ac:dyDescent="0.25">
      <c r="A386" s="24">
        <v>62</v>
      </c>
      <c r="B386" s="26">
        <v>45146</v>
      </c>
      <c r="C386" s="21" t="s">
        <v>2028</v>
      </c>
      <c r="D386" s="21" t="s">
        <v>2023</v>
      </c>
      <c r="E386" s="22">
        <v>3000</v>
      </c>
      <c r="F386" s="196" t="s">
        <v>2340</v>
      </c>
      <c r="G386" s="196">
        <v>13571.244269000001</v>
      </c>
      <c r="H386" s="21" t="s">
        <v>2016</v>
      </c>
      <c r="I386" s="21" t="s">
        <v>123</v>
      </c>
    </row>
    <row r="387" spans="1:9" x14ac:dyDescent="0.25">
      <c r="A387" s="24">
        <v>62</v>
      </c>
      <c r="B387" s="26">
        <v>45146</v>
      </c>
      <c r="C387" s="21" t="s">
        <v>2050</v>
      </c>
      <c r="D387" s="21" t="s">
        <v>2026</v>
      </c>
      <c r="E387" s="22">
        <v>-30</v>
      </c>
      <c r="F387" s="196" t="s">
        <v>2342</v>
      </c>
      <c r="G387" s="196">
        <v>13557.012283</v>
      </c>
      <c r="H387" s="21" t="s">
        <v>2016</v>
      </c>
      <c r="I387" s="21" t="s">
        <v>123</v>
      </c>
    </row>
    <row r="388" spans="1:9" x14ac:dyDescent="0.25">
      <c r="A388" s="24">
        <v>62</v>
      </c>
      <c r="B388" s="26">
        <v>45146</v>
      </c>
      <c r="C388" s="21" t="s">
        <v>2050</v>
      </c>
      <c r="D388" s="21" t="s">
        <v>2023</v>
      </c>
      <c r="E388" s="22">
        <v>30</v>
      </c>
      <c r="F388" s="196" t="s">
        <v>2343</v>
      </c>
      <c r="G388" s="196">
        <v>13557.112283</v>
      </c>
      <c r="H388" s="21" t="s">
        <v>2016</v>
      </c>
      <c r="I388" s="21" t="s">
        <v>123</v>
      </c>
    </row>
    <row r="389" spans="1:9" x14ac:dyDescent="0.25">
      <c r="A389" s="29">
        <v>63</v>
      </c>
      <c r="B389" s="25">
        <v>45147</v>
      </c>
      <c r="C389" s="30" t="s">
        <v>2046</v>
      </c>
      <c r="D389" s="30" t="s">
        <v>2048</v>
      </c>
      <c r="E389" s="31">
        <v>-894</v>
      </c>
      <c r="F389" s="197" t="s">
        <v>2344</v>
      </c>
      <c r="G389" s="197">
        <v>4425.8835019999997</v>
      </c>
      <c r="H389" s="30" t="s">
        <v>2016</v>
      </c>
      <c r="I389" s="30" t="s">
        <v>123</v>
      </c>
    </row>
    <row r="390" spans="1:9" x14ac:dyDescent="0.25">
      <c r="A390" s="29">
        <v>63</v>
      </c>
      <c r="B390" s="25">
        <v>45147</v>
      </c>
      <c r="C390" s="30" t="s">
        <v>2046</v>
      </c>
      <c r="D390" s="30" t="s">
        <v>2027</v>
      </c>
      <c r="E390" s="31">
        <v>220</v>
      </c>
      <c r="F390" s="197" t="s">
        <v>2345</v>
      </c>
      <c r="G390" s="197">
        <v>4426.0335020000002</v>
      </c>
      <c r="H390" s="30" t="s">
        <v>2016</v>
      </c>
      <c r="I390" s="30" t="s">
        <v>123</v>
      </c>
    </row>
    <row r="391" spans="1:9" x14ac:dyDescent="0.25">
      <c r="A391" s="29">
        <v>63</v>
      </c>
      <c r="B391" s="25">
        <v>45147</v>
      </c>
      <c r="C391" s="30" t="s">
        <v>2046</v>
      </c>
      <c r="D391" s="30" t="s">
        <v>2045</v>
      </c>
      <c r="E391" s="31">
        <v>65</v>
      </c>
      <c r="F391" s="197" t="s">
        <v>2345</v>
      </c>
      <c r="G391" s="197">
        <v>4426.0335020000002</v>
      </c>
      <c r="H391" s="30" t="s">
        <v>2016</v>
      </c>
      <c r="I391" s="30" t="s">
        <v>123</v>
      </c>
    </row>
    <row r="392" spans="1:9" x14ac:dyDescent="0.25">
      <c r="A392" s="29">
        <v>63</v>
      </c>
      <c r="B392" s="25">
        <v>45147</v>
      </c>
      <c r="C392" s="30" t="s">
        <v>2046</v>
      </c>
      <c r="D392" s="30" t="s">
        <v>2029</v>
      </c>
      <c r="E392" s="31">
        <v>241</v>
      </c>
      <c r="F392" s="197" t="s">
        <v>2345</v>
      </c>
      <c r="G392" s="197">
        <v>4426.0335020000002</v>
      </c>
      <c r="H392" s="30" t="s">
        <v>2016</v>
      </c>
      <c r="I392" s="30" t="s">
        <v>123</v>
      </c>
    </row>
    <row r="393" spans="1:9" x14ac:dyDescent="0.25">
      <c r="A393" s="29">
        <v>63</v>
      </c>
      <c r="B393" s="25">
        <v>45147</v>
      </c>
      <c r="C393" s="30" t="s">
        <v>2046</v>
      </c>
      <c r="D393" s="30" t="s">
        <v>2022</v>
      </c>
      <c r="E393" s="31">
        <v>132</v>
      </c>
      <c r="F393" s="197" t="s">
        <v>2345</v>
      </c>
      <c r="G393" s="197">
        <v>4426.0335020000002</v>
      </c>
      <c r="H393" s="30" t="s">
        <v>2016</v>
      </c>
      <c r="I393" s="30" t="s">
        <v>123</v>
      </c>
    </row>
    <row r="394" spans="1:9" x14ac:dyDescent="0.25">
      <c r="A394" s="29">
        <v>63</v>
      </c>
      <c r="B394" s="25">
        <v>45147</v>
      </c>
      <c r="C394" s="30" t="s">
        <v>2046</v>
      </c>
      <c r="D394" s="30" t="s">
        <v>2023</v>
      </c>
      <c r="E394" s="31">
        <v>10</v>
      </c>
      <c r="F394" s="197" t="s">
        <v>2345</v>
      </c>
      <c r="G394" s="197">
        <v>4426.0335020000002</v>
      </c>
      <c r="H394" s="30" t="s">
        <v>2016</v>
      </c>
      <c r="I394" s="30" t="s">
        <v>123</v>
      </c>
    </row>
    <row r="395" spans="1:9" x14ac:dyDescent="0.25">
      <c r="A395" s="29">
        <v>63</v>
      </c>
      <c r="B395" s="25">
        <v>45147</v>
      </c>
      <c r="C395" s="30" t="s">
        <v>2046</v>
      </c>
      <c r="D395" s="30" t="s">
        <v>2024</v>
      </c>
      <c r="E395" s="31">
        <v>55</v>
      </c>
      <c r="F395" s="197" t="s">
        <v>2345</v>
      </c>
      <c r="G395" s="197">
        <v>4426.0335020000002</v>
      </c>
      <c r="H395" s="30" t="s">
        <v>2016</v>
      </c>
      <c r="I395" s="30" t="s">
        <v>123</v>
      </c>
    </row>
    <row r="396" spans="1:9" x14ac:dyDescent="0.25">
      <c r="A396" s="29">
        <v>63</v>
      </c>
      <c r="B396" s="25">
        <v>45147</v>
      </c>
      <c r="C396" s="30" t="s">
        <v>2046</v>
      </c>
      <c r="D396" s="30" t="s">
        <v>2031</v>
      </c>
      <c r="E396" s="31">
        <v>171</v>
      </c>
      <c r="F396" s="197" t="s">
        <v>2345</v>
      </c>
      <c r="G396" s="197">
        <v>4426.0335020000002</v>
      </c>
      <c r="H396" s="30" t="s">
        <v>2016</v>
      </c>
      <c r="I396" s="30" t="s">
        <v>123</v>
      </c>
    </row>
    <row r="397" spans="1:9" x14ac:dyDescent="0.25">
      <c r="A397" s="29">
        <v>63</v>
      </c>
      <c r="B397" s="25">
        <v>45147</v>
      </c>
      <c r="C397" s="30" t="s">
        <v>2025</v>
      </c>
      <c r="D397" s="30" t="s">
        <v>2044</v>
      </c>
      <c r="E397" s="31">
        <v>-133</v>
      </c>
      <c r="F397" s="197" t="s">
        <v>2346</v>
      </c>
      <c r="G397" s="197">
        <v>4595.4102419999999</v>
      </c>
      <c r="H397" s="30" t="s">
        <v>2016</v>
      </c>
      <c r="I397" s="30" t="s">
        <v>123</v>
      </c>
    </row>
    <row r="398" spans="1:9" x14ac:dyDescent="0.25">
      <c r="A398" s="29">
        <v>63</v>
      </c>
      <c r="B398" s="25">
        <v>45147</v>
      </c>
      <c r="C398" s="30" t="s">
        <v>2025</v>
      </c>
      <c r="D398" s="30" t="s">
        <v>2027</v>
      </c>
      <c r="E398" s="31">
        <v>75</v>
      </c>
      <c r="F398" s="197" t="s">
        <v>2347</v>
      </c>
      <c r="G398" s="197">
        <v>4595.5602419999996</v>
      </c>
      <c r="H398" s="30" t="s">
        <v>2016</v>
      </c>
      <c r="I398" s="30" t="s">
        <v>123</v>
      </c>
    </row>
    <row r="399" spans="1:9" x14ac:dyDescent="0.25">
      <c r="A399" s="29">
        <v>63</v>
      </c>
      <c r="B399" s="25">
        <v>45147</v>
      </c>
      <c r="C399" s="30" t="s">
        <v>2025</v>
      </c>
      <c r="D399" s="30" t="s">
        <v>2045</v>
      </c>
      <c r="E399" s="31">
        <v>16</v>
      </c>
      <c r="F399" s="197" t="s">
        <v>2347</v>
      </c>
      <c r="G399" s="197">
        <v>4595.5602419999996</v>
      </c>
      <c r="H399" s="30" t="s">
        <v>2016</v>
      </c>
      <c r="I399" s="30" t="s">
        <v>123</v>
      </c>
    </row>
    <row r="400" spans="1:9" x14ac:dyDescent="0.25">
      <c r="A400" s="29">
        <v>63</v>
      </c>
      <c r="B400" s="25">
        <v>45147</v>
      </c>
      <c r="C400" s="30" t="s">
        <v>2025</v>
      </c>
      <c r="D400" s="30" t="s">
        <v>2029</v>
      </c>
      <c r="E400" s="31">
        <v>33</v>
      </c>
      <c r="F400" s="197" t="s">
        <v>2347</v>
      </c>
      <c r="G400" s="197">
        <v>4595.5602419999996</v>
      </c>
      <c r="H400" s="30" t="s">
        <v>2016</v>
      </c>
      <c r="I400" s="30" t="s">
        <v>123</v>
      </c>
    </row>
    <row r="401" spans="1:9" x14ac:dyDescent="0.25">
      <c r="A401" s="29">
        <v>63</v>
      </c>
      <c r="B401" s="25">
        <v>45147</v>
      </c>
      <c r="C401" s="30" t="s">
        <v>2025</v>
      </c>
      <c r="D401" s="30" t="s">
        <v>2022</v>
      </c>
      <c r="E401" s="31">
        <v>4</v>
      </c>
      <c r="F401" s="197" t="s">
        <v>2347</v>
      </c>
      <c r="G401" s="197">
        <v>4595.5602419999996</v>
      </c>
      <c r="H401" s="30" t="s">
        <v>2016</v>
      </c>
      <c r="I401" s="30" t="s">
        <v>123</v>
      </c>
    </row>
    <row r="402" spans="1:9" x14ac:dyDescent="0.25">
      <c r="A402" s="29">
        <v>63</v>
      </c>
      <c r="B402" s="25">
        <v>45147</v>
      </c>
      <c r="C402" s="30" t="s">
        <v>2025</v>
      </c>
      <c r="D402" s="30" t="s">
        <v>2024</v>
      </c>
      <c r="E402" s="31">
        <v>2</v>
      </c>
      <c r="F402" s="197" t="s">
        <v>2347</v>
      </c>
      <c r="G402" s="197">
        <v>4595.5602419999996</v>
      </c>
      <c r="H402" s="30" t="s">
        <v>2016</v>
      </c>
      <c r="I402" s="30" t="s">
        <v>123</v>
      </c>
    </row>
    <row r="403" spans="1:9" x14ac:dyDescent="0.25">
      <c r="A403" s="29">
        <v>63</v>
      </c>
      <c r="B403" s="25">
        <v>45147</v>
      </c>
      <c r="C403" s="30" t="s">
        <v>2025</v>
      </c>
      <c r="D403" s="30" t="s">
        <v>2031</v>
      </c>
      <c r="E403" s="31">
        <v>3</v>
      </c>
      <c r="F403" s="197" t="s">
        <v>2347</v>
      </c>
      <c r="G403" s="197">
        <v>4595.5602419999996</v>
      </c>
      <c r="H403" s="30" t="s">
        <v>2016</v>
      </c>
      <c r="I403" s="30" t="s">
        <v>123</v>
      </c>
    </row>
    <row r="404" spans="1:9" x14ac:dyDescent="0.25">
      <c r="A404" s="29">
        <v>63</v>
      </c>
      <c r="B404" s="25">
        <v>45147</v>
      </c>
      <c r="C404" s="30" t="s">
        <v>2050</v>
      </c>
      <c r="D404" s="30" t="s">
        <v>2048</v>
      </c>
      <c r="E404" s="31">
        <v>460</v>
      </c>
      <c r="F404" s="197" t="s">
        <v>2348</v>
      </c>
      <c r="G404" s="197">
        <v>13564.878307999999</v>
      </c>
      <c r="H404" s="30" t="s">
        <v>2016</v>
      </c>
      <c r="I404" s="30" t="s">
        <v>123</v>
      </c>
    </row>
    <row r="405" spans="1:9" x14ac:dyDescent="0.25">
      <c r="A405" s="29">
        <v>63</v>
      </c>
      <c r="B405" s="25">
        <v>45147</v>
      </c>
      <c r="C405" s="30" t="s">
        <v>2050</v>
      </c>
      <c r="D405" s="30" t="s">
        <v>2027</v>
      </c>
      <c r="E405" s="31">
        <v>-460</v>
      </c>
      <c r="F405" s="197" t="s">
        <v>2349</v>
      </c>
      <c r="G405" s="197">
        <v>13564.778308000001</v>
      </c>
      <c r="H405" s="30" t="s">
        <v>2016</v>
      </c>
      <c r="I405" s="30" t="s">
        <v>123</v>
      </c>
    </row>
    <row r="406" spans="1:9" x14ac:dyDescent="0.25">
      <c r="A406" s="24">
        <v>64</v>
      </c>
      <c r="B406" s="26">
        <v>45148</v>
      </c>
      <c r="C406" s="21" t="s">
        <v>2050</v>
      </c>
      <c r="D406" s="21" t="s">
        <v>2053</v>
      </c>
      <c r="E406" s="22">
        <v>-10</v>
      </c>
      <c r="F406" s="196" t="s">
        <v>2350</v>
      </c>
      <c r="G406" s="196">
        <v>13572.153098000001</v>
      </c>
      <c r="H406" s="21" t="s">
        <v>2016</v>
      </c>
      <c r="I406" s="21" t="s">
        <v>123</v>
      </c>
    </row>
    <row r="407" spans="1:9" x14ac:dyDescent="0.25">
      <c r="A407" s="24">
        <v>64</v>
      </c>
      <c r="B407" s="26">
        <v>45148</v>
      </c>
      <c r="C407" s="21" t="s">
        <v>2028</v>
      </c>
      <c r="D407" s="21" t="s">
        <v>2044</v>
      </c>
      <c r="E407" s="22">
        <v>-140</v>
      </c>
      <c r="F407" s="196" t="s">
        <v>2351</v>
      </c>
      <c r="G407" s="196">
        <v>13592.701999999999</v>
      </c>
      <c r="H407" s="21" t="s">
        <v>2016</v>
      </c>
      <c r="I407" s="21" t="s">
        <v>123</v>
      </c>
    </row>
    <row r="408" spans="1:9" x14ac:dyDescent="0.25">
      <c r="A408" s="24">
        <v>64</v>
      </c>
      <c r="B408" s="26">
        <v>45148</v>
      </c>
      <c r="C408" s="21" t="s">
        <v>2037</v>
      </c>
      <c r="D408" s="21" t="s">
        <v>2044</v>
      </c>
      <c r="E408" s="22">
        <v>-524</v>
      </c>
      <c r="F408" s="196" t="s">
        <v>2352</v>
      </c>
      <c r="G408" s="196">
        <v>13615.684923000001</v>
      </c>
      <c r="H408" s="21" t="s">
        <v>2016</v>
      </c>
      <c r="I408" s="21" t="s">
        <v>123</v>
      </c>
    </row>
    <row r="409" spans="1:9" x14ac:dyDescent="0.25">
      <c r="A409" s="24">
        <v>64</v>
      </c>
      <c r="B409" s="26">
        <v>45148</v>
      </c>
      <c r="C409" s="21" t="s">
        <v>2050</v>
      </c>
      <c r="D409" s="21" t="s">
        <v>2044</v>
      </c>
      <c r="E409" s="22">
        <v>-490</v>
      </c>
      <c r="F409" s="196" t="s">
        <v>2353</v>
      </c>
      <c r="G409" s="196">
        <v>13578.876762</v>
      </c>
      <c r="H409" s="21" t="s">
        <v>2016</v>
      </c>
      <c r="I409" s="21" t="s">
        <v>123</v>
      </c>
    </row>
    <row r="410" spans="1:9" x14ac:dyDescent="0.25">
      <c r="A410" s="24">
        <v>64</v>
      </c>
      <c r="B410" s="26">
        <v>45148</v>
      </c>
      <c r="C410" s="21" t="s">
        <v>2028</v>
      </c>
      <c r="D410" s="21" t="s">
        <v>2027</v>
      </c>
      <c r="E410" s="22">
        <v>50</v>
      </c>
      <c r="F410" s="196" t="s">
        <v>2354</v>
      </c>
      <c r="G410" s="196">
        <v>13592.802</v>
      </c>
      <c r="H410" s="21" t="s">
        <v>2016</v>
      </c>
      <c r="I410" s="21" t="s">
        <v>123</v>
      </c>
    </row>
    <row r="411" spans="1:9" x14ac:dyDescent="0.25">
      <c r="A411" s="24">
        <v>64</v>
      </c>
      <c r="B411" s="26">
        <v>45148</v>
      </c>
      <c r="C411" s="21" t="s">
        <v>2037</v>
      </c>
      <c r="D411" s="21" t="s">
        <v>2027</v>
      </c>
      <c r="E411" s="22">
        <v>150</v>
      </c>
      <c r="F411" s="196" t="s">
        <v>2355</v>
      </c>
      <c r="G411" s="196">
        <v>13615.784922999999</v>
      </c>
      <c r="H411" s="21" t="s">
        <v>2016</v>
      </c>
      <c r="I411" s="21" t="s">
        <v>123</v>
      </c>
    </row>
    <row r="412" spans="1:9" x14ac:dyDescent="0.25">
      <c r="A412" s="24">
        <v>64</v>
      </c>
      <c r="B412" s="26">
        <v>45148</v>
      </c>
      <c r="C412" s="21" t="s">
        <v>2050</v>
      </c>
      <c r="D412" s="21" t="s">
        <v>2027</v>
      </c>
      <c r="E412" s="22">
        <v>-660</v>
      </c>
      <c r="F412" s="196" t="s">
        <v>2350</v>
      </c>
      <c r="G412" s="196">
        <v>13572.153098000001</v>
      </c>
      <c r="H412" s="21" t="s">
        <v>2016</v>
      </c>
      <c r="I412" s="21" t="s">
        <v>123</v>
      </c>
    </row>
    <row r="413" spans="1:9" x14ac:dyDescent="0.25">
      <c r="A413" s="24">
        <v>64</v>
      </c>
      <c r="B413" s="26">
        <v>45148</v>
      </c>
      <c r="C413" s="21" t="s">
        <v>2050</v>
      </c>
      <c r="D413" s="21" t="s">
        <v>2027</v>
      </c>
      <c r="E413" s="22">
        <v>160</v>
      </c>
      <c r="F413" s="196" t="s">
        <v>2356</v>
      </c>
      <c r="G413" s="196">
        <v>13578.976762</v>
      </c>
      <c r="H413" s="21" t="s">
        <v>2016</v>
      </c>
      <c r="I413" s="21" t="s">
        <v>123</v>
      </c>
    </row>
    <row r="414" spans="1:9" x14ac:dyDescent="0.25">
      <c r="A414" s="24">
        <v>64</v>
      </c>
      <c r="B414" s="26">
        <v>45148</v>
      </c>
      <c r="C414" s="21" t="s">
        <v>2050</v>
      </c>
      <c r="D414" s="21" t="s">
        <v>2029</v>
      </c>
      <c r="E414" s="22">
        <v>-1500</v>
      </c>
      <c r="F414" s="196" t="s">
        <v>2350</v>
      </c>
      <c r="G414" s="196">
        <v>13572.153098000001</v>
      </c>
      <c r="H414" s="21" t="s">
        <v>2016</v>
      </c>
      <c r="I414" s="21" t="s">
        <v>123</v>
      </c>
    </row>
    <row r="415" spans="1:9" x14ac:dyDescent="0.25">
      <c r="A415" s="24">
        <v>64</v>
      </c>
      <c r="B415" s="26">
        <v>45148</v>
      </c>
      <c r="C415" s="21" t="s">
        <v>2050</v>
      </c>
      <c r="D415" s="21" t="s">
        <v>2022</v>
      </c>
      <c r="E415" s="22">
        <v>-1500</v>
      </c>
      <c r="F415" s="196" t="s">
        <v>2350</v>
      </c>
      <c r="G415" s="196">
        <v>13572.153098000001</v>
      </c>
      <c r="H415" s="21" t="s">
        <v>2016</v>
      </c>
      <c r="I415" s="21" t="s">
        <v>123</v>
      </c>
    </row>
    <row r="416" spans="1:9" x14ac:dyDescent="0.25">
      <c r="A416" s="24">
        <v>64</v>
      </c>
      <c r="B416" s="26">
        <v>45148</v>
      </c>
      <c r="C416" s="21" t="s">
        <v>2028</v>
      </c>
      <c r="D416" s="21" t="s">
        <v>2023</v>
      </c>
      <c r="E416" s="22">
        <v>50</v>
      </c>
      <c r="F416" s="196" t="s">
        <v>2354</v>
      </c>
      <c r="G416" s="196">
        <v>13592.802</v>
      </c>
      <c r="H416" s="21" t="s">
        <v>2016</v>
      </c>
      <c r="I416" s="21" t="s">
        <v>123</v>
      </c>
    </row>
    <row r="417" spans="1:9" x14ac:dyDescent="0.25">
      <c r="A417" s="24">
        <v>64</v>
      </c>
      <c r="B417" s="26">
        <v>45148</v>
      </c>
      <c r="C417" s="21" t="s">
        <v>2037</v>
      </c>
      <c r="D417" s="21" t="s">
        <v>2023</v>
      </c>
      <c r="E417" s="22">
        <v>150</v>
      </c>
      <c r="F417" s="196" t="s">
        <v>2355</v>
      </c>
      <c r="G417" s="196">
        <v>13615.784922999999</v>
      </c>
      <c r="H417" s="21" t="s">
        <v>2016</v>
      </c>
      <c r="I417" s="21" t="s">
        <v>123</v>
      </c>
    </row>
    <row r="418" spans="1:9" x14ac:dyDescent="0.25">
      <c r="A418" s="24">
        <v>64</v>
      </c>
      <c r="B418" s="26">
        <v>45148</v>
      </c>
      <c r="C418" s="21" t="s">
        <v>2050</v>
      </c>
      <c r="D418" s="21" t="s">
        <v>2023</v>
      </c>
      <c r="E418" s="22">
        <v>-660</v>
      </c>
      <c r="F418" s="196" t="s">
        <v>2350</v>
      </c>
      <c r="G418" s="196">
        <v>13572.153098000001</v>
      </c>
      <c r="H418" s="21" t="s">
        <v>2016</v>
      </c>
      <c r="I418" s="21" t="s">
        <v>123</v>
      </c>
    </row>
    <row r="419" spans="1:9" x14ac:dyDescent="0.25">
      <c r="A419" s="24">
        <v>64</v>
      </c>
      <c r="B419" s="26">
        <v>45148</v>
      </c>
      <c r="C419" s="21" t="s">
        <v>2050</v>
      </c>
      <c r="D419" s="21" t="s">
        <v>2023</v>
      </c>
      <c r="E419" s="22">
        <v>160</v>
      </c>
      <c r="F419" s="196" t="s">
        <v>2356</v>
      </c>
      <c r="G419" s="196">
        <v>13578.976762</v>
      </c>
      <c r="H419" s="21" t="s">
        <v>2016</v>
      </c>
      <c r="I419" s="21" t="s">
        <v>123</v>
      </c>
    </row>
    <row r="420" spans="1:9" x14ac:dyDescent="0.25">
      <c r="A420" s="24">
        <v>64</v>
      </c>
      <c r="B420" s="26">
        <v>45148</v>
      </c>
      <c r="C420" s="21" t="s">
        <v>2028</v>
      </c>
      <c r="D420" s="21" t="s">
        <v>2024</v>
      </c>
      <c r="E420" s="22">
        <v>40</v>
      </c>
      <c r="F420" s="196" t="s">
        <v>2354</v>
      </c>
      <c r="G420" s="196">
        <v>13592.802</v>
      </c>
      <c r="H420" s="21" t="s">
        <v>2016</v>
      </c>
      <c r="I420" s="21" t="s">
        <v>123</v>
      </c>
    </row>
    <row r="421" spans="1:9" x14ac:dyDescent="0.25">
      <c r="A421" s="24">
        <v>64</v>
      </c>
      <c r="B421" s="26">
        <v>45148</v>
      </c>
      <c r="C421" s="21" t="s">
        <v>2037</v>
      </c>
      <c r="D421" s="21" t="s">
        <v>2024</v>
      </c>
      <c r="E421" s="22">
        <v>224</v>
      </c>
      <c r="F421" s="196" t="s">
        <v>2355</v>
      </c>
      <c r="G421" s="196">
        <v>13615.784922999999</v>
      </c>
      <c r="H421" s="21" t="s">
        <v>2016</v>
      </c>
      <c r="I421" s="21" t="s">
        <v>123</v>
      </c>
    </row>
    <row r="422" spans="1:9" x14ac:dyDescent="0.25">
      <c r="A422" s="24">
        <v>64</v>
      </c>
      <c r="B422" s="26">
        <v>45148</v>
      </c>
      <c r="C422" s="21" t="s">
        <v>2050</v>
      </c>
      <c r="D422" s="21" t="s">
        <v>2024</v>
      </c>
      <c r="E422" s="22">
        <v>-670</v>
      </c>
      <c r="F422" s="196" t="s">
        <v>2350</v>
      </c>
      <c r="G422" s="196">
        <v>13572.153098000001</v>
      </c>
      <c r="H422" s="21" t="s">
        <v>2016</v>
      </c>
      <c r="I422" s="21" t="s">
        <v>123</v>
      </c>
    </row>
    <row r="423" spans="1:9" x14ac:dyDescent="0.25">
      <c r="A423" s="24">
        <v>64</v>
      </c>
      <c r="B423" s="26">
        <v>45148</v>
      </c>
      <c r="C423" s="21" t="s">
        <v>2050</v>
      </c>
      <c r="D423" s="21" t="s">
        <v>2024</v>
      </c>
      <c r="E423" s="22">
        <v>170</v>
      </c>
      <c r="F423" s="196" t="s">
        <v>2356</v>
      </c>
      <c r="G423" s="196">
        <v>13578.976762</v>
      </c>
      <c r="H423" s="21" t="s">
        <v>2016</v>
      </c>
      <c r="I423" s="21" t="s">
        <v>123</v>
      </c>
    </row>
    <row r="424" spans="1:9" x14ac:dyDescent="0.25">
      <c r="A424" s="24">
        <v>64</v>
      </c>
      <c r="B424" s="26">
        <v>45148</v>
      </c>
      <c r="C424" s="21" t="s">
        <v>2050</v>
      </c>
      <c r="D424" s="21" t="s">
        <v>2031</v>
      </c>
      <c r="E424" s="22">
        <v>5000</v>
      </c>
      <c r="F424" s="196" t="s">
        <v>2357</v>
      </c>
      <c r="G424" s="196">
        <v>13572.253097999999</v>
      </c>
      <c r="H424" s="21" t="s">
        <v>2016</v>
      </c>
      <c r="I424" s="21" t="s">
        <v>123</v>
      </c>
    </row>
    <row r="425" spans="1:9" x14ac:dyDescent="0.25">
      <c r="A425" s="29">
        <v>65</v>
      </c>
      <c r="B425" s="25">
        <v>45149</v>
      </c>
      <c r="C425" s="30" t="s">
        <v>2050</v>
      </c>
      <c r="D425" s="30" t="s">
        <v>2048</v>
      </c>
      <c r="E425" s="31">
        <v>25</v>
      </c>
      <c r="F425" s="197" t="s">
        <v>2358</v>
      </c>
      <c r="G425" s="197">
        <v>13579.076762000001</v>
      </c>
      <c r="H425" s="30" t="s">
        <v>2013</v>
      </c>
      <c r="I425" s="30" t="s">
        <v>123</v>
      </c>
    </row>
    <row r="426" spans="1:9" x14ac:dyDescent="0.25">
      <c r="A426" s="29">
        <v>65</v>
      </c>
      <c r="B426" s="25">
        <v>45149</v>
      </c>
      <c r="C426" s="30" t="s">
        <v>2050</v>
      </c>
      <c r="D426" s="30" t="s">
        <v>2027</v>
      </c>
      <c r="E426" s="31">
        <v>-25</v>
      </c>
      <c r="F426" s="197" t="s">
        <v>2356</v>
      </c>
      <c r="G426" s="197">
        <v>13578.976762</v>
      </c>
      <c r="H426" s="30" t="s">
        <v>2013</v>
      </c>
      <c r="I426" s="30" t="s">
        <v>123</v>
      </c>
    </row>
    <row r="427" spans="1:9" x14ac:dyDescent="0.25">
      <c r="A427" s="29">
        <v>65</v>
      </c>
      <c r="B427" s="25">
        <v>45149</v>
      </c>
      <c r="C427" s="30" t="s">
        <v>2025</v>
      </c>
      <c r="D427" s="30" t="s">
        <v>2044</v>
      </c>
      <c r="E427" s="31">
        <v>-9</v>
      </c>
      <c r="F427" s="197" t="s">
        <v>2359</v>
      </c>
      <c r="G427" s="197">
        <v>4612.7459779999999</v>
      </c>
      <c r="H427" s="30" t="s">
        <v>2013</v>
      </c>
      <c r="I427" s="30" t="s">
        <v>123</v>
      </c>
    </row>
    <row r="428" spans="1:9" x14ac:dyDescent="0.25">
      <c r="A428" s="29">
        <v>65</v>
      </c>
      <c r="B428" s="25">
        <v>45149</v>
      </c>
      <c r="C428" s="30" t="s">
        <v>2025</v>
      </c>
      <c r="D428" s="30" t="s">
        <v>2027</v>
      </c>
      <c r="E428" s="31">
        <v>9</v>
      </c>
      <c r="F428" s="197" t="s">
        <v>2360</v>
      </c>
      <c r="G428" s="197">
        <v>4612.8959779999996</v>
      </c>
      <c r="H428" s="30" t="s">
        <v>2013</v>
      </c>
      <c r="I428" s="30" t="s">
        <v>123</v>
      </c>
    </row>
    <row r="429" spans="1:9" x14ac:dyDescent="0.25">
      <c r="A429" s="29">
        <v>65</v>
      </c>
      <c r="B429" s="25">
        <v>45149</v>
      </c>
      <c r="C429" s="30" t="s">
        <v>2046</v>
      </c>
      <c r="D429" s="30" t="s">
        <v>2044</v>
      </c>
      <c r="E429" s="31">
        <v>-52</v>
      </c>
      <c r="F429" s="197" t="s">
        <v>2361</v>
      </c>
      <c r="G429" s="197">
        <v>4438.2064739999996</v>
      </c>
      <c r="H429" s="30" t="s">
        <v>2013</v>
      </c>
      <c r="I429" s="30" t="s">
        <v>123</v>
      </c>
    </row>
    <row r="430" spans="1:9" x14ac:dyDescent="0.25">
      <c r="A430" s="29">
        <v>65</v>
      </c>
      <c r="B430" s="25">
        <v>45149</v>
      </c>
      <c r="C430" s="30" t="s">
        <v>2046</v>
      </c>
      <c r="D430" s="30" t="s">
        <v>2027</v>
      </c>
      <c r="E430" s="31">
        <v>52</v>
      </c>
      <c r="F430" s="197" t="s">
        <v>2362</v>
      </c>
      <c r="G430" s="197">
        <v>4438.3564740000002</v>
      </c>
      <c r="H430" s="30" t="s">
        <v>2013</v>
      </c>
      <c r="I430" s="30" t="s">
        <v>123</v>
      </c>
    </row>
    <row r="431" spans="1:9" x14ac:dyDescent="0.25">
      <c r="A431" s="24">
        <v>66</v>
      </c>
      <c r="B431" s="26">
        <v>45155</v>
      </c>
      <c r="C431" s="21" t="s">
        <v>2050</v>
      </c>
      <c r="D431" s="21" t="s">
        <v>2048</v>
      </c>
      <c r="E431" s="22">
        <v>-10</v>
      </c>
      <c r="F431" s="196" t="s">
        <v>2363</v>
      </c>
      <c r="G431" s="196">
        <v>13603.439036</v>
      </c>
      <c r="H431" s="21" t="s">
        <v>2016</v>
      </c>
      <c r="I431" s="21" t="s">
        <v>123</v>
      </c>
    </row>
    <row r="432" spans="1:9" x14ac:dyDescent="0.25">
      <c r="A432" s="24">
        <v>66</v>
      </c>
      <c r="B432" s="26">
        <v>45155</v>
      </c>
      <c r="C432" s="21" t="s">
        <v>2050</v>
      </c>
      <c r="D432" s="21" t="s">
        <v>2027</v>
      </c>
      <c r="E432" s="22">
        <v>10</v>
      </c>
      <c r="F432" s="196" t="s">
        <v>2364</v>
      </c>
      <c r="G432" s="196">
        <v>13603.539036</v>
      </c>
      <c r="H432" s="21" t="s">
        <v>2016</v>
      </c>
      <c r="I432" s="21" t="s">
        <v>123</v>
      </c>
    </row>
    <row r="433" spans="1:9" x14ac:dyDescent="0.25">
      <c r="A433" s="29">
        <v>67</v>
      </c>
      <c r="B433" s="25">
        <v>45163</v>
      </c>
      <c r="C433" s="30" t="s">
        <v>2046</v>
      </c>
      <c r="D433" s="30" t="s">
        <v>2054</v>
      </c>
      <c r="E433" s="31">
        <v>-285</v>
      </c>
      <c r="F433" s="197" t="s">
        <v>2365</v>
      </c>
      <c r="G433" s="197">
        <v>4305.2147080000004</v>
      </c>
      <c r="H433" s="30" t="s">
        <v>2013</v>
      </c>
      <c r="I433" s="30" t="s">
        <v>123</v>
      </c>
    </row>
    <row r="434" spans="1:9" x14ac:dyDescent="0.25">
      <c r="A434" s="29">
        <v>67</v>
      </c>
      <c r="B434" s="25">
        <v>45163</v>
      </c>
      <c r="C434" s="30" t="s">
        <v>2046</v>
      </c>
      <c r="D434" s="30" t="s">
        <v>2031</v>
      </c>
      <c r="E434" s="31">
        <v>-285</v>
      </c>
      <c r="F434" s="197" t="s">
        <v>2365</v>
      </c>
      <c r="G434" s="197">
        <v>4305.2147080000004</v>
      </c>
      <c r="H434" s="30" t="s">
        <v>2013</v>
      </c>
      <c r="I434" s="30" t="s">
        <v>123</v>
      </c>
    </row>
    <row r="435" spans="1:9" x14ac:dyDescent="0.25">
      <c r="A435" s="29">
        <v>67</v>
      </c>
      <c r="B435" s="25">
        <v>45163</v>
      </c>
      <c r="C435" s="30" t="s">
        <v>2046</v>
      </c>
      <c r="D435" s="30" t="s">
        <v>2024</v>
      </c>
      <c r="E435" s="31">
        <v>-150</v>
      </c>
      <c r="F435" s="197" t="s">
        <v>2365</v>
      </c>
      <c r="G435" s="197">
        <v>4305.2147080000004</v>
      </c>
      <c r="H435" s="30" t="s">
        <v>2013</v>
      </c>
      <c r="I435" s="30" t="s">
        <v>123</v>
      </c>
    </row>
    <row r="436" spans="1:9" x14ac:dyDescent="0.25">
      <c r="A436" s="29">
        <v>67</v>
      </c>
      <c r="B436" s="25">
        <v>45163</v>
      </c>
      <c r="C436" s="30" t="s">
        <v>2046</v>
      </c>
      <c r="D436" s="30" t="s">
        <v>2026</v>
      </c>
      <c r="E436" s="31">
        <v>3</v>
      </c>
      <c r="F436" s="197" t="s">
        <v>2366</v>
      </c>
      <c r="G436" s="197">
        <v>4305.3647080000001</v>
      </c>
      <c r="H436" s="30" t="s">
        <v>2013</v>
      </c>
      <c r="I436" s="30" t="s">
        <v>123</v>
      </c>
    </row>
    <row r="437" spans="1:9" x14ac:dyDescent="0.25">
      <c r="A437" s="29">
        <v>67</v>
      </c>
      <c r="B437" s="25">
        <v>45163</v>
      </c>
      <c r="C437" s="30" t="s">
        <v>2046</v>
      </c>
      <c r="D437" s="30" t="s">
        <v>2045</v>
      </c>
      <c r="E437" s="31">
        <v>15</v>
      </c>
      <c r="F437" s="197" t="s">
        <v>2366</v>
      </c>
      <c r="G437" s="197">
        <v>4305.3647080000001</v>
      </c>
      <c r="H437" s="30" t="s">
        <v>2013</v>
      </c>
      <c r="I437" s="30" t="s">
        <v>123</v>
      </c>
    </row>
    <row r="438" spans="1:9" x14ac:dyDescent="0.25">
      <c r="A438" s="29">
        <v>67</v>
      </c>
      <c r="B438" s="25">
        <v>45163</v>
      </c>
      <c r="C438" s="30" t="s">
        <v>2046</v>
      </c>
      <c r="D438" s="30" t="s">
        <v>2023</v>
      </c>
      <c r="E438" s="31">
        <v>110</v>
      </c>
      <c r="F438" s="197" t="s">
        <v>2366</v>
      </c>
      <c r="G438" s="197">
        <v>4305.3647080000001</v>
      </c>
      <c r="H438" s="30" t="s">
        <v>2013</v>
      </c>
      <c r="I438" s="30" t="s">
        <v>123</v>
      </c>
    </row>
    <row r="439" spans="1:9" x14ac:dyDescent="0.25">
      <c r="A439" s="29">
        <v>67</v>
      </c>
      <c r="B439" s="25">
        <v>45163</v>
      </c>
      <c r="C439" s="30" t="s">
        <v>2046</v>
      </c>
      <c r="D439" s="30" t="s">
        <v>2029</v>
      </c>
      <c r="E439" s="31">
        <v>180</v>
      </c>
      <c r="F439" s="197" t="s">
        <v>2366</v>
      </c>
      <c r="G439" s="197">
        <v>4305.3647080000001</v>
      </c>
      <c r="H439" s="30" t="s">
        <v>2013</v>
      </c>
      <c r="I439" s="30" t="s">
        <v>123</v>
      </c>
    </row>
    <row r="440" spans="1:9" x14ac:dyDescent="0.25">
      <c r="A440" s="29">
        <v>67</v>
      </c>
      <c r="B440" s="25">
        <v>45163</v>
      </c>
      <c r="C440" s="30" t="s">
        <v>2046</v>
      </c>
      <c r="D440" s="30" t="s">
        <v>2027</v>
      </c>
      <c r="E440" s="31">
        <v>412</v>
      </c>
      <c r="F440" s="197" t="s">
        <v>2366</v>
      </c>
      <c r="G440" s="197">
        <v>4305.3647080000001</v>
      </c>
      <c r="H440" s="30" t="s">
        <v>2013</v>
      </c>
      <c r="I440" s="30" t="s">
        <v>123</v>
      </c>
    </row>
    <row r="441" spans="1:9" x14ac:dyDescent="0.25">
      <c r="A441" s="29">
        <v>67</v>
      </c>
      <c r="B441" s="25">
        <v>45163</v>
      </c>
      <c r="C441" s="30" t="s">
        <v>2025</v>
      </c>
      <c r="D441" s="30" t="s">
        <v>2054</v>
      </c>
      <c r="E441" s="31">
        <v>-58</v>
      </c>
      <c r="F441" s="197" t="s">
        <v>2367</v>
      </c>
      <c r="G441" s="197">
        <v>4514.2184509999997</v>
      </c>
      <c r="H441" s="30" t="s">
        <v>2013</v>
      </c>
      <c r="I441" s="30" t="s">
        <v>123</v>
      </c>
    </row>
    <row r="442" spans="1:9" x14ac:dyDescent="0.25">
      <c r="A442" s="29">
        <v>67</v>
      </c>
      <c r="B442" s="25">
        <v>45163</v>
      </c>
      <c r="C442" s="30" t="s">
        <v>2025</v>
      </c>
      <c r="D442" s="30" t="s">
        <v>2031</v>
      </c>
      <c r="E442" s="31">
        <v>-45</v>
      </c>
      <c r="F442" s="197" t="s">
        <v>2367</v>
      </c>
      <c r="G442" s="197">
        <v>4514.2184509999997</v>
      </c>
      <c r="H442" s="30" t="s">
        <v>2013</v>
      </c>
      <c r="I442" s="30" t="s">
        <v>123</v>
      </c>
    </row>
    <row r="443" spans="1:9" x14ac:dyDescent="0.25">
      <c r="A443" s="29">
        <v>67</v>
      </c>
      <c r="B443" s="25">
        <v>45163</v>
      </c>
      <c r="C443" s="30" t="s">
        <v>2025</v>
      </c>
      <c r="D443" s="30" t="s">
        <v>2024</v>
      </c>
      <c r="E443" s="31">
        <v>-27</v>
      </c>
      <c r="F443" s="197" t="s">
        <v>2367</v>
      </c>
      <c r="G443" s="197">
        <v>4514.2184509999997</v>
      </c>
      <c r="H443" s="30" t="s">
        <v>2013</v>
      </c>
      <c r="I443" s="30" t="s">
        <v>123</v>
      </c>
    </row>
    <row r="444" spans="1:9" x14ac:dyDescent="0.25">
      <c r="A444" s="29">
        <v>67</v>
      </c>
      <c r="B444" s="25">
        <v>45163</v>
      </c>
      <c r="C444" s="30" t="s">
        <v>2025</v>
      </c>
      <c r="D444" s="30" t="s">
        <v>2045</v>
      </c>
      <c r="E444" s="31">
        <v>2</v>
      </c>
      <c r="F444" s="197" t="s">
        <v>2368</v>
      </c>
      <c r="G444" s="197">
        <v>4514.2184509999997</v>
      </c>
      <c r="H444" s="30" t="s">
        <v>2013</v>
      </c>
      <c r="I444" s="30" t="s">
        <v>123</v>
      </c>
    </row>
    <row r="445" spans="1:9" x14ac:dyDescent="0.25">
      <c r="A445" s="29">
        <v>67</v>
      </c>
      <c r="B445" s="25">
        <v>45163</v>
      </c>
      <c r="C445" s="30" t="s">
        <v>2025</v>
      </c>
      <c r="D445" s="30" t="s">
        <v>2023</v>
      </c>
      <c r="E445" s="31">
        <v>12</v>
      </c>
      <c r="F445" s="197" t="s">
        <v>2368</v>
      </c>
      <c r="G445" s="197">
        <v>4514.2184509999997</v>
      </c>
      <c r="H445" s="30" t="s">
        <v>2013</v>
      </c>
      <c r="I445" s="30" t="s">
        <v>123</v>
      </c>
    </row>
    <row r="446" spans="1:9" x14ac:dyDescent="0.25">
      <c r="A446" s="29">
        <v>67</v>
      </c>
      <c r="B446" s="25">
        <v>45163</v>
      </c>
      <c r="C446" s="30" t="s">
        <v>2025</v>
      </c>
      <c r="D446" s="30" t="s">
        <v>2029</v>
      </c>
      <c r="E446" s="31">
        <v>37</v>
      </c>
      <c r="F446" s="197" t="s">
        <v>2368</v>
      </c>
      <c r="G446" s="197">
        <v>4514.2184509999997</v>
      </c>
      <c r="H446" s="30" t="s">
        <v>2013</v>
      </c>
      <c r="I446" s="30" t="s">
        <v>123</v>
      </c>
    </row>
    <row r="447" spans="1:9" x14ac:dyDescent="0.25">
      <c r="A447" s="29">
        <v>67</v>
      </c>
      <c r="B447" s="25">
        <v>45163</v>
      </c>
      <c r="C447" s="30" t="s">
        <v>2025</v>
      </c>
      <c r="D447" s="30" t="s">
        <v>2027</v>
      </c>
      <c r="E447" s="31">
        <v>79</v>
      </c>
      <c r="F447" s="197" t="s">
        <v>2368</v>
      </c>
      <c r="G447" s="197">
        <v>4514.2184509999997</v>
      </c>
      <c r="H447" s="30" t="s">
        <v>2013</v>
      </c>
      <c r="I447" s="30" t="s">
        <v>123</v>
      </c>
    </row>
    <row r="448" spans="1:9" x14ac:dyDescent="0.25">
      <c r="A448" s="29">
        <v>67</v>
      </c>
      <c r="B448" s="25">
        <v>45163</v>
      </c>
      <c r="C448" s="30" t="s">
        <v>2050</v>
      </c>
      <c r="D448" s="30" t="s">
        <v>2048</v>
      </c>
      <c r="E448" s="31">
        <v>-5</v>
      </c>
      <c r="F448" s="197" t="s">
        <v>2369</v>
      </c>
      <c r="G448" s="197">
        <v>13639.082831</v>
      </c>
      <c r="H448" s="30" t="s">
        <v>2013</v>
      </c>
      <c r="I448" s="30" t="s">
        <v>123</v>
      </c>
    </row>
    <row r="449" spans="1:9" x14ac:dyDescent="0.25">
      <c r="A449" s="29">
        <v>67</v>
      </c>
      <c r="B449" s="25">
        <v>45163</v>
      </c>
      <c r="C449" s="30" t="s">
        <v>2050</v>
      </c>
      <c r="D449" s="30" t="s">
        <v>2027</v>
      </c>
      <c r="E449" s="31">
        <v>5</v>
      </c>
      <c r="F449" s="197" t="s">
        <v>2370</v>
      </c>
      <c r="G449" s="197">
        <v>13639.082831</v>
      </c>
      <c r="H449" s="30" t="s">
        <v>2013</v>
      </c>
      <c r="I449" s="30" t="s">
        <v>123</v>
      </c>
    </row>
    <row r="450" spans="1:9" x14ac:dyDescent="0.25">
      <c r="A450" s="24">
        <v>68</v>
      </c>
      <c r="B450" s="26">
        <v>45177</v>
      </c>
      <c r="C450" s="21" t="s">
        <v>2050</v>
      </c>
      <c r="D450" s="21" t="s">
        <v>2048</v>
      </c>
      <c r="E450" s="22">
        <v>-15</v>
      </c>
      <c r="F450" s="196" t="s">
        <v>2371</v>
      </c>
      <c r="G450" s="196">
        <v>13713.004218</v>
      </c>
      <c r="H450" s="21" t="s">
        <v>2016</v>
      </c>
      <c r="I450" s="21" t="s">
        <v>123</v>
      </c>
    </row>
    <row r="451" spans="1:9" x14ac:dyDescent="0.25">
      <c r="A451" s="24">
        <v>68</v>
      </c>
      <c r="B451" s="26">
        <v>45177</v>
      </c>
      <c r="C451" s="21" t="s">
        <v>2050</v>
      </c>
      <c r="D451" s="21" t="s">
        <v>2027</v>
      </c>
      <c r="E451" s="22">
        <v>15</v>
      </c>
      <c r="F451" s="196" t="s">
        <v>2372</v>
      </c>
      <c r="G451" s="196">
        <v>13713.004218</v>
      </c>
      <c r="H451" s="21" t="s">
        <v>2016</v>
      </c>
      <c r="I451" s="21" t="s">
        <v>123</v>
      </c>
    </row>
    <row r="452" spans="1:9" x14ac:dyDescent="0.25">
      <c r="A452" s="29">
        <v>69</v>
      </c>
      <c r="B452" s="25">
        <v>45184</v>
      </c>
      <c r="C452" s="30" t="s">
        <v>2050</v>
      </c>
      <c r="D452" s="30" t="s">
        <v>2048</v>
      </c>
      <c r="E452" s="31">
        <v>-15</v>
      </c>
      <c r="F452" s="197" t="s">
        <v>2373</v>
      </c>
      <c r="G452" s="197">
        <v>13742.984597000001</v>
      </c>
      <c r="H452" s="30" t="s">
        <v>2013</v>
      </c>
      <c r="I452" s="30" t="s">
        <v>123</v>
      </c>
    </row>
    <row r="453" spans="1:9" x14ac:dyDescent="0.25">
      <c r="A453" s="29">
        <v>69</v>
      </c>
      <c r="B453" s="25">
        <v>45184</v>
      </c>
      <c r="C453" s="30" t="s">
        <v>2050</v>
      </c>
      <c r="D453" s="30" t="s">
        <v>2027</v>
      </c>
      <c r="E453" s="31">
        <v>15</v>
      </c>
      <c r="F453" s="197" t="s">
        <v>2374</v>
      </c>
      <c r="G453" s="197">
        <v>13743.084596999999</v>
      </c>
      <c r="H453" s="30" t="s">
        <v>2013</v>
      </c>
      <c r="I453" s="30" t="s">
        <v>123</v>
      </c>
    </row>
    <row r="454" spans="1:9" x14ac:dyDescent="0.25">
      <c r="A454" s="24">
        <v>70</v>
      </c>
      <c r="B454" s="26">
        <v>45190</v>
      </c>
      <c r="C454" s="21" t="s">
        <v>2046</v>
      </c>
      <c r="D454" s="21" t="s">
        <v>2054</v>
      </c>
      <c r="E454" s="22">
        <v>-549</v>
      </c>
      <c r="F454" s="196" t="s">
        <v>2375</v>
      </c>
      <c r="G454" s="196">
        <v>4266.4783600000001</v>
      </c>
      <c r="H454" s="21" t="s">
        <v>2016</v>
      </c>
      <c r="I454" s="21" t="s">
        <v>123</v>
      </c>
    </row>
    <row r="455" spans="1:9" x14ac:dyDescent="0.25">
      <c r="A455" s="24">
        <v>70</v>
      </c>
      <c r="B455" s="26">
        <v>45190</v>
      </c>
      <c r="C455" s="21" t="s">
        <v>2046</v>
      </c>
      <c r="D455" s="21" t="s">
        <v>2031</v>
      </c>
      <c r="E455" s="22">
        <v>-339</v>
      </c>
      <c r="F455" s="196" t="s">
        <v>2375</v>
      </c>
      <c r="G455" s="196">
        <v>4266.4783600000001</v>
      </c>
      <c r="H455" s="21" t="s">
        <v>2016</v>
      </c>
      <c r="I455" s="21" t="s">
        <v>123</v>
      </c>
    </row>
    <row r="456" spans="1:9" x14ac:dyDescent="0.25">
      <c r="A456" s="24">
        <v>70</v>
      </c>
      <c r="B456" s="26">
        <v>45190</v>
      </c>
      <c r="C456" s="21" t="s">
        <v>2046</v>
      </c>
      <c r="D456" s="21" t="s">
        <v>2045</v>
      </c>
      <c r="E456" s="22">
        <v>-179</v>
      </c>
      <c r="F456" s="196" t="s">
        <v>2375</v>
      </c>
      <c r="G456" s="196">
        <v>4266.4783600000001</v>
      </c>
      <c r="H456" s="21" t="s">
        <v>2016</v>
      </c>
      <c r="I456" s="21" t="s">
        <v>123</v>
      </c>
    </row>
    <row r="457" spans="1:9" x14ac:dyDescent="0.25">
      <c r="A457" s="24">
        <v>70</v>
      </c>
      <c r="B457" s="26">
        <v>45190</v>
      </c>
      <c r="C457" s="21" t="s">
        <v>2046</v>
      </c>
      <c r="D457" s="21" t="s">
        <v>2024</v>
      </c>
      <c r="E457" s="22">
        <v>-138</v>
      </c>
      <c r="F457" s="196" t="s">
        <v>2375</v>
      </c>
      <c r="G457" s="196">
        <v>4266.4783600000001</v>
      </c>
      <c r="H457" s="21" t="s">
        <v>2016</v>
      </c>
      <c r="I457" s="21" t="s">
        <v>123</v>
      </c>
    </row>
    <row r="458" spans="1:9" x14ac:dyDescent="0.25">
      <c r="A458" s="24">
        <v>70</v>
      </c>
      <c r="B458" s="26">
        <v>45190</v>
      </c>
      <c r="C458" s="21" t="s">
        <v>2046</v>
      </c>
      <c r="D458" s="21" t="s">
        <v>2023</v>
      </c>
      <c r="E458" s="22">
        <v>-118</v>
      </c>
      <c r="F458" s="196" t="s">
        <v>2375</v>
      </c>
      <c r="G458" s="196">
        <v>4266.4783600000001</v>
      </c>
      <c r="H458" s="21" t="s">
        <v>2016</v>
      </c>
      <c r="I458" s="21" t="s">
        <v>123</v>
      </c>
    </row>
    <row r="459" spans="1:9" x14ac:dyDescent="0.25">
      <c r="A459" s="24">
        <v>70</v>
      </c>
      <c r="B459" s="26">
        <v>45190</v>
      </c>
      <c r="C459" s="21" t="s">
        <v>2046</v>
      </c>
      <c r="D459" s="21" t="s">
        <v>2026</v>
      </c>
      <c r="E459" s="22">
        <v>-12</v>
      </c>
      <c r="F459" s="196" t="s">
        <v>2375</v>
      </c>
      <c r="G459" s="196">
        <v>4266.4783600000001</v>
      </c>
      <c r="H459" s="21" t="s">
        <v>2016</v>
      </c>
      <c r="I459" s="21" t="s">
        <v>123</v>
      </c>
    </row>
    <row r="460" spans="1:9" x14ac:dyDescent="0.25">
      <c r="A460" s="24">
        <v>70</v>
      </c>
      <c r="B460" s="26">
        <v>45190</v>
      </c>
      <c r="C460" s="21" t="s">
        <v>2046</v>
      </c>
      <c r="D460" s="21" t="s">
        <v>2029</v>
      </c>
      <c r="E460" s="22">
        <v>492</v>
      </c>
      <c r="F460" s="196" t="s">
        <v>2376</v>
      </c>
      <c r="G460" s="196">
        <v>4266.4783600000001</v>
      </c>
      <c r="H460" s="21" t="s">
        <v>2016</v>
      </c>
      <c r="I460" s="21" t="s">
        <v>123</v>
      </c>
    </row>
    <row r="461" spans="1:9" x14ac:dyDescent="0.25">
      <c r="A461" s="24">
        <v>70</v>
      </c>
      <c r="B461" s="26">
        <v>45190</v>
      </c>
      <c r="C461" s="21" t="s">
        <v>2046</v>
      </c>
      <c r="D461" s="21" t="s">
        <v>2027</v>
      </c>
      <c r="E461" s="22">
        <v>843</v>
      </c>
      <c r="F461" s="196" t="s">
        <v>2376</v>
      </c>
      <c r="G461" s="196">
        <v>4266.4783600000001</v>
      </c>
      <c r="H461" s="21" t="s">
        <v>2016</v>
      </c>
      <c r="I461" s="21" t="s">
        <v>123</v>
      </c>
    </row>
    <row r="462" spans="1:9" x14ac:dyDescent="0.25">
      <c r="A462" s="24">
        <v>70</v>
      </c>
      <c r="B462" s="26">
        <v>45190</v>
      </c>
      <c r="C462" s="21" t="s">
        <v>2025</v>
      </c>
      <c r="D462" s="21" t="s">
        <v>2043</v>
      </c>
      <c r="E462" s="22">
        <v>147</v>
      </c>
      <c r="F462" s="196" t="s">
        <v>2377</v>
      </c>
      <c r="G462" s="196">
        <v>4402.5477659999997</v>
      </c>
      <c r="H462" s="21" t="s">
        <v>2016</v>
      </c>
      <c r="I462" s="21" t="s">
        <v>123</v>
      </c>
    </row>
    <row r="463" spans="1:9" x14ac:dyDescent="0.25">
      <c r="A463" s="24">
        <v>70</v>
      </c>
      <c r="B463" s="26">
        <v>45190</v>
      </c>
      <c r="C463" s="21" t="s">
        <v>2025</v>
      </c>
      <c r="D463" s="21" t="s">
        <v>2029</v>
      </c>
      <c r="E463" s="22">
        <v>78</v>
      </c>
      <c r="F463" s="196" t="s">
        <v>2377</v>
      </c>
      <c r="G463" s="196">
        <v>4402.5477659999997</v>
      </c>
      <c r="H463" s="21" t="s">
        <v>2016</v>
      </c>
      <c r="I463" s="21" t="s">
        <v>123</v>
      </c>
    </row>
    <row r="464" spans="1:9" x14ac:dyDescent="0.25">
      <c r="A464" s="24">
        <v>70</v>
      </c>
      <c r="B464" s="26">
        <v>45190</v>
      </c>
      <c r="C464" s="21" t="s">
        <v>2025</v>
      </c>
      <c r="D464" s="21" t="s">
        <v>2026</v>
      </c>
      <c r="E464" s="22">
        <v>-2</v>
      </c>
      <c r="F464" s="196" t="s">
        <v>2378</v>
      </c>
      <c r="G464" s="196">
        <v>4402.397766</v>
      </c>
      <c r="H464" s="21" t="s">
        <v>2016</v>
      </c>
      <c r="I464" s="21" t="s">
        <v>123</v>
      </c>
    </row>
    <row r="465" spans="1:9" x14ac:dyDescent="0.25">
      <c r="A465" s="24">
        <v>70</v>
      </c>
      <c r="B465" s="26">
        <v>45190</v>
      </c>
      <c r="C465" s="21" t="s">
        <v>2025</v>
      </c>
      <c r="D465" s="21" t="s">
        <v>2023</v>
      </c>
      <c r="E465" s="22">
        <v>-18</v>
      </c>
      <c r="F465" s="196" t="s">
        <v>2378</v>
      </c>
      <c r="G465" s="196">
        <v>4402.397766</v>
      </c>
      <c r="H465" s="21" t="s">
        <v>2016</v>
      </c>
      <c r="I465" s="21" t="s">
        <v>123</v>
      </c>
    </row>
    <row r="466" spans="1:9" x14ac:dyDescent="0.25">
      <c r="A466" s="24">
        <v>70</v>
      </c>
      <c r="B466" s="26">
        <v>45190</v>
      </c>
      <c r="C466" s="21" t="s">
        <v>2025</v>
      </c>
      <c r="D466" s="21" t="s">
        <v>2024</v>
      </c>
      <c r="E466" s="22">
        <v>-23</v>
      </c>
      <c r="F466" s="196" t="s">
        <v>2378</v>
      </c>
      <c r="G466" s="196">
        <v>4402.397766</v>
      </c>
      <c r="H466" s="21" t="s">
        <v>2016</v>
      </c>
      <c r="I466" s="21" t="s">
        <v>123</v>
      </c>
    </row>
    <row r="467" spans="1:9" x14ac:dyDescent="0.25">
      <c r="A467" s="24">
        <v>70</v>
      </c>
      <c r="B467" s="26">
        <v>45190</v>
      </c>
      <c r="C467" s="21" t="s">
        <v>2025</v>
      </c>
      <c r="D467" s="21" t="s">
        <v>2045</v>
      </c>
      <c r="E467" s="22">
        <v>-32</v>
      </c>
      <c r="F467" s="196" t="s">
        <v>2378</v>
      </c>
      <c r="G467" s="196">
        <v>4402.397766</v>
      </c>
      <c r="H467" s="21" t="s">
        <v>2016</v>
      </c>
      <c r="I467" s="21" t="s">
        <v>123</v>
      </c>
    </row>
    <row r="468" spans="1:9" x14ac:dyDescent="0.25">
      <c r="A468" s="24">
        <v>70</v>
      </c>
      <c r="B468" s="26">
        <v>45190</v>
      </c>
      <c r="C468" s="21" t="s">
        <v>2025</v>
      </c>
      <c r="D468" s="21" t="s">
        <v>2031</v>
      </c>
      <c r="E468" s="22">
        <v>-60</v>
      </c>
      <c r="F468" s="196" t="s">
        <v>2378</v>
      </c>
      <c r="G468" s="196">
        <v>4402.397766</v>
      </c>
      <c r="H468" s="21" t="s">
        <v>2016</v>
      </c>
      <c r="I468" s="21" t="s">
        <v>123</v>
      </c>
    </row>
    <row r="469" spans="1:9" x14ac:dyDescent="0.25">
      <c r="A469" s="24">
        <v>70</v>
      </c>
      <c r="B469" s="26">
        <v>45190</v>
      </c>
      <c r="C469" s="21" t="s">
        <v>2025</v>
      </c>
      <c r="D469" s="21" t="s">
        <v>2022</v>
      </c>
      <c r="E469" s="22">
        <v>-90</v>
      </c>
      <c r="F469" s="196" t="s">
        <v>2378</v>
      </c>
      <c r="G469" s="196">
        <v>4402.397766</v>
      </c>
      <c r="H469" s="21" t="s">
        <v>2016</v>
      </c>
      <c r="I469" s="21" t="s">
        <v>123</v>
      </c>
    </row>
    <row r="470" spans="1:9" x14ac:dyDescent="0.25">
      <c r="A470" s="29">
        <v>71</v>
      </c>
      <c r="B470" s="25">
        <v>45195</v>
      </c>
      <c r="C470" s="30" t="s">
        <v>413</v>
      </c>
      <c r="D470" s="30" t="s">
        <v>115</v>
      </c>
      <c r="E470" s="31">
        <v>30</v>
      </c>
      <c r="F470" s="197" t="s">
        <v>2241</v>
      </c>
      <c r="G470" s="197">
        <v>12635.159679</v>
      </c>
      <c r="H470" s="30" t="s">
        <v>147</v>
      </c>
      <c r="I470" s="30" t="s">
        <v>123</v>
      </c>
    </row>
    <row r="471" spans="1:9" x14ac:dyDescent="0.25">
      <c r="A471" s="29">
        <v>71</v>
      </c>
      <c r="B471" s="25">
        <v>45195</v>
      </c>
      <c r="C471" s="30" t="s">
        <v>413</v>
      </c>
      <c r="D471" s="30" t="s">
        <v>118</v>
      </c>
      <c r="E471" s="31">
        <v>-60</v>
      </c>
      <c r="F471" s="197" t="s">
        <v>2242</v>
      </c>
      <c r="G471" s="197">
        <v>12635.059679</v>
      </c>
      <c r="H471" s="30" t="s">
        <v>147</v>
      </c>
      <c r="I471" s="30" t="s">
        <v>123</v>
      </c>
    </row>
    <row r="472" spans="1:9" x14ac:dyDescent="0.25">
      <c r="A472" s="29">
        <v>71</v>
      </c>
      <c r="B472" s="25">
        <v>45195</v>
      </c>
      <c r="C472" s="30" t="s">
        <v>413</v>
      </c>
      <c r="D472" s="30" t="s">
        <v>119</v>
      </c>
      <c r="E472" s="31">
        <v>15</v>
      </c>
      <c r="F472" s="197" t="s">
        <v>2241</v>
      </c>
      <c r="G472" s="197">
        <v>12635.159679</v>
      </c>
      <c r="H472" s="30" t="s">
        <v>147</v>
      </c>
      <c r="I472" s="30" t="s">
        <v>123</v>
      </c>
    </row>
    <row r="473" spans="1:9" x14ac:dyDescent="0.25">
      <c r="A473" s="29">
        <v>71</v>
      </c>
      <c r="B473" s="25">
        <v>45195</v>
      </c>
      <c r="C473" s="30" t="s">
        <v>413</v>
      </c>
      <c r="D473" s="30" t="s">
        <v>300</v>
      </c>
      <c r="E473" s="31">
        <v>15</v>
      </c>
      <c r="F473" s="197" t="s">
        <v>2241</v>
      </c>
      <c r="G473" s="197">
        <v>12635.159679</v>
      </c>
      <c r="H473" s="30" t="s">
        <v>147</v>
      </c>
      <c r="I473" s="30" t="s">
        <v>123</v>
      </c>
    </row>
    <row r="474" spans="1:9" x14ac:dyDescent="0.25">
      <c r="A474" s="24">
        <v>72</v>
      </c>
      <c r="B474" s="26">
        <v>45196</v>
      </c>
      <c r="C474" s="21" t="s">
        <v>2058</v>
      </c>
      <c r="D474" s="21" t="s">
        <v>2048</v>
      </c>
      <c r="E474" s="22">
        <v>-3</v>
      </c>
      <c r="F474" s="196" t="s">
        <v>2379</v>
      </c>
      <c r="G474" s="196">
        <v>13801.936583999999</v>
      </c>
      <c r="H474" s="21" t="s">
        <v>2013</v>
      </c>
      <c r="I474" s="21" t="s">
        <v>123</v>
      </c>
    </row>
    <row r="475" spans="1:9" x14ac:dyDescent="0.25">
      <c r="A475" s="24">
        <v>72</v>
      </c>
      <c r="B475" s="26">
        <v>45196</v>
      </c>
      <c r="C475" s="21" t="s">
        <v>2058</v>
      </c>
      <c r="D475" s="21" t="s">
        <v>2059</v>
      </c>
      <c r="E475" s="22">
        <v>-17</v>
      </c>
      <c r="F475" s="196" t="s">
        <v>2379</v>
      </c>
      <c r="G475" s="196">
        <v>13801.936583999999</v>
      </c>
      <c r="H475" s="21" t="s">
        <v>2013</v>
      </c>
      <c r="I475" s="21" t="s">
        <v>123</v>
      </c>
    </row>
    <row r="476" spans="1:9" x14ac:dyDescent="0.25">
      <c r="A476" s="24">
        <v>72</v>
      </c>
      <c r="B476" s="26">
        <v>45196</v>
      </c>
      <c r="C476" s="21" t="s">
        <v>2058</v>
      </c>
      <c r="D476" s="21" t="s">
        <v>2060</v>
      </c>
      <c r="E476" s="22">
        <v>-20</v>
      </c>
      <c r="F476" s="196" t="s">
        <v>2379</v>
      </c>
      <c r="G476" s="196">
        <v>13801.936583999999</v>
      </c>
      <c r="H476" s="21" t="s">
        <v>2013</v>
      </c>
      <c r="I476" s="21" t="s">
        <v>123</v>
      </c>
    </row>
    <row r="477" spans="1:9" x14ac:dyDescent="0.25">
      <c r="A477" s="24">
        <v>72</v>
      </c>
      <c r="B477" s="26">
        <v>45196</v>
      </c>
      <c r="C477" s="21" t="s">
        <v>2058</v>
      </c>
      <c r="D477" s="21" t="s">
        <v>2061</v>
      </c>
      <c r="E477" s="22">
        <v>40</v>
      </c>
      <c r="F477" s="196" t="s">
        <v>2380</v>
      </c>
      <c r="G477" s="196">
        <v>13802.036583999999</v>
      </c>
      <c r="H477" s="21" t="s">
        <v>2013</v>
      </c>
      <c r="I477" s="21" t="s">
        <v>123</v>
      </c>
    </row>
    <row r="478" spans="1:9" x14ac:dyDescent="0.25">
      <c r="A478" s="29">
        <v>73</v>
      </c>
      <c r="B478" s="25">
        <v>45201</v>
      </c>
      <c r="C478" s="30" t="s">
        <v>2046</v>
      </c>
      <c r="D478" s="30" t="s">
        <v>2043</v>
      </c>
      <c r="E478" s="31">
        <v>-50</v>
      </c>
      <c r="F478" s="197" t="s">
        <v>2381</v>
      </c>
      <c r="G478" s="197">
        <v>4233.1613230000003</v>
      </c>
      <c r="H478" s="30" t="s">
        <v>2013</v>
      </c>
      <c r="I478" s="30" t="s">
        <v>123</v>
      </c>
    </row>
    <row r="479" spans="1:9" x14ac:dyDescent="0.25">
      <c r="A479" s="29">
        <v>73</v>
      </c>
      <c r="B479" s="25">
        <v>45201</v>
      </c>
      <c r="C479" s="30" t="s">
        <v>2046</v>
      </c>
      <c r="D479" s="30" t="s">
        <v>2023</v>
      </c>
      <c r="E479" s="31">
        <v>-15</v>
      </c>
      <c r="F479" s="197" t="s">
        <v>2381</v>
      </c>
      <c r="G479" s="197">
        <v>4233.1613230000003</v>
      </c>
      <c r="H479" s="30" t="s">
        <v>2013</v>
      </c>
      <c r="I479" s="30" t="s">
        <v>123</v>
      </c>
    </row>
    <row r="480" spans="1:9" x14ac:dyDescent="0.25">
      <c r="A480" s="29">
        <v>73</v>
      </c>
      <c r="B480" s="25">
        <v>45201</v>
      </c>
      <c r="C480" s="30" t="s">
        <v>2046</v>
      </c>
      <c r="D480" s="30" t="s">
        <v>2024</v>
      </c>
      <c r="E480" s="31">
        <v>-10</v>
      </c>
      <c r="F480" s="197" t="s">
        <v>2381</v>
      </c>
      <c r="G480" s="197">
        <v>4233.1613230000003</v>
      </c>
      <c r="H480" s="30" t="s">
        <v>2013</v>
      </c>
      <c r="I480" s="30" t="s">
        <v>123</v>
      </c>
    </row>
    <row r="481" spans="1:9" x14ac:dyDescent="0.25">
      <c r="A481" s="29">
        <v>73</v>
      </c>
      <c r="B481" s="25">
        <v>45201</v>
      </c>
      <c r="C481" s="30" t="s">
        <v>2046</v>
      </c>
      <c r="D481" s="30" t="s">
        <v>2066</v>
      </c>
      <c r="E481" s="31">
        <v>75</v>
      </c>
      <c r="F481" s="197" t="s">
        <v>2382</v>
      </c>
      <c r="G481" s="197">
        <v>4233.0113229999997</v>
      </c>
      <c r="H481" s="30" t="s">
        <v>2013</v>
      </c>
      <c r="I481" s="30" t="s">
        <v>123</v>
      </c>
    </row>
    <row r="482" spans="1:9" x14ac:dyDescent="0.25">
      <c r="A482" s="24">
        <v>74</v>
      </c>
      <c r="B482" s="26">
        <v>45204</v>
      </c>
      <c r="C482" s="21" t="s">
        <v>2046</v>
      </c>
      <c r="D482" s="21" t="s">
        <v>2153</v>
      </c>
      <c r="E482" s="22">
        <v>2</v>
      </c>
      <c r="F482" s="196" t="s">
        <v>2383</v>
      </c>
      <c r="G482" s="196">
        <v>4217.4342690000003</v>
      </c>
      <c r="H482" s="21" t="s">
        <v>2016</v>
      </c>
      <c r="I482" s="21" t="s">
        <v>123</v>
      </c>
    </row>
    <row r="483" spans="1:9" x14ac:dyDescent="0.25">
      <c r="A483" s="24">
        <v>74</v>
      </c>
      <c r="B483" s="26">
        <v>45204</v>
      </c>
      <c r="C483" s="21" t="s">
        <v>2046</v>
      </c>
      <c r="D483" s="21" t="s">
        <v>2043</v>
      </c>
      <c r="E483" s="22">
        <v>-2</v>
      </c>
      <c r="F483" s="196" t="s">
        <v>2384</v>
      </c>
      <c r="G483" s="196">
        <v>4217.5842689999999</v>
      </c>
      <c r="H483" s="21" t="s">
        <v>2016</v>
      </c>
      <c r="I483" s="21" t="s">
        <v>123</v>
      </c>
    </row>
    <row r="484" spans="1:9" x14ac:dyDescent="0.25">
      <c r="A484" s="29">
        <v>75</v>
      </c>
      <c r="B484" s="25">
        <v>45209</v>
      </c>
      <c r="C484" s="30" t="s">
        <v>2050</v>
      </c>
      <c r="D484" s="30" t="s">
        <v>2043</v>
      </c>
      <c r="E484" s="31">
        <v>-2250</v>
      </c>
      <c r="F484" s="197" t="s">
        <v>2385</v>
      </c>
      <c r="G484" s="197">
        <v>13858.628586000001</v>
      </c>
      <c r="H484" s="30" t="s">
        <v>2016</v>
      </c>
      <c r="I484" s="30" t="s">
        <v>123</v>
      </c>
    </row>
    <row r="485" spans="1:9" x14ac:dyDescent="0.25">
      <c r="A485" s="29">
        <v>75</v>
      </c>
      <c r="B485" s="25">
        <v>45209</v>
      </c>
      <c r="C485" s="30" t="s">
        <v>2050</v>
      </c>
      <c r="D485" s="30" t="s">
        <v>2023</v>
      </c>
      <c r="E485" s="31">
        <v>-1000</v>
      </c>
      <c r="F485" s="197" t="s">
        <v>2385</v>
      </c>
      <c r="G485" s="197">
        <v>13858.628586000001</v>
      </c>
      <c r="H485" s="30" t="s">
        <v>2016</v>
      </c>
      <c r="I485" s="30" t="s">
        <v>123</v>
      </c>
    </row>
    <row r="486" spans="1:9" x14ac:dyDescent="0.25">
      <c r="A486" s="29">
        <v>75</v>
      </c>
      <c r="B486" s="25">
        <v>45209</v>
      </c>
      <c r="C486" s="30" t="s">
        <v>2050</v>
      </c>
      <c r="D486" s="30" t="s">
        <v>2024</v>
      </c>
      <c r="E486" s="31">
        <v>-1000</v>
      </c>
      <c r="F486" s="197" t="s">
        <v>2385</v>
      </c>
      <c r="G486" s="197">
        <v>13858.628586000001</v>
      </c>
      <c r="H486" s="30" t="s">
        <v>2016</v>
      </c>
      <c r="I486" s="30" t="s">
        <v>123</v>
      </c>
    </row>
    <row r="487" spans="1:9" x14ac:dyDescent="0.25">
      <c r="A487" s="29">
        <v>75</v>
      </c>
      <c r="B487" s="25">
        <v>45209</v>
      </c>
      <c r="C487" s="30" t="s">
        <v>2050</v>
      </c>
      <c r="D487" s="30" t="s">
        <v>2173</v>
      </c>
      <c r="E487" s="31">
        <v>250</v>
      </c>
      <c r="F487" s="197" t="s">
        <v>2386</v>
      </c>
      <c r="G487" s="197">
        <v>13858.728585999999</v>
      </c>
      <c r="H487" s="30" t="s">
        <v>2016</v>
      </c>
      <c r="I487" s="30" t="s">
        <v>123</v>
      </c>
    </row>
    <row r="488" spans="1:9" x14ac:dyDescent="0.25">
      <c r="A488" s="29">
        <v>75</v>
      </c>
      <c r="B488" s="25">
        <v>45209</v>
      </c>
      <c r="C488" s="30" t="s">
        <v>2050</v>
      </c>
      <c r="D488" s="30" t="s">
        <v>2029</v>
      </c>
      <c r="E488" s="31">
        <v>4</v>
      </c>
      <c r="F488" s="197" t="s">
        <v>2386</v>
      </c>
      <c r="G488" s="197">
        <v>13858.728585999999</v>
      </c>
      <c r="H488" s="30" t="s">
        <v>2016</v>
      </c>
      <c r="I488" s="30" t="s">
        <v>123</v>
      </c>
    </row>
    <row r="489" spans="1:9" x14ac:dyDescent="0.25">
      <c r="A489" s="29">
        <v>75</v>
      </c>
      <c r="B489" s="25">
        <v>45209</v>
      </c>
      <c r="C489" s="30" t="s">
        <v>2050</v>
      </c>
      <c r="D489" s="30" t="s">
        <v>2174</v>
      </c>
      <c r="E489" s="31">
        <v>5</v>
      </c>
      <c r="F489" s="197" t="s">
        <v>2387</v>
      </c>
      <c r="G489" s="197">
        <v>13859.171533999999</v>
      </c>
      <c r="H489" s="30" t="s">
        <v>2016</v>
      </c>
      <c r="I489" s="30" t="s">
        <v>123</v>
      </c>
    </row>
    <row r="490" spans="1:9" x14ac:dyDescent="0.25">
      <c r="A490" s="29">
        <v>75</v>
      </c>
      <c r="B490" s="25">
        <v>45209</v>
      </c>
      <c r="C490" s="30" t="s">
        <v>2050</v>
      </c>
      <c r="D490" s="30" t="s">
        <v>2027</v>
      </c>
      <c r="E490" s="31">
        <v>-5</v>
      </c>
      <c r="F490" s="197" t="s">
        <v>2388</v>
      </c>
      <c r="G490" s="197">
        <v>13859.071534000001</v>
      </c>
      <c r="H490" s="30" t="s">
        <v>2016</v>
      </c>
      <c r="I490" s="30" t="s">
        <v>123</v>
      </c>
    </row>
    <row r="491" spans="1:9" x14ac:dyDescent="0.25">
      <c r="A491" s="24">
        <v>76</v>
      </c>
      <c r="B491" s="26">
        <v>45210</v>
      </c>
      <c r="C491" s="21" t="s">
        <v>2050</v>
      </c>
      <c r="D491" s="21" t="s">
        <v>2036</v>
      </c>
      <c r="E491" s="22">
        <v>5000</v>
      </c>
      <c r="F491" s="196" t="s">
        <v>2389</v>
      </c>
      <c r="G491" s="196">
        <v>13863.999401999999</v>
      </c>
      <c r="H491" s="21" t="s">
        <v>2013</v>
      </c>
      <c r="I491" s="21" t="s">
        <v>123</v>
      </c>
    </row>
    <row r="492" spans="1:9" x14ac:dyDescent="0.25">
      <c r="A492" s="24">
        <v>76</v>
      </c>
      <c r="B492" s="26">
        <v>45210</v>
      </c>
      <c r="C492" s="21" t="s">
        <v>2050</v>
      </c>
      <c r="D492" s="21" t="s">
        <v>2045</v>
      </c>
      <c r="E492" s="22">
        <v>500</v>
      </c>
      <c r="F492" s="196" t="s">
        <v>2389</v>
      </c>
      <c r="G492" s="196">
        <v>13863.999401999999</v>
      </c>
      <c r="H492" s="21" t="s">
        <v>2013</v>
      </c>
      <c r="I492" s="21" t="s">
        <v>123</v>
      </c>
    </row>
    <row r="493" spans="1:9" x14ac:dyDescent="0.25">
      <c r="A493" s="24">
        <v>76</v>
      </c>
      <c r="B493" s="26">
        <v>45210</v>
      </c>
      <c r="C493" s="21" t="s">
        <v>2050</v>
      </c>
      <c r="D493" s="21" t="s">
        <v>2173</v>
      </c>
      <c r="E493" s="22">
        <v>200</v>
      </c>
      <c r="F493" s="196" t="s">
        <v>2389</v>
      </c>
      <c r="G493" s="196">
        <v>13863.999401999999</v>
      </c>
      <c r="H493" s="21" t="s">
        <v>2013</v>
      </c>
      <c r="I493" s="21" t="s">
        <v>123</v>
      </c>
    </row>
    <row r="494" spans="1:9" x14ac:dyDescent="0.25">
      <c r="A494" s="24">
        <v>76</v>
      </c>
      <c r="B494" s="26">
        <v>45210</v>
      </c>
      <c r="C494" s="21" t="s">
        <v>2050</v>
      </c>
      <c r="D494" s="21" t="s">
        <v>2026</v>
      </c>
      <c r="E494" s="22">
        <v>-20</v>
      </c>
      <c r="F494" s="196" t="s">
        <v>2390</v>
      </c>
      <c r="G494" s="196">
        <v>13863.899401999999</v>
      </c>
      <c r="H494" s="21" t="s">
        <v>2013</v>
      </c>
      <c r="I494" s="21" t="s">
        <v>123</v>
      </c>
    </row>
    <row r="495" spans="1:9" x14ac:dyDescent="0.25">
      <c r="A495" s="24">
        <v>76</v>
      </c>
      <c r="B495" s="26">
        <v>45210</v>
      </c>
      <c r="C495" s="21" t="s">
        <v>2050</v>
      </c>
      <c r="D495" s="21" t="s">
        <v>2024</v>
      </c>
      <c r="E495" s="22">
        <v>-90</v>
      </c>
      <c r="F495" s="196" t="s">
        <v>2390</v>
      </c>
      <c r="G495" s="196">
        <v>13863.899401999999</v>
      </c>
      <c r="H495" s="21" t="s">
        <v>2013</v>
      </c>
      <c r="I495" s="21" t="s">
        <v>123</v>
      </c>
    </row>
    <row r="496" spans="1:9" x14ac:dyDescent="0.25">
      <c r="A496" s="24">
        <v>76</v>
      </c>
      <c r="B496" s="26">
        <v>45210</v>
      </c>
      <c r="C496" s="21" t="s">
        <v>2050</v>
      </c>
      <c r="D496" s="21" t="s">
        <v>2027</v>
      </c>
      <c r="E496" s="22">
        <v>-1000</v>
      </c>
      <c r="F496" s="196" t="s">
        <v>2390</v>
      </c>
      <c r="G496" s="196">
        <v>13863.899401999999</v>
      </c>
      <c r="H496" s="21" t="s">
        <v>2013</v>
      </c>
      <c r="I496" s="21" t="s">
        <v>123</v>
      </c>
    </row>
    <row r="497" spans="1:27" x14ac:dyDescent="0.25">
      <c r="A497" s="24">
        <v>76</v>
      </c>
      <c r="B497" s="26">
        <v>45210</v>
      </c>
      <c r="C497" s="21" t="s">
        <v>2050</v>
      </c>
      <c r="D497" s="21" t="s">
        <v>2023</v>
      </c>
      <c r="E497" s="22">
        <v>-1090</v>
      </c>
      <c r="F497" s="196" t="s">
        <v>2390</v>
      </c>
      <c r="G497" s="196">
        <v>13863.899401999999</v>
      </c>
      <c r="H497" s="21" t="s">
        <v>2013</v>
      </c>
      <c r="I497" s="21" t="s">
        <v>123</v>
      </c>
    </row>
    <row r="498" spans="1:27" x14ac:dyDescent="0.25">
      <c r="A498" s="24">
        <v>76</v>
      </c>
      <c r="B498" s="26">
        <v>45210</v>
      </c>
      <c r="C498" s="21" t="s">
        <v>2050</v>
      </c>
      <c r="D498" s="21" t="s">
        <v>2031</v>
      </c>
      <c r="E498" s="22">
        <v>-1500</v>
      </c>
      <c r="F498" s="196" t="s">
        <v>2390</v>
      </c>
      <c r="G498" s="196">
        <v>13863.899401999999</v>
      </c>
      <c r="H498" s="21" t="s">
        <v>2013</v>
      </c>
      <c r="I498" s="21" t="s">
        <v>123</v>
      </c>
    </row>
    <row r="499" spans="1:27" x14ac:dyDescent="0.25">
      <c r="A499" s="24">
        <v>76</v>
      </c>
      <c r="B499" s="26">
        <v>45210</v>
      </c>
      <c r="C499" s="21" t="s">
        <v>2050</v>
      </c>
      <c r="D499" s="21" t="s">
        <v>2022</v>
      </c>
      <c r="E499" s="22">
        <v>-2000</v>
      </c>
      <c r="F499" s="196" t="s">
        <v>2390</v>
      </c>
      <c r="G499" s="196">
        <v>13863.899401999999</v>
      </c>
      <c r="H499" s="21" t="s">
        <v>2013</v>
      </c>
      <c r="I499" s="21" t="s">
        <v>123</v>
      </c>
    </row>
    <row r="500" spans="1:27" x14ac:dyDescent="0.25">
      <c r="A500" s="29">
        <v>77</v>
      </c>
      <c r="B500" s="25">
        <v>45212</v>
      </c>
      <c r="C500" s="30" t="s">
        <v>2050</v>
      </c>
      <c r="D500" s="30" t="s">
        <v>2043</v>
      </c>
      <c r="E500" s="31">
        <v>20</v>
      </c>
      <c r="F500" s="197" t="s">
        <v>2426</v>
      </c>
      <c r="G500" s="197">
        <v>13867.204827</v>
      </c>
      <c r="H500" s="30" t="s">
        <v>2013</v>
      </c>
      <c r="I500" s="30" t="s">
        <v>123</v>
      </c>
    </row>
    <row r="501" spans="1:27" x14ac:dyDescent="0.25">
      <c r="A501" s="29">
        <v>77</v>
      </c>
      <c r="B501" s="25">
        <v>45212</v>
      </c>
      <c r="C501" s="30" t="s">
        <v>2050</v>
      </c>
      <c r="D501" s="30" t="s">
        <v>2153</v>
      </c>
      <c r="E501" s="31" t="s">
        <v>2428</v>
      </c>
      <c r="F501" s="197" t="s">
        <v>2427</v>
      </c>
      <c r="G501" s="197">
        <v>13867.304827</v>
      </c>
      <c r="H501" s="30" t="s">
        <v>2013</v>
      </c>
      <c r="I501" s="30" t="s">
        <v>123</v>
      </c>
    </row>
    <row r="502" spans="1:27" x14ac:dyDescent="0.25">
      <c r="A502" s="24">
        <v>78</v>
      </c>
      <c r="B502" s="26">
        <v>45215</v>
      </c>
      <c r="C502" s="21" t="s">
        <v>2175</v>
      </c>
      <c r="D502" s="21" t="s">
        <v>2030</v>
      </c>
      <c r="E502" s="22">
        <v>-12</v>
      </c>
      <c r="F502" s="196" t="s">
        <v>2391</v>
      </c>
      <c r="G502" s="196">
        <v>13871.948756</v>
      </c>
      <c r="H502" s="21" t="s">
        <v>2016</v>
      </c>
      <c r="I502" s="21" t="s">
        <v>123</v>
      </c>
    </row>
    <row r="503" spans="1:27" x14ac:dyDescent="0.25">
      <c r="A503" s="24">
        <v>78</v>
      </c>
      <c r="B503" s="26">
        <v>45215</v>
      </c>
      <c r="C503" s="21" t="s">
        <v>2175</v>
      </c>
      <c r="D503" s="21" t="s">
        <v>2153</v>
      </c>
      <c r="E503" s="22">
        <v>12</v>
      </c>
      <c r="F503" s="196" t="s">
        <v>2392</v>
      </c>
      <c r="G503" s="196">
        <v>13872.048756</v>
      </c>
      <c r="H503" s="21" t="s">
        <v>2016</v>
      </c>
      <c r="I503" s="21" t="s">
        <v>123</v>
      </c>
    </row>
    <row r="504" spans="1:27" x14ac:dyDescent="0.25">
      <c r="A504" s="24">
        <v>78</v>
      </c>
      <c r="B504" s="26">
        <v>45215</v>
      </c>
      <c r="C504" s="21" t="s">
        <v>2046</v>
      </c>
      <c r="D504" s="21" t="s">
        <v>2043</v>
      </c>
      <c r="E504" s="22">
        <v>-90</v>
      </c>
      <c r="F504" s="196" t="s">
        <v>2393</v>
      </c>
      <c r="G504" s="196">
        <v>4247.357806</v>
      </c>
      <c r="H504" s="21" t="s">
        <v>2016</v>
      </c>
      <c r="I504" s="21" t="s">
        <v>123</v>
      </c>
      <c r="S504" s="29">
        <v>78</v>
      </c>
      <c r="T504" s="25">
        <v>45217</v>
      </c>
      <c r="U504" s="30" t="s">
        <v>2025</v>
      </c>
      <c r="V504" s="30" t="s">
        <v>2021</v>
      </c>
      <c r="W504" s="31">
        <v>-165</v>
      </c>
      <c r="X504" s="197" t="s">
        <v>2396</v>
      </c>
      <c r="Y504" s="197">
        <v>4292.5311439999996</v>
      </c>
      <c r="Z504" s="30" t="s">
        <v>2013</v>
      </c>
      <c r="AA504" s="30" t="s">
        <v>123</v>
      </c>
    </row>
    <row r="505" spans="1:27" x14ac:dyDescent="0.25">
      <c r="A505" s="24">
        <v>78</v>
      </c>
      <c r="B505" s="26">
        <v>45215</v>
      </c>
      <c r="C505" s="21" t="s">
        <v>2046</v>
      </c>
      <c r="D505" s="21" t="s">
        <v>2153</v>
      </c>
      <c r="E505" s="22">
        <v>9</v>
      </c>
      <c r="F505" s="196" t="s">
        <v>2394</v>
      </c>
      <c r="G505" s="196">
        <v>4247.5078059999996</v>
      </c>
      <c r="H505" s="21" t="s">
        <v>2016</v>
      </c>
      <c r="I505" s="21" t="s">
        <v>123</v>
      </c>
    </row>
    <row r="506" spans="1:27" x14ac:dyDescent="0.25">
      <c r="A506" s="29">
        <v>79</v>
      </c>
      <c r="B506" s="25">
        <v>45216</v>
      </c>
      <c r="C506" s="30" t="s">
        <v>2050</v>
      </c>
      <c r="D506" s="30" t="s">
        <v>2174</v>
      </c>
      <c r="E506" s="31">
        <v>20</v>
      </c>
      <c r="F506" s="197" t="s">
        <v>2395</v>
      </c>
      <c r="G506" s="197">
        <v>13877.338046000001</v>
      </c>
      <c r="H506" s="30" t="s">
        <v>2013</v>
      </c>
      <c r="I506" s="30" t="s">
        <v>123</v>
      </c>
    </row>
    <row r="507" spans="1:27" x14ac:dyDescent="0.25">
      <c r="A507" s="29">
        <v>79</v>
      </c>
      <c r="B507" s="25">
        <v>45216</v>
      </c>
      <c r="C507" s="30" t="s">
        <v>2050</v>
      </c>
      <c r="D507" s="30" t="s">
        <v>2023</v>
      </c>
      <c r="E507" s="31">
        <v>-20</v>
      </c>
      <c r="F507" s="197" t="s">
        <v>2397</v>
      </c>
      <c r="G507" s="197">
        <v>13877.238046</v>
      </c>
      <c r="H507" s="30" t="s">
        <v>2013</v>
      </c>
      <c r="I507" s="30" t="s">
        <v>123</v>
      </c>
    </row>
    <row r="508" spans="1:27" x14ac:dyDescent="0.25">
      <c r="A508" s="29">
        <v>79</v>
      </c>
      <c r="B508" s="25">
        <v>45216</v>
      </c>
      <c r="C508" s="30" t="s">
        <v>2046</v>
      </c>
      <c r="D508" s="30" t="s">
        <v>2174</v>
      </c>
      <c r="E508" s="31">
        <v>10</v>
      </c>
      <c r="F508" s="197" t="s">
        <v>2395</v>
      </c>
      <c r="G508" s="197">
        <v>4227.1947520000003</v>
      </c>
      <c r="H508" s="30" t="s">
        <v>2013</v>
      </c>
      <c r="I508" s="30" t="s">
        <v>123</v>
      </c>
    </row>
    <row r="509" spans="1:27" x14ac:dyDescent="0.25">
      <c r="A509" s="29">
        <v>79</v>
      </c>
      <c r="B509" s="25">
        <v>45216</v>
      </c>
      <c r="C509" s="30" t="s">
        <v>2046</v>
      </c>
      <c r="D509" s="30" t="s">
        <v>2027</v>
      </c>
      <c r="E509" s="31">
        <v>-10</v>
      </c>
      <c r="F509" s="197" t="s">
        <v>2397</v>
      </c>
      <c r="G509" s="197">
        <v>4227.0447519999998</v>
      </c>
      <c r="H509" s="30" t="s">
        <v>2013</v>
      </c>
      <c r="I509" s="30" t="s">
        <v>123</v>
      </c>
    </row>
    <row r="510" spans="1:27" x14ac:dyDescent="0.25">
      <c r="A510" s="29">
        <v>79</v>
      </c>
      <c r="B510" s="25">
        <v>45216</v>
      </c>
      <c r="C510" s="30" t="s">
        <v>2046</v>
      </c>
      <c r="D510" s="30" t="s">
        <v>2043</v>
      </c>
      <c r="E510" s="31" t="s">
        <v>2432</v>
      </c>
      <c r="F510" s="197" t="s">
        <v>2437</v>
      </c>
      <c r="G510" s="197">
        <v>4238.8781230000004</v>
      </c>
      <c r="H510" s="30" t="s">
        <v>2013</v>
      </c>
      <c r="I510" s="30" t="s">
        <v>123</v>
      </c>
    </row>
    <row r="511" spans="1:27" x14ac:dyDescent="0.25">
      <c r="A511" s="29">
        <v>79</v>
      </c>
      <c r="B511" s="25">
        <v>45216</v>
      </c>
      <c r="C511" s="30" t="s">
        <v>2046</v>
      </c>
      <c r="D511" s="30" t="s">
        <v>2023</v>
      </c>
      <c r="E511" s="31" t="s">
        <v>2433</v>
      </c>
      <c r="F511" s="197" t="s">
        <v>2437</v>
      </c>
      <c r="G511" s="197">
        <v>4238.8781230000004</v>
      </c>
      <c r="H511" s="30" t="s">
        <v>2013</v>
      </c>
      <c r="I511" s="30" t="s">
        <v>123</v>
      </c>
    </row>
    <row r="512" spans="1:27" x14ac:dyDescent="0.25">
      <c r="A512" s="29">
        <v>79</v>
      </c>
      <c r="B512" s="25">
        <v>45216</v>
      </c>
      <c r="C512" s="30" t="s">
        <v>2046</v>
      </c>
      <c r="D512" s="30" t="s">
        <v>2024</v>
      </c>
      <c r="E512" s="31" t="s">
        <v>2434</v>
      </c>
      <c r="F512" s="197" t="s">
        <v>2437</v>
      </c>
      <c r="G512" s="197">
        <v>4238.8781230000004</v>
      </c>
      <c r="H512" s="30" t="s">
        <v>2013</v>
      </c>
      <c r="I512" s="30" t="s">
        <v>123</v>
      </c>
    </row>
    <row r="513" spans="1:9" x14ac:dyDescent="0.25">
      <c r="A513" s="29">
        <v>79</v>
      </c>
      <c r="B513" s="25">
        <v>45216</v>
      </c>
      <c r="C513" s="30" t="s">
        <v>2046</v>
      </c>
      <c r="D513" s="30" t="s">
        <v>2066</v>
      </c>
      <c r="E513" s="31" t="s">
        <v>2435</v>
      </c>
      <c r="F513" s="197" t="s">
        <v>2438</v>
      </c>
      <c r="G513" s="197">
        <v>4239.0281230000001</v>
      </c>
      <c r="H513" s="30" t="s">
        <v>2013</v>
      </c>
      <c r="I513" s="30" t="s">
        <v>123</v>
      </c>
    </row>
    <row r="514" spans="1:9" x14ac:dyDescent="0.25">
      <c r="A514" s="29">
        <v>79</v>
      </c>
      <c r="B514" s="25">
        <v>45216</v>
      </c>
      <c r="C514" s="30" t="s">
        <v>2046</v>
      </c>
      <c r="D514" s="30" t="s">
        <v>2153</v>
      </c>
      <c r="E514" s="31" t="s">
        <v>2436</v>
      </c>
      <c r="F514" s="197" t="s">
        <v>2438</v>
      </c>
      <c r="G514" s="197">
        <v>4239.0281230000001</v>
      </c>
      <c r="H514" s="30" t="s">
        <v>2013</v>
      </c>
      <c r="I514" s="30" t="s">
        <v>123</v>
      </c>
    </row>
    <row r="515" spans="1:9" x14ac:dyDescent="0.25">
      <c r="A515" s="24">
        <v>80</v>
      </c>
      <c r="B515" s="26">
        <v>45217</v>
      </c>
      <c r="C515" s="21" t="s">
        <v>2025</v>
      </c>
      <c r="D515" s="21" t="s">
        <v>2022</v>
      </c>
      <c r="E515" s="22">
        <v>-121</v>
      </c>
      <c r="F515" s="196" t="s">
        <v>2396</v>
      </c>
      <c r="G515" s="196">
        <v>4292.5311439999996</v>
      </c>
      <c r="H515" s="21" t="s">
        <v>2013</v>
      </c>
      <c r="I515" s="21" t="s">
        <v>123</v>
      </c>
    </row>
    <row r="516" spans="1:9" x14ac:dyDescent="0.25">
      <c r="A516" s="24">
        <v>80</v>
      </c>
      <c r="B516" s="26">
        <v>45217</v>
      </c>
      <c r="C516" s="21" t="s">
        <v>2025</v>
      </c>
      <c r="D516" s="21" t="s">
        <v>2029</v>
      </c>
      <c r="E516" s="22">
        <v>-82</v>
      </c>
      <c r="F516" s="196" t="s">
        <v>2396</v>
      </c>
      <c r="G516" s="196">
        <v>4292.5311439999996</v>
      </c>
      <c r="H516" s="21" t="s">
        <v>2013</v>
      </c>
      <c r="I516" s="21" t="s">
        <v>123</v>
      </c>
    </row>
    <row r="517" spans="1:9" x14ac:dyDescent="0.25">
      <c r="A517" s="24">
        <v>80</v>
      </c>
      <c r="B517" s="26">
        <v>45217</v>
      </c>
      <c r="C517" s="21" t="s">
        <v>2025</v>
      </c>
      <c r="D517" s="21" t="s">
        <v>2045</v>
      </c>
      <c r="E517" s="22">
        <v>-53</v>
      </c>
      <c r="F517" s="196" t="s">
        <v>2396</v>
      </c>
      <c r="G517" s="196">
        <v>4292.5311439999996</v>
      </c>
      <c r="H517" s="21" t="s">
        <v>2013</v>
      </c>
      <c r="I517" s="21" t="s">
        <v>123</v>
      </c>
    </row>
    <row r="518" spans="1:9" x14ac:dyDescent="0.25">
      <c r="A518" s="24">
        <v>80</v>
      </c>
      <c r="B518" s="26">
        <v>45217</v>
      </c>
      <c r="C518" s="21" t="s">
        <v>2025</v>
      </c>
      <c r="D518" s="21" t="s">
        <v>2027</v>
      </c>
      <c r="E518" s="22">
        <v>-38</v>
      </c>
      <c r="F518" s="196" t="s">
        <v>2396</v>
      </c>
      <c r="G518" s="196">
        <v>4292.5311439999996</v>
      </c>
      <c r="H518" s="21" t="s">
        <v>2013</v>
      </c>
      <c r="I518" s="21" t="s">
        <v>123</v>
      </c>
    </row>
    <row r="519" spans="1:9" x14ac:dyDescent="0.25">
      <c r="A519" s="24">
        <v>80</v>
      </c>
      <c r="B519" s="26">
        <v>45217</v>
      </c>
      <c r="C519" s="21" t="s">
        <v>2025</v>
      </c>
      <c r="D519" s="21" t="s">
        <v>2026</v>
      </c>
      <c r="E519" s="22">
        <v>-1</v>
      </c>
      <c r="F519" s="196" t="s">
        <v>2396</v>
      </c>
      <c r="G519" s="196">
        <v>4292.5311439999996</v>
      </c>
      <c r="H519" s="21" t="s">
        <v>2013</v>
      </c>
      <c r="I519" s="21" t="s">
        <v>123</v>
      </c>
    </row>
    <row r="520" spans="1:9" x14ac:dyDescent="0.25">
      <c r="A520" s="24">
        <v>80</v>
      </c>
      <c r="B520" s="26">
        <v>45217</v>
      </c>
      <c r="C520" s="21" t="s">
        <v>2025</v>
      </c>
      <c r="D520" s="21" t="s">
        <v>2024</v>
      </c>
      <c r="E520" s="22">
        <v>204</v>
      </c>
      <c r="F520" s="196" t="s">
        <v>2398</v>
      </c>
      <c r="G520" s="196">
        <v>4292.6811440000001</v>
      </c>
      <c r="H520" s="21" t="s">
        <v>2013</v>
      </c>
      <c r="I520" s="21" t="s">
        <v>123</v>
      </c>
    </row>
    <row r="521" spans="1:9" x14ac:dyDescent="0.25">
      <c r="A521" s="24">
        <v>80</v>
      </c>
      <c r="B521" s="26">
        <v>45217</v>
      </c>
      <c r="C521" s="21" t="s">
        <v>2025</v>
      </c>
      <c r="D521" s="21" t="s">
        <v>2023</v>
      </c>
      <c r="E521" s="22">
        <v>256</v>
      </c>
      <c r="F521" s="196" t="s">
        <v>2398</v>
      </c>
      <c r="G521" s="196">
        <v>4292.6811440000001</v>
      </c>
      <c r="H521" s="21" t="s">
        <v>2013</v>
      </c>
      <c r="I521" s="21" t="s">
        <v>123</v>
      </c>
    </row>
    <row r="522" spans="1:9" x14ac:dyDescent="0.25">
      <c r="A522" s="24">
        <v>80</v>
      </c>
      <c r="B522" s="26">
        <v>45217</v>
      </c>
      <c r="C522" s="21" t="s">
        <v>2046</v>
      </c>
      <c r="D522" s="21" t="s">
        <v>2031</v>
      </c>
      <c r="E522" s="22">
        <v>-1029</v>
      </c>
      <c r="F522" s="196" t="s">
        <v>2399</v>
      </c>
      <c r="G522" s="196">
        <v>4222.8654459999998</v>
      </c>
      <c r="H522" s="21" t="s">
        <v>2013</v>
      </c>
      <c r="I522" s="21" t="s">
        <v>123</v>
      </c>
    </row>
    <row r="523" spans="1:9" x14ac:dyDescent="0.25">
      <c r="A523" s="24">
        <v>80</v>
      </c>
      <c r="B523" s="26">
        <v>45217</v>
      </c>
      <c r="C523" s="21" t="s">
        <v>2046</v>
      </c>
      <c r="D523" s="21" t="s">
        <v>2022</v>
      </c>
      <c r="E523" s="22">
        <v>-703</v>
      </c>
      <c r="F523" s="196" t="s">
        <v>2399</v>
      </c>
      <c r="G523" s="196">
        <v>4222.8654459999998</v>
      </c>
      <c r="H523" s="21" t="s">
        <v>2013</v>
      </c>
      <c r="I523" s="21" t="s">
        <v>123</v>
      </c>
    </row>
    <row r="524" spans="1:9" x14ac:dyDescent="0.25">
      <c r="A524" s="24">
        <v>80</v>
      </c>
      <c r="B524" s="26">
        <v>45217</v>
      </c>
      <c r="C524" s="21" t="s">
        <v>2046</v>
      </c>
      <c r="D524" s="21" t="s">
        <v>2029</v>
      </c>
      <c r="E524" s="22">
        <v>-547</v>
      </c>
      <c r="F524" s="196" t="s">
        <v>2399</v>
      </c>
      <c r="G524" s="196">
        <v>4222.8654459999998</v>
      </c>
      <c r="H524" s="21" t="s">
        <v>2013</v>
      </c>
      <c r="I524" s="21" t="s">
        <v>123</v>
      </c>
    </row>
    <row r="525" spans="1:9" x14ac:dyDescent="0.25">
      <c r="A525" s="24">
        <v>80</v>
      </c>
      <c r="B525" s="26">
        <v>45217</v>
      </c>
      <c r="C525" s="21" t="s">
        <v>2046</v>
      </c>
      <c r="D525" s="21" t="s">
        <v>2045</v>
      </c>
      <c r="E525" s="22">
        <v>-316</v>
      </c>
      <c r="F525" s="196" t="s">
        <v>2399</v>
      </c>
      <c r="G525" s="196">
        <v>4222.8654459999998</v>
      </c>
      <c r="H525" s="21" t="s">
        <v>2013</v>
      </c>
      <c r="I525" s="21" t="s">
        <v>123</v>
      </c>
    </row>
    <row r="526" spans="1:9" x14ac:dyDescent="0.25">
      <c r="A526" s="24">
        <v>80</v>
      </c>
      <c r="B526" s="26">
        <v>45217</v>
      </c>
      <c r="C526" s="21" t="s">
        <v>2046</v>
      </c>
      <c r="D526" s="21" t="s">
        <v>2027</v>
      </c>
      <c r="E526" s="22">
        <v>-97</v>
      </c>
      <c r="F526" s="196" t="s">
        <v>2399</v>
      </c>
      <c r="G526" s="196">
        <v>4222.8654459999998</v>
      </c>
      <c r="H526" s="21" t="s">
        <v>2013</v>
      </c>
      <c r="I526" s="21" t="s">
        <v>123</v>
      </c>
    </row>
    <row r="527" spans="1:9" x14ac:dyDescent="0.25">
      <c r="A527" s="24">
        <v>80</v>
      </c>
      <c r="B527" s="26">
        <v>45217</v>
      </c>
      <c r="C527" s="21" t="s">
        <v>2046</v>
      </c>
      <c r="D527" s="21" t="s">
        <v>2026</v>
      </c>
      <c r="E527" s="22">
        <v>-8</v>
      </c>
      <c r="F527" s="196" t="s">
        <v>2399</v>
      </c>
      <c r="G527" s="196">
        <v>4222.8654459999998</v>
      </c>
      <c r="H527" s="21" t="s">
        <v>2013</v>
      </c>
      <c r="I527" s="21" t="s">
        <v>123</v>
      </c>
    </row>
    <row r="528" spans="1:9" x14ac:dyDescent="0.25">
      <c r="A528" s="24">
        <v>80</v>
      </c>
      <c r="B528" s="26">
        <v>45217</v>
      </c>
      <c r="C528" s="21" t="s">
        <v>2046</v>
      </c>
      <c r="D528" s="21" t="s">
        <v>2024</v>
      </c>
      <c r="E528" s="22">
        <v>1203</v>
      </c>
      <c r="F528" s="196" t="s">
        <v>2400</v>
      </c>
      <c r="G528" s="196">
        <v>4223.0154460000003</v>
      </c>
      <c r="H528" s="21" t="s">
        <v>2013</v>
      </c>
      <c r="I528" s="21" t="s">
        <v>123</v>
      </c>
    </row>
    <row r="529" spans="1:9" x14ac:dyDescent="0.25">
      <c r="A529" s="24">
        <v>80</v>
      </c>
      <c r="B529" s="26">
        <v>45217</v>
      </c>
      <c r="C529" s="21" t="s">
        <v>2046</v>
      </c>
      <c r="D529" s="21" t="s">
        <v>2023</v>
      </c>
      <c r="E529" s="22">
        <v>1497</v>
      </c>
      <c r="F529" s="196" t="s">
        <v>2400</v>
      </c>
      <c r="G529" s="196">
        <v>4223.0154460000003</v>
      </c>
      <c r="H529" s="21" t="s">
        <v>2013</v>
      </c>
      <c r="I529" s="21" t="s">
        <v>123</v>
      </c>
    </row>
    <row r="530" spans="1:9" x14ac:dyDescent="0.25">
      <c r="A530" s="24">
        <v>80</v>
      </c>
      <c r="B530" s="26">
        <v>45217</v>
      </c>
      <c r="C530" s="21" t="s">
        <v>2050</v>
      </c>
      <c r="D530" s="21" t="s">
        <v>2048</v>
      </c>
      <c r="E530" s="22">
        <v>-2</v>
      </c>
      <c r="F530" s="196" t="s">
        <v>2401</v>
      </c>
      <c r="G530" s="196">
        <v>13883.703747</v>
      </c>
      <c r="H530" s="21" t="s">
        <v>2013</v>
      </c>
      <c r="I530" s="21" t="s">
        <v>123</v>
      </c>
    </row>
    <row r="531" spans="1:9" x14ac:dyDescent="0.25">
      <c r="A531" s="24">
        <v>80</v>
      </c>
      <c r="B531" s="26">
        <v>45217</v>
      </c>
      <c r="C531" s="21" t="s">
        <v>2050</v>
      </c>
      <c r="D531" s="21" t="s">
        <v>2023</v>
      </c>
      <c r="E531" s="22">
        <v>2</v>
      </c>
      <c r="F531" s="196" t="s">
        <v>2402</v>
      </c>
      <c r="G531" s="196">
        <v>13883.803747</v>
      </c>
      <c r="H531" s="21" t="s">
        <v>2013</v>
      </c>
      <c r="I531" s="21" t="s">
        <v>123</v>
      </c>
    </row>
    <row r="532" spans="1:9" x14ac:dyDescent="0.25">
      <c r="A532" s="24">
        <v>80</v>
      </c>
      <c r="B532" s="26">
        <v>45217</v>
      </c>
      <c r="C532" s="21" t="s">
        <v>2046</v>
      </c>
      <c r="D532" s="21" t="s">
        <v>2043</v>
      </c>
      <c r="E532" s="22">
        <v>-4</v>
      </c>
      <c r="F532" s="196" t="s">
        <v>2403</v>
      </c>
      <c r="G532" s="196">
        <v>4230.2997169999999</v>
      </c>
      <c r="H532" s="21" t="s">
        <v>2013</v>
      </c>
      <c r="I532" s="21" t="s">
        <v>123</v>
      </c>
    </row>
    <row r="533" spans="1:9" x14ac:dyDescent="0.25">
      <c r="A533" s="24">
        <v>80</v>
      </c>
      <c r="B533" s="26">
        <v>45217</v>
      </c>
      <c r="C533" s="21" t="s">
        <v>2046</v>
      </c>
      <c r="D533" s="21" t="s">
        <v>2153</v>
      </c>
      <c r="E533" s="22">
        <v>4</v>
      </c>
      <c r="F533" s="196" t="s">
        <v>2404</v>
      </c>
      <c r="G533" s="196">
        <v>4230.4497170000004</v>
      </c>
      <c r="H533" s="21" t="s">
        <v>2013</v>
      </c>
      <c r="I533" s="21" t="s">
        <v>123</v>
      </c>
    </row>
    <row r="534" spans="1:9" x14ac:dyDescent="0.25">
      <c r="A534" s="29">
        <v>81</v>
      </c>
      <c r="B534" s="25">
        <v>45219</v>
      </c>
      <c r="C534" s="30" t="s">
        <v>2050</v>
      </c>
      <c r="D534" s="30" t="s">
        <v>2048</v>
      </c>
      <c r="E534" s="31">
        <v>-4</v>
      </c>
      <c r="F534" s="197" t="s">
        <v>2405</v>
      </c>
      <c r="G534" s="197">
        <v>13902.021844000001</v>
      </c>
      <c r="H534" s="30" t="s">
        <v>2013</v>
      </c>
      <c r="I534" s="30" t="s">
        <v>123</v>
      </c>
    </row>
    <row r="535" spans="1:9" x14ac:dyDescent="0.25">
      <c r="A535" s="29">
        <v>81</v>
      </c>
      <c r="B535" s="25">
        <v>45219</v>
      </c>
      <c r="C535" s="30" t="s">
        <v>2050</v>
      </c>
      <c r="D535" s="30" t="s">
        <v>2027</v>
      </c>
      <c r="E535" s="31">
        <v>4</v>
      </c>
      <c r="F535" s="197" t="s">
        <v>2406</v>
      </c>
      <c r="G535" s="197">
        <v>13902.121843999999</v>
      </c>
      <c r="H535" s="30" t="s">
        <v>2013</v>
      </c>
      <c r="I535" s="30" t="s">
        <v>123</v>
      </c>
    </row>
    <row r="536" spans="1:9" x14ac:dyDescent="0.25">
      <c r="A536" s="24">
        <v>82</v>
      </c>
      <c r="B536" s="26">
        <v>45220</v>
      </c>
      <c r="C536" s="21" t="s">
        <v>2050</v>
      </c>
      <c r="D536" s="21" t="s">
        <v>2181</v>
      </c>
      <c r="E536" s="22">
        <v>-10</v>
      </c>
      <c r="F536" s="196" t="s">
        <v>2407</v>
      </c>
      <c r="G536" s="196">
        <v>13905.362789000001</v>
      </c>
      <c r="H536" s="21" t="s">
        <v>2013</v>
      </c>
      <c r="I536" s="21" t="s">
        <v>123</v>
      </c>
    </row>
    <row r="537" spans="1:9" x14ac:dyDescent="0.25">
      <c r="A537" s="24">
        <v>82</v>
      </c>
      <c r="B537" s="26">
        <v>45220</v>
      </c>
      <c r="C537" s="21" t="s">
        <v>2050</v>
      </c>
      <c r="D537" s="21" t="s">
        <v>2153</v>
      </c>
      <c r="E537" s="22">
        <v>10</v>
      </c>
      <c r="F537" s="196" t="s">
        <v>2408</v>
      </c>
      <c r="G537" s="196">
        <v>13905.462788999999</v>
      </c>
      <c r="H537" s="21" t="s">
        <v>2013</v>
      </c>
      <c r="I537" s="21" t="s">
        <v>123</v>
      </c>
    </row>
    <row r="538" spans="1:9" x14ac:dyDescent="0.25">
      <c r="A538" s="24">
        <v>82</v>
      </c>
      <c r="B538" s="26">
        <v>45220</v>
      </c>
      <c r="C538" s="21" t="s">
        <v>2050</v>
      </c>
      <c r="D538" s="21" t="s">
        <v>2181</v>
      </c>
      <c r="E538" s="22">
        <v>-15</v>
      </c>
      <c r="F538" s="196" t="s">
        <v>2409</v>
      </c>
      <c r="G538" s="196">
        <v>13904.551885999999</v>
      </c>
      <c r="H538" s="21" t="s">
        <v>2016</v>
      </c>
      <c r="I538" s="21" t="s">
        <v>123</v>
      </c>
    </row>
    <row r="539" spans="1:9" x14ac:dyDescent="0.25">
      <c r="A539" s="24">
        <v>82</v>
      </c>
      <c r="B539" s="26">
        <v>45220</v>
      </c>
      <c r="C539" s="21" t="s">
        <v>2050</v>
      </c>
      <c r="D539" s="21" t="s">
        <v>2153</v>
      </c>
      <c r="E539" s="22">
        <v>15</v>
      </c>
      <c r="F539" s="196" t="s">
        <v>2410</v>
      </c>
      <c r="G539" s="196">
        <v>13904.651886</v>
      </c>
      <c r="H539" s="21" t="s">
        <v>2016</v>
      </c>
      <c r="I539" s="21" t="s">
        <v>123</v>
      </c>
    </row>
    <row r="540" spans="1:9" x14ac:dyDescent="0.25">
      <c r="A540" s="24">
        <v>82</v>
      </c>
      <c r="B540" s="26">
        <v>45220</v>
      </c>
      <c r="C540" s="21" t="s">
        <v>2046</v>
      </c>
      <c r="D540" s="21" t="s">
        <v>2027</v>
      </c>
      <c r="E540" s="22">
        <v>-9</v>
      </c>
      <c r="F540" s="196" t="s">
        <v>2411</v>
      </c>
      <c r="G540" s="196">
        <v>4222.306568</v>
      </c>
      <c r="H540" s="21" t="s">
        <v>2016</v>
      </c>
      <c r="I540" s="21" t="s">
        <v>123</v>
      </c>
    </row>
    <row r="541" spans="1:9" x14ac:dyDescent="0.25">
      <c r="A541" s="24">
        <v>82</v>
      </c>
      <c r="B541" s="26">
        <v>45220</v>
      </c>
      <c r="C541" s="21" t="s">
        <v>2046</v>
      </c>
      <c r="D541" s="21" t="s">
        <v>2066</v>
      </c>
      <c r="E541" s="22">
        <v>2</v>
      </c>
      <c r="F541" s="196" t="s">
        <v>2412</v>
      </c>
      <c r="G541" s="196">
        <v>4222.4565679999996</v>
      </c>
      <c r="H541" s="21" t="s">
        <v>2016</v>
      </c>
      <c r="I541" s="21" t="s">
        <v>123</v>
      </c>
    </row>
    <row r="542" spans="1:9" x14ac:dyDescent="0.25">
      <c r="A542" s="24">
        <v>82</v>
      </c>
      <c r="B542" s="26">
        <v>45220</v>
      </c>
      <c r="C542" s="21" t="s">
        <v>2046</v>
      </c>
      <c r="D542" s="21" t="s">
        <v>2153</v>
      </c>
      <c r="E542" s="22">
        <v>7</v>
      </c>
      <c r="F542" s="196" t="s">
        <v>2412</v>
      </c>
      <c r="G542" s="196">
        <v>4222.4565679999996</v>
      </c>
      <c r="H542" s="21" t="s">
        <v>2016</v>
      </c>
      <c r="I542" s="21" t="s">
        <v>123</v>
      </c>
    </row>
    <row r="543" spans="1:9" x14ac:dyDescent="0.25">
      <c r="A543" s="29">
        <v>83</v>
      </c>
      <c r="B543" s="25">
        <v>45224</v>
      </c>
      <c r="C543" s="30" t="s">
        <v>2050</v>
      </c>
      <c r="D543" s="30" t="s">
        <v>2182</v>
      </c>
      <c r="E543" s="31">
        <v>-10</v>
      </c>
      <c r="F543" s="197" t="s">
        <v>2413</v>
      </c>
      <c r="G543" s="197">
        <v>13911.944025000001</v>
      </c>
      <c r="H543" s="30" t="s">
        <v>2013</v>
      </c>
      <c r="I543" s="30" t="s">
        <v>123</v>
      </c>
    </row>
    <row r="544" spans="1:9" x14ac:dyDescent="0.25">
      <c r="A544" s="29">
        <v>83</v>
      </c>
      <c r="B544" s="25">
        <v>45224</v>
      </c>
      <c r="C544" s="30" t="s">
        <v>2050</v>
      </c>
      <c r="D544" s="30" t="s">
        <v>2153</v>
      </c>
      <c r="E544" s="31">
        <v>10</v>
      </c>
      <c r="F544" s="197" t="s">
        <v>2414</v>
      </c>
      <c r="G544" s="197">
        <v>13910.044024999999</v>
      </c>
      <c r="H544" s="30" t="s">
        <v>2013</v>
      </c>
      <c r="I544" s="30" t="s">
        <v>123</v>
      </c>
    </row>
    <row r="545" spans="1:36" x14ac:dyDescent="0.25">
      <c r="A545" s="29">
        <v>83</v>
      </c>
      <c r="B545" s="25">
        <v>45224</v>
      </c>
      <c r="C545" s="30" t="s">
        <v>2046</v>
      </c>
      <c r="D545" s="30" t="s">
        <v>2027</v>
      </c>
      <c r="E545" s="31">
        <v>-3</v>
      </c>
      <c r="F545" s="197" t="s">
        <v>2415</v>
      </c>
      <c r="G545" s="197">
        <v>4222.2102750000004</v>
      </c>
      <c r="H545" s="30" t="s">
        <v>2013</v>
      </c>
      <c r="I545" s="30" t="s">
        <v>123</v>
      </c>
    </row>
    <row r="546" spans="1:36" x14ac:dyDescent="0.25">
      <c r="A546" s="29">
        <v>83</v>
      </c>
      <c r="B546" s="25">
        <v>45224</v>
      </c>
      <c r="C546" s="30" t="s">
        <v>2046</v>
      </c>
      <c r="D546" s="30" t="s">
        <v>2153</v>
      </c>
      <c r="E546" s="31">
        <v>3</v>
      </c>
      <c r="F546" s="197" t="s">
        <v>2416</v>
      </c>
      <c r="G546" s="197">
        <v>4222.360275</v>
      </c>
      <c r="H546" s="30" t="s">
        <v>2013</v>
      </c>
      <c r="I546" s="30" t="s">
        <v>123</v>
      </c>
    </row>
    <row r="547" spans="1:36" x14ac:dyDescent="0.25">
      <c r="A547" s="24">
        <v>84</v>
      </c>
      <c r="B547" s="26">
        <v>45225</v>
      </c>
      <c r="C547" s="21" t="s">
        <v>2050</v>
      </c>
      <c r="D547" s="21" t="s">
        <v>2048</v>
      </c>
      <c r="E547" s="22">
        <v>-2</v>
      </c>
      <c r="F547" s="196" t="s">
        <v>2417</v>
      </c>
      <c r="G547" s="196">
        <v>13924.621168</v>
      </c>
      <c r="H547" s="21" t="s">
        <v>2016</v>
      </c>
      <c r="I547" s="21" t="s">
        <v>123</v>
      </c>
    </row>
    <row r="548" spans="1:36" x14ac:dyDescent="0.25">
      <c r="A548" s="24">
        <v>84</v>
      </c>
      <c r="B548" s="26">
        <v>45225</v>
      </c>
      <c r="C548" s="21" t="s">
        <v>2050</v>
      </c>
      <c r="D548" s="21" t="s">
        <v>2027</v>
      </c>
      <c r="E548" s="22">
        <v>2</v>
      </c>
      <c r="F548" s="196" t="s">
        <v>2418</v>
      </c>
      <c r="G548" s="196">
        <v>13924.721168</v>
      </c>
      <c r="H548" s="21" t="s">
        <v>2016</v>
      </c>
      <c r="I548" s="21" t="s">
        <v>123</v>
      </c>
    </row>
    <row r="549" spans="1:36" x14ac:dyDescent="0.25">
      <c r="A549" s="29">
        <v>85</v>
      </c>
      <c r="B549" s="25">
        <v>45231</v>
      </c>
      <c r="C549" s="30" t="s">
        <v>2050</v>
      </c>
      <c r="D549" s="30" t="s">
        <v>2181</v>
      </c>
      <c r="E549" s="31">
        <v>-90</v>
      </c>
      <c r="F549" s="197" t="s">
        <v>2419</v>
      </c>
      <c r="G549" s="197">
        <v>13946.916681000001</v>
      </c>
      <c r="H549" s="30" t="s">
        <v>2013</v>
      </c>
      <c r="I549" s="30" t="s">
        <v>123</v>
      </c>
    </row>
    <row r="550" spans="1:36" x14ac:dyDescent="0.25">
      <c r="A550" s="29">
        <v>85</v>
      </c>
      <c r="B550" s="25">
        <v>45231</v>
      </c>
      <c r="C550" s="30" t="s">
        <v>2050</v>
      </c>
      <c r="D550" s="30" t="s">
        <v>2024</v>
      </c>
      <c r="E550" s="31">
        <v>-90</v>
      </c>
      <c r="F550" s="197" t="s">
        <v>2419</v>
      </c>
      <c r="G550" s="197">
        <v>13946.916681000001</v>
      </c>
      <c r="H550" s="30" t="s">
        <v>2013</v>
      </c>
      <c r="I550" s="30" t="s">
        <v>123</v>
      </c>
    </row>
    <row r="551" spans="1:36" x14ac:dyDescent="0.25">
      <c r="A551" s="29">
        <v>85</v>
      </c>
      <c r="B551" s="25">
        <v>45231</v>
      </c>
      <c r="C551" s="30" t="s">
        <v>2050</v>
      </c>
      <c r="D551" s="30" t="s">
        <v>2153</v>
      </c>
      <c r="E551" s="31">
        <v>180</v>
      </c>
      <c r="F551" s="197" t="s">
        <v>2420</v>
      </c>
      <c r="G551" s="197">
        <v>13946.916681000001</v>
      </c>
      <c r="H551" s="30" t="s">
        <v>2013</v>
      </c>
      <c r="I551" s="30" t="s">
        <v>123</v>
      </c>
    </row>
    <row r="552" spans="1:36" x14ac:dyDescent="0.25">
      <c r="A552" s="24">
        <v>86</v>
      </c>
      <c r="B552" s="26">
        <v>45233</v>
      </c>
      <c r="C552" s="21" t="s">
        <v>2050</v>
      </c>
      <c r="D552" s="21" t="s">
        <v>2030</v>
      </c>
      <c r="E552" s="22">
        <v>-50</v>
      </c>
      <c r="F552" s="196" t="s">
        <v>2425</v>
      </c>
      <c r="G552" s="196">
        <v>13954.913434</v>
      </c>
      <c r="H552" s="21" t="s">
        <v>2016</v>
      </c>
      <c r="I552" s="21" t="s">
        <v>123</v>
      </c>
    </row>
    <row r="553" spans="1:36" x14ac:dyDescent="0.25">
      <c r="A553" s="24">
        <v>86</v>
      </c>
      <c r="B553" s="26">
        <v>45233</v>
      </c>
      <c r="C553" s="21" t="s">
        <v>2050</v>
      </c>
      <c r="D553" s="21" t="s">
        <v>2153</v>
      </c>
      <c r="E553" s="22">
        <v>50</v>
      </c>
      <c r="F553" s="196" t="s">
        <v>2424</v>
      </c>
      <c r="G553" s="196">
        <v>13955.013434</v>
      </c>
      <c r="H553" s="21" t="s">
        <v>2016</v>
      </c>
      <c r="I553" s="21" t="s">
        <v>123</v>
      </c>
    </row>
    <row r="554" spans="1:36" x14ac:dyDescent="0.25">
      <c r="A554" s="24">
        <v>86</v>
      </c>
      <c r="B554" s="26">
        <v>45233</v>
      </c>
      <c r="C554" s="21" t="s">
        <v>2467</v>
      </c>
      <c r="D554" s="21" t="s">
        <v>2053</v>
      </c>
      <c r="E554" s="21">
        <v>14</v>
      </c>
      <c r="F554" s="21" t="s">
        <v>2468</v>
      </c>
      <c r="G554" s="196">
        <v>4285.0138939999997</v>
      </c>
      <c r="H554" s="21" t="s">
        <v>2013</v>
      </c>
      <c r="I554" s="21" t="s">
        <v>123</v>
      </c>
    </row>
    <row r="555" spans="1:36" x14ac:dyDescent="0.25">
      <c r="A555" s="24">
        <v>86</v>
      </c>
      <c r="B555" s="26">
        <v>45233</v>
      </c>
      <c r="C555" s="21" t="s">
        <v>2467</v>
      </c>
      <c r="D555" s="21" t="s">
        <v>2027</v>
      </c>
      <c r="E555" s="21">
        <v>2075</v>
      </c>
      <c r="F555" s="21" t="s">
        <v>2468</v>
      </c>
      <c r="G555" s="196">
        <v>4285.0138939999997</v>
      </c>
      <c r="H555" s="21" t="s">
        <v>2013</v>
      </c>
      <c r="I555" s="21" t="s">
        <v>123</v>
      </c>
    </row>
    <row r="556" spans="1:36" x14ac:dyDescent="0.25">
      <c r="A556" s="24">
        <v>86</v>
      </c>
      <c r="B556" s="26">
        <v>45233</v>
      </c>
      <c r="C556" s="21" t="s">
        <v>2467</v>
      </c>
      <c r="D556" s="21" t="s">
        <v>2045</v>
      </c>
      <c r="E556" s="21">
        <v>573</v>
      </c>
      <c r="F556" s="21" t="s">
        <v>2468</v>
      </c>
      <c r="G556" s="196">
        <v>4285.0138939999997</v>
      </c>
      <c r="H556" s="21" t="s">
        <v>2013</v>
      </c>
      <c r="I556" s="21" t="s">
        <v>123</v>
      </c>
    </row>
    <row r="557" spans="1:36" x14ac:dyDescent="0.25">
      <c r="A557" s="24">
        <v>86</v>
      </c>
      <c r="B557" s="26">
        <v>45233</v>
      </c>
      <c r="C557" s="21" t="s">
        <v>2467</v>
      </c>
      <c r="D557" s="21" t="s">
        <v>2029</v>
      </c>
      <c r="E557" s="21">
        <v>2198</v>
      </c>
      <c r="F557" s="21" t="s">
        <v>2468</v>
      </c>
      <c r="G557" s="196">
        <v>4285.0138939999997</v>
      </c>
      <c r="H557" s="21" t="s">
        <v>2013</v>
      </c>
      <c r="I557" s="21" t="s">
        <v>123</v>
      </c>
    </row>
    <row r="558" spans="1:36" x14ac:dyDescent="0.25">
      <c r="A558" s="24">
        <v>86</v>
      </c>
      <c r="B558" s="26">
        <v>45233</v>
      </c>
      <c r="C558" s="21" t="s">
        <v>2467</v>
      </c>
      <c r="D558" s="21" t="s">
        <v>2022</v>
      </c>
      <c r="E558" s="211">
        <v>1548</v>
      </c>
      <c r="F558" s="21" t="s">
        <v>2468</v>
      </c>
      <c r="G558" s="196">
        <v>4285.0138939999997</v>
      </c>
      <c r="H558" s="21" t="s">
        <v>2013</v>
      </c>
      <c r="I558" s="21" t="s">
        <v>123</v>
      </c>
    </row>
    <row r="559" spans="1:36" x14ac:dyDescent="0.25">
      <c r="A559" s="24">
        <v>86</v>
      </c>
      <c r="B559" s="26">
        <v>45233</v>
      </c>
      <c r="C559" s="21" t="s">
        <v>2467</v>
      </c>
      <c r="D559" s="21" t="s">
        <v>2023</v>
      </c>
      <c r="E559" s="21">
        <v>969</v>
      </c>
      <c r="F559" s="21" t="s">
        <v>2468</v>
      </c>
      <c r="G559" s="196">
        <v>4285.0138939999997</v>
      </c>
      <c r="H559" s="21" t="s">
        <v>2013</v>
      </c>
      <c r="I559" s="21" t="s">
        <v>123</v>
      </c>
    </row>
    <row r="560" spans="1:36" x14ac:dyDescent="0.25">
      <c r="A560" s="24">
        <v>86</v>
      </c>
      <c r="B560" s="26">
        <v>45233</v>
      </c>
      <c r="C560" s="21" t="s">
        <v>2467</v>
      </c>
      <c r="D560" s="21" t="s">
        <v>2024</v>
      </c>
      <c r="E560" s="21">
        <v>800</v>
      </c>
      <c r="F560" s="21" t="s">
        <v>2468</v>
      </c>
      <c r="G560" s="196">
        <v>4285.0138939999997</v>
      </c>
      <c r="H560" s="21" t="s">
        <v>2013</v>
      </c>
      <c r="I560" s="21" t="s">
        <v>123</v>
      </c>
      <c r="AB560" s="206"/>
      <c r="AC560" s="207"/>
      <c r="AD560" s="208"/>
      <c r="AE560" s="208"/>
      <c r="AF560" s="209"/>
      <c r="AG560" s="210"/>
      <c r="AH560" s="210"/>
      <c r="AI560" s="208"/>
      <c r="AJ560" s="208"/>
    </row>
    <row r="561" spans="1:36" x14ac:dyDescent="0.25">
      <c r="A561" s="24">
        <v>86</v>
      </c>
      <c r="B561" s="26">
        <v>45233</v>
      </c>
      <c r="C561" s="21" t="s">
        <v>2467</v>
      </c>
      <c r="D561" s="21" t="s">
        <v>2031</v>
      </c>
      <c r="E561" s="211">
        <v>1823</v>
      </c>
      <c r="F561" s="21" t="s">
        <v>2468</v>
      </c>
      <c r="G561" s="196">
        <v>4285.0138939999997</v>
      </c>
      <c r="H561" s="21" t="s">
        <v>2013</v>
      </c>
      <c r="I561" s="21" t="s">
        <v>123</v>
      </c>
      <c r="AB561" s="29">
        <v>87</v>
      </c>
      <c r="AC561" s="25">
        <v>45236</v>
      </c>
      <c r="AD561" s="30" t="s">
        <v>2050</v>
      </c>
      <c r="AE561" s="30" t="s">
        <v>2043</v>
      </c>
      <c r="AF561" s="31">
        <v>50</v>
      </c>
      <c r="AG561" s="197" t="s">
        <v>2458</v>
      </c>
      <c r="AH561" s="197">
        <v>13962.348909</v>
      </c>
      <c r="AI561" s="30" t="s">
        <v>2016</v>
      </c>
      <c r="AJ561" s="30" t="s">
        <v>123</v>
      </c>
    </row>
    <row r="562" spans="1:36" x14ac:dyDescent="0.25">
      <c r="A562" s="29">
        <v>87</v>
      </c>
      <c r="B562" s="25">
        <v>45236</v>
      </c>
      <c r="C562" s="30" t="s">
        <v>2050</v>
      </c>
      <c r="D562" s="30" t="s">
        <v>2066</v>
      </c>
      <c r="E562" s="31">
        <v>-20</v>
      </c>
      <c r="F562" s="197" t="s">
        <v>2459</v>
      </c>
      <c r="G562" s="197">
        <v>13962.248909</v>
      </c>
      <c r="H562" s="30" t="s">
        <v>2016</v>
      </c>
      <c r="I562" s="30" t="s">
        <v>123</v>
      </c>
    </row>
    <row r="563" spans="1:36" x14ac:dyDescent="0.25">
      <c r="A563" s="29">
        <v>87</v>
      </c>
      <c r="B563" s="25">
        <v>45236</v>
      </c>
      <c r="C563" s="30" t="s">
        <v>2050</v>
      </c>
      <c r="D563" s="30" t="s">
        <v>2153</v>
      </c>
      <c r="E563" s="31">
        <v>-30</v>
      </c>
      <c r="F563" s="197" t="s">
        <v>2459</v>
      </c>
      <c r="G563" s="197">
        <v>13962.248909</v>
      </c>
      <c r="H563" s="30" t="s">
        <v>2016</v>
      </c>
      <c r="I563" s="30" t="s">
        <v>123</v>
      </c>
    </row>
    <row r="564" spans="1:36" x14ac:dyDescent="0.25">
      <c r="A564" s="29">
        <v>87</v>
      </c>
      <c r="B564" s="25">
        <v>45236</v>
      </c>
      <c r="C564" s="30" t="s">
        <v>2025</v>
      </c>
      <c r="D564" s="30" t="s">
        <v>2043</v>
      </c>
      <c r="E564" s="31">
        <v>-80</v>
      </c>
      <c r="F564" s="197" t="s">
        <v>2460</v>
      </c>
      <c r="G564" s="197">
        <v>4302.1547639999999</v>
      </c>
      <c r="H564" s="30" t="s">
        <v>2013</v>
      </c>
      <c r="I564" s="30" t="s">
        <v>123</v>
      </c>
    </row>
    <row r="565" spans="1:36" x14ac:dyDescent="0.25">
      <c r="A565" s="29">
        <v>87</v>
      </c>
      <c r="B565" s="25">
        <v>45236</v>
      </c>
      <c r="C565" s="30" t="s">
        <v>2025</v>
      </c>
      <c r="D565" s="30" t="s">
        <v>2045</v>
      </c>
      <c r="E565" s="31">
        <v>-80</v>
      </c>
      <c r="F565" s="197" t="s">
        <v>2460</v>
      </c>
      <c r="G565" s="197">
        <v>4302.1547639999999</v>
      </c>
      <c r="H565" s="30" t="s">
        <v>2013</v>
      </c>
      <c r="I565" s="30" t="s">
        <v>123</v>
      </c>
    </row>
    <row r="566" spans="1:36" x14ac:dyDescent="0.25">
      <c r="A566" s="29">
        <v>87</v>
      </c>
      <c r="B566" s="25">
        <v>45236</v>
      </c>
      <c r="C566" s="30" t="s">
        <v>2025</v>
      </c>
      <c r="D566" s="30" t="s">
        <v>2029</v>
      </c>
      <c r="E566" s="31">
        <v>-80</v>
      </c>
      <c r="F566" s="197" t="s">
        <v>2460</v>
      </c>
      <c r="G566" s="197">
        <v>4302.1547639999999</v>
      </c>
      <c r="H566" s="30" t="s">
        <v>2013</v>
      </c>
      <c r="I566" s="30" t="s">
        <v>123</v>
      </c>
    </row>
    <row r="567" spans="1:36" x14ac:dyDescent="0.25">
      <c r="A567" s="29">
        <v>87</v>
      </c>
      <c r="B567" s="25">
        <v>45236</v>
      </c>
      <c r="C567" s="30" t="s">
        <v>2025</v>
      </c>
      <c r="D567" s="30" t="s">
        <v>2022</v>
      </c>
      <c r="E567" s="31">
        <v>-80</v>
      </c>
      <c r="F567" s="197" t="s">
        <v>2460</v>
      </c>
      <c r="G567" s="197">
        <v>4302.1547639999999</v>
      </c>
      <c r="H567" s="30" t="s">
        <v>2013</v>
      </c>
      <c r="I567" s="30" t="s">
        <v>123</v>
      </c>
    </row>
    <row r="568" spans="1:36" x14ac:dyDescent="0.25">
      <c r="A568" s="29">
        <v>87</v>
      </c>
      <c r="B568" s="25">
        <v>45236</v>
      </c>
      <c r="C568" s="30" t="s">
        <v>2025</v>
      </c>
      <c r="D568" s="30" t="s">
        <v>2023</v>
      </c>
      <c r="E568" s="31">
        <v>180</v>
      </c>
      <c r="F568" s="197" t="s">
        <v>2461</v>
      </c>
      <c r="G568" s="197">
        <v>4302.1547639999999</v>
      </c>
      <c r="H568" s="30" t="s">
        <v>2013</v>
      </c>
      <c r="I568" s="30" t="s">
        <v>123</v>
      </c>
    </row>
    <row r="569" spans="1:36" x14ac:dyDescent="0.25">
      <c r="A569" s="29">
        <v>87</v>
      </c>
      <c r="B569" s="25">
        <v>45236</v>
      </c>
      <c r="C569" s="30" t="s">
        <v>2025</v>
      </c>
      <c r="D569" s="30" t="s">
        <v>2024</v>
      </c>
      <c r="E569" s="31">
        <v>140</v>
      </c>
      <c r="F569" s="197" t="s">
        <v>2461</v>
      </c>
      <c r="G569" s="197">
        <v>4302.1547639999999</v>
      </c>
      <c r="H569" s="30" t="s">
        <v>2013</v>
      </c>
      <c r="I569" s="30" t="s">
        <v>123</v>
      </c>
    </row>
    <row r="570" spans="1:36" x14ac:dyDescent="0.25">
      <c r="A570" s="24">
        <v>88</v>
      </c>
      <c r="B570" s="26">
        <v>45237</v>
      </c>
      <c r="C570" s="21" t="s">
        <v>2046</v>
      </c>
      <c r="D570" s="21" t="s">
        <v>2043</v>
      </c>
      <c r="E570" s="22" t="s">
        <v>2462</v>
      </c>
      <c r="F570" s="196" t="s">
        <v>2465</v>
      </c>
      <c r="G570" s="196">
        <v>4242.8484170000002</v>
      </c>
      <c r="H570" s="21" t="s">
        <v>2016</v>
      </c>
      <c r="I570" s="21" t="s">
        <v>123</v>
      </c>
    </row>
    <row r="571" spans="1:36" x14ac:dyDescent="0.25">
      <c r="A571" s="24">
        <v>88</v>
      </c>
      <c r="B571" s="26">
        <v>45237</v>
      </c>
      <c r="C571" s="21" t="s">
        <v>2046</v>
      </c>
      <c r="D571" s="21" t="s">
        <v>2066</v>
      </c>
      <c r="E571" s="22" t="s">
        <v>2463</v>
      </c>
      <c r="F571" s="196" t="s">
        <v>2466</v>
      </c>
      <c r="G571" s="196">
        <v>4242.9984169999998</v>
      </c>
      <c r="H571" s="21" t="s">
        <v>2016</v>
      </c>
      <c r="I571" s="21" t="s">
        <v>123</v>
      </c>
    </row>
    <row r="572" spans="1:36" x14ac:dyDescent="0.25">
      <c r="A572" s="24">
        <v>88</v>
      </c>
      <c r="B572" s="26">
        <v>45237</v>
      </c>
      <c r="C572" s="21" t="s">
        <v>2046</v>
      </c>
      <c r="D572" s="21" t="s">
        <v>2153</v>
      </c>
      <c r="E572" s="22" t="s">
        <v>2464</v>
      </c>
      <c r="F572" s="196" t="s">
        <v>2466</v>
      </c>
      <c r="G572" s="196">
        <v>4242.9984169999998</v>
      </c>
      <c r="H572" s="21" t="s">
        <v>2016</v>
      </c>
      <c r="I572" s="21" t="s">
        <v>123</v>
      </c>
    </row>
    <row r="573" spans="1:36" x14ac:dyDescent="0.25">
      <c r="A573" s="29">
        <v>89</v>
      </c>
      <c r="B573" s="25">
        <v>45244</v>
      </c>
      <c r="C573" s="30" t="s">
        <v>2050</v>
      </c>
      <c r="D573" s="30" t="s">
        <v>2181</v>
      </c>
      <c r="E573" s="31">
        <v>-60</v>
      </c>
      <c r="F573" s="197" t="s">
        <v>2471</v>
      </c>
      <c r="G573" s="197">
        <v>13997.308703000001</v>
      </c>
      <c r="H573" s="30" t="s">
        <v>2013</v>
      </c>
      <c r="I573" s="30" t="s">
        <v>123</v>
      </c>
    </row>
    <row r="574" spans="1:36" x14ac:dyDescent="0.25">
      <c r="A574" s="29">
        <v>89</v>
      </c>
      <c r="B574" s="25">
        <v>45244</v>
      </c>
      <c r="C574" s="30" t="s">
        <v>2050</v>
      </c>
      <c r="D574" s="30" t="s">
        <v>2153</v>
      </c>
      <c r="E574" s="31">
        <v>60</v>
      </c>
      <c r="F574" s="197" t="s">
        <v>2472</v>
      </c>
      <c r="G574" s="197">
        <v>13997.408702999999</v>
      </c>
      <c r="H574" s="30" t="s">
        <v>2013</v>
      </c>
      <c r="I574" s="30" t="s">
        <v>123</v>
      </c>
    </row>
    <row r="575" spans="1:36" x14ac:dyDescent="0.25">
      <c r="A575" s="24">
        <v>90</v>
      </c>
      <c r="B575" s="26">
        <v>45251</v>
      </c>
      <c r="C575" s="21" t="s">
        <v>2050</v>
      </c>
      <c r="D575" s="21" t="s">
        <v>2054</v>
      </c>
      <c r="E575" s="212">
        <v>-1990</v>
      </c>
      <c r="F575" s="196" t="s">
        <v>2473</v>
      </c>
      <c r="G575" s="196">
        <v>14022.865057999999</v>
      </c>
      <c r="H575" s="21" t="s">
        <v>2013</v>
      </c>
      <c r="I575" s="21" t="s">
        <v>123</v>
      </c>
    </row>
    <row r="576" spans="1:36" x14ac:dyDescent="0.25">
      <c r="A576" s="24">
        <v>90</v>
      </c>
      <c r="B576" s="26">
        <v>45251</v>
      </c>
      <c r="C576" s="21" t="s">
        <v>2050</v>
      </c>
      <c r="D576" s="21" t="s">
        <v>2026</v>
      </c>
      <c r="E576" s="22">
        <v>-10</v>
      </c>
      <c r="F576" s="196" t="s">
        <v>2473</v>
      </c>
      <c r="G576" s="196">
        <v>14022.865057999999</v>
      </c>
      <c r="H576" s="21" t="s">
        <v>2013</v>
      </c>
      <c r="I576" s="21" t="s">
        <v>123</v>
      </c>
    </row>
    <row r="577" spans="1:9" x14ac:dyDescent="0.25">
      <c r="A577" s="24">
        <v>90</v>
      </c>
      <c r="B577" s="26">
        <v>45251</v>
      </c>
      <c r="C577" s="21" t="s">
        <v>2050</v>
      </c>
      <c r="D577" s="21" t="s">
        <v>2153</v>
      </c>
      <c r="E577" s="22">
        <v>20</v>
      </c>
      <c r="F577" s="196" t="s">
        <v>2474</v>
      </c>
      <c r="G577" s="196">
        <v>14022.965058</v>
      </c>
      <c r="H577" s="21" t="s">
        <v>2013</v>
      </c>
      <c r="I577" s="21" t="s">
        <v>123</v>
      </c>
    </row>
    <row r="578" spans="1:9" x14ac:dyDescent="0.25">
      <c r="A578" s="24">
        <v>90</v>
      </c>
      <c r="B578" s="26">
        <v>45251</v>
      </c>
      <c r="C578" s="21" t="s">
        <v>2050</v>
      </c>
      <c r="D578" s="21" t="s">
        <v>2024</v>
      </c>
      <c r="E578" s="22">
        <v>980</v>
      </c>
      <c r="F578" s="196" t="s">
        <v>2474</v>
      </c>
      <c r="G578" s="196">
        <v>14022.965058</v>
      </c>
      <c r="H578" s="21" t="s">
        <v>2013</v>
      </c>
      <c r="I578" s="21" t="s">
        <v>123</v>
      </c>
    </row>
    <row r="579" spans="1:9" x14ac:dyDescent="0.25">
      <c r="A579" s="24">
        <v>90</v>
      </c>
      <c r="B579" s="26">
        <v>45251</v>
      </c>
      <c r="C579" s="21" t="s">
        <v>2050</v>
      </c>
      <c r="D579" s="21" t="s">
        <v>2027</v>
      </c>
      <c r="E579" s="212">
        <v>1000</v>
      </c>
      <c r="F579" s="196" t="s">
        <v>2474</v>
      </c>
      <c r="G579" s="196">
        <v>14022.965058</v>
      </c>
      <c r="H579" s="21" t="s">
        <v>2013</v>
      </c>
      <c r="I579" s="21" t="s">
        <v>123</v>
      </c>
    </row>
    <row r="580" spans="1:9" x14ac:dyDescent="0.25">
      <c r="A580" s="24">
        <v>90</v>
      </c>
      <c r="B580" s="26">
        <v>45251</v>
      </c>
      <c r="C580" s="21" t="s">
        <v>2046</v>
      </c>
      <c r="D580" s="21" t="s">
        <v>2043</v>
      </c>
      <c r="E580" s="22">
        <v>-64</v>
      </c>
      <c r="F580" s="196" t="s">
        <v>2475</v>
      </c>
      <c r="G580" s="196">
        <v>4287.7790290000003</v>
      </c>
      <c r="H580" s="21" t="s">
        <v>2016</v>
      </c>
      <c r="I580" s="21" t="s">
        <v>123</v>
      </c>
    </row>
    <row r="581" spans="1:9" x14ac:dyDescent="0.25">
      <c r="A581" s="24">
        <v>90</v>
      </c>
      <c r="B581" s="26">
        <v>45251</v>
      </c>
      <c r="C581" s="21" t="s">
        <v>2046</v>
      </c>
      <c r="D581" s="21" t="s">
        <v>2066</v>
      </c>
      <c r="E581" s="22">
        <v>4</v>
      </c>
      <c r="F581" s="196" t="s">
        <v>2476</v>
      </c>
      <c r="G581" s="196">
        <v>4287.9290289999999</v>
      </c>
      <c r="H581" s="21" t="s">
        <v>2016</v>
      </c>
      <c r="I581" s="21" t="s">
        <v>123</v>
      </c>
    </row>
    <row r="582" spans="1:9" x14ac:dyDescent="0.25">
      <c r="A582" s="24">
        <v>90</v>
      </c>
      <c r="B582" s="26">
        <v>45251</v>
      </c>
      <c r="C582" s="21" t="s">
        <v>2046</v>
      </c>
      <c r="D582" s="21" t="s">
        <v>2153</v>
      </c>
      <c r="E582" s="22">
        <v>60</v>
      </c>
      <c r="F582" s="196" t="s">
        <v>2476</v>
      </c>
      <c r="G582" s="196">
        <v>4287.9290289999999</v>
      </c>
      <c r="H582" s="21" t="s">
        <v>2016</v>
      </c>
      <c r="I582" s="21" t="s">
        <v>123</v>
      </c>
    </row>
    <row r="583" spans="1:9" x14ac:dyDescent="0.25">
      <c r="A583" s="29">
        <v>91</v>
      </c>
      <c r="B583" s="25">
        <v>45252</v>
      </c>
      <c r="C583" s="30" t="s">
        <v>2050</v>
      </c>
      <c r="D583" s="30" t="s">
        <v>2048</v>
      </c>
      <c r="E583" s="31">
        <v>3</v>
      </c>
      <c r="F583" s="197" t="s">
        <v>2477</v>
      </c>
      <c r="G583" s="197">
        <v>14035.351542</v>
      </c>
      <c r="H583" s="30" t="s">
        <v>2013</v>
      </c>
      <c r="I583" s="30" t="s">
        <v>123</v>
      </c>
    </row>
    <row r="584" spans="1:9" x14ac:dyDescent="0.25">
      <c r="A584" s="29">
        <v>91</v>
      </c>
      <c r="B584" s="25">
        <v>45252</v>
      </c>
      <c r="C584" s="30" t="s">
        <v>2050</v>
      </c>
      <c r="D584" s="30" t="s">
        <v>2027</v>
      </c>
      <c r="E584" s="31">
        <v>3</v>
      </c>
      <c r="F584" s="197" t="s">
        <v>2478</v>
      </c>
      <c r="G584" s="197">
        <v>14035.451542000001</v>
      </c>
      <c r="H584" s="30" t="s">
        <v>2013</v>
      </c>
      <c r="I584" s="30" t="s">
        <v>123</v>
      </c>
    </row>
    <row r="585" spans="1:9" x14ac:dyDescent="0.25">
      <c r="A585" s="24">
        <v>92</v>
      </c>
      <c r="B585" s="26">
        <v>45254</v>
      </c>
      <c r="C585" s="21" t="s">
        <v>2050</v>
      </c>
      <c r="D585" s="21" t="s">
        <v>2043</v>
      </c>
      <c r="E585" s="22">
        <v>-20</v>
      </c>
      <c r="F585" s="196" t="s">
        <v>2484</v>
      </c>
      <c r="G585" s="196">
        <v>14040.933575999999</v>
      </c>
      <c r="H585" s="21" t="s">
        <v>2013</v>
      </c>
      <c r="I585" s="21" t="s">
        <v>123</v>
      </c>
    </row>
    <row r="586" spans="1:9" x14ac:dyDescent="0.25">
      <c r="A586" s="24">
        <v>92</v>
      </c>
      <c r="B586" s="26">
        <v>45254</v>
      </c>
      <c r="C586" s="21" t="s">
        <v>2050</v>
      </c>
      <c r="D586" s="21" t="s">
        <v>2153</v>
      </c>
      <c r="E586" s="22">
        <v>20</v>
      </c>
      <c r="F586" s="196" t="s">
        <v>2485</v>
      </c>
      <c r="G586" s="196">
        <v>14041.033576</v>
      </c>
      <c r="H586" s="21" t="s">
        <v>2013</v>
      </c>
      <c r="I586" s="21" t="s">
        <v>123</v>
      </c>
    </row>
    <row r="587" spans="1:9" x14ac:dyDescent="0.25">
      <c r="A587" s="24">
        <v>92</v>
      </c>
      <c r="B587" s="26">
        <v>45254</v>
      </c>
      <c r="C587" s="21" t="s">
        <v>2046</v>
      </c>
      <c r="D587" s="21" t="s">
        <v>2027</v>
      </c>
      <c r="E587" s="22">
        <v>-24</v>
      </c>
      <c r="F587" s="196" t="s">
        <v>2486</v>
      </c>
      <c r="G587" s="196">
        <v>4302.4223039999997</v>
      </c>
      <c r="H587" s="21" t="s">
        <v>2013</v>
      </c>
      <c r="I587" s="21" t="s">
        <v>123</v>
      </c>
    </row>
    <row r="588" spans="1:9" x14ac:dyDescent="0.25">
      <c r="A588" s="24">
        <v>92</v>
      </c>
      <c r="B588" s="26">
        <v>45254</v>
      </c>
      <c r="C588" s="21" t="s">
        <v>2046</v>
      </c>
      <c r="D588" s="21" t="s">
        <v>2153</v>
      </c>
      <c r="E588" s="22">
        <v>24</v>
      </c>
      <c r="F588" s="196" t="s">
        <v>2487</v>
      </c>
      <c r="G588" s="196">
        <v>4302.5723040000003</v>
      </c>
      <c r="H588" s="21" t="s">
        <v>2013</v>
      </c>
      <c r="I588" s="21" t="s">
        <v>123</v>
      </c>
    </row>
    <row r="589" spans="1:9" x14ac:dyDescent="0.25">
      <c r="A589" s="29">
        <v>93</v>
      </c>
      <c r="B589" s="25">
        <v>45259</v>
      </c>
      <c r="C589" s="30" t="s">
        <v>2050</v>
      </c>
      <c r="D589" s="30" t="s">
        <v>2048</v>
      </c>
      <c r="E589" s="31">
        <v>-11</v>
      </c>
      <c r="F589" s="197" t="s">
        <v>2496</v>
      </c>
      <c r="G589" s="197">
        <v>14060.354108</v>
      </c>
      <c r="H589" s="30" t="s">
        <v>2013</v>
      </c>
      <c r="I589" s="30" t="s">
        <v>123</v>
      </c>
    </row>
    <row r="590" spans="1:9" x14ac:dyDescent="0.25">
      <c r="A590" s="29">
        <v>93</v>
      </c>
      <c r="B590" s="25">
        <v>45259</v>
      </c>
      <c r="C590" s="30" t="s">
        <v>2050</v>
      </c>
      <c r="D590" s="30" t="s">
        <v>2027</v>
      </c>
      <c r="E590" s="31">
        <v>11</v>
      </c>
      <c r="F590" s="197" t="s">
        <v>2497</v>
      </c>
      <c r="G590" s="197">
        <v>14060.454108</v>
      </c>
      <c r="H590" s="30" t="s">
        <v>2013</v>
      </c>
      <c r="I590" s="30" t="s">
        <v>123</v>
      </c>
    </row>
    <row r="591" spans="1:9" x14ac:dyDescent="0.25">
      <c r="A591" s="29">
        <v>93</v>
      </c>
      <c r="B591" s="25">
        <v>45259</v>
      </c>
      <c r="C591" s="30" t="s">
        <v>2050</v>
      </c>
      <c r="D591" s="30" t="s">
        <v>2043</v>
      </c>
      <c r="E591" s="31">
        <v>-30</v>
      </c>
      <c r="F591" s="197" t="s">
        <v>2496</v>
      </c>
      <c r="G591" s="197">
        <v>14060.354108</v>
      </c>
      <c r="H591" s="30" t="s">
        <v>2016</v>
      </c>
      <c r="I591" s="30" t="s">
        <v>123</v>
      </c>
    </row>
    <row r="592" spans="1:9" x14ac:dyDescent="0.25">
      <c r="A592" s="29">
        <v>93</v>
      </c>
      <c r="B592" s="25">
        <v>45259</v>
      </c>
      <c r="C592" s="30" t="s">
        <v>2050</v>
      </c>
      <c r="D592" s="30" t="s">
        <v>2066</v>
      </c>
      <c r="E592" s="31">
        <v>30</v>
      </c>
      <c r="F592" s="197" t="s">
        <v>2497</v>
      </c>
      <c r="G592" s="197">
        <v>14060.454108</v>
      </c>
      <c r="H592" s="30" t="s">
        <v>2016</v>
      </c>
      <c r="I592" s="30" t="s">
        <v>123</v>
      </c>
    </row>
    <row r="593" spans="1:9" x14ac:dyDescent="0.25">
      <c r="A593" s="29">
        <v>93</v>
      </c>
      <c r="B593" s="25">
        <v>45259</v>
      </c>
      <c r="C593" s="30" t="s">
        <v>2046</v>
      </c>
      <c r="D593" s="30" t="s">
        <v>2027</v>
      </c>
      <c r="E593" s="31">
        <v>-17</v>
      </c>
      <c r="F593" s="197" t="s">
        <v>2498</v>
      </c>
      <c r="G593" s="197">
        <v>4318.0903410000001</v>
      </c>
      <c r="H593" s="30" t="s">
        <v>2016</v>
      </c>
      <c r="I593" s="30" t="s">
        <v>123</v>
      </c>
    </row>
    <row r="594" spans="1:9" x14ac:dyDescent="0.25">
      <c r="A594" s="29">
        <v>93</v>
      </c>
      <c r="B594" s="25">
        <v>45259</v>
      </c>
      <c r="C594" s="30" t="s">
        <v>2046</v>
      </c>
      <c r="D594" s="30" t="s">
        <v>2066</v>
      </c>
      <c r="E594" s="31">
        <v>17</v>
      </c>
      <c r="F594" s="197" t="s">
        <v>2499</v>
      </c>
      <c r="G594" s="197">
        <v>4318.2403409999997</v>
      </c>
      <c r="H594" s="30" t="s">
        <v>2016</v>
      </c>
      <c r="I594" s="30" t="s">
        <v>123</v>
      </c>
    </row>
    <row r="595" spans="1:9" x14ac:dyDescent="0.25">
      <c r="A595" s="24">
        <v>94</v>
      </c>
      <c r="B595" s="26">
        <v>45265</v>
      </c>
      <c r="C595" s="21" t="s">
        <v>2050</v>
      </c>
      <c r="D595" s="21" t="s">
        <v>2504</v>
      </c>
      <c r="E595" s="22">
        <v>-50</v>
      </c>
      <c r="F595" s="196" t="s">
        <v>2505</v>
      </c>
      <c r="G595" s="196">
        <v>14089.707721999999</v>
      </c>
      <c r="H595" s="21" t="s">
        <v>2016</v>
      </c>
      <c r="I595" s="21" t="s">
        <v>123</v>
      </c>
    </row>
    <row r="596" spans="1:9" x14ac:dyDescent="0.25">
      <c r="A596" s="24">
        <v>94</v>
      </c>
      <c r="B596" s="26">
        <v>45265</v>
      </c>
      <c r="C596" s="21" t="s">
        <v>2050</v>
      </c>
      <c r="D596" s="21" t="s">
        <v>2153</v>
      </c>
      <c r="E596" s="22">
        <v>50</v>
      </c>
      <c r="F596" s="196" t="s">
        <v>2506</v>
      </c>
      <c r="G596" s="196">
        <v>14089.807722</v>
      </c>
      <c r="H596" s="21" t="s">
        <v>2016</v>
      </c>
      <c r="I596" s="21" t="s">
        <v>123</v>
      </c>
    </row>
    <row r="597" spans="1:9" x14ac:dyDescent="0.25">
      <c r="A597" s="24">
        <v>94</v>
      </c>
      <c r="B597" s="26">
        <v>45265</v>
      </c>
      <c r="C597" s="21" t="s">
        <v>2046</v>
      </c>
      <c r="D597" s="21" t="s">
        <v>2023</v>
      </c>
      <c r="E597" s="22">
        <v>-28</v>
      </c>
      <c r="F597" s="196" t="s">
        <v>2507</v>
      </c>
      <c r="G597" s="196">
        <v>4319.2045900000003</v>
      </c>
      <c r="H597" s="21" t="s">
        <v>2016</v>
      </c>
      <c r="I597" s="21" t="s">
        <v>123</v>
      </c>
    </row>
    <row r="598" spans="1:9" x14ac:dyDescent="0.25">
      <c r="A598" s="24">
        <v>94</v>
      </c>
      <c r="B598" s="26">
        <v>45265</v>
      </c>
      <c r="C598" s="21" t="s">
        <v>2046</v>
      </c>
      <c r="D598" s="21" t="s">
        <v>2153</v>
      </c>
      <c r="E598" s="22">
        <v>28</v>
      </c>
      <c r="F598" s="196" t="s">
        <v>2508</v>
      </c>
      <c r="G598" s="196">
        <v>4319.3545899999999</v>
      </c>
      <c r="H598" s="21" t="s">
        <v>2016</v>
      </c>
      <c r="I598" s="21" t="s">
        <v>123</v>
      </c>
    </row>
    <row r="599" spans="1:9" x14ac:dyDescent="0.25">
      <c r="A599" s="29">
        <v>95</v>
      </c>
      <c r="B599" s="25">
        <v>45266</v>
      </c>
      <c r="C599" s="30" t="s">
        <v>2050</v>
      </c>
      <c r="D599" s="30" t="s">
        <v>2036</v>
      </c>
      <c r="E599" s="31">
        <v>-3000</v>
      </c>
      <c r="F599" s="197" t="s">
        <v>2502</v>
      </c>
      <c r="G599" s="197">
        <v>14096.715495</v>
      </c>
      <c r="H599" s="30" t="s">
        <v>2013</v>
      </c>
      <c r="I599" s="30" t="s">
        <v>123</v>
      </c>
    </row>
    <row r="600" spans="1:9" x14ac:dyDescent="0.25">
      <c r="A600" s="29">
        <v>95</v>
      </c>
      <c r="B600" s="25">
        <v>45266</v>
      </c>
      <c r="C600" s="30" t="s">
        <v>2050</v>
      </c>
      <c r="D600" s="30" t="s">
        <v>2022</v>
      </c>
      <c r="E600" s="31">
        <v>3000</v>
      </c>
      <c r="F600" s="197" t="s">
        <v>2502</v>
      </c>
      <c r="G600" s="197">
        <v>14096.715495</v>
      </c>
      <c r="H600" s="30" t="s">
        <v>2013</v>
      </c>
      <c r="I600" s="30" t="s">
        <v>123</v>
      </c>
    </row>
    <row r="601" spans="1:9" x14ac:dyDescent="0.25">
      <c r="A601" s="29">
        <v>95</v>
      </c>
      <c r="B601" s="25">
        <v>45266</v>
      </c>
      <c r="C601" s="30" t="s">
        <v>2050</v>
      </c>
      <c r="D601" s="30" t="s">
        <v>2031</v>
      </c>
      <c r="E601" s="31">
        <v>-3000</v>
      </c>
      <c r="F601" s="197" t="s">
        <v>2502</v>
      </c>
      <c r="G601" s="197">
        <v>14096.715495</v>
      </c>
      <c r="H601" s="30" t="s">
        <v>2013</v>
      </c>
      <c r="I601" s="30" t="s">
        <v>123</v>
      </c>
    </row>
    <row r="602" spans="1:9" x14ac:dyDescent="0.25">
      <c r="A602" s="29">
        <v>95</v>
      </c>
      <c r="B602" s="25">
        <v>45266</v>
      </c>
      <c r="C602" s="30" t="s">
        <v>2050</v>
      </c>
      <c r="D602" s="30" t="s">
        <v>2045</v>
      </c>
      <c r="E602" s="31">
        <v>-1000</v>
      </c>
      <c r="F602" s="197" t="s">
        <v>2502</v>
      </c>
      <c r="G602" s="197">
        <v>14096.715495</v>
      </c>
      <c r="H602" s="30" t="s">
        <v>2013</v>
      </c>
      <c r="I602" s="30" t="s">
        <v>123</v>
      </c>
    </row>
    <row r="603" spans="1:9" x14ac:dyDescent="0.25">
      <c r="A603" s="29">
        <v>95</v>
      </c>
      <c r="B603" s="25">
        <v>45266</v>
      </c>
      <c r="C603" s="30" t="s">
        <v>2050</v>
      </c>
      <c r="D603" s="30" t="s">
        <v>2026</v>
      </c>
      <c r="E603" s="31">
        <v>-30</v>
      </c>
      <c r="F603" s="197" t="s">
        <v>2502</v>
      </c>
      <c r="G603" s="197">
        <v>14096.715495</v>
      </c>
      <c r="H603" s="30" t="s">
        <v>2013</v>
      </c>
      <c r="I603" s="30" t="s">
        <v>123</v>
      </c>
    </row>
    <row r="604" spans="1:9" x14ac:dyDescent="0.25">
      <c r="A604" s="29">
        <v>95</v>
      </c>
      <c r="B604" s="25">
        <v>45266</v>
      </c>
      <c r="C604" s="30" t="s">
        <v>2050</v>
      </c>
      <c r="D604" s="30" t="s">
        <v>2023</v>
      </c>
      <c r="E604" s="31">
        <v>4000</v>
      </c>
      <c r="F604" s="197" t="s">
        <v>2503</v>
      </c>
      <c r="G604" s="197">
        <v>14096.815495000001</v>
      </c>
      <c r="H604" s="30" t="s">
        <v>2013</v>
      </c>
      <c r="I604" s="30" t="s">
        <v>123</v>
      </c>
    </row>
    <row r="605" spans="1:9" x14ac:dyDescent="0.25">
      <c r="A605" s="29">
        <v>95</v>
      </c>
      <c r="B605" s="25">
        <v>45266</v>
      </c>
      <c r="C605" s="30" t="s">
        <v>2050</v>
      </c>
      <c r="D605" s="30" t="s">
        <v>2027</v>
      </c>
      <c r="E605" s="31">
        <v>6030</v>
      </c>
      <c r="F605" s="197" t="s">
        <v>2503</v>
      </c>
      <c r="G605" s="197">
        <v>14096.815495000001</v>
      </c>
      <c r="H605" s="30" t="s">
        <v>2013</v>
      </c>
      <c r="I605" s="30" t="s">
        <v>123</v>
      </c>
    </row>
    <row r="606" spans="1:9" x14ac:dyDescent="0.25">
      <c r="A606" s="24">
        <v>96</v>
      </c>
      <c r="B606" s="26">
        <v>45274</v>
      </c>
      <c r="C606" s="21" t="s">
        <v>2467</v>
      </c>
      <c r="D606" s="21" t="s">
        <v>2043</v>
      </c>
      <c r="E606" s="22">
        <v>-158</v>
      </c>
      <c r="F606" s="196" t="s">
        <v>2509</v>
      </c>
      <c r="G606" s="196">
        <v>4281.1443239999999</v>
      </c>
      <c r="H606" s="21" t="s">
        <v>2013</v>
      </c>
      <c r="I606" s="21" t="s">
        <v>123</v>
      </c>
    </row>
    <row r="607" spans="1:9" x14ac:dyDescent="0.25">
      <c r="A607" s="24">
        <v>96</v>
      </c>
      <c r="B607" s="26">
        <v>45274</v>
      </c>
      <c r="C607" s="21" t="s">
        <v>2467</v>
      </c>
      <c r="D607" s="21" t="s">
        <v>2182</v>
      </c>
      <c r="E607" s="22">
        <v>52</v>
      </c>
      <c r="F607" s="196" t="s">
        <v>2510</v>
      </c>
      <c r="G607" s="196">
        <v>4281.2943240000004</v>
      </c>
      <c r="H607" s="21" t="s">
        <v>2013</v>
      </c>
      <c r="I607" s="21" t="s">
        <v>123</v>
      </c>
    </row>
    <row r="608" spans="1:9" x14ac:dyDescent="0.25">
      <c r="A608" s="24">
        <v>96</v>
      </c>
      <c r="B608" s="26">
        <v>45274</v>
      </c>
      <c r="C608" s="21" t="s">
        <v>2467</v>
      </c>
      <c r="D608" s="21" t="s">
        <v>2174</v>
      </c>
      <c r="E608" s="22">
        <v>106</v>
      </c>
      <c r="F608" s="196" t="s">
        <v>2510</v>
      </c>
      <c r="G608" s="196">
        <v>4281.2943240000004</v>
      </c>
      <c r="H608" s="21" t="s">
        <v>2013</v>
      </c>
      <c r="I608" s="21" t="s">
        <v>123</v>
      </c>
    </row>
    <row r="609" spans="1:9" x14ac:dyDescent="0.25">
      <c r="A609" s="24">
        <v>96</v>
      </c>
      <c r="B609" s="26">
        <v>45274</v>
      </c>
      <c r="C609" s="21" t="s">
        <v>2046</v>
      </c>
      <c r="D609" s="21" t="s">
        <v>2043</v>
      </c>
      <c r="E609" s="22">
        <v>47</v>
      </c>
      <c r="F609" s="196" t="s">
        <v>2511</v>
      </c>
      <c r="G609" s="196">
        <v>4370.4879549999996</v>
      </c>
      <c r="H609" s="21" t="s">
        <v>2013</v>
      </c>
      <c r="I609" s="21" t="s">
        <v>123</v>
      </c>
    </row>
    <row r="610" spans="1:9" x14ac:dyDescent="0.25">
      <c r="A610" s="24">
        <v>96</v>
      </c>
      <c r="B610" s="26">
        <v>45274</v>
      </c>
      <c r="C610" s="21" t="s">
        <v>2046</v>
      </c>
      <c r="D610" s="21" t="s">
        <v>2182</v>
      </c>
      <c r="E610" s="22">
        <v>-29</v>
      </c>
      <c r="F610" s="196" t="s">
        <v>2512</v>
      </c>
      <c r="G610" s="196">
        <v>4370.337955</v>
      </c>
      <c r="H610" s="21" t="s">
        <v>2013</v>
      </c>
      <c r="I610" s="21" t="s">
        <v>123</v>
      </c>
    </row>
    <row r="611" spans="1:9" x14ac:dyDescent="0.25">
      <c r="A611" s="24">
        <v>96</v>
      </c>
      <c r="B611" s="26">
        <v>45274</v>
      </c>
      <c r="C611" s="21" t="s">
        <v>2046</v>
      </c>
      <c r="D611" s="21" t="s">
        <v>2174</v>
      </c>
      <c r="E611" s="22">
        <v>-18</v>
      </c>
      <c r="F611" s="196" t="s">
        <v>2512</v>
      </c>
      <c r="G611" s="196">
        <v>4370.337955</v>
      </c>
      <c r="H611" s="21" t="s">
        <v>2013</v>
      </c>
      <c r="I611" s="21" t="s">
        <v>123</v>
      </c>
    </row>
    <row r="612" spans="1:9" x14ac:dyDescent="0.25">
      <c r="A612" s="29">
        <v>97</v>
      </c>
      <c r="B612" s="25">
        <v>45280</v>
      </c>
      <c r="C612" s="30" t="s">
        <v>2050</v>
      </c>
      <c r="D612" s="30" t="s">
        <v>2504</v>
      </c>
      <c r="E612" s="31">
        <v>-40</v>
      </c>
      <c r="F612" s="197" t="s">
        <v>2513</v>
      </c>
      <c r="G612" s="197">
        <v>14161.80899</v>
      </c>
      <c r="H612" s="30" t="s">
        <v>2013</v>
      </c>
      <c r="I612" s="30" t="s">
        <v>123</v>
      </c>
    </row>
    <row r="613" spans="1:9" x14ac:dyDescent="0.25">
      <c r="A613" s="29">
        <v>97</v>
      </c>
      <c r="B613" s="25">
        <v>45280</v>
      </c>
      <c r="C613" s="30" t="s">
        <v>2050</v>
      </c>
      <c r="D613" s="30" t="s">
        <v>2174</v>
      </c>
      <c r="E613" s="31" t="s">
        <v>2515</v>
      </c>
      <c r="F613" s="197" t="s">
        <v>2514</v>
      </c>
      <c r="G613" s="197">
        <v>14161.90899</v>
      </c>
      <c r="H613" s="30" t="s">
        <v>2013</v>
      </c>
      <c r="I613" s="30" t="s">
        <v>123</v>
      </c>
    </row>
    <row r="614" spans="1:9" x14ac:dyDescent="0.25">
      <c r="A614" s="29">
        <v>97</v>
      </c>
      <c r="B614" s="25">
        <v>45280</v>
      </c>
      <c r="C614" s="30" t="s">
        <v>2028</v>
      </c>
      <c r="D614" s="30" t="s">
        <v>2043</v>
      </c>
      <c r="E614" s="31" t="s">
        <v>4024</v>
      </c>
      <c r="F614" s="197" t="s">
        <v>4028</v>
      </c>
      <c r="G614" s="197">
        <v>14183.566151999999</v>
      </c>
      <c r="H614" s="30" t="s">
        <v>4029</v>
      </c>
      <c r="I614" s="30" t="s">
        <v>123</v>
      </c>
    </row>
    <row r="615" spans="1:9" x14ac:dyDescent="0.25">
      <c r="A615" s="29">
        <v>97</v>
      </c>
      <c r="B615" s="25">
        <v>45280</v>
      </c>
      <c r="C615" s="30" t="s">
        <v>2028</v>
      </c>
      <c r="D615" s="30" t="s">
        <v>2045</v>
      </c>
      <c r="E615" s="31" t="s">
        <v>4025</v>
      </c>
      <c r="F615" s="197" t="s">
        <v>4028</v>
      </c>
      <c r="G615" s="197">
        <v>14183.566151999999</v>
      </c>
      <c r="H615" s="30" t="s">
        <v>4029</v>
      </c>
      <c r="I615" s="30" t="s">
        <v>123</v>
      </c>
    </row>
    <row r="616" spans="1:9" x14ac:dyDescent="0.25">
      <c r="A616" s="29">
        <v>97</v>
      </c>
      <c r="B616" s="25">
        <v>45280</v>
      </c>
      <c r="C616" s="30" t="s">
        <v>2028</v>
      </c>
      <c r="D616" s="30" t="s">
        <v>2029</v>
      </c>
      <c r="E616" s="31" t="s">
        <v>4000</v>
      </c>
      <c r="F616" s="197" t="s">
        <v>4028</v>
      </c>
      <c r="G616" s="197">
        <v>14183.566151999999</v>
      </c>
      <c r="H616" s="30" t="s">
        <v>4029</v>
      </c>
      <c r="I616" s="30" t="s">
        <v>123</v>
      </c>
    </row>
    <row r="617" spans="1:9" x14ac:dyDescent="0.25">
      <c r="A617" s="29">
        <v>97</v>
      </c>
      <c r="B617" s="25">
        <v>45280</v>
      </c>
      <c r="C617" s="30" t="s">
        <v>2028</v>
      </c>
      <c r="D617" s="30" t="s">
        <v>2023</v>
      </c>
      <c r="E617" s="31" t="s">
        <v>4026</v>
      </c>
      <c r="F617" s="197" t="s">
        <v>4028</v>
      </c>
      <c r="G617" s="197">
        <v>14183.566151999999</v>
      </c>
      <c r="H617" s="30" t="s">
        <v>4029</v>
      </c>
      <c r="I617" s="30" t="s">
        <v>123</v>
      </c>
    </row>
    <row r="618" spans="1:9" x14ac:dyDescent="0.25">
      <c r="A618" s="29">
        <v>97</v>
      </c>
      <c r="B618" s="25">
        <v>45280</v>
      </c>
      <c r="C618" s="30" t="s">
        <v>2028</v>
      </c>
      <c r="D618" s="30" t="s">
        <v>2031</v>
      </c>
      <c r="E618" s="31" t="s">
        <v>4027</v>
      </c>
      <c r="F618" s="197" t="s">
        <v>4028</v>
      </c>
      <c r="G618" s="197">
        <v>14183.566151999999</v>
      </c>
      <c r="H618" s="30" t="s">
        <v>4029</v>
      </c>
      <c r="I618" s="30" t="s">
        <v>123</v>
      </c>
    </row>
    <row r="619" spans="1:9" x14ac:dyDescent="0.25">
      <c r="A619" s="24">
        <v>98</v>
      </c>
      <c r="B619" s="26">
        <v>45288</v>
      </c>
      <c r="C619" s="21" t="s">
        <v>2050</v>
      </c>
      <c r="D619" s="21" t="s">
        <v>2053</v>
      </c>
      <c r="E619" s="22">
        <v>-20</v>
      </c>
      <c r="F619" s="196" t="s">
        <v>2516</v>
      </c>
      <c r="G619" s="196">
        <v>14194.562026</v>
      </c>
      <c r="H619" s="21" t="s">
        <v>2013</v>
      </c>
      <c r="I619" s="21" t="s">
        <v>123</v>
      </c>
    </row>
    <row r="620" spans="1:9" x14ac:dyDescent="0.25">
      <c r="A620" s="24">
        <v>98</v>
      </c>
      <c r="B620" s="26">
        <v>45288</v>
      </c>
      <c r="C620" s="21" t="s">
        <v>2050</v>
      </c>
      <c r="D620" s="21" t="s">
        <v>2043</v>
      </c>
      <c r="E620" s="22">
        <v>-180</v>
      </c>
      <c r="F620" s="196" t="s">
        <v>2516</v>
      </c>
      <c r="G620" s="196">
        <v>14194.562026</v>
      </c>
      <c r="H620" s="21" t="s">
        <v>2013</v>
      </c>
      <c r="I620" s="21" t="s">
        <v>123</v>
      </c>
    </row>
    <row r="621" spans="1:9" x14ac:dyDescent="0.25">
      <c r="A621" s="24">
        <v>98</v>
      </c>
      <c r="B621" s="26">
        <v>45288</v>
      </c>
      <c r="C621" s="21" t="s">
        <v>2050</v>
      </c>
      <c r="D621" s="21" t="s">
        <v>2174</v>
      </c>
      <c r="E621" s="22">
        <v>200</v>
      </c>
      <c r="F621" s="196" t="s">
        <v>2517</v>
      </c>
      <c r="G621" s="196">
        <v>14194.662026</v>
      </c>
      <c r="H621" s="21" t="s">
        <v>2013</v>
      </c>
      <c r="I621" s="21" t="s">
        <v>123</v>
      </c>
    </row>
    <row r="622" spans="1:9" x14ac:dyDescent="0.25">
      <c r="A622" s="29">
        <v>99</v>
      </c>
      <c r="B622" s="25">
        <v>45293</v>
      </c>
      <c r="C622" s="30" t="s">
        <v>2046</v>
      </c>
      <c r="D622" s="30" t="s">
        <v>2043</v>
      </c>
      <c r="E622" s="31">
        <v>211</v>
      </c>
      <c r="F622" s="197" t="s">
        <v>2518</v>
      </c>
      <c r="G622" s="197">
        <v>4409.5146569999997</v>
      </c>
      <c r="H622" s="30" t="s">
        <v>2016</v>
      </c>
      <c r="I622" s="30" t="s">
        <v>123</v>
      </c>
    </row>
    <row r="623" spans="1:9" x14ac:dyDescent="0.25">
      <c r="A623" s="29">
        <v>99</v>
      </c>
      <c r="B623" s="25">
        <v>45293</v>
      </c>
      <c r="C623" s="30" t="s">
        <v>2046</v>
      </c>
      <c r="D623" s="30" t="s">
        <v>2066</v>
      </c>
      <c r="E623" s="31">
        <v>-91</v>
      </c>
      <c r="F623" s="197" t="s">
        <v>2519</v>
      </c>
      <c r="G623" s="197">
        <v>4409.3646570000001</v>
      </c>
      <c r="H623" s="30" t="s">
        <v>2016</v>
      </c>
      <c r="I623" s="30" t="s">
        <v>123</v>
      </c>
    </row>
    <row r="624" spans="1:9" x14ac:dyDescent="0.25">
      <c r="A624" s="29">
        <v>99</v>
      </c>
      <c r="B624" s="25">
        <v>45293</v>
      </c>
      <c r="C624" s="30" t="s">
        <v>2046</v>
      </c>
      <c r="D624" s="30" t="s">
        <v>2153</v>
      </c>
      <c r="E624" s="31">
        <v>-120</v>
      </c>
      <c r="F624" s="197" t="s">
        <v>2519</v>
      </c>
      <c r="G624" s="197">
        <v>4409.3646570000001</v>
      </c>
      <c r="H624" s="30" t="s">
        <v>2016</v>
      </c>
      <c r="I624" s="30" t="s">
        <v>123</v>
      </c>
    </row>
    <row r="625" spans="1:9" x14ac:dyDescent="0.25">
      <c r="A625" s="29">
        <v>99</v>
      </c>
      <c r="B625" s="25">
        <v>45293</v>
      </c>
      <c r="C625" s="30" t="s">
        <v>2025</v>
      </c>
      <c r="D625" s="30" t="s">
        <v>2181</v>
      </c>
      <c r="E625" s="31">
        <v>-88</v>
      </c>
      <c r="F625" s="197" t="s">
        <v>2520</v>
      </c>
      <c r="G625" s="197">
        <v>4561.3446100000001</v>
      </c>
      <c r="H625" s="30" t="s">
        <v>2016</v>
      </c>
      <c r="I625" s="30" t="s">
        <v>123</v>
      </c>
    </row>
    <row r="626" spans="1:9" x14ac:dyDescent="0.25">
      <c r="A626" s="29">
        <v>99</v>
      </c>
      <c r="B626" s="25">
        <v>45293</v>
      </c>
      <c r="C626" s="30" t="s">
        <v>2025</v>
      </c>
      <c r="D626" s="30" t="s">
        <v>2066</v>
      </c>
      <c r="E626" s="31">
        <v>26</v>
      </c>
      <c r="F626" s="197" t="s">
        <v>2521</v>
      </c>
      <c r="G626" s="197">
        <v>4561.4946099999997</v>
      </c>
      <c r="H626" s="30" t="s">
        <v>2016</v>
      </c>
      <c r="I626" s="30" t="s">
        <v>123</v>
      </c>
    </row>
    <row r="627" spans="1:9" x14ac:dyDescent="0.25">
      <c r="A627" s="29">
        <v>99</v>
      </c>
      <c r="B627" s="25">
        <v>45293</v>
      </c>
      <c r="C627" s="30" t="s">
        <v>2025</v>
      </c>
      <c r="D627" s="30" t="s">
        <v>2153</v>
      </c>
      <c r="E627" s="31">
        <v>62</v>
      </c>
      <c r="F627" s="197" t="s">
        <v>2521</v>
      </c>
      <c r="G627" s="197">
        <v>4561.4946099999997</v>
      </c>
      <c r="H627" s="30" t="s">
        <v>2016</v>
      </c>
      <c r="I627" s="30" t="s">
        <v>123</v>
      </c>
    </row>
    <row r="628" spans="1:9" x14ac:dyDescent="0.25">
      <c r="A628" s="24">
        <v>100</v>
      </c>
      <c r="B628" s="26">
        <v>45307</v>
      </c>
      <c r="C628" s="21" t="s">
        <v>2050</v>
      </c>
      <c r="D628" s="21" t="s">
        <v>2043</v>
      </c>
      <c r="E628" s="22">
        <v>-50</v>
      </c>
      <c r="F628" s="196" t="s">
        <v>3605</v>
      </c>
      <c r="G628" s="196">
        <v>14272.614111000001</v>
      </c>
      <c r="H628" s="21" t="s">
        <v>2013</v>
      </c>
      <c r="I628" s="21" t="s">
        <v>123</v>
      </c>
    </row>
    <row r="629" spans="1:9" x14ac:dyDescent="0.25">
      <c r="A629" s="24">
        <v>100</v>
      </c>
      <c r="B629" s="26">
        <v>45307</v>
      </c>
      <c r="C629" s="21" t="s">
        <v>2050</v>
      </c>
      <c r="D629" s="21" t="s">
        <v>2066</v>
      </c>
      <c r="E629" s="22">
        <v>50</v>
      </c>
      <c r="F629" s="196" t="s">
        <v>3606</v>
      </c>
      <c r="G629" s="196">
        <v>14272.714110999999</v>
      </c>
      <c r="H629" s="21" t="s">
        <v>2013</v>
      </c>
      <c r="I629" s="21" t="s">
        <v>123</v>
      </c>
    </row>
    <row r="630" spans="1:9" x14ac:dyDescent="0.25">
      <c r="A630" s="29">
        <v>101</v>
      </c>
      <c r="B630" s="25">
        <v>45320</v>
      </c>
      <c r="C630" s="30" t="s">
        <v>2046</v>
      </c>
      <c r="D630" s="30" t="s">
        <v>2043</v>
      </c>
      <c r="E630" s="31">
        <v>-16</v>
      </c>
      <c r="F630" s="197" t="s">
        <v>3607</v>
      </c>
      <c r="G630" s="197">
        <v>4405.7413900000001</v>
      </c>
      <c r="H630" s="30" t="s">
        <v>2016</v>
      </c>
      <c r="I630" s="30" t="s">
        <v>123</v>
      </c>
    </row>
    <row r="631" spans="1:9" x14ac:dyDescent="0.25">
      <c r="A631" s="29">
        <v>101</v>
      </c>
      <c r="B631" s="25">
        <v>45320</v>
      </c>
      <c r="C631" s="30" t="s">
        <v>2046</v>
      </c>
      <c r="D631" s="30" t="s">
        <v>2066</v>
      </c>
      <c r="E631" s="31">
        <v>16</v>
      </c>
      <c r="F631" s="197" t="s">
        <v>3608</v>
      </c>
      <c r="G631" s="197">
        <v>4405.8913899999998</v>
      </c>
      <c r="H631" s="30" t="s">
        <v>2016</v>
      </c>
      <c r="I631" s="30" t="s">
        <v>123</v>
      </c>
    </row>
    <row r="632" spans="1:9" x14ac:dyDescent="0.25">
      <c r="A632" s="29">
        <v>101</v>
      </c>
      <c r="B632" s="25">
        <v>45320</v>
      </c>
      <c r="C632" s="30" t="s">
        <v>2025</v>
      </c>
      <c r="D632" s="30" t="s">
        <v>2043</v>
      </c>
      <c r="E632" s="31">
        <v>-5</v>
      </c>
      <c r="F632" s="197" t="s">
        <v>3596</v>
      </c>
      <c r="G632" s="197">
        <v>4455.9578849999998</v>
      </c>
      <c r="H632" s="30" t="s">
        <v>2016</v>
      </c>
      <c r="I632" s="30" t="s">
        <v>123</v>
      </c>
    </row>
    <row r="633" spans="1:9" x14ac:dyDescent="0.25">
      <c r="A633" s="29">
        <v>101</v>
      </c>
      <c r="B633" s="25">
        <v>45320</v>
      </c>
      <c r="C633" s="30" t="s">
        <v>2025</v>
      </c>
      <c r="D633" s="30" t="s">
        <v>2066</v>
      </c>
      <c r="E633" s="31">
        <v>5</v>
      </c>
      <c r="F633" s="197" t="s">
        <v>3597</v>
      </c>
      <c r="G633" s="197">
        <v>4455.1078850000004</v>
      </c>
      <c r="H633" s="30" t="s">
        <v>2016</v>
      </c>
      <c r="I633" s="30" t="s">
        <v>123</v>
      </c>
    </row>
    <row r="634" spans="1:9" x14ac:dyDescent="0.25">
      <c r="A634" s="29">
        <v>101</v>
      </c>
      <c r="B634" s="25">
        <v>45320</v>
      </c>
      <c r="C634" s="30" t="s">
        <v>2467</v>
      </c>
      <c r="D634" s="30" t="s">
        <v>2043</v>
      </c>
      <c r="E634" s="31">
        <v>-16</v>
      </c>
      <c r="F634" s="197" t="s">
        <v>3598</v>
      </c>
      <c r="G634" s="197">
        <v>4328.711628</v>
      </c>
      <c r="H634" s="30" t="s">
        <v>2016</v>
      </c>
      <c r="I634" s="30" t="s">
        <v>123</v>
      </c>
    </row>
    <row r="635" spans="1:9" x14ac:dyDescent="0.25">
      <c r="A635" s="29">
        <v>101</v>
      </c>
      <c r="B635" s="25">
        <v>45320</v>
      </c>
      <c r="C635" s="30" t="s">
        <v>2467</v>
      </c>
      <c r="D635" s="30" t="s">
        <v>2066</v>
      </c>
      <c r="E635" s="31">
        <v>16</v>
      </c>
      <c r="F635" s="197" t="s">
        <v>3599</v>
      </c>
      <c r="G635" s="197">
        <v>4328.8616279999997</v>
      </c>
      <c r="H635" s="30" t="s">
        <v>2016</v>
      </c>
      <c r="I635" s="30" t="s">
        <v>123</v>
      </c>
    </row>
    <row r="636" spans="1:9" x14ac:dyDescent="0.25">
      <c r="A636" s="24">
        <v>102</v>
      </c>
      <c r="B636" s="26">
        <v>45337</v>
      </c>
      <c r="C636" s="21" t="s">
        <v>2046</v>
      </c>
      <c r="D636" s="21" t="s">
        <v>2181</v>
      </c>
      <c r="E636" s="22">
        <v>-3600</v>
      </c>
      <c r="F636" s="196" t="s">
        <v>3600</v>
      </c>
      <c r="G636" s="196">
        <v>4306.8058179999998</v>
      </c>
      <c r="H636" s="21" t="s">
        <v>2013</v>
      </c>
      <c r="I636" s="21" t="s">
        <v>123</v>
      </c>
    </row>
    <row r="637" spans="1:9" x14ac:dyDescent="0.25">
      <c r="A637" s="24">
        <v>102</v>
      </c>
      <c r="B637" s="26">
        <v>45337</v>
      </c>
      <c r="C637" s="21" t="s">
        <v>2046</v>
      </c>
      <c r="D637" s="21" t="s">
        <v>2022</v>
      </c>
      <c r="E637" s="22">
        <v>-700</v>
      </c>
      <c r="F637" s="196" t="s">
        <v>3600</v>
      </c>
      <c r="G637" s="196">
        <v>4306.8058179999998</v>
      </c>
      <c r="H637" s="21" t="s">
        <v>2013</v>
      </c>
      <c r="I637" s="21" t="s">
        <v>123</v>
      </c>
    </row>
    <row r="638" spans="1:9" x14ac:dyDescent="0.25">
      <c r="A638" s="24">
        <v>102</v>
      </c>
      <c r="B638" s="26">
        <v>45337</v>
      </c>
      <c r="C638" s="21" t="s">
        <v>2046</v>
      </c>
      <c r="D638" s="21" t="s">
        <v>2045</v>
      </c>
      <c r="E638" s="22">
        <v>-640</v>
      </c>
      <c r="F638" s="196" t="s">
        <v>3600</v>
      </c>
      <c r="G638" s="196">
        <v>4306.8058179999998</v>
      </c>
      <c r="H638" s="21" t="s">
        <v>2013</v>
      </c>
      <c r="I638" s="21" t="s">
        <v>123</v>
      </c>
    </row>
    <row r="639" spans="1:9" x14ac:dyDescent="0.25">
      <c r="A639" s="24">
        <v>102</v>
      </c>
      <c r="B639" s="26">
        <v>45337</v>
      </c>
      <c r="C639" s="21" t="s">
        <v>2046</v>
      </c>
      <c r="D639" s="21" t="s">
        <v>2031</v>
      </c>
      <c r="E639" s="22">
        <v>-450</v>
      </c>
      <c r="F639" s="196" t="s">
        <v>3601</v>
      </c>
      <c r="G639" s="196">
        <v>4306.8100000000004</v>
      </c>
      <c r="H639" s="21" t="s">
        <v>2013</v>
      </c>
      <c r="I639" s="21" t="s">
        <v>123</v>
      </c>
    </row>
    <row r="640" spans="1:9" x14ac:dyDescent="0.25">
      <c r="A640" s="24">
        <v>102</v>
      </c>
      <c r="B640" s="26">
        <v>45337</v>
      </c>
      <c r="C640" s="21" t="s">
        <v>2046</v>
      </c>
      <c r="D640" s="21" t="s">
        <v>2026</v>
      </c>
      <c r="E640" s="22">
        <v>-10</v>
      </c>
      <c r="F640" s="196" t="s">
        <v>3600</v>
      </c>
      <c r="G640" s="196">
        <v>4306.8058179999998</v>
      </c>
      <c r="H640" s="21" t="s">
        <v>2013</v>
      </c>
      <c r="I640" s="21" t="s">
        <v>123</v>
      </c>
    </row>
    <row r="641" spans="1:9" x14ac:dyDescent="0.25">
      <c r="A641" s="24">
        <v>102</v>
      </c>
      <c r="B641" s="26">
        <v>45337</v>
      </c>
      <c r="C641" s="21" t="s">
        <v>2046</v>
      </c>
      <c r="D641" s="21" t="s">
        <v>2029</v>
      </c>
      <c r="E641" s="22">
        <v>1600</v>
      </c>
      <c r="F641" s="196" t="s">
        <v>3602</v>
      </c>
      <c r="G641" s="196">
        <v>4306.9558180000004</v>
      </c>
      <c r="H641" s="21" t="s">
        <v>2013</v>
      </c>
      <c r="I641" s="21" t="s">
        <v>123</v>
      </c>
    </row>
    <row r="642" spans="1:9" x14ac:dyDescent="0.25">
      <c r="A642" s="24">
        <v>102</v>
      </c>
      <c r="B642" s="26">
        <v>45337</v>
      </c>
      <c r="C642" s="21" t="s">
        <v>2046</v>
      </c>
      <c r="D642" s="21" t="s">
        <v>2027</v>
      </c>
      <c r="E642" s="22">
        <v>3800</v>
      </c>
      <c r="F642" s="196" t="s">
        <v>3602</v>
      </c>
      <c r="G642" s="196">
        <v>4306.9558180000004</v>
      </c>
      <c r="H642" s="21" t="s">
        <v>2013</v>
      </c>
      <c r="I642" s="21" t="s">
        <v>123</v>
      </c>
    </row>
    <row r="643" spans="1:9" x14ac:dyDescent="0.25">
      <c r="A643" s="24">
        <v>102</v>
      </c>
      <c r="B643" s="26">
        <v>45337</v>
      </c>
      <c r="C643" s="21" t="s">
        <v>2467</v>
      </c>
      <c r="D643" s="21" t="s">
        <v>2181</v>
      </c>
      <c r="E643" s="22">
        <v>-800</v>
      </c>
      <c r="F643" s="196" t="s">
        <v>3603</v>
      </c>
      <c r="G643" s="196">
        <v>4344.9558999999999</v>
      </c>
      <c r="H643" s="21" t="s">
        <v>2016</v>
      </c>
      <c r="I643" s="21" t="s">
        <v>123</v>
      </c>
    </row>
    <row r="644" spans="1:9" x14ac:dyDescent="0.25">
      <c r="A644" s="24">
        <v>102</v>
      </c>
      <c r="B644" s="26">
        <v>45337</v>
      </c>
      <c r="C644" s="21" t="s">
        <v>2467</v>
      </c>
      <c r="D644" s="21" t="s">
        <v>2031</v>
      </c>
      <c r="E644" s="22">
        <v>-260</v>
      </c>
      <c r="F644" s="196" t="s">
        <v>3603</v>
      </c>
      <c r="G644" s="196">
        <v>4344.9558999999999</v>
      </c>
      <c r="H644" s="21" t="s">
        <v>2016</v>
      </c>
      <c r="I644" s="21" t="s">
        <v>123</v>
      </c>
    </row>
    <row r="645" spans="1:9" x14ac:dyDescent="0.25">
      <c r="A645" s="24">
        <v>102</v>
      </c>
      <c r="B645" s="26">
        <v>45337</v>
      </c>
      <c r="C645" s="21" t="s">
        <v>2467</v>
      </c>
      <c r="D645" s="21" t="s">
        <v>2045</v>
      </c>
      <c r="E645" s="22">
        <v>-180</v>
      </c>
      <c r="F645" s="196" t="s">
        <v>3603</v>
      </c>
      <c r="G645" s="196">
        <v>4344.9558999999999</v>
      </c>
      <c r="H645" s="21" t="s">
        <v>2016</v>
      </c>
      <c r="I645" s="21" t="s">
        <v>123</v>
      </c>
    </row>
    <row r="646" spans="1:9" x14ac:dyDescent="0.25">
      <c r="A646" s="24">
        <v>102</v>
      </c>
      <c r="B646" s="26">
        <v>45337</v>
      </c>
      <c r="C646" s="21" t="s">
        <v>2467</v>
      </c>
      <c r="D646" s="21" t="s">
        <v>2022</v>
      </c>
      <c r="E646" s="22">
        <v>-55</v>
      </c>
      <c r="F646" s="196" t="s">
        <v>3603</v>
      </c>
      <c r="G646" s="196">
        <v>4344.9558999999999</v>
      </c>
      <c r="H646" s="21" t="s">
        <v>2016</v>
      </c>
      <c r="I646" s="21" t="s">
        <v>123</v>
      </c>
    </row>
    <row r="647" spans="1:9" x14ac:dyDescent="0.25">
      <c r="A647" s="24">
        <v>102</v>
      </c>
      <c r="B647" s="26">
        <v>45337</v>
      </c>
      <c r="C647" s="21" t="s">
        <v>2467</v>
      </c>
      <c r="D647" s="21" t="s">
        <v>2026</v>
      </c>
      <c r="E647" s="22">
        <v>-5</v>
      </c>
      <c r="F647" s="196" t="s">
        <v>3603</v>
      </c>
      <c r="G647" s="196">
        <v>4344.9558999999999</v>
      </c>
      <c r="H647" s="21" t="s">
        <v>2016</v>
      </c>
      <c r="I647" s="21" t="s">
        <v>123</v>
      </c>
    </row>
    <row r="648" spans="1:9" x14ac:dyDescent="0.25">
      <c r="A648" s="24">
        <v>102</v>
      </c>
      <c r="B648" s="26">
        <v>45337</v>
      </c>
      <c r="C648" s="21" t="s">
        <v>2467</v>
      </c>
      <c r="D648" s="21" t="s">
        <v>2029</v>
      </c>
      <c r="E648" s="22">
        <v>250</v>
      </c>
      <c r="F648" s="196" t="s">
        <v>3604</v>
      </c>
      <c r="G648" s="196">
        <v>4345.1058999999996</v>
      </c>
      <c r="H648" s="21" t="s">
        <v>2016</v>
      </c>
      <c r="I648" s="21" t="s">
        <v>123</v>
      </c>
    </row>
    <row r="649" spans="1:9" x14ac:dyDescent="0.25">
      <c r="A649" s="24">
        <v>102</v>
      </c>
      <c r="B649" s="26">
        <v>45337</v>
      </c>
      <c r="C649" s="21" t="s">
        <v>2467</v>
      </c>
      <c r="D649" s="21" t="s">
        <v>2027</v>
      </c>
      <c r="E649" s="22">
        <v>1050</v>
      </c>
      <c r="F649" s="196" t="s">
        <v>3604</v>
      </c>
      <c r="G649" s="196">
        <v>4345.1058999999996</v>
      </c>
      <c r="H649" s="21" t="s">
        <v>2016</v>
      </c>
      <c r="I649" s="21" t="s">
        <v>123</v>
      </c>
    </row>
    <row r="650" spans="1:9" x14ac:dyDescent="0.25">
      <c r="A650" s="24">
        <v>102</v>
      </c>
      <c r="B650" s="26">
        <v>45337</v>
      </c>
      <c r="C650" s="21" t="s">
        <v>2025</v>
      </c>
      <c r="D650" s="21" t="s">
        <v>2043</v>
      </c>
      <c r="E650" s="22" t="s">
        <v>3611</v>
      </c>
      <c r="F650" s="196" t="s">
        <v>3609</v>
      </c>
      <c r="G650" s="196">
        <v>4489.796394</v>
      </c>
      <c r="H650" s="21" t="s">
        <v>2013</v>
      </c>
      <c r="I650" s="21" t="s">
        <v>123</v>
      </c>
    </row>
    <row r="651" spans="1:9" x14ac:dyDescent="0.25">
      <c r="A651" s="24">
        <v>102</v>
      </c>
      <c r="B651" s="26">
        <v>45337</v>
      </c>
      <c r="C651" s="21" t="s">
        <v>2025</v>
      </c>
      <c r="D651" s="21" t="s">
        <v>2023</v>
      </c>
      <c r="E651" s="22" t="s">
        <v>3612</v>
      </c>
      <c r="F651" s="196" t="s">
        <v>3610</v>
      </c>
      <c r="G651" s="196">
        <v>4489.6463940000003</v>
      </c>
      <c r="H651" s="21" t="s">
        <v>2013</v>
      </c>
      <c r="I651" s="21" t="s">
        <v>123</v>
      </c>
    </row>
    <row r="652" spans="1:9" x14ac:dyDescent="0.25">
      <c r="A652" s="29">
        <v>103</v>
      </c>
      <c r="B652" s="25">
        <v>45338</v>
      </c>
      <c r="C652" s="30" t="s">
        <v>2050</v>
      </c>
      <c r="D652" s="30" t="s">
        <v>2043</v>
      </c>
      <c r="E652" s="31">
        <v>-50</v>
      </c>
      <c r="F652" s="197" t="s">
        <v>3613</v>
      </c>
      <c r="G652" s="197">
        <v>14404.003264000001</v>
      </c>
      <c r="H652" s="30" t="s">
        <v>2013</v>
      </c>
      <c r="I652" s="30" t="s">
        <v>123</v>
      </c>
    </row>
    <row r="653" spans="1:9" x14ac:dyDescent="0.25">
      <c r="A653" s="29">
        <v>103</v>
      </c>
      <c r="B653" s="25">
        <v>45338</v>
      </c>
      <c r="C653" s="30" t="s">
        <v>2050</v>
      </c>
      <c r="D653" s="30" t="s">
        <v>2066</v>
      </c>
      <c r="E653" s="31">
        <v>50</v>
      </c>
      <c r="F653" s="197" t="s">
        <v>3614</v>
      </c>
      <c r="G653" s="197">
        <v>14404.103263999999</v>
      </c>
      <c r="H653" s="30" t="s">
        <v>2013</v>
      </c>
      <c r="I653" s="30" t="s">
        <v>123</v>
      </c>
    </row>
    <row r="654" spans="1:9" x14ac:dyDescent="0.25">
      <c r="A654" s="24">
        <v>104</v>
      </c>
      <c r="B654" s="26">
        <v>45341</v>
      </c>
      <c r="C654" s="21" t="s">
        <v>2050</v>
      </c>
      <c r="D654" s="21" t="s">
        <v>2043</v>
      </c>
      <c r="E654" s="22">
        <v>-30</v>
      </c>
      <c r="F654" s="196" t="s">
        <v>3613</v>
      </c>
      <c r="G654" s="196">
        <v>14404.003264000001</v>
      </c>
      <c r="H654" s="21" t="s">
        <v>2013</v>
      </c>
      <c r="I654" s="21" t="s">
        <v>123</v>
      </c>
    </row>
    <row r="655" spans="1:9" x14ac:dyDescent="0.25">
      <c r="A655" s="24">
        <v>104</v>
      </c>
      <c r="B655" s="26">
        <v>45341</v>
      </c>
      <c r="C655" s="21" t="s">
        <v>2050</v>
      </c>
      <c r="D655" s="21" t="s">
        <v>2066</v>
      </c>
      <c r="E655" s="22">
        <v>30</v>
      </c>
      <c r="F655" s="196" t="s">
        <v>3614</v>
      </c>
      <c r="G655" s="196">
        <v>14404.103263999999</v>
      </c>
      <c r="H655" s="21" t="s">
        <v>2013</v>
      </c>
      <c r="I655" s="21" t="s">
        <v>123</v>
      </c>
    </row>
    <row r="656" spans="1:9" x14ac:dyDescent="0.25">
      <c r="A656" s="29">
        <v>105</v>
      </c>
      <c r="B656" s="25">
        <v>45344</v>
      </c>
      <c r="C656" s="30" t="s">
        <v>2050</v>
      </c>
      <c r="D656" s="30" t="s">
        <v>2043</v>
      </c>
      <c r="E656" s="31" t="s">
        <v>3746</v>
      </c>
      <c r="F656" s="197" t="s">
        <v>3748</v>
      </c>
      <c r="G656" s="197">
        <v>14429.189694000001</v>
      </c>
      <c r="H656" s="30" t="s">
        <v>2016</v>
      </c>
      <c r="I656" s="30" t="s">
        <v>123</v>
      </c>
    </row>
    <row r="657" spans="1:9" x14ac:dyDescent="0.25">
      <c r="A657" s="29">
        <v>105</v>
      </c>
      <c r="B657" s="25">
        <v>45344</v>
      </c>
      <c r="C657" s="30" t="s">
        <v>2050</v>
      </c>
      <c r="D657" s="30" t="s">
        <v>2066</v>
      </c>
      <c r="E657" s="31" t="s">
        <v>3747</v>
      </c>
      <c r="F657" s="197" t="s">
        <v>3749</v>
      </c>
      <c r="G657" s="197">
        <v>14429.089694</v>
      </c>
      <c r="H657" s="30" t="s">
        <v>2016</v>
      </c>
      <c r="I657" s="30" t="s">
        <v>123</v>
      </c>
    </row>
    <row r="658" spans="1:9" x14ac:dyDescent="0.25">
      <c r="A658" s="24">
        <v>106</v>
      </c>
      <c r="B658" s="26">
        <v>45348</v>
      </c>
      <c r="C658" s="21" t="s">
        <v>2467</v>
      </c>
      <c r="D658" s="21" t="s">
        <v>2043</v>
      </c>
      <c r="E658" s="22" t="s">
        <v>3750</v>
      </c>
      <c r="F658" s="196" t="s">
        <v>3751</v>
      </c>
      <c r="G658" s="196">
        <v>4346.1109990000004</v>
      </c>
      <c r="H658" s="21" t="s">
        <v>2016</v>
      </c>
      <c r="I658" s="21" t="s">
        <v>123</v>
      </c>
    </row>
    <row r="659" spans="1:9" x14ac:dyDescent="0.25">
      <c r="A659" s="24">
        <v>106</v>
      </c>
      <c r="B659" s="26">
        <v>45348</v>
      </c>
      <c r="C659" s="21" t="s">
        <v>2467</v>
      </c>
      <c r="D659" s="21" t="s">
        <v>2023</v>
      </c>
      <c r="E659" s="22">
        <v>-700</v>
      </c>
      <c r="F659" s="196" t="s">
        <v>3752</v>
      </c>
      <c r="G659" s="196">
        <v>4345.9609989999999</v>
      </c>
      <c r="H659" s="21" t="s">
        <v>2016</v>
      </c>
      <c r="I659" s="21" t="s">
        <v>123</v>
      </c>
    </row>
    <row r="660" spans="1:9" x14ac:dyDescent="0.25">
      <c r="A660" s="24">
        <v>106</v>
      </c>
      <c r="B660" s="26">
        <v>45348</v>
      </c>
      <c r="C660" s="21" t="s">
        <v>2025</v>
      </c>
      <c r="D660" s="21" t="s">
        <v>2027</v>
      </c>
      <c r="E660" s="22">
        <v>200</v>
      </c>
      <c r="F660" s="196" t="s">
        <v>3753</v>
      </c>
      <c r="G660" s="196">
        <v>4470.6477059999997</v>
      </c>
      <c r="H660" s="21" t="s">
        <v>2016</v>
      </c>
      <c r="I660" s="21" t="s">
        <v>123</v>
      </c>
    </row>
    <row r="661" spans="1:9" x14ac:dyDescent="0.25">
      <c r="A661" s="24">
        <v>106</v>
      </c>
      <c r="B661" s="26">
        <v>45348</v>
      </c>
      <c r="C661" s="21" t="s">
        <v>2025</v>
      </c>
      <c r="D661" s="21" t="s">
        <v>2023</v>
      </c>
      <c r="E661" s="22">
        <v>-200</v>
      </c>
      <c r="F661" s="196" t="s">
        <v>3754</v>
      </c>
      <c r="G661" s="196">
        <v>4470.4977060000001</v>
      </c>
      <c r="H661" s="21" t="s">
        <v>2016</v>
      </c>
      <c r="I661" s="21" t="s">
        <v>123</v>
      </c>
    </row>
    <row r="662" spans="1:9" x14ac:dyDescent="0.25">
      <c r="A662" s="24">
        <v>106</v>
      </c>
      <c r="B662" s="26">
        <v>45348</v>
      </c>
      <c r="C662" s="21" t="s">
        <v>2046</v>
      </c>
      <c r="D662" s="21" t="s">
        <v>2027</v>
      </c>
      <c r="E662" s="212">
        <v>2200</v>
      </c>
      <c r="F662" s="196" t="s">
        <v>3755</v>
      </c>
      <c r="G662" s="196">
        <v>4303.7383540000001</v>
      </c>
      <c r="H662" s="21" t="s">
        <v>2016</v>
      </c>
      <c r="I662" s="21" t="s">
        <v>123</v>
      </c>
    </row>
    <row r="663" spans="1:9" x14ac:dyDescent="0.25">
      <c r="A663" s="24">
        <v>106</v>
      </c>
      <c r="B663" s="26">
        <v>45348</v>
      </c>
      <c r="C663" s="21" t="s">
        <v>2046</v>
      </c>
      <c r="D663" s="21" t="s">
        <v>2023</v>
      </c>
      <c r="E663" s="212">
        <v>-2200</v>
      </c>
      <c r="F663" s="196" t="s">
        <v>3756</v>
      </c>
      <c r="G663" s="196">
        <v>4303.5883540000004</v>
      </c>
      <c r="H663" s="21" t="s">
        <v>2016</v>
      </c>
      <c r="I663" s="21" t="s">
        <v>123</v>
      </c>
    </row>
    <row r="664" spans="1:9" x14ac:dyDescent="0.25">
      <c r="A664" s="29">
        <v>107</v>
      </c>
      <c r="B664" s="25">
        <v>45352</v>
      </c>
      <c r="C664" s="30" t="s">
        <v>2050</v>
      </c>
      <c r="D664" s="30" t="s">
        <v>2053</v>
      </c>
      <c r="E664" s="31" t="s">
        <v>3765</v>
      </c>
      <c r="F664" s="197" t="s">
        <v>3766</v>
      </c>
      <c r="G664" s="197">
        <v>14466.990279</v>
      </c>
      <c r="H664" s="30" t="s">
        <v>2016</v>
      </c>
      <c r="I664" s="30" t="s">
        <v>123</v>
      </c>
    </row>
    <row r="665" spans="1:9" x14ac:dyDescent="0.25">
      <c r="A665" s="29">
        <v>107</v>
      </c>
      <c r="B665" s="25">
        <v>45352</v>
      </c>
      <c r="C665" s="30" t="s">
        <v>2050</v>
      </c>
      <c r="D665" s="30" t="s">
        <v>2026</v>
      </c>
      <c r="E665" s="31" t="s">
        <v>3758</v>
      </c>
      <c r="F665" s="197" t="s">
        <v>3767</v>
      </c>
      <c r="G665" s="197">
        <v>14466.890278999999</v>
      </c>
      <c r="H665" s="30" t="s">
        <v>2016</v>
      </c>
      <c r="I665" s="30" t="s">
        <v>123</v>
      </c>
    </row>
    <row r="666" spans="1:9" x14ac:dyDescent="0.25">
      <c r="A666" s="29">
        <v>107</v>
      </c>
      <c r="B666" s="25">
        <v>45352</v>
      </c>
      <c r="C666" s="30" t="s">
        <v>2050</v>
      </c>
      <c r="D666" s="30" t="s">
        <v>2027</v>
      </c>
      <c r="E666" s="31" t="s">
        <v>3759</v>
      </c>
      <c r="F666" s="197" t="s">
        <v>3767</v>
      </c>
      <c r="G666" s="197">
        <v>14466.890278999999</v>
      </c>
      <c r="H666" s="30" t="s">
        <v>2016</v>
      </c>
      <c r="I666" s="30" t="s">
        <v>123</v>
      </c>
    </row>
    <row r="667" spans="1:9" x14ac:dyDescent="0.25">
      <c r="A667" s="29">
        <v>107</v>
      </c>
      <c r="B667" s="25">
        <v>45352</v>
      </c>
      <c r="C667" s="30" t="s">
        <v>2050</v>
      </c>
      <c r="D667" s="30" t="s">
        <v>2027</v>
      </c>
      <c r="E667" s="31" t="s">
        <v>3760</v>
      </c>
      <c r="F667" s="197" t="s">
        <v>3768</v>
      </c>
      <c r="G667" s="197">
        <v>14466.790279000001</v>
      </c>
      <c r="H667" s="30" t="s">
        <v>2016</v>
      </c>
      <c r="I667" s="30" t="s">
        <v>123</v>
      </c>
    </row>
    <row r="668" spans="1:9" x14ac:dyDescent="0.25">
      <c r="A668" s="29">
        <v>107</v>
      </c>
      <c r="B668" s="25">
        <v>45352</v>
      </c>
      <c r="C668" s="30" t="s">
        <v>2467</v>
      </c>
      <c r="D668" s="30" t="s">
        <v>2026</v>
      </c>
      <c r="E668" s="31" t="s">
        <v>3761</v>
      </c>
      <c r="F668" s="197" t="s">
        <v>3769</v>
      </c>
      <c r="G668" s="197">
        <v>4358.9056490000003</v>
      </c>
      <c r="H668" s="30" t="s">
        <v>2016</v>
      </c>
      <c r="I668" s="30" t="s">
        <v>123</v>
      </c>
    </row>
    <row r="669" spans="1:9" x14ac:dyDescent="0.25">
      <c r="A669" s="29">
        <v>107</v>
      </c>
      <c r="B669" s="25">
        <v>45352</v>
      </c>
      <c r="C669" s="30" t="s">
        <v>2467</v>
      </c>
      <c r="D669" s="30" t="s">
        <v>2027</v>
      </c>
      <c r="E669" s="31" t="s">
        <v>3762</v>
      </c>
      <c r="F669" s="197" t="s">
        <v>3770</v>
      </c>
      <c r="G669" s="197">
        <v>4359.0556489999999</v>
      </c>
      <c r="H669" s="30" t="s">
        <v>2016</v>
      </c>
      <c r="I669" s="30" t="s">
        <v>123</v>
      </c>
    </row>
    <row r="670" spans="1:9" x14ac:dyDescent="0.25">
      <c r="A670" s="29">
        <v>107</v>
      </c>
      <c r="B670" s="25">
        <v>45352</v>
      </c>
      <c r="C670" s="30" t="s">
        <v>2025</v>
      </c>
      <c r="D670" s="30" t="s">
        <v>2026</v>
      </c>
      <c r="E670" s="31" t="s">
        <v>3759</v>
      </c>
      <c r="F670" s="197" t="s">
        <v>3771</v>
      </c>
      <c r="G670" s="197">
        <v>4479.5636940000004</v>
      </c>
      <c r="H670" s="30" t="s">
        <v>2016</v>
      </c>
      <c r="I670" s="30" t="s">
        <v>123</v>
      </c>
    </row>
    <row r="671" spans="1:9" x14ac:dyDescent="0.25">
      <c r="A671" s="29">
        <v>107</v>
      </c>
      <c r="B671" s="25">
        <v>45352</v>
      </c>
      <c r="C671" s="30" t="s">
        <v>2025</v>
      </c>
      <c r="D671" s="30" t="s">
        <v>2027</v>
      </c>
      <c r="E671" s="31" t="s">
        <v>3757</v>
      </c>
      <c r="F671" s="197" t="s">
        <v>3772</v>
      </c>
      <c r="G671" s="197">
        <v>4479.713694</v>
      </c>
      <c r="H671" s="30" t="s">
        <v>2016</v>
      </c>
      <c r="I671" s="30" t="s">
        <v>123</v>
      </c>
    </row>
    <row r="672" spans="1:9" x14ac:dyDescent="0.25">
      <c r="A672" s="29">
        <v>107</v>
      </c>
      <c r="B672" s="25">
        <v>45352</v>
      </c>
      <c r="C672" s="30" t="s">
        <v>2046</v>
      </c>
      <c r="D672" s="30" t="s">
        <v>2026</v>
      </c>
      <c r="E672" s="31" t="s">
        <v>3763</v>
      </c>
      <c r="F672" s="197" t="s">
        <v>3773</v>
      </c>
      <c r="G672" s="197">
        <v>4314.6704289999998</v>
      </c>
      <c r="H672" s="30" t="s">
        <v>2016</v>
      </c>
      <c r="I672" s="30" t="s">
        <v>123</v>
      </c>
    </row>
    <row r="673" spans="1:9" x14ac:dyDescent="0.25">
      <c r="A673" s="29">
        <v>107</v>
      </c>
      <c r="B673" s="25">
        <v>45352</v>
      </c>
      <c r="C673" s="30" t="s">
        <v>2046</v>
      </c>
      <c r="D673" s="30" t="s">
        <v>2027</v>
      </c>
      <c r="E673" s="31" t="s">
        <v>3764</v>
      </c>
      <c r="F673" s="197" t="s">
        <v>3774</v>
      </c>
      <c r="G673" s="197">
        <v>4314.8204290000003</v>
      </c>
      <c r="H673" s="30" t="s">
        <v>2016</v>
      </c>
      <c r="I673" s="30" t="s">
        <v>123</v>
      </c>
    </row>
    <row r="674" spans="1:9" x14ac:dyDescent="0.25">
      <c r="A674" s="24">
        <v>108</v>
      </c>
      <c r="B674" s="26">
        <v>45355</v>
      </c>
      <c r="C674" s="21" t="s">
        <v>2050</v>
      </c>
      <c r="D674" s="21" t="s">
        <v>2053</v>
      </c>
      <c r="E674" s="22" t="s">
        <v>3775</v>
      </c>
      <c r="F674" s="196" t="s">
        <v>3777</v>
      </c>
      <c r="G674" s="196">
        <v>14473.032829</v>
      </c>
      <c r="H674" s="21" t="s">
        <v>2016</v>
      </c>
      <c r="I674" s="21" t="s">
        <v>123</v>
      </c>
    </row>
    <row r="675" spans="1:9" x14ac:dyDescent="0.25">
      <c r="A675" s="24">
        <v>108</v>
      </c>
      <c r="B675" s="26">
        <v>45355</v>
      </c>
      <c r="C675" s="21" t="s">
        <v>2050</v>
      </c>
      <c r="D675" s="21" t="s">
        <v>2027</v>
      </c>
      <c r="E675" s="22" t="s">
        <v>3776</v>
      </c>
      <c r="F675" s="196" t="s">
        <v>3778</v>
      </c>
      <c r="G675" s="196">
        <v>14473.132829</v>
      </c>
      <c r="H675" s="21" t="s">
        <v>2016</v>
      </c>
      <c r="I675" s="21" t="s">
        <v>123</v>
      </c>
    </row>
    <row r="676" spans="1:9" x14ac:dyDescent="0.25">
      <c r="A676" s="29">
        <v>109</v>
      </c>
      <c r="B676" s="25">
        <v>45359</v>
      </c>
      <c r="C676" s="30" t="s">
        <v>2467</v>
      </c>
      <c r="D676" s="30" t="s">
        <v>2181</v>
      </c>
      <c r="E676" s="31">
        <v>-630</v>
      </c>
      <c r="F676" s="197" t="s">
        <v>3779</v>
      </c>
      <c r="G676" s="197">
        <v>4370.7383689999997</v>
      </c>
      <c r="H676" s="30" t="s">
        <v>2016</v>
      </c>
      <c r="I676" s="30" t="s">
        <v>123</v>
      </c>
    </row>
    <row r="677" spans="1:9" x14ac:dyDescent="0.25">
      <c r="A677" s="29">
        <v>109</v>
      </c>
      <c r="B677" s="25">
        <v>45359</v>
      </c>
      <c r="C677" s="30" t="s">
        <v>2467</v>
      </c>
      <c r="D677" s="30" t="s">
        <v>2022</v>
      </c>
      <c r="E677" s="31">
        <v>-220</v>
      </c>
      <c r="F677" s="197" t="s">
        <v>3779</v>
      </c>
      <c r="G677" s="197">
        <v>4370.7383689999997</v>
      </c>
      <c r="H677" s="30" t="s">
        <v>2016</v>
      </c>
      <c r="I677" s="30" t="s">
        <v>123</v>
      </c>
    </row>
    <row r="678" spans="1:9" x14ac:dyDescent="0.25">
      <c r="A678" s="29">
        <v>109</v>
      </c>
      <c r="B678" s="25">
        <v>45359</v>
      </c>
      <c r="C678" s="30" t="s">
        <v>2467</v>
      </c>
      <c r="D678" s="30" t="s">
        <v>2045</v>
      </c>
      <c r="E678" s="31">
        <v>-20</v>
      </c>
      <c r="F678" s="197" t="s">
        <v>3779</v>
      </c>
      <c r="G678" s="197">
        <v>4370.7383689999997</v>
      </c>
      <c r="H678" s="30" t="s">
        <v>2016</v>
      </c>
      <c r="I678" s="30" t="s">
        <v>123</v>
      </c>
    </row>
    <row r="679" spans="1:9" x14ac:dyDescent="0.25">
      <c r="A679" s="29">
        <v>109</v>
      </c>
      <c r="B679" s="25">
        <v>45359</v>
      </c>
      <c r="C679" s="30" t="s">
        <v>2467</v>
      </c>
      <c r="D679" s="30" t="s">
        <v>2031</v>
      </c>
      <c r="E679" s="31">
        <v>330</v>
      </c>
      <c r="F679" s="197" t="s">
        <v>3780</v>
      </c>
      <c r="G679" s="197">
        <v>4370.8883690000002</v>
      </c>
      <c r="H679" s="30" t="s">
        <v>2016</v>
      </c>
      <c r="I679" s="30" t="s">
        <v>123</v>
      </c>
    </row>
    <row r="680" spans="1:9" x14ac:dyDescent="0.25">
      <c r="A680" s="29">
        <v>109</v>
      </c>
      <c r="B680" s="25">
        <v>45359</v>
      </c>
      <c r="C680" s="30" t="s">
        <v>2467</v>
      </c>
      <c r="D680" s="30" t="s">
        <v>2029</v>
      </c>
      <c r="E680" s="31">
        <v>540</v>
      </c>
      <c r="F680" s="197" t="s">
        <v>3780</v>
      </c>
      <c r="G680" s="197">
        <v>4370.8883690000002</v>
      </c>
      <c r="H680" s="30" t="s">
        <v>2016</v>
      </c>
      <c r="I680" s="30" t="s">
        <v>123</v>
      </c>
    </row>
    <row r="681" spans="1:9" x14ac:dyDescent="0.25">
      <c r="A681" s="29">
        <v>109</v>
      </c>
      <c r="B681" s="25">
        <v>45359</v>
      </c>
      <c r="C681" s="30" t="s">
        <v>2046</v>
      </c>
      <c r="D681" s="30" t="s">
        <v>2023</v>
      </c>
      <c r="E681" s="31">
        <v>-2460</v>
      </c>
      <c r="F681" s="197" t="s">
        <v>3781</v>
      </c>
      <c r="G681" s="197">
        <v>4325.0837359999996</v>
      </c>
      <c r="H681" s="30" t="s">
        <v>2016</v>
      </c>
      <c r="I681" s="30" t="s">
        <v>123</v>
      </c>
    </row>
    <row r="682" spans="1:9" x14ac:dyDescent="0.25">
      <c r="A682" s="29">
        <v>109</v>
      </c>
      <c r="B682" s="25">
        <v>45359</v>
      </c>
      <c r="C682" s="30" t="s">
        <v>2046</v>
      </c>
      <c r="D682" s="30" t="s">
        <v>2022</v>
      </c>
      <c r="E682" s="31">
        <v>-685</v>
      </c>
      <c r="F682" s="197" t="s">
        <v>3781</v>
      </c>
      <c r="G682" s="197">
        <v>4325.0837359999996</v>
      </c>
      <c r="H682" s="30" t="s">
        <v>2016</v>
      </c>
      <c r="I682" s="30" t="s">
        <v>123</v>
      </c>
    </row>
    <row r="683" spans="1:9" x14ac:dyDescent="0.25">
      <c r="A683" s="29">
        <v>109</v>
      </c>
      <c r="B683" s="25">
        <v>45359</v>
      </c>
      <c r="C683" s="30" t="s">
        <v>2046</v>
      </c>
      <c r="D683" s="30" t="s">
        <v>2045</v>
      </c>
      <c r="E683" s="31">
        <v>-110</v>
      </c>
      <c r="F683" s="197" t="s">
        <v>3781</v>
      </c>
      <c r="G683" s="197">
        <v>4325.0837359999996</v>
      </c>
      <c r="H683" s="30" t="s">
        <v>2016</v>
      </c>
      <c r="I683" s="30" t="s">
        <v>123</v>
      </c>
    </row>
    <row r="684" spans="1:9" x14ac:dyDescent="0.25">
      <c r="A684" s="29">
        <v>109</v>
      </c>
      <c r="B684" s="25">
        <v>45359</v>
      </c>
      <c r="C684" s="30" t="s">
        <v>2046</v>
      </c>
      <c r="D684" s="30" t="s">
        <v>2027</v>
      </c>
      <c r="E684" s="31">
        <v>200</v>
      </c>
      <c r="F684" s="197" t="s">
        <v>3782</v>
      </c>
      <c r="G684" s="197">
        <v>4325.2337360000001</v>
      </c>
      <c r="H684" s="30" t="s">
        <v>2016</v>
      </c>
      <c r="I684" s="30" t="s">
        <v>123</v>
      </c>
    </row>
    <row r="685" spans="1:9" x14ac:dyDescent="0.25">
      <c r="A685" s="29">
        <v>109</v>
      </c>
      <c r="B685" s="25">
        <v>45359</v>
      </c>
      <c r="C685" s="30" t="s">
        <v>2046</v>
      </c>
      <c r="D685" s="30" t="s">
        <v>2031</v>
      </c>
      <c r="E685" s="253">
        <v>1100</v>
      </c>
      <c r="F685" s="197" t="s">
        <v>3782</v>
      </c>
      <c r="G685" s="197">
        <v>4325.2337360000001</v>
      </c>
      <c r="H685" s="30" t="s">
        <v>2016</v>
      </c>
      <c r="I685" s="30" t="s">
        <v>123</v>
      </c>
    </row>
    <row r="686" spans="1:9" x14ac:dyDescent="0.25">
      <c r="A686" s="29">
        <v>109</v>
      </c>
      <c r="B686" s="25">
        <v>45359</v>
      </c>
      <c r="C686" s="30" t="s">
        <v>2046</v>
      </c>
      <c r="D686" s="30" t="s">
        <v>2029</v>
      </c>
      <c r="E686" s="253">
        <v>1955</v>
      </c>
      <c r="F686" s="197" t="s">
        <v>3782</v>
      </c>
      <c r="G686" s="197">
        <v>4325.2337360000001</v>
      </c>
      <c r="H686" s="30" t="s">
        <v>2016</v>
      </c>
      <c r="I686" s="30" t="s">
        <v>123</v>
      </c>
    </row>
    <row r="687" spans="1:9" x14ac:dyDescent="0.25">
      <c r="A687" s="24">
        <v>105</v>
      </c>
      <c r="B687" s="26">
        <v>45385</v>
      </c>
      <c r="C687" s="21" t="s">
        <v>2025</v>
      </c>
      <c r="D687" s="21" t="s">
        <v>2043</v>
      </c>
      <c r="E687" s="22">
        <v>440</v>
      </c>
      <c r="F687" s="196" t="s">
        <v>3740</v>
      </c>
      <c r="G687" s="196">
        <v>4415.2036699999999</v>
      </c>
      <c r="H687" s="21" t="s">
        <v>2013</v>
      </c>
      <c r="I687" s="21" t="s">
        <v>123</v>
      </c>
    </row>
    <row r="688" spans="1:9" x14ac:dyDescent="0.25">
      <c r="A688" s="24">
        <v>105</v>
      </c>
      <c r="B688" s="26">
        <v>45385</v>
      </c>
      <c r="C688" s="21" t="s">
        <v>2025</v>
      </c>
      <c r="D688" s="21" t="s">
        <v>2029</v>
      </c>
      <c r="E688" s="22">
        <v>390</v>
      </c>
      <c r="F688" s="196" t="s">
        <v>3740</v>
      </c>
      <c r="G688" s="196">
        <v>4415.2036699999999</v>
      </c>
      <c r="H688" s="21" t="s">
        <v>2013</v>
      </c>
      <c r="I688" s="21" t="s">
        <v>123</v>
      </c>
    </row>
    <row r="689" spans="1:9" x14ac:dyDescent="0.25">
      <c r="A689" s="24">
        <v>105</v>
      </c>
      <c r="B689" s="26">
        <v>45385</v>
      </c>
      <c r="C689" s="21" t="s">
        <v>2025</v>
      </c>
      <c r="D689" s="21" t="s">
        <v>2045</v>
      </c>
      <c r="E689" s="22">
        <v>-80</v>
      </c>
      <c r="F689" s="196" t="s">
        <v>3741</v>
      </c>
      <c r="G689" s="196">
        <v>4415.0536700000002</v>
      </c>
      <c r="H689" s="21" t="s">
        <v>2013</v>
      </c>
      <c r="I689" s="21" t="s">
        <v>123</v>
      </c>
    </row>
    <row r="690" spans="1:9" x14ac:dyDescent="0.25">
      <c r="A690" s="24">
        <v>105</v>
      </c>
      <c r="B690" s="26">
        <v>45385</v>
      </c>
      <c r="C690" s="21" t="s">
        <v>2025</v>
      </c>
      <c r="D690" s="21" t="s">
        <v>2022</v>
      </c>
      <c r="E690" s="22">
        <v>-330</v>
      </c>
      <c r="F690" s="196" t="s">
        <v>3741</v>
      </c>
      <c r="G690" s="196">
        <v>4415.0536700000002</v>
      </c>
      <c r="H690" s="21" t="s">
        <v>2013</v>
      </c>
      <c r="I690" s="21" t="s">
        <v>123</v>
      </c>
    </row>
    <row r="691" spans="1:9" x14ac:dyDescent="0.25">
      <c r="A691" s="24">
        <v>105</v>
      </c>
      <c r="B691" s="26">
        <v>45385</v>
      </c>
      <c r="C691" s="21" t="s">
        <v>2025</v>
      </c>
      <c r="D691" s="21" t="s">
        <v>2023</v>
      </c>
      <c r="E691" s="22">
        <v>-340</v>
      </c>
      <c r="F691" s="196" t="s">
        <v>3741</v>
      </c>
      <c r="G691" s="196">
        <v>4415.0536700000002</v>
      </c>
      <c r="H691" s="21" t="s">
        <v>2013</v>
      </c>
      <c r="I691" s="21" t="s">
        <v>123</v>
      </c>
    </row>
    <row r="692" spans="1:9" x14ac:dyDescent="0.25">
      <c r="A692" s="24">
        <v>105</v>
      </c>
      <c r="B692" s="26">
        <v>45385</v>
      </c>
      <c r="C692" s="21" t="s">
        <v>2025</v>
      </c>
      <c r="D692" s="21" t="s">
        <v>2031</v>
      </c>
      <c r="E692" s="22">
        <v>-80</v>
      </c>
      <c r="F692" s="196" t="s">
        <v>3741</v>
      </c>
      <c r="G692" s="196">
        <v>4415.0536700000002</v>
      </c>
      <c r="H692" s="21" t="s">
        <v>2013</v>
      </c>
      <c r="I692" s="21" t="s">
        <v>123</v>
      </c>
    </row>
    <row r="693" spans="1:9" x14ac:dyDescent="0.25">
      <c r="A693" s="24">
        <v>105</v>
      </c>
      <c r="B693" s="26">
        <v>45385</v>
      </c>
      <c r="C693" s="21" t="s">
        <v>2046</v>
      </c>
      <c r="D693" s="21" t="s">
        <v>2043</v>
      </c>
      <c r="E693" s="22">
        <v>1400</v>
      </c>
      <c r="F693" s="196" t="s">
        <v>3742</v>
      </c>
      <c r="G693" s="196">
        <v>4322.9239939999998</v>
      </c>
      <c r="H693" s="21" t="s">
        <v>2016</v>
      </c>
      <c r="I693" s="21" t="s">
        <v>123</v>
      </c>
    </row>
    <row r="694" spans="1:9" x14ac:dyDescent="0.25">
      <c r="A694" s="24">
        <v>105</v>
      </c>
      <c r="B694" s="26">
        <v>45385</v>
      </c>
      <c r="C694" s="21" t="s">
        <v>2046</v>
      </c>
      <c r="D694" s="21" t="s">
        <v>2045</v>
      </c>
      <c r="E694" s="22">
        <v>-10</v>
      </c>
      <c r="F694" s="196" t="s">
        <v>3743</v>
      </c>
      <c r="G694" s="196">
        <v>4322.7739940000001</v>
      </c>
      <c r="H694" s="21" t="s">
        <v>2016</v>
      </c>
      <c r="I694" s="21" t="s">
        <v>123</v>
      </c>
    </row>
    <row r="695" spans="1:9" x14ac:dyDescent="0.25">
      <c r="A695" s="24">
        <v>105</v>
      </c>
      <c r="B695" s="26">
        <v>45385</v>
      </c>
      <c r="C695" s="21" t="s">
        <v>2046</v>
      </c>
      <c r="D695" s="21" t="s">
        <v>2029</v>
      </c>
      <c r="E695" s="22">
        <v>-590</v>
      </c>
      <c r="F695" s="196" t="s">
        <v>3743</v>
      </c>
      <c r="G695" s="196">
        <v>4322.7739940000001</v>
      </c>
      <c r="H695" s="21" t="s">
        <v>2016</v>
      </c>
      <c r="I695" s="21" t="s">
        <v>123</v>
      </c>
    </row>
    <row r="696" spans="1:9" x14ac:dyDescent="0.25">
      <c r="A696" s="24">
        <v>105</v>
      </c>
      <c r="B696" s="26">
        <v>45385</v>
      </c>
      <c r="C696" s="21" t="s">
        <v>2046</v>
      </c>
      <c r="D696" s="21" t="s">
        <v>2022</v>
      </c>
      <c r="E696" s="22">
        <v>-570</v>
      </c>
      <c r="F696" s="196" t="s">
        <v>3743</v>
      </c>
      <c r="G696" s="196">
        <v>4322.7739940000001</v>
      </c>
      <c r="H696" s="21" t="s">
        <v>2016</v>
      </c>
      <c r="I696" s="21" t="s">
        <v>123</v>
      </c>
    </row>
    <row r="697" spans="1:9" x14ac:dyDescent="0.25">
      <c r="A697" s="24">
        <v>105</v>
      </c>
      <c r="B697" s="26">
        <v>45385</v>
      </c>
      <c r="C697" s="21" t="s">
        <v>2046</v>
      </c>
      <c r="D697" s="21" t="s">
        <v>2023</v>
      </c>
      <c r="E697" s="22">
        <v>-110</v>
      </c>
      <c r="F697" s="196" t="s">
        <v>3743</v>
      </c>
      <c r="G697" s="196">
        <v>4322.7739940000001</v>
      </c>
      <c r="H697" s="21" t="s">
        <v>2016</v>
      </c>
      <c r="I697" s="21" t="s">
        <v>123</v>
      </c>
    </row>
    <row r="698" spans="1:9" x14ac:dyDescent="0.25">
      <c r="A698" s="24">
        <v>105</v>
      </c>
      <c r="B698" s="26">
        <v>45385</v>
      </c>
      <c r="C698" s="21" t="s">
        <v>2046</v>
      </c>
      <c r="D698" s="21" t="s">
        <v>2031</v>
      </c>
      <c r="E698" s="22">
        <v>-120</v>
      </c>
      <c r="F698" s="196" t="s">
        <v>3743</v>
      </c>
      <c r="G698" s="196">
        <v>4322.7739940000001</v>
      </c>
      <c r="H698" s="21" t="s">
        <v>2016</v>
      </c>
      <c r="I698" s="21" t="s">
        <v>123</v>
      </c>
    </row>
    <row r="699" spans="1:9" x14ac:dyDescent="0.25">
      <c r="A699" s="24">
        <v>105</v>
      </c>
      <c r="B699" s="26">
        <v>45385</v>
      </c>
      <c r="C699" s="21" t="s">
        <v>2467</v>
      </c>
      <c r="D699" s="21" t="s">
        <v>2043</v>
      </c>
      <c r="E699" s="22">
        <v>370</v>
      </c>
      <c r="F699" s="196" t="s">
        <v>3744</v>
      </c>
      <c r="G699" s="196">
        <v>4385.0988770000004</v>
      </c>
      <c r="H699" s="21" t="s">
        <v>2013</v>
      </c>
      <c r="I699" s="21" t="s">
        <v>123</v>
      </c>
    </row>
    <row r="700" spans="1:9" x14ac:dyDescent="0.25">
      <c r="A700" s="24">
        <v>105</v>
      </c>
      <c r="B700" s="26">
        <v>45385</v>
      </c>
      <c r="C700" s="21" t="s">
        <v>2467</v>
      </c>
      <c r="D700" s="21" t="s">
        <v>2045</v>
      </c>
      <c r="E700" s="22">
        <v>-10</v>
      </c>
      <c r="F700" s="196" t="s">
        <v>3745</v>
      </c>
      <c r="G700" s="196">
        <v>4384.9488769999998</v>
      </c>
      <c r="H700" s="21" t="s">
        <v>2013</v>
      </c>
      <c r="I700" s="21" t="s">
        <v>123</v>
      </c>
    </row>
    <row r="701" spans="1:9" x14ac:dyDescent="0.25">
      <c r="A701" s="24">
        <v>105</v>
      </c>
      <c r="B701" s="26">
        <v>45385</v>
      </c>
      <c r="C701" s="21" t="s">
        <v>2467</v>
      </c>
      <c r="D701" s="21" t="s">
        <v>2029</v>
      </c>
      <c r="E701" s="22">
        <v>-120</v>
      </c>
      <c r="F701" s="196" t="s">
        <v>3745</v>
      </c>
      <c r="G701" s="196">
        <v>4384.9488769999998</v>
      </c>
      <c r="H701" s="21" t="s">
        <v>2013</v>
      </c>
      <c r="I701" s="21" t="s">
        <v>123</v>
      </c>
    </row>
    <row r="702" spans="1:9" x14ac:dyDescent="0.25">
      <c r="A702" s="24">
        <v>105</v>
      </c>
      <c r="B702" s="26">
        <v>45385</v>
      </c>
      <c r="C702" s="21" t="s">
        <v>2467</v>
      </c>
      <c r="D702" s="21" t="s">
        <v>2022</v>
      </c>
      <c r="E702" s="22">
        <v>-160</v>
      </c>
      <c r="F702" s="196" t="s">
        <v>3745</v>
      </c>
      <c r="G702" s="196">
        <v>4384.9488769999998</v>
      </c>
      <c r="H702" s="21" t="s">
        <v>2013</v>
      </c>
      <c r="I702" s="21" t="s">
        <v>123</v>
      </c>
    </row>
    <row r="703" spans="1:9" x14ac:dyDescent="0.25">
      <c r="A703" s="24">
        <v>105</v>
      </c>
      <c r="B703" s="26">
        <v>45385</v>
      </c>
      <c r="C703" s="21" t="s">
        <v>2467</v>
      </c>
      <c r="D703" s="21" t="s">
        <v>2023</v>
      </c>
      <c r="E703" s="22">
        <v>-60</v>
      </c>
      <c r="F703" s="196" t="s">
        <v>3745</v>
      </c>
      <c r="G703" s="196">
        <v>4384.9488769999998</v>
      </c>
      <c r="H703" s="21" t="s">
        <v>2013</v>
      </c>
      <c r="I703" s="21" t="s">
        <v>123</v>
      </c>
    </row>
    <row r="704" spans="1:9" x14ac:dyDescent="0.25">
      <c r="A704" s="24">
        <v>105</v>
      </c>
      <c r="B704" s="26">
        <v>45385</v>
      </c>
      <c r="C704" s="21" t="s">
        <v>2467</v>
      </c>
      <c r="D704" s="21" t="s">
        <v>2031</v>
      </c>
      <c r="E704" s="22">
        <v>-20</v>
      </c>
      <c r="F704" s="196" t="s">
        <v>3745</v>
      </c>
      <c r="G704" s="196">
        <v>4384.9488769999998</v>
      </c>
      <c r="H704" s="21" t="s">
        <v>2013</v>
      </c>
      <c r="I704" s="21" t="s">
        <v>123</v>
      </c>
    </row>
    <row r="705" spans="1:9" x14ac:dyDescent="0.25">
      <c r="A705" s="29">
        <v>106</v>
      </c>
      <c r="B705" s="25">
        <v>45394</v>
      </c>
      <c r="C705" s="30" t="s">
        <v>2050</v>
      </c>
      <c r="D705" s="30" t="s">
        <v>2053</v>
      </c>
      <c r="E705" s="253">
        <v>-15</v>
      </c>
      <c r="F705" s="197" t="s">
        <v>3800</v>
      </c>
      <c r="G705" s="197">
        <v>14650.026030000001</v>
      </c>
      <c r="H705" s="30" t="s">
        <v>2016</v>
      </c>
      <c r="I705" s="30" t="s">
        <v>123</v>
      </c>
    </row>
    <row r="706" spans="1:9" x14ac:dyDescent="0.25">
      <c r="A706" s="29">
        <v>106</v>
      </c>
      <c r="B706" s="25">
        <v>45394</v>
      </c>
      <c r="C706" s="30" t="s">
        <v>2050</v>
      </c>
      <c r="D706" s="30" t="s">
        <v>2027</v>
      </c>
      <c r="E706" s="253">
        <v>15</v>
      </c>
      <c r="F706" s="197" t="s">
        <v>3801</v>
      </c>
      <c r="G706" s="197">
        <v>14650.126029999999</v>
      </c>
      <c r="H706" s="30" t="s">
        <v>2016</v>
      </c>
      <c r="I706" s="30" t="s">
        <v>123</v>
      </c>
    </row>
    <row r="707" spans="1:9" x14ac:dyDescent="0.25">
      <c r="A707" s="24">
        <v>107</v>
      </c>
      <c r="B707" s="26">
        <v>45405</v>
      </c>
      <c r="C707" s="21" t="s">
        <v>2050</v>
      </c>
      <c r="D707" s="21" t="s">
        <v>2053</v>
      </c>
      <c r="E707" s="22" t="s">
        <v>3860</v>
      </c>
      <c r="F707" s="196" t="s">
        <v>3862</v>
      </c>
      <c r="G707" s="196">
        <v>14693.229785</v>
      </c>
      <c r="H707" s="21" t="s">
        <v>2013</v>
      </c>
      <c r="I707" s="21" t="s">
        <v>123</v>
      </c>
    </row>
    <row r="708" spans="1:9" x14ac:dyDescent="0.25">
      <c r="A708" s="24">
        <v>107</v>
      </c>
      <c r="B708" s="26">
        <v>45405</v>
      </c>
      <c r="C708" s="21" t="s">
        <v>2050</v>
      </c>
      <c r="D708" s="21" t="s">
        <v>2027</v>
      </c>
      <c r="E708" s="22" t="s">
        <v>3861</v>
      </c>
      <c r="F708" s="196" t="s">
        <v>3863</v>
      </c>
      <c r="G708" s="196">
        <v>14693.329785</v>
      </c>
      <c r="H708" s="21" t="s">
        <v>2013</v>
      </c>
      <c r="I708" s="21" t="s">
        <v>123</v>
      </c>
    </row>
    <row r="709" spans="1:9" x14ac:dyDescent="0.25">
      <c r="A709" s="29">
        <v>108</v>
      </c>
      <c r="B709" s="25">
        <v>45411</v>
      </c>
      <c r="C709" s="30" t="s">
        <v>2028</v>
      </c>
      <c r="D709" s="30" t="s">
        <v>2504</v>
      </c>
      <c r="E709" s="253" t="s">
        <v>3867</v>
      </c>
      <c r="F709" s="197" t="s">
        <v>3868</v>
      </c>
      <c r="G709" s="197">
        <v>14734.8729</v>
      </c>
      <c r="H709" s="30" t="s">
        <v>3870</v>
      </c>
      <c r="I709" s="30" t="s">
        <v>123</v>
      </c>
    </row>
    <row r="710" spans="1:9" x14ac:dyDescent="0.25">
      <c r="A710" s="29">
        <v>108</v>
      </c>
      <c r="B710" s="25">
        <v>45411</v>
      </c>
      <c r="C710" s="30" t="s">
        <v>2028</v>
      </c>
      <c r="D710" s="30" t="s">
        <v>2066</v>
      </c>
      <c r="E710" s="253">
        <v>-30</v>
      </c>
      <c r="F710" s="197" t="s">
        <v>3869</v>
      </c>
      <c r="G710" s="197">
        <v>14734.7729</v>
      </c>
      <c r="H710" s="30" t="s">
        <v>3870</v>
      </c>
      <c r="I710" s="30" t="s">
        <v>123</v>
      </c>
    </row>
    <row r="711" spans="1:9" x14ac:dyDescent="0.25">
      <c r="A711" s="29">
        <v>108</v>
      </c>
      <c r="B711" s="25">
        <v>45411</v>
      </c>
      <c r="C711" s="30" t="s">
        <v>2028</v>
      </c>
      <c r="D711" s="30" t="s">
        <v>2153</v>
      </c>
      <c r="E711" s="253">
        <v>-100</v>
      </c>
      <c r="F711" s="197" t="s">
        <v>3869</v>
      </c>
      <c r="G711" s="197">
        <v>14734.7729</v>
      </c>
      <c r="H711" s="30" t="s">
        <v>3870</v>
      </c>
      <c r="I711" s="30" t="s">
        <v>123</v>
      </c>
    </row>
    <row r="712" spans="1:9" x14ac:dyDescent="0.25">
      <c r="A712" s="24">
        <v>109</v>
      </c>
      <c r="B712" s="26">
        <v>45412</v>
      </c>
      <c r="C712" s="21" t="s">
        <v>2050</v>
      </c>
      <c r="D712" s="21" t="s">
        <v>2021</v>
      </c>
      <c r="E712" s="22">
        <v>-330</v>
      </c>
      <c r="F712" s="196" t="s">
        <v>3871</v>
      </c>
      <c r="G712" s="196">
        <v>4357.3878489999997</v>
      </c>
      <c r="H712" s="21" t="s">
        <v>2016</v>
      </c>
      <c r="I712" s="21" t="s">
        <v>123</v>
      </c>
    </row>
    <row r="713" spans="1:9" x14ac:dyDescent="0.25">
      <c r="A713" s="24">
        <v>109</v>
      </c>
      <c r="B713" s="26">
        <v>45412</v>
      </c>
      <c r="C713" s="21" t="s">
        <v>2050</v>
      </c>
      <c r="D713" s="21" t="s">
        <v>2029</v>
      </c>
      <c r="E713" s="22">
        <v>-270</v>
      </c>
      <c r="F713" s="196" t="s">
        <v>3871</v>
      </c>
      <c r="G713" s="196">
        <v>4357.3878489999997</v>
      </c>
      <c r="H713" s="21" t="s">
        <v>2016</v>
      </c>
      <c r="I713" s="21" t="s">
        <v>123</v>
      </c>
    </row>
    <row r="714" spans="1:9" x14ac:dyDescent="0.25">
      <c r="A714" s="24">
        <v>109</v>
      </c>
      <c r="B714" s="26">
        <v>45412</v>
      </c>
      <c r="C714" s="21" t="s">
        <v>2050</v>
      </c>
      <c r="D714" s="21" t="s">
        <v>2022</v>
      </c>
      <c r="E714" s="22">
        <v>-250</v>
      </c>
      <c r="F714" s="196" t="s">
        <v>3871</v>
      </c>
      <c r="G714" s="196">
        <v>4357.3878489999997</v>
      </c>
      <c r="H714" s="21" t="s">
        <v>2016</v>
      </c>
      <c r="I714" s="21" t="s">
        <v>123</v>
      </c>
    </row>
    <row r="715" spans="1:9" x14ac:dyDescent="0.25">
      <c r="A715" s="24">
        <v>109</v>
      </c>
      <c r="B715" s="26">
        <v>45412</v>
      </c>
      <c r="C715" s="21" t="s">
        <v>2050</v>
      </c>
      <c r="D715" s="21" t="s">
        <v>2023</v>
      </c>
      <c r="E715" s="22">
        <v>-180</v>
      </c>
      <c r="F715" s="196" t="s">
        <v>3871</v>
      </c>
      <c r="G715" s="196">
        <v>4357.3878489999997</v>
      </c>
      <c r="H715" s="21" t="s">
        <v>2016</v>
      </c>
      <c r="I715" s="21" t="s">
        <v>123</v>
      </c>
    </row>
    <row r="716" spans="1:9" x14ac:dyDescent="0.25">
      <c r="A716" s="24">
        <v>109</v>
      </c>
      <c r="B716" s="26">
        <v>45412</v>
      </c>
      <c r="C716" s="21" t="s">
        <v>2050</v>
      </c>
      <c r="D716" s="21" t="s">
        <v>2027</v>
      </c>
      <c r="E716" s="22">
        <v>50</v>
      </c>
      <c r="F716" s="196" t="s">
        <v>3872</v>
      </c>
      <c r="G716" s="196">
        <v>4357.5378490000003</v>
      </c>
      <c r="H716" s="21" t="s">
        <v>2016</v>
      </c>
      <c r="I716" s="21" t="s">
        <v>123</v>
      </c>
    </row>
    <row r="717" spans="1:9" x14ac:dyDescent="0.25">
      <c r="A717" s="24">
        <v>109</v>
      </c>
      <c r="B717" s="26">
        <v>45412</v>
      </c>
      <c r="C717" s="21" t="s">
        <v>2050</v>
      </c>
      <c r="D717" s="21" t="s">
        <v>2066</v>
      </c>
      <c r="E717" s="22">
        <v>231</v>
      </c>
      <c r="F717" s="196" t="s">
        <v>3872</v>
      </c>
      <c r="G717" s="196">
        <v>4357.5378490000003</v>
      </c>
      <c r="H717" s="21" t="s">
        <v>2016</v>
      </c>
      <c r="I717" s="21" t="s">
        <v>123</v>
      </c>
    </row>
    <row r="718" spans="1:9" x14ac:dyDescent="0.25">
      <c r="A718" s="24">
        <v>109</v>
      </c>
      <c r="B718" s="26">
        <v>45412</v>
      </c>
      <c r="C718" s="21" t="s">
        <v>2050</v>
      </c>
      <c r="D718" s="21" t="s">
        <v>2045</v>
      </c>
      <c r="E718" s="22">
        <v>270</v>
      </c>
      <c r="F718" s="196" t="s">
        <v>3872</v>
      </c>
      <c r="G718" s="196">
        <v>4357.5378490000003</v>
      </c>
      <c r="H718" s="21" t="s">
        <v>2016</v>
      </c>
      <c r="I718" s="21" t="s">
        <v>123</v>
      </c>
    </row>
    <row r="719" spans="1:9" x14ac:dyDescent="0.25">
      <c r="A719" s="24">
        <v>109</v>
      </c>
      <c r="B719" s="26">
        <v>45412</v>
      </c>
      <c r="C719" s="21" t="s">
        <v>2050</v>
      </c>
      <c r="D719" s="21" t="s">
        <v>2153</v>
      </c>
      <c r="E719" s="22">
        <v>479</v>
      </c>
      <c r="F719" s="196" t="s">
        <v>3872</v>
      </c>
      <c r="G719" s="196">
        <v>4357.5378490000003</v>
      </c>
      <c r="H719" s="21" t="s">
        <v>2016</v>
      </c>
      <c r="I719" s="21" t="s">
        <v>123</v>
      </c>
    </row>
    <row r="720" spans="1:9" x14ac:dyDescent="0.25">
      <c r="A720" s="29">
        <v>110</v>
      </c>
      <c r="B720" s="25">
        <v>45421</v>
      </c>
      <c r="C720" s="30" t="s">
        <v>2050</v>
      </c>
      <c r="D720" s="30" t="s">
        <v>2043</v>
      </c>
      <c r="E720" s="253">
        <v>60</v>
      </c>
      <c r="F720" s="197" t="s">
        <v>3873</v>
      </c>
      <c r="G720" s="197">
        <v>14759.868200999999</v>
      </c>
      <c r="H720" s="30" t="s">
        <v>2013</v>
      </c>
      <c r="I720" s="30" t="s">
        <v>123</v>
      </c>
    </row>
    <row r="721" spans="1:9" x14ac:dyDescent="0.25">
      <c r="A721" s="29">
        <v>110</v>
      </c>
      <c r="B721" s="25">
        <v>45421</v>
      </c>
      <c r="C721" s="30" t="s">
        <v>2050</v>
      </c>
      <c r="D721" s="30" t="s">
        <v>2066</v>
      </c>
      <c r="E721" s="253">
        <v>-30</v>
      </c>
      <c r="F721" s="197" t="s">
        <v>3874</v>
      </c>
      <c r="G721" s="197">
        <v>14759.768201000001</v>
      </c>
      <c r="H721" s="30" t="s">
        <v>2013</v>
      </c>
      <c r="I721" s="30" t="s">
        <v>123</v>
      </c>
    </row>
    <row r="722" spans="1:9" x14ac:dyDescent="0.25">
      <c r="A722" s="29">
        <v>110</v>
      </c>
      <c r="B722" s="25">
        <v>45421</v>
      </c>
      <c r="C722" s="30" t="s">
        <v>2050</v>
      </c>
      <c r="D722" s="30" t="s">
        <v>2153</v>
      </c>
      <c r="E722" s="253">
        <v>-30</v>
      </c>
      <c r="F722" s="197" t="s">
        <v>3874</v>
      </c>
      <c r="G722" s="197">
        <v>14759.768201000001</v>
      </c>
      <c r="H722" s="30" t="s">
        <v>2013</v>
      </c>
      <c r="I722" s="30" t="s">
        <v>123</v>
      </c>
    </row>
    <row r="723" spans="1:9" x14ac:dyDescent="0.25">
      <c r="A723" s="29">
        <v>110</v>
      </c>
      <c r="B723" s="25">
        <v>45421</v>
      </c>
      <c r="C723" s="30" t="s">
        <v>2467</v>
      </c>
      <c r="D723" s="30" t="s">
        <v>2027</v>
      </c>
      <c r="E723" s="253">
        <v>101</v>
      </c>
      <c r="F723" s="197" t="s">
        <v>3875</v>
      </c>
      <c r="G723" s="197">
        <v>4387.1282600000004</v>
      </c>
      <c r="H723" s="30" t="s">
        <v>2013</v>
      </c>
      <c r="I723" s="30" t="s">
        <v>123</v>
      </c>
    </row>
    <row r="724" spans="1:9" x14ac:dyDescent="0.25">
      <c r="A724" s="29">
        <v>110</v>
      </c>
      <c r="B724" s="25">
        <v>45421</v>
      </c>
      <c r="C724" s="30" t="s">
        <v>2467</v>
      </c>
      <c r="D724" s="30" t="s">
        <v>2045</v>
      </c>
      <c r="E724" s="253">
        <v>45</v>
      </c>
      <c r="F724" s="197" t="s">
        <v>3875</v>
      </c>
      <c r="G724" s="197">
        <v>4387.1282600000004</v>
      </c>
      <c r="H724" s="30" t="s">
        <v>2013</v>
      </c>
      <c r="I724" s="30" t="s">
        <v>123</v>
      </c>
    </row>
    <row r="725" spans="1:9" x14ac:dyDescent="0.25">
      <c r="A725" s="29">
        <v>110</v>
      </c>
      <c r="B725" s="25">
        <v>45421</v>
      </c>
      <c r="C725" s="30" t="s">
        <v>2467</v>
      </c>
      <c r="D725" s="30" t="s">
        <v>2153</v>
      </c>
      <c r="E725" s="253">
        <v>25</v>
      </c>
      <c r="F725" s="197" t="s">
        <v>3875</v>
      </c>
      <c r="G725" s="197">
        <v>4387.1282600000004</v>
      </c>
      <c r="H725" s="30" t="s">
        <v>2013</v>
      </c>
      <c r="I725" s="30" t="s">
        <v>123</v>
      </c>
    </row>
    <row r="726" spans="1:9" x14ac:dyDescent="0.25">
      <c r="A726" s="29">
        <v>110</v>
      </c>
      <c r="B726" s="25">
        <v>45421</v>
      </c>
      <c r="C726" s="30" t="s">
        <v>2467</v>
      </c>
      <c r="D726" s="30" t="s">
        <v>2066</v>
      </c>
      <c r="E726" s="253">
        <v>4</v>
      </c>
      <c r="F726" s="197" t="s">
        <v>3875</v>
      </c>
      <c r="G726" s="197">
        <v>4387.1282600000004</v>
      </c>
      <c r="H726" s="30" t="s">
        <v>2013</v>
      </c>
      <c r="I726" s="30" t="s">
        <v>123</v>
      </c>
    </row>
    <row r="727" spans="1:9" x14ac:dyDescent="0.25">
      <c r="A727" s="29">
        <v>110</v>
      </c>
      <c r="B727" s="25">
        <v>45421</v>
      </c>
      <c r="C727" s="30" t="s">
        <v>2467</v>
      </c>
      <c r="D727" s="30" t="s">
        <v>2031</v>
      </c>
      <c r="E727" s="253">
        <v>-15</v>
      </c>
      <c r="F727" s="197" t="s">
        <v>3876</v>
      </c>
      <c r="G727" s="197">
        <v>4386.9782599999999</v>
      </c>
      <c r="H727" s="30" t="s">
        <v>2013</v>
      </c>
      <c r="I727" s="30" t="s">
        <v>123</v>
      </c>
    </row>
    <row r="728" spans="1:9" x14ac:dyDescent="0.25">
      <c r="A728" s="29">
        <v>110</v>
      </c>
      <c r="B728" s="25">
        <v>45421</v>
      </c>
      <c r="C728" s="30" t="s">
        <v>2467</v>
      </c>
      <c r="D728" s="30" t="s">
        <v>2029</v>
      </c>
      <c r="E728" s="253">
        <v>-25</v>
      </c>
      <c r="F728" s="197" t="s">
        <v>3876</v>
      </c>
      <c r="G728" s="197">
        <v>4386.9782599999999</v>
      </c>
      <c r="H728" s="30" t="s">
        <v>2013</v>
      </c>
      <c r="I728" s="30" t="s">
        <v>123</v>
      </c>
    </row>
    <row r="729" spans="1:9" x14ac:dyDescent="0.25">
      <c r="A729" s="29">
        <v>110</v>
      </c>
      <c r="B729" s="25">
        <v>45421</v>
      </c>
      <c r="C729" s="30" t="s">
        <v>2467</v>
      </c>
      <c r="D729" s="30" t="s">
        <v>2022</v>
      </c>
      <c r="E729" s="253">
        <v>-35</v>
      </c>
      <c r="F729" s="197" t="s">
        <v>3876</v>
      </c>
      <c r="G729" s="197">
        <v>4386.9782599999999</v>
      </c>
      <c r="H729" s="30" t="s">
        <v>2013</v>
      </c>
      <c r="I729" s="30" t="s">
        <v>123</v>
      </c>
    </row>
    <row r="730" spans="1:9" x14ac:dyDescent="0.25">
      <c r="A730" s="29">
        <v>110</v>
      </c>
      <c r="B730" s="25">
        <v>45421</v>
      </c>
      <c r="C730" s="30" t="s">
        <v>2467</v>
      </c>
      <c r="D730" s="30" t="s">
        <v>2023</v>
      </c>
      <c r="E730" s="253">
        <v>-100</v>
      </c>
      <c r="F730" s="197" t="s">
        <v>3876</v>
      </c>
      <c r="G730" s="197">
        <v>4386.9782599999999</v>
      </c>
      <c r="H730" s="30" t="s">
        <v>2013</v>
      </c>
      <c r="I730" s="30" t="s">
        <v>123</v>
      </c>
    </row>
    <row r="731" spans="1:9" x14ac:dyDescent="0.25">
      <c r="A731" s="29">
        <v>110</v>
      </c>
      <c r="B731" s="25">
        <v>45421</v>
      </c>
      <c r="C731" s="30" t="s">
        <v>2046</v>
      </c>
      <c r="D731" s="30" t="s">
        <v>2045</v>
      </c>
      <c r="E731" s="253">
        <v>1000</v>
      </c>
      <c r="F731" s="197" t="s">
        <v>3877</v>
      </c>
      <c r="G731" s="197">
        <v>4312.4390839999996</v>
      </c>
      <c r="H731" s="30" t="s">
        <v>2013</v>
      </c>
      <c r="I731" s="30" t="s">
        <v>123</v>
      </c>
    </row>
    <row r="732" spans="1:9" x14ac:dyDescent="0.25">
      <c r="A732" s="29">
        <v>110</v>
      </c>
      <c r="B732" s="25">
        <v>45421</v>
      </c>
      <c r="C732" s="30" t="s">
        <v>2046</v>
      </c>
      <c r="D732" s="30" t="s">
        <v>2027</v>
      </c>
      <c r="E732" s="253">
        <v>765</v>
      </c>
      <c r="F732" s="197" t="s">
        <v>3877</v>
      </c>
      <c r="G732" s="197">
        <v>4312.4390839999996</v>
      </c>
      <c r="H732" s="30" t="s">
        <v>2013</v>
      </c>
      <c r="I732" s="30" t="s">
        <v>123</v>
      </c>
    </row>
    <row r="733" spans="1:9" x14ac:dyDescent="0.25">
      <c r="A733" s="29">
        <v>110</v>
      </c>
      <c r="B733" s="25">
        <v>45421</v>
      </c>
      <c r="C733" s="30" t="s">
        <v>2046</v>
      </c>
      <c r="D733" s="30" t="s">
        <v>2153</v>
      </c>
      <c r="E733" s="253">
        <v>42</v>
      </c>
      <c r="F733" s="197" t="s">
        <v>3877</v>
      </c>
      <c r="G733" s="197">
        <v>4312.4390839999996</v>
      </c>
      <c r="H733" s="30" t="s">
        <v>2013</v>
      </c>
      <c r="I733" s="30" t="s">
        <v>123</v>
      </c>
    </row>
    <row r="734" spans="1:9" x14ac:dyDescent="0.25">
      <c r="A734" s="29">
        <v>110</v>
      </c>
      <c r="B734" s="25">
        <v>45421</v>
      </c>
      <c r="C734" s="30" t="s">
        <v>2046</v>
      </c>
      <c r="D734" s="30" t="s">
        <v>2066</v>
      </c>
      <c r="E734" s="253">
        <v>16</v>
      </c>
      <c r="F734" s="197" t="s">
        <v>3877</v>
      </c>
      <c r="G734" s="197">
        <v>4312.4390839999996</v>
      </c>
      <c r="H734" s="30" t="s">
        <v>2013</v>
      </c>
      <c r="I734" s="30" t="s">
        <v>123</v>
      </c>
    </row>
    <row r="735" spans="1:9" x14ac:dyDescent="0.25">
      <c r="A735" s="29">
        <v>110</v>
      </c>
      <c r="B735" s="25">
        <v>45421</v>
      </c>
      <c r="C735" s="30" t="s">
        <v>2046</v>
      </c>
      <c r="D735" s="30" t="s">
        <v>2029</v>
      </c>
      <c r="E735" s="253">
        <v>-300</v>
      </c>
      <c r="F735" s="197" t="s">
        <v>3878</v>
      </c>
      <c r="G735" s="197">
        <v>4312.289084</v>
      </c>
      <c r="H735" s="30" t="s">
        <v>2013</v>
      </c>
      <c r="I735" s="30" t="s">
        <v>123</v>
      </c>
    </row>
    <row r="736" spans="1:9" x14ac:dyDescent="0.25">
      <c r="A736" s="29">
        <v>110</v>
      </c>
      <c r="B736" s="25">
        <v>45421</v>
      </c>
      <c r="C736" s="30" t="s">
        <v>2046</v>
      </c>
      <c r="D736" s="30" t="s">
        <v>2022</v>
      </c>
      <c r="E736" s="253">
        <v>-500</v>
      </c>
      <c r="F736" s="197" t="s">
        <v>3878</v>
      </c>
      <c r="G736" s="197">
        <v>4312.289084</v>
      </c>
      <c r="H736" s="30" t="s">
        <v>2013</v>
      </c>
      <c r="I736" s="30" t="s">
        <v>123</v>
      </c>
    </row>
    <row r="737" spans="1:9" x14ac:dyDescent="0.25">
      <c r="A737" s="29">
        <v>110</v>
      </c>
      <c r="B737" s="25">
        <v>45421</v>
      </c>
      <c r="C737" s="30" t="s">
        <v>2046</v>
      </c>
      <c r="D737" s="30" t="s">
        <v>2023</v>
      </c>
      <c r="E737" s="253">
        <v>-500</v>
      </c>
      <c r="F737" s="197" t="s">
        <v>3878</v>
      </c>
      <c r="G737" s="197">
        <v>4312.289084</v>
      </c>
      <c r="H737" s="30" t="s">
        <v>2013</v>
      </c>
      <c r="I737" s="30" t="s">
        <v>123</v>
      </c>
    </row>
    <row r="738" spans="1:9" x14ac:dyDescent="0.25">
      <c r="A738" s="29">
        <v>110</v>
      </c>
      <c r="B738" s="25">
        <v>45421</v>
      </c>
      <c r="C738" s="30" t="s">
        <v>2046</v>
      </c>
      <c r="D738" s="30" t="s">
        <v>2031</v>
      </c>
      <c r="E738" s="253">
        <v>-523</v>
      </c>
      <c r="F738" s="197" t="s">
        <v>3878</v>
      </c>
      <c r="G738" s="197">
        <v>4312.289084</v>
      </c>
      <c r="H738" s="30" t="s">
        <v>2013</v>
      </c>
      <c r="I738" s="30" t="s">
        <v>123</v>
      </c>
    </row>
    <row r="739" spans="1:9" x14ac:dyDescent="0.25">
      <c r="A739" s="24">
        <v>111</v>
      </c>
      <c r="B739" s="26">
        <v>45427</v>
      </c>
      <c r="C739" s="21" t="s">
        <v>3879</v>
      </c>
      <c r="D739" s="21" t="s">
        <v>2043</v>
      </c>
      <c r="E739" s="212">
        <v>-1900</v>
      </c>
      <c r="F739" s="196" t="s">
        <v>3880</v>
      </c>
      <c r="G739" s="196">
        <v>14670.811358999999</v>
      </c>
      <c r="H739" s="21" t="s">
        <v>2013</v>
      </c>
      <c r="I739" s="21" t="s">
        <v>123</v>
      </c>
    </row>
    <row r="740" spans="1:9" x14ac:dyDescent="0.25">
      <c r="A740" s="24">
        <v>111</v>
      </c>
      <c r="B740" s="26">
        <v>45427</v>
      </c>
      <c r="C740" s="21" t="s">
        <v>3879</v>
      </c>
      <c r="D740" s="21" t="s">
        <v>2023</v>
      </c>
      <c r="E740" s="212">
        <v>-1500</v>
      </c>
      <c r="F740" s="196" t="s">
        <v>3880</v>
      </c>
      <c r="G740" s="196">
        <v>14670.811358999999</v>
      </c>
      <c r="H740" s="21" t="s">
        <v>2013</v>
      </c>
      <c r="I740" s="21" t="s">
        <v>123</v>
      </c>
    </row>
    <row r="741" spans="1:9" x14ac:dyDescent="0.25">
      <c r="A741" s="24">
        <v>111</v>
      </c>
      <c r="B741" s="26">
        <v>45427</v>
      </c>
      <c r="C741" s="21" t="s">
        <v>3879</v>
      </c>
      <c r="D741" s="21" t="s">
        <v>2045</v>
      </c>
      <c r="E741" s="22">
        <v>400</v>
      </c>
      <c r="F741" s="196" t="s">
        <v>3881</v>
      </c>
      <c r="G741" s="196">
        <v>14670.911359</v>
      </c>
      <c r="H741" s="21" t="s">
        <v>2013</v>
      </c>
      <c r="I741" s="21" t="s">
        <v>123</v>
      </c>
    </row>
    <row r="742" spans="1:9" x14ac:dyDescent="0.25">
      <c r="A742" s="24">
        <v>111</v>
      </c>
      <c r="B742" s="26">
        <v>45427</v>
      </c>
      <c r="C742" s="21" t="s">
        <v>3879</v>
      </c>
      <c r="D742" s="21" t="s">
        <v>2022</v>
      </c>
      <c r="E742" s="22">
        <v>500</v>
      </c>
      <c r="F742" s="196" t="s">
        <v>3881</v>
      </c>
      <c r="G742" s="196">
        <v>14670.911359</v>
      </c>
      <c r="H742" s="21" t="s">
        <v>2013</v>
      </c>
      <c r="I742" s="21" t="s">
        <v>123</v>
      </c>
    </row>
    <row r="743" spans="1:9" x14ac:dyDescent="0.25">
      <c r="A743" s="24">
        <v>111</v>
      </c>
      <c r="B743" s="26">
        <v>45427</v>
      </c>
      <c r="C743" s="21" t="s">
        <v>3879</v>
      </c>
      <c r="D743" s="21" t="s">
        <v>2031</v>
      </c>
      <c r="E743" s="212">
        <v>1000</v>
      </c>
      <c r="F743" s="196" t="s">
        <v>3881</v>
      </c>
      <c r="G743" s="196">
        <v>14670.911359</v>
      </c>
      <c r="H743" s="21" t="s">
        <v>2013</v>
      </c>
      <c r="I743" s="21" t="s">
        <v>123</v>
      </c>
    </row>
    <row r="744" spans="1:9" x14ac:dyDescent="0.25">
      <c r="A744" s="24">
        <v>111</v>
      </c>
      <c r="B744" s="26">
        <v>45427</v>
      </c>
      <c r="C744" s="21" t="s">
        <v>3879</v>
      </c>
      <c r="D744" s="21" t="s">
        <v>2029</v>
      </c>
      <c r="E744" s="212">
        <v>1500</v>
      </c>
      <c r="F744" s="196" t="s">
        <v>3881</v>
      </c>
      <c r="G744" s="196">
        <v>14670.911359</v>
      </c>
      <c r="H744" s="21" t="s">
        <v>2013</v>
      </c>
      <c r="I744" s="21" t="s">
        <v>123</v>
      </c>
    </row>
    <row r="745" spans="1:9" x14ac:dyDescent="0.25">
      <c r="A745" s="29">
        <v>112</v>
      </c>
      <c r="B745" s="25">
        <v>45450</v>
      </c>
      <c r="C745" s="30" t="s">
        <v>2050</v>
      </c>
      <c r="D745" s="30" t="s">
        <v>2053</v>
      </c>
      <c r="E745" s="253">
        <v>10</v>
      </c>
      <c r="F745" s="197" t="s">
        <v>3995</v>
      </c>
      <c r="G745" s="197">
        <v>14923.010216999999</v>
      </c>
      <c r="H745" s="30" t="s">
        <v>2016</v>
      </c>
      <c r="I745" s="30" t="s">
        <v>123</v>
      </c>
    </row>
    <row r="746" spans="1:9" x14ac:dyDescent="0.25">
      <c r="A746" s="29">
        <v>112</v>
      </c>
      <c r="B746" s="25">
        <v>45450</v>
      </c>
      <c r="C746" s="30" t="s">
        <v>2050</v>
      </c>
      <c r="D746" s="30" t="s">
        <v>2027</v>
      </c>
      <c r="E746" s="253">
        <v>10</v>
      </c>
      <c r="F746" s="197" t="s">
        <v>3996</v>
      </c>
      <c r="G746" s="197">
        <v>14923.110216999999</v>
      </c>
      <c r="H746" s="30" t="s">
        <v>2016</v>
      </c>
      <c r="I746" s="30" t="s">
        <v>123</v>
      </c>
    </row>
    <row r="747" spans="1:9" x14ac:dyDescent="0.25">
      <c r="A747" s="24">
        <v>113</v>
      </c>
      <c r="B747" s="26">
        <v>45468</v>
      </c>
      <c r="C747" s="21" t="s">
        <v>3879</v>
      </c>
      <c r="D747" s="21" t="s">
        <v>2036</v>
      </c>
      <c r="E747" s="212" t="s">
        <v>3997</v>
      </c>
      <c r="F747" s="196" t="s">
        <v>4004</v>
      </c>
      <c r="G747" s="196">
        <v>14941.752683999999</v>
      </c>
      <c r="H747" s="21" t="s">
        <v>2013</v>
      </c>
      <c r="I747" s="21" t="s">
        <v>123</v>
      </c>
    </row>
    <row r="748" spans="1:9" x14ac:dyDescent="0.25">
      <c r="A748" s="24">
        <v>113</v>
      </c>
      <c r="B748" s="26">
        <v>45468</v>
      </c>
      <c r="C748" s="21" t="s">
        <v>3879</v>
      </c>
      <c r="D748" s="21" t="s">
        <v>2022</v>
      </c>
      <c r="E748" s="212" t="s">
        <v>3998</v>
      </c>
      <c r="F748" s="196" t="s">
        <v>4004</v>
      </c>
      <c r="G748" s="196">
        <v>14941.752683999999</v>
      </c>
      <c r="H748" s="21" t="s">
        <v>2013</v>
      </c>
      <c r="I748" s="21" t="s">
        <v>123</v>
      </c>
    </row>
    <row r="749" spans="1:9" x14ac:dyDescent="0.25">
      <c r="A749" s="24">
        <v>113</v>
      </c>
      <c r="B749" s="26">
        <v>45468</v>
      </c>
      <c r="C749" s="21" t="s">
        <v>3879</v>
      </c>
      <c r="D749" s="21" t="s">
        <v>2031</v>
      </c>
      <c r="E749" s="212" t="s">
        <v>3998</v>
      </c>
      <c r="F749" s="196" t="s">
        <v>4004</v>
      </c>
      <c r="G749" s="196">
        <v>14941.752683999999</v>
      </c>
      <c r="H749" s="21" t="s">
        <v>2013</v>
      </c>
      <c r="I749" s="21" t="s">
        <v>123</v>
      </c>
    </row>
    <row r="750" spans="1:9" x14ac:dyDescent="0.25">
      <c r="A750" s="24">
        <v>113</v>
      </c>
      <c r="B750" s="26">
        <v>45468</v>
      </c>
      <c r="C750" s="21" t="s">
        <v>3879</v>
      </c>
      <c r="D750" s="21" t="s">
        <v>2045</v>
      </c>
      <c r="E750" s="212" t="s">
        <v>3999</v>
      </c>
      <c r="F750" s="196" t="s">
        <v>4004</v>
      </c>
      <c r="G750" s="196">
        <v>14941.752683999999</v>
      </c>
      <c r="H750" s="21" t="s">
        <v>2013</v>
      </c>
      <c r="I750" s="21" t="s">
        <v>123</v>
      </c>
    </row>
    <row r="751" spans="1:9" x14ac:dyDescent="0.25">
      <c r="A751" s="24">
        <v>113</v>
      </c>
      <c r="B751" s="26">
        <v>45468</v>
      </c>
      <c r="C751" s="21" t="s">
        <v>3879</v>
      </c>
      <c r="D751" s="21" t="s">
        <v>2066</v>
      </c>
      <c r="E751" s="212" t="s">
        <v>4000</v>
      </c>
      <c r="F751" s="196" t="s">
        <v>4004</v>
      </c>
      <c r="G751" s="196">
        <v>14941.752683999999</v>
      </c>
      <c r="H751" s="21" t="s">
        <v>2013</v>
      </c>
      <c r="I751" s="21" t="s">
        <v>123</v>
      </c>
    </row>
    <row r="752" spans="1:9" x14ac:dyDescent="0.25">
      <c r="A752" s="24">
        <v>113</v>
      </c>
      <c r="B752" s="26">
        <v>45468</v>
      </c>
      <c r="C752" s="21" t="s">
        <v>3879</v>
      </c>
      <c r="D752" s="21" t="s">
        <v>2153</v>
      </c>
      <c r="E752" s="212" t="s">
        <v>4001</v>
      </c>
      <c r="F752" s="196" t="s">
        <v>4004</v>
      </c>
      <c r="G752" s="196">
        <v>14941.752683999999</v>
      </c>
      <c r="H752" s="21" t="s">
        <v>2013</v>
      </c>
      <c r="I752" s="21" t="s">
        <v>123</v>
      </c>
    </row>
    <row r="753" spans="1:9" x14ac:dyDescent="0.25">
      <c r="A753" s="24">
        <v>113</v>
      </c>
      <c r="B753" s="26">
        <v>45468</v>
      </c>
      <c r="C753" s="21" t="s">
        <v>3879</v>
      </c>
      <c r="D753" s="21" t="s">
        <v>2023</v>
      </c>
      <c r="E753" s="212" t="s">
        <v>4002</v>
      </c>
      <c r="F753" s="196" t="s">
        <v>4005</v>
      </c>
      <c r="G753" s="196">
        <v>14941.852683999999</v>
      </c>
      <c r="H753" s="21" t="s">
        <v>2013</v>
      </c>
      <c r="I753" s="21" t="s">
        <v>123</v>
      </c>
    </row>
    <row r="754" spans="1:9" x14ac:dyDescent="0.25">
      <c r="A754" s="24">
        <v>113</v>
      </c>
      <c r="B754" s="26">
        <v>45468</v>
      </c>
      <c r="C754" s="21" t="s">
        <v>3879</v>
      </c>
      <c r="D754" s="21" t="s">
        <v>2027</v>
      </c>
      <c r="E754" s="212" t="s">
        <v>4003</v>
      </c>
      <c r="F754" s="196" t="s">
        <v>4005</v>
      </c>
      <c r="G754" s="196">
        <v>14941.852683999999</v>
      </c>
      <c r="H754" s="21" t="s">
        <v>2013</v>
      </c>
      <c r="I754" s="21" t="s">
        <v>123</v>
      </c>
    </row>
    <row r="755" spans="1:9" x14ac:dyDescent="0.25">
      <c r="A755" s="29">
        <v>114</v>
      </c>
      <c r="B755" s="25">
        <v>45474</v>
      </c>
      <c r="C755" s="30" t="s">
        <v>2050</v>
      </c>
      <c r="D755" s="30" t="s">
        <v>2043</v>
      </c>
      <c r="E755" s="253" t="s">
        <v>4006</v>
      </c>
      <c r="F755" s="197" t="s">
        <v>4011</v>
      </c>
      <c r="G755" s="197" t="s">
        <v>4763</v>
      </c>
      <c r="H755" s="30" t="s">
        <v>2016</v>
      </c>
      <c r="I755" s="30" t="s">
        <v>123</v>
      </c>
    </row>
    <row r="756" spans="1:9" x14ac:dyDescent="0.25">
      <c r="A756" s="29">
        <v>114</v>
      </c>
      <c r="B756" s="25">
        <v>45474</v>
      </c>
      <c r="C756" s="30" t="s">
        <v>2050</v>
      </c>
      <c r="D756" s="30" t="s">
        <v>2023</v>
      </c>
      <c r="E756" s="253" t="s">
        <v>4007</v>
      </c>
      <c r="F756" s="197" t="s">
        <v>4011</v>
      </c>
      <c r="G756" s="197" t="s">
        <v>4763</v>
      </c>
      <c r="H756" s="30" t="s">
        <v>2016</v>
      </c>
      <c r="I756" s="30" t="s">
        <v>123</v>
      </c>
    </row>
    <row r="757" spans="1:9" x14ac:dyDescent="0.25">
      <c r="A757" s="29">
        <v>114</v>
      </c>
      <c r="B757" s="25">
        <v>45474</v>
      </c>
      <c r="C757" s="30" t="s">
        <v>2050</v>
      </c>
      <c r="D757" s="30" t="s">
        <v>2066</v>
      </c>
      <c r="E757" s="253" t="s">
        <v>4008</v>
      </c>
      <c r="F757" s="197" t="s">
        <v>4012</v>
      </c>
      <c r="G757" s="197" t="s">
        <v>4764</v>
      </c>
      <c r="H757" s="30" t="s">
        <v>2016</v>
      </c>
      <c r="I757" s="30" t="s">
        <v>123</v>
      </c>
    </row>
    <row r="758" spans="1:9" x14ac:dyDescent="0.25">
      <c r="A758" s="29">
        <v>114</v>
      </c>
      <c r="B758" s="25">
        <v>45474</v>
      </c>
      <c r="C758" s="30" t="s">
        <v>2050</v>
      </c>
      <c r="D758" s="30" t="s">
        <v>2153</v>
      </c>
      <c r="E758" s="253" t="s">
        <v>4008</v>
      </c>
      <c r="F758" s="197" t="s">
        <v>4012</v>
      </c>
      <c r="G758" s="197" t="s">
        <v>4764</v>
      </c>
      <c r="H758" s="30" t="s">
        <v>2016</v>
      </c>
      <c r="I758" s="30" t="s">
        <v>123</v>
      </c>
    </row>
    <row r="759" spans="1:9" x14ac:dyDescent="0.25">
      <c r="A759" s="29">
        <v>114</v>
      </c>
      <c r="B759" s="25">
        <v>45474</v>
      </c>
      <c r="C759" s="30" t="s">
        <v>2050</v>
      </c>
      <c r="D759" s="30" t="s">
        <v>2045</v>
      </c>
      <c r="E759" s="253" t="s">
        <v>4009</v>
      </c>
      <c r="F759" s="197" t="s">
        <v>4012</v>
      </c>
      <c r="G759" s="197" t="s">
        <v>4764</v>
      </c>
      <c r="H759" s="30" t="s">
        <v>2016</v>
      </c>
      <c r="I759" s="30" t="s">
        <v>123</v>
      </c>
    </row>
    <row r="760" spans="1:9" x14ac:dyDescent="0.25">
      <c r="A760" s="29">
        <v>114</v>
      </c>
      <c r="B760" s="25">
        <v>45474</v>
      </c>
      <c r="C760" s="30" t="s">
        <v>2050</v>
      </c>
      <c r="D760" s="30" t="s">
        <v>2022</v>
      </c>
      <c r="E760" s="253" t="s">
        <v>4010</v>
      </c>
      <c r="F760" s="197" t="s">
        <v>4012</v>
      </c>
      <c r="G760" s="197" t="s">
        <v>4764</v>
      </c>
      <c r="H760" s="30" t="s">
        <v>2016</v>
      </c>
      <c r="I760" s="30" t="s">
        <v>123</v>
      </c>
    </row>
    <row r="761" spans="1:9" x14ac:dyDescent="0.25">
      <c r="A761" s="29">
        <v>114</v>
      </c>
      <c r="B761" s="25">
        <v>45474</v>
      </c>
      <c r="C761" s="30" t="s">
        <v>2050</v>
      </c>
      <c r="D761" s="30" t="s">
        <v>2029</v>
      </c>
      <c r="E761" s="253" t="s">
        <v>4002</v>
      </c>
      <c r="F761" s="197" t="s">
        <v>4012</v>
      </c>
      <c r="G761" s="197" t="s">
        <v>4764</v>
      </c>
      <c r="H761" s="30" t="s">
        <v>2016</v>
      </c>
      <c r="I761" s="30" t="s">
        <v>123</v>
      </c>
    </row>
    <row r="762" spans="1:9" x14ac:dyDescent="0.25">
      <c r="A762" s="29">
        <v>114</v>
      </c>
      <c r="B762" s="25">
        <v>45474</v>
      </c>
      <c r="C762" s="30" t="s">
        <v>2050</v>
      </c>
      <c r="D762" s="30" t="s">
        <v>2031</v>
      </c>
      <c r="E762" s="253" t="s">
        <v>4002</v>
      </c>
      <c r="F762" s="197" t="s">
        <v>4012</v>
      </c>
      <c r="G762" s="197" t="s">
        <v>4764</v>
      </c>
      <c r="H762" s="30" t="s">
        <v>2016</v>
      </c>
      <c r="I762" s="30" t="s">
        <v>123</v>
      </c>
    </row>
    <row r="763" spans="1:9" x14ac:dyDescent="0.25">
      <c r="A763" s="24">
        <v>115</v>
      </c>
      <c r="B763" s="26">
        <v>45481</v>
      </c>
      <c r="C763" s="21" t="s">
        <v>2050</v>
      </c>
      <c r="D763" s="21" t="s">
        <v>2043</v>
      </c>
      <c r="E763" s="212" t="s">
        <v>4013</v>
      </c>
      <c r="F763" s="196" t="s">
        <v>4017</v>
      </c>
      <c r="G763" s="196" t="s">
        <v>4765</v>
      </c>
      <c r="H763" s="21" t="s">
        <v>2013</v>
      </c>
      <c r="I763" s="21" t="s">
        <v>123</v>
      </c>
    </row>
    <row r="764" spans="1:9" x14ac:dyDescent="0.25">
      <c r="A764" s="24">
        <v>115</v>
      </c>
      <c r="B764" s="26">
        <v>45481</v>
      </c>
      <c r="C764" s="21" t="s">
        <v>2050</v>
      </c>
      <c r="D764" s="21" t="s">
        <v>2023</v>
      </c>
      <c r="E764" s="212" t="s">
        <v>4014</v>
      </c>
      <c r="F764" s="196" t="s">
        <v>4017</v>
      </c>
      <c r="G764" s="196" t="s">
        <v>4765</v>
      </c>
      <c r="H764" s="21" t="s">
        <v>2013</v>
      </c>
      <c r="I764" s="21" t="s">
        <v>123</v>
      </c>
    </row>
    <row r="765" spans="1:9" x14ac:dyDescent="0.25">
      <c r="A765" s="24">
        <v>115</v>
      </c>
      <c r="B765" s="26">
        <v>45481</v>
      </c>
      <c r="C765" s="21" t="s">
        <v>2050</v>
      </c>
      <c r="D765" s="21" t="s">
        <v>2026</v>
      </c>
      <c r="E765" s="212" t="s">
        <v>4015</v>
      </c>
      <c r="F765" s="196" t="s">
        <v>4018</v>
      </c>
      <c r="G765" s="196" t="s">
        <v>4766</v>
      </c>
      <c r="H765" s="21" t="s">
        <v>2013</v>
      </c>
      <c r="I765" s="21" t="s">
        <v>123</v>
      </c>
    </row>
    <row r="766" spans="1:9" x14ac:dyDescent="0.25">
      <c r="A766" s="24">
        <v>115</v>
      </c>
      <c r="B766" s="26">
        <v>45481</v>
      </c>
      <c r="C766" s="21" t="s">
        <v>2050</v>
      </c>
      <c r="D766" s="21" t="s">
        <v>2029</v>
      </c>
      <c r="E766" s="212" t="s">
        <v>4016</v>
      </c>
      <c r="F766" s="196" t="s">
        <v>4018</v>
      </c>
      <c r="G766" s="196" t="s">
        <v>4766</v>
      </c>
      <c r="H766" s="21" t="s">
        <v>2013</v>
      </c>
      <c r="I766" s="21" t="s">
        <v>123</v>
      </c>
    </row>
    <row r="767" spans="1:9" x14ac:dyDescent="0.25">
      <c r="A767" s="24">
        <v>115</v>
      </c>
      <c r="B767" s="26">
        <v>45481</v>
      </c>
      <c r="C767" s="21" t="s">
        <v>2050</v>
      </c>
      <c r="D767" s="21" t="s">
        <v>2022</v>
      </c>
      <c r="E767" s="212" t="s">
        <v>4016</v>
      </c>
      <c r="F767" s="196" t="s">
        <v>4018</v>
      </c>
      <c r="G767" s="196" t="s">
        <v>4766</v>
      </c>
      <c r="H767" s="21" t="s">
        <v>2013</v>
      </c>
      <c r="I767" s="21" t="s">
        <v>123</v>
      </c>
    </row>
    <row r="768" spans="1:9" x14ac:dyDescent="0.25">
      <c r="A768" s="24">
        <v>115</v>
      </c>
      <c r="B768" s="26">
        <v>45481</v>
      </c>
      <c r="C768" s="21" t="s">
        <v>2050</v>
      </c>
      <c r="D768" s="21" t="s">
        <v>2031</v>
      </c>
      <c r="E768" s="212" t="s">
        <v>4016</v>
      </c>
      <c r="F768" s="196" t="s">
        <v>4018</v>
      </c>
      <c r="G768" s="196" t="s">
        <v>4766</v>
      </c>
      <c r="H768" s="21" t="s">
        <v>2013</v>
      </c>
      <c r="I768" s="21" t="s">
        <v>123</v>
      </c>
    </row>
    <row r="769" spans="1:9" x14ac:dyDescent="0.25">
      <c r="A769" s="29">
        <v>116</v>
      </c>
      <c r="B769" s="25">
        <v>45482</v>
      </c>
      <c r="C769" s="30" t="s">
        <v>2050</v>
      </c>
      <c r="D769" s="30" t="s">
        <v>2053</v>
      </c>
      <c r="E769" s="253" t="s">
        <v>3860</v>
      </c>
      <c r="F769" s="197" t="s">
        <v>4019</v>
      </c>
      <c r="G769" s="197" t="s">
        <v>4767</v>
      </c>
      <c r="H769" s="30" t="s">
        <v>2016</v>
      </c>
      <c r="I769" s="30" t="s">
        <v>123</v>
      </c>
    </row>
    <row r="770" spans="1:9" x14ac:dyDescent="0.25">
      <c r="A770" s="29">
        <v>116</v>
      </c>
      <c r="B770" s="25">
        <v>45482</v>
      </c>
      <c r="C770" s="30" t="s">
        <v>2050</v>
      </c>
      <c r="D770" s="30" t="s">
        <v>2027</v>
      </c>
      <c r="E770" s="253" t="s">
        <v>3861</v>
      </c>
      <c r="F770" s="197" t="s">
        <v>4020</v>
      </c>
      <c r="G770" s="197" t="s">
        <v>4768</v>
      </c>
      <c r="H770" s="30" t="s">
        <v>2016</v>
      </c>
      <c r="I770" s="30" t="s">
        <v>123</v>
      </c>
    </row>
    <row r="771" spans="1:9" x14ac:dyDescent="0.25">
      <c r="A771" s="24">
        <v>117</v>
      </c>
      <c r="B771" s="26">
        <v>45490</v>
      </c>
      <c r="C771" s="21" t="s">
        <v>2050</v>
      </c>
      <c r="D771" s="21" t="s">
        <v>2504</v>
      </c>
      <c r="E771" s="212">
        <v>300</v>
      </c>
      <c r="F771" s="196" t="s">
        <v>4021</v>
      </c>
      <c r="G771" s="196" t="s">
        <v>4769</v>
      </c>
      <c r="H771" s="21" t="s">
        <v>2016</v>
      </c>
      <c r="I771" s="21" t="s">
        <v>123</v>
      </c>
    </row>
    <row r="772" spans="1:9" x14ac:dyDescent="0.25">
      <c r="A772" s="24">
        <v>117</v>
      </c>
      <c r="B772" s="26">
        <v>45490</v>
      </c>
      <c r="C772" s="21" t="s">
        <v>2050</v>
      </c>
      <c r="D772" s="21" t="s">
        <v>2026</v>
      </c>
      <c r="E772" s="212">
        <v>6</v>
      </c>
      <c r="F772" s="196" t="s">
        <v>4022</v>
      </c>
      <c r="G772" s="196" t="s">
        <v>4770</v>
      </c>
      <c r="H772" s="21" t="s">
        <v>2016</v>
      </c>
      <c r="I772" s="21" t="s">
        <v>123</v>
      </c>
    </row>
    <row r="773" spans="1:9" x14ac:dyDescent="0.25">
      <c r="A773" s="24">
        <v>117</v>
      </c>
      <c r="B773" s="26">
        <v>45490</v>
      </c>
      <c r="C773" s="21" t="s">
        <v>2050</v>
      </c>
      <c r="D773" s="21" t="s">
        <v>2027</v>
      </c>
      <c r="E773" s="212">
        <v>294</v>
      </c>
      <c r="F773" s="196" t="s">
        <v>4022</v>
      </c>
      <c r="G773" s="196" t="s">
        <v>4770</v>
      </c>
      <c r="H773" s="21" t="s">
        <v>2016</v>
      </c>
      <c r="I773" s="21" t="s">
        <v>123</v>
      </c>
    </row>
    <row r="774" spans="1:9" x14ac:dyDescent="0.25">
      <c r="A774" s="29">
        <v>118</v>
      </c>
      <c r="B774" s="25">
        <v>45492</v>
      </c>
      <c r="C774" s="30" t="s">
        <v>2050</v>
      </c>
      <c r="D774" s="30" t="s">
        <v>2053</v>
      </c>
      <c r="E774" s="253" t="s">
        <v>4773</v>
      </c>
      <c r="F774" s="197" t="s">
        <v>4774</v>
      </c>
      <c r="G774" s="197" t="s">
        <v>4774</v>
      </c>
      <c r="H774" s="30" t="s">
        <v>2013</v>
      </c>
      <c r="I774" s="30" t="s">
        <v>123</v>
      </c>
    </row>
    <row r="775" spans="1:9" x14ac:dyDescent="0.25">
      <c r="A775" s="29">
        <v>118</v>
      </c>
      <c r="B775" s="25">
        <v>45492</v>
      </c>
      <c r="C775" s="30" t="s">
        <v>2050</v>
      </c>
      <c r="D775" s="30" t="s">
        <v>2027</v>
      </c>
      <c r="E775" s="253" t="s">
        <v>2463</v>
      </c>
      <c r="F775" s="197" t="s">
        <v>4775</v>
      </c>
      <c r="G775" s="197" t="s">
        <v>4775</v>
      </c>
      <c r="H775" s="30" t="s">
        <v>2013</v>
      </c>
      <c r="I775" s="30" t="s">
        <v>123</v>
      </c>
    </row>
    <row r="776" spans="1:9" x14ac:dyDescent="0.25">
      <c r="A776" s="24">
        <v>119</v>
      </c>
      <c r="B776" s="26">
        <v>45504</v>
      </c>
      <c r="C776" s="21" t="s">
        <v>2050</v>
      </c>
      <c r="D776" s="21" t="s">
        <v>2043</v>
      </c>
      <c r="E776" s="212" t="s">
        <v>4759</v>
      </c>
      <c r="F776" s="196" t="s">
        <v>4761</v>
      </c>
      <c r="G776" s="196" t="s">
        <v>4771</v>
      </c>
      <c r="H776" s="21" t="s">
        <v>2016</v>
      </c>
      <c r="I776" s="21" t="s">
        <v>123</v>
      </c>
    </row>
    <row r="777" spans="1:9" x14ac:dyDescent="0.25">
      <c r="A777" s="24">
        <v>119</v>
      </c>
      <c r="B777" s="26">
        <v>45504</v>
      </c>
      <c r="C777" s="21" t="s">
        <v>2050</v>
      </c>
      <c r="D777" s="21" t="s">
        <v>2023</v>
      </c>
      <c r="E777" s="212" t="s">
        <v>4009</v>
      </c>
      <c r="F777" s="196" t="s">
        <v>4761</v>
      </c>
      <c r="G777" s="196" t="s">
        <v>4771</v>
      </c>
      <c r="H777" s="21" t="s">
        <v>2016</v>
      </c>
      <c r="I777" s="21" t="s">
        <v>123</v>
      </c>
    </row>
    <row r="778" spans="1:9" x14ac:dyDescent="0.25">
      <c r="A778" s="24">
        <v>119</v>
      </c>
      <c r="B778" s="26">
        <v>45504</v>
      </c>
      <c r="C778" s="21" t="s">
        <v>2050</v>
      </c>
      <c r="D778" s="21" t="s">
        <v>2026</v>
      </c>
      <c r="E778" s="212" t="s">
        <v>4015</v>
      </c>
      <c r="F778" s="196" t="s">
        <v>4762</v>
      </c>
      <c r="G778" s="196" t="s">
        <v>4772</v>
      </c>
      <c r="H778" s="21" t="s">
        <v>2016</v>
      </c>
      <c r="I778" s="21" t="s">
        <v>123</v>
      </c>
    </row>
    <row r="779" spans="1:9" x14ac:dyDescent="0.25">
      <c r="A779" s="24">
        <v>119</v>
      </c>
      <c r="B779" s="26">
        <v>45504</v>
      </c>
      <c r="C779" s="21" t="s">
        <v>2050</v>
      </c>
      <c r="D779" s="21" t="s">
        <v>2022</v>
      </c>
      <c r="E779" s="212" t="s">
        <v>3999</v>
      </c>
      <c r="F779" s="196" t="s">
        <v>4762</v>
      </c>
      <c r="G779" s="196" t="s">
        <v>4772</v>
      </c>
      <c r="H779" s="21" t="s">
        <v>2016</v>
      </c>
      <c r="I779" s="21" t="s">
        <v>123</v>
      </c>
    </row>
    <row r="780" spans="1:9" x14ac:dyDescent="0.25">
      <c r="A780" s="24">
        <v>119</v>
      </c>
      <c r="B780" s="26">
        <v>45504</v>
      </c>
      <c r="C780" s="21" t="s">
        <v>2050</v>
      </c>
      <c r="D780" s="21" t="s">
        <v>2029</v>
      </c>
      <c r="E780" s="212" t="s">
        <v>4760</v>
      </c>
      <c r="F780" s="196" t="s">
        <v>4762</v>
      </c>
      <c r="G780" s="196" t="s">
        <v>4772</v>
      </c>
      <c r="H780" s="21" t="s">
        <v>2016</v>
      </c>
      <c r="I780" s="21" t="s">
        <v>123</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FE651-4E91-4C07-9199-3284DD10AEBC}">
  <sheetPr codeName="Sheet3">
    <tabColor theme="9" tint="0.79998168889431442"/>
  </sheetPr>
  <dimension ref="A1:G760"/>
  <sheetViews>
    <sheetView showGridLines="0" zoomScaleNormal="100" workbookViewId="0">
      <pane ySplit="1" topLeftCell="A365" activePane="bottomLeft" state="frozen"/>
      <selection pane="bottomLeft" activeCell="B396" sqref="B396"/>
    </sheetView>
  </sheetViews>
  <sheetFormatPr defaultRowHeight="15" x14ac:dyDescent="0.25"/>
  <cols>
    <col min="1" max="1" width="12.5703125" style="27" customWidth="1"/>
    <col min="2" max="5" width="32.28515625" bestFit="1" customWidth="1"/>
    <col min="6" max="6" width="96.5703125" bestFit="1" customWidth="1"/>
  </cols>
  <sheetData>
    <row r="1" spans="1:6" x14ac:dyDescent="0.25">
      <c r="A1" s="155" t="s">
        <v>0</v>
      </c>
      <c r="B1" s="5" t="s">
        <v>10</v>
      </c>
      <c r="C1" s="5" t="s">
        <v>8</v>
      </c>
      <c r="D1" s="5" t="s">
        <v>9</v>
      </c>
      <c r="E1" s="5" t="s">
        <v>11</v>
      </c>
      <c r="F1" s="5" t="s">
        <v>5</v>
      </c>
    </row>
    <row r="2" spans="1:6" x14ac:dyDescent="0.25">
      <c r="A2" s="59">
        <v>44713</v>
      </c>
      <c r="B2" s="6" t="s">
        <v>47</v>
      </c>
      <c r="C2" s="6" t="s">
        <v>47</v>
      </c>
      <c r="D2" s="6" t="s">
        <v>47</v>
      </c>
      <c r="E2" s="2" t="s">
        <v>587</v>
      </c>
      <c r="F2" s="3"/>
    </row>
    <row r="3" spans="1:6" x14ac:dyDescent="0.25">
      <c r="A3" s="59">
        <v>44714</v>
      </c>
      <c r="B3" s="6" t="s">
        <v>47</v>
      </c>
      <c r="C3" s="6" t="s">
        <v>47</v>
      </c>
      <c r="D3" s="6" t="s">
        <v>47</v>
      </c>
      <c r="E3" s="2" t="s">
        <v>587</v>
      </c>
      <c r="F3" s="3"/>
    </row>
    <row r="4" spans="1:6" x14ac:dyDescent="0.25">
      <c r="A4" s="59">
        <v>44715</v>
      </c>
      <c r="B4" s="6" t="s">
        <v>47</v>
      </c>
      <c r="C4" s="6" t="s">
        <v>47</v>
      </c>
      <c r="D4" s="6" t="s">
        <v>47</v>
      </c>
      <c r="E4" s="2" t="s">
        <v>587</v>
      </c>
      <c r="F4" s="3"/>
    </row>
    <row r="5" spans="1:6" x14ac:dyDescent="0.25">
      <c r="A5" s="59">
        <v>44718</v>
      </c>
      <c r="B5" s="6" t="s">
        <v>47</v>
      </c>
      <c r="C5" s="6" t="s">
        <v>47</v>
      </c>
      <c r="D5" s="6" t="s">
        <v>47</v>
      </c>
      <c r="E5" s="2" t="s">
        <v>587</v>
      </c>
      <c r="F5" s="3"/>
    </row>
    <row r="6" spans="1:6" x14ac:dyDescent="0.25">
      <c r="A6" s="59">
        <v>44719</v>
      </c>
      <c r="B6" s="6" t="s">
        <v>47</v>
      </c>
      <c r="C6" s="6" t="s">
        <v>47</v>
      </c>
      <c r="D6" s="6" t="s">
        <v>47</v>
      </c>
      <c r="E6" s="2" t="s">
        <v>587</v>
      </c>
      <c r="F6" s="3"/>
    </row>
    <row r="7" spans="1:6" x14ac:dyDescent="0.25">
      <c r="A7" s="59">
        <v>44720</v>
      </c>
      <c r="B7" s="6" t="s">
        <v>47</v>
      </c>
      <c r="C7" s="6" t="s">
        <v>47</v>
      </c>
      <c r="D7" s="6" t="s">
        <v>47</v>
      </c>
      <c r="E7" s="2" t="s">
        <v>587</v>
      </c>
      <c r="F7" s="3"/>
    </row>
    <row r="8" spans="1:6" x14ac:dyDescent="0.25">
      <c r="A8" s="59">
        <v>44721</v>
      </c>
      <c r="B8" s="6" t="s">
        <v>47</v>
      </c>
      <c r="C8" s="6" t="s">
        <v>47</v>
      </c>
      <c r="D8" s="6" t="s">
        <v>47</v>
      </c>
      <c r="E8" s="2" t="s">
        <v>587</v>
      </c>
      <c r="F8" s="3"/>
    </row>
    <row r="9" spans="1:6" x14ac:dyDescent="0.25">
      <c r="A9" s="59">
        <v>44722</v>
      </c>
      <c r="B9" s="6" t="s">
        <v>47</v>
      </c>
      <c r="C9" s="6" t="s">
        <v>47</v>
      </c>
      <c r="D9" s="6" t="s">
        <v>47</v>
      </c>
      <c r="E9" s="2" t="s">
        <v>587</v>
      </c>
      <c r="F9" s="3"/>
    </row>
    <row r="10" spans="1:6" x14ac:dyDescent="0.25">
      <c r="A10" s="59">
        <v>44725</v>
      </c>
      <c r="B10" s="6" t="s">
        <v>47</v>
      </c>
      <c r="C10" s="6" t="s">
        <v>47</v>
      </c>
      <c r="D10" s="6" t="s">
        <v>47</v>
      </c>
      <c r="E10" s="2" t="s">
        <v>587</v>
      </c>
      <c r="F10" s="3"/>
    </row>
    <row r="11" spans="1:6" x14ac:dyDescent="0.25">
      <c r="A11" s="59">
        <v>44726</v>
      </c>
      <c r="B11" s="6" t="s">
        <v>47</v>
      </c>
      <c r="C11" s="6" t="s">
        <v>47</v>
      </c>
      <c r="D11" s="6" t="s">
        <v>47</v>
      </c>
      <c r="E11" s="2" t="s">
        <v>587</v>
      </c>
      <c r="F11" s="3"/>
    </row>
    <row r="12" spans="1:6" x14ac:dyDescent="0.25">
      <c r="A12" s="59">
        <v>44727</v>
      </c>
      <c r="B12" s="6" t="s">
        <v>47</v>
      </c>
      <c r="C12" s="6" t="s">
        <v>47</v>
      </c>
      <c r="D12" s="6" t="s">
        <v>47</v>
      </c>
      <c r="E12" s="2" t="s">
        <v>587</v>
      </c>
      <c r="F12" s="3"/>
    </row>
    <row r="13" spans="1:6" x14ac:dyDescent="0.25">
      <c r="A13" s="59">
        <v>44729</v>
      </c>
      <c r="B13" s="6" t="s">
        <v>47</v>
      </c>
      <c r="C13" s="6" t="s">
        <v>47</v>
      </c>
      <c r="D13" s="6" t="s">
        <v>47</v>
      </c>
      <c r="E13" s="2" t="s">
        <v>587</v>
      </c>
      <c r="F13" s="3"/>
    </row>
    <row r="14" spans="1:6" x14ac:dyDescent="0.25">
      <c r="A14" s="59">
        <v>44732</v>
      </c>
      <c r="B14" s="6" t="s">
        <v>47</v>
      </c>
      <c r="C14" s="6" t="s">
        <v>47</v>
      </c>
      <c r="D14" s="6" t="s">
        <v>47</v>
      </c>
      <c r="E14" s="2" t="s">
        <v>587</v>
      </c>
      <c r="F14" s="3"/>
    </row>
    <row r="15" spans="1:6" x14ac:dyDescent="0.25">
      <c r="A15" s="59">
        <v>44733</v>
      </c>
      <c r="B15" s="6" t="s">
        <v>47</v>
      </c>
      <c r="C15" s="6" t="s">
        <v>47</v>
      </c>
      <c r="D15" s="6" t="s">
        <v>47</v>
      </c>
      <c r="E15" s="2" t="s">
        <v>587</v>
      </c>
      <c r="F15" s="3"/>
    </row>
    <row r="16" spans="1:6" x14ac:dyDescent="0.25">
      <c r="A16" s="59">
        <v>44734</v>
      </c>
      <c r="B16" s="6" t="s">
        <v>47</v>
      </c>
      <c r="C16" s="6" t="s">
        <v>47</v>
      </c>
      <c r="D16" s="6" t="s">
        <v>47</v>
      </c>
      <c r="E16" s="2" t="s">
        <v>587</v>
      </c>
      <c r="F16" s="3"/>
    </row>
    <row r="17" spans="1:6" x14ac:dyDescent="0.25">
      <c r="A17" s="59">
        <v>44735</v>
      </c>
      <c r="B17" s="6" t="s">
        <v>47</v>
      </c>
      <c r="C17" s="6" t="s">
        <v>47</v>
      </c>
      <c r="D17" s="6" t="s">
        <v>47</v>
      </c>
      <c r="E17" s="2" t="s">
        <v>587</v>
      </c>
      <c r="F17" s="3"/>
    </row>
    <row r="18" spans="1:6" x14ac:dyDescent="0.25">
      <c r="A18" s="59">
        <v>44736</v>
      </c>
      <c r="B18" s="6" t="s">
        <v>47</v>
      </c>
      <c r="C18" s="6" t="s">
        <v>47</v>
      </c>
      <c r="D18" s="6" t="s">
        <v>47</v>
      </c>
      <c r="E18" s="2" t="s">
        <v>587</v>
      </c>
      <c r="F18" s="3"/>
    </row>
    <row r="19" spans="1:6" x14ac:dyDescent="0.25">
      <c r="A19" s="59">
        <v>44739</v>
      </c>
      <c r="B19" s="6" t="s">
        <v>47</v>
      </c>
      <c r="C19" s="6" t="s">
        <v>47</v>
      </c>
      <c r="D19" s="6" t="s">
        <v>47</v>
      </c>
      <c r="E19" s="2" t="s">
        <v>587</v>
      </c>
      <c r="F19" s="3"/>
    </row>
    <row r="20" spans="1:6" x14ac:dyDescent="0.25">
      <c r="A20" s="59">
        <v>44740</v>
      </c>
      <c r="B20" s="6" t="s">
        <v>47</v>
      </c>
      <c r="C20" s="6" t="s">
        <v>47</v>
      </c>
      <c r="D20" s="6" t="s">
        <v>47</v>
      </c>
      <c r="E20" s="2" t="s">
        <v>587</v>
      </c>
      <c r="F20" s="3"/>
    </row>
    <row r="21" spans="1:6" x14ac:dyDescent="0.25">
      <c r="A21" s="59">
        <v>44741</v>
      </c>
      <c r="B21" s="6" t="s">
        <v>47</v>
      </c>
      <c r="C21" s="6" t="s">
        <v>47</v>
      </c>
      <c r="D21" s="6" t="s">
        <v>47</v>
      </c>
      <c r="E21" s="2" t="s">
        <v>587</v>
      </c>
      <c r="F21" s="3"/>
    </row>
    <row r="22" spans="1:6" x14ac:dyDescent="0.25">
      <c r="A22" s="59">
        <v>44742</v>
      </c>
      <c r="B22" s="6" t="s">
        <v>47</v>
      </c>
      <c r="C22" s="6" t="s">
        <v>47</v>
      </c>
      <c r="D22" s="6" t="s">
        <v>47</v>
      </c>
      <c r="E22" s="2" t="s">
        <v>587</v>
      </c>
      <c r="F22" s="3"/>
    </row>
    <row r="23" spans="1:6" x14ac:dyDescent="0.25">
      <c r="A23" s="59">
        <v>44743</v>
      </c>
      <c r="B23" s="6" t="s">
        <v>47</v>
      </c>
      <c r="C23" s="6" t="s">
        <v>47</v>
      </c>
      <c r="D23" s="6" t="s">
        <v>47</v>
      </c>
      <c r="E23" s="2" t="s">
        <v>587</v>
      </c>
      <c r="F23" s="3"/>
    </row>
    <row r="24" spans="1:6" x14ac:dyDescent="0.25">
      <c r="A24" s="59">
        <v>44746</v>
      </c>
      <c r="B24" s="6" t="s">
        <v>47</v>
      </c>
      <c r="C24" s="6" t="s">
        <v>47</v>
      </c>
      <c r="D24" s="6" t="s">
        <v>47</v>
      </c>
      <c r="E24" s="2" t="s">
        <v>587</v>
      </c>
      <c r="F24" s="3"/>
    </row>
    <row r="25" spans="1:6" x14ac:dyDescent="0.25">
      <c r="A25" s="59">
        <v>44747</v>
      </c>
      <c r="B25" s="6" t="s">
        <v>47</v>
      </c>
      <c r="C25" s="6" t="s">
        <v>47</v>
      </c>
      <c r="D25" s="6" t="s">
        <v>47</v>
      </c>
      <c r="E25" s="2" t="s">
        <v>587</v>
      </c>
      <c r="F25" s="3"/>
    </row>
    <row r="26" spans="1:6" x14ac:dyDescent="0.25">
      <c r="A26" s="59">
        <v>44748</v>
      </c>
      <c r="B26" s="6" t="s">
        <v>47</v>
      </c>
      <c r="C26" s="6" t="s">
        <v>47</v>
      </c>
      <c r="D26" s="6" t="s">
        <v>47</v>
      </c>
      <c r="E26" s="2" t="s">
        <v>587</v>
      </c>
      <c r="F26" s="3"/>
    </row>
    <row r="27" spans="1:6" x14ac:dyDescent="0.25">
      <c r="A27" s="59">
        <v>44749</v>
      </c>
      <c r="B27" s="6" t="s">
        <v>47</v>
      </c>
      <c r="C27" s="6" t="s">
        <v>47</v>
      </c>
      <c r="D27" s="6" t="s">
        <v>47</v>
      </c>
      <c r="E27" s="2" t="s">
        <v>587</v>
      </c>
      <c r="F27" s="3"/>
    </row>
    <row r="28" spans="1:6" x14ac:dyDescent="0.25">
      <c r="A28" s="59">
        <v>44750</v>
      </c>
      <c r="B28" s="6" t="s">
        <v>47</v>
      </c>
      <c r="C28" s="6" t="s">
        <v>47</v>
      </c>
      <c r="D28" s="6" t="s">
        <v>47</v>
      </c>
      <c r="E28" s="2" t="s">
        <v>587</v>
      </c>
      <c r="F28" s="3"/>
    </row>
    <row r="29" spans="1:6" x14ac:dyDescent="0.25">
      <c r="A29" s="59">
        <v>44753</v>
      </c>
      <c r="B29" s="6" t="s">
        <v>47</v>
      </c>
      <c r="C29" s="6" t="s">
        <v>47</v>
      </c>
      <c r="D29" s="6" t="s">
        <v>47</v>
      </c>
      <c r="E29" s="2" t="s">
        <v>587</v>
      </c>
      <c r="F29" s="3"/>
    </row>
    <row r="30" spans="1:6" x14ac:dyDescent="0.25">
      <c r="A30" s="59">
        <v>44754</v>
      </c>
      <c r="B30" s="6" t="s">
        <v>47</v>
      </c>
      <c r="C30" s="6" t="s">
        <v>47</v>
      </c>
      <c r="D30" s="6" t="s">
        <v>47</v>
      </c>
      <c r="E30" s="2" t="s">
        <v>587</v>
      </c>
      <c r="F30" s="3"/>
    </row>
    <row r="31" spans="1:6" x14ac:dyDescent="0.25">
      <c r="A31" s="59">
        <v>44755</v>
      </c>
      <c r="B31" s="6" t="s">
        <v>47</v>
      </c>
      <c r="C31" s="6" t="s">
        <v>47</v>
      </c>
      <c r="D31" s="6" t="s">
        <v>47</v>
      </c>
      <c r="E31" s="2" t="s">
        <v>587</v>
      </c>
      <c r="F31" s="3"/>
    </row>
    <row r="32" spans="1:6" x14ac:dyDescent="0.25">
      <c r="A32" s="59">
        <v>44756</v>
      </c>
      <c r="B32" s="6" t="s">
        <v>47</v>
      </c>
      <c r="C32" s="6" t="s">
        <v>47</v>
      </c>
      <c r="D32" s="6" t="s">
        <v>47</v>
      </c>
      <c r="E32" s="2" t="s">
        <v>587</v>
      </c>
      <c r="F32" s="3"/>
    </row>
    <row r="33" spans="1:6" x14ac:dyDescent="0.25">
      <c r="A33" s="59">
        <v>44757</v>
      </c>
      <c r="B33" s="6" t="s">
        <v>47</v>
      </c>
      <c r="C33" s="6" t="s">
        <v>47</v>
      </c>
      <c r="D33" s="6" t="s">
        <v>47</v>
      </c>
      <c r="E33" s="2" t="s">
        <v>587</v>
      </c>
      <c r="F33" s="3"/>
    </row>
    <row r="34" spans="1:6" x14ac:dyDescent="0.25">
      <c r="A34" s="59">
        <v>44760</v>
      </c>
      <c r="B34" s="6" t="s">
        <v>47</v>
      </c>
      <c r="C34" s="6" t="s">
        <v>47</v>
      </c>
      <c r="D34" s="6" t="s">
        <v>47</v>
      </c>
      <c r="E34" s="2" t="s">
        <v>587</v>
      </c>
      <c r="F34" s="3"/>
    </row>
    <row r="35" spans="1:6" x14ac:dyDescent="0.25">
      <c r="A35" s="59">
        <v>44761</v>
      </c>
      <c r="B35" s="6" t="s">
        <v>47</v>
      </c>
      <c r="C35" s="6" t="s">
        <v>47</v>
      </c>
      <c r="D35" s="6" t="s">
        <v>47</v>
      </c>
      <c r="E35" s="2" t="s">
        <v>587</v>
      </c>
      <c r="F35" s="3"/>
    </row>
    <row r="36" spans="1:6" x14ac:dyDescent="0.25">
      <c r="A36" s="59">
        <v>44762</v>
      </c>
      <c r="B36" s="6" t="s">
        <v>47</v>
      </c>
      <c r="C36" s="6" t="s">
        <v>47</v>
      </c>
      <c r="D36" s="6" t="s">
        <v>47</v>
      </c>
      <c r="E36" s="2" t="s">
        <v>587</v>
      </c>
      <c r="F36" s="3"/>
    </row>
    <row r="37" spans="1:6" x14ac:dyDescent="0.25">
      <c r="A37" s="59">
        <v>44763</v>
      </c>
      <c r="B37" s="6" t="s">
        <v>47</v>
      </c>
      <c r="C37" s="6" t="s">
        <v>47</v>
      </c>
      <c r="D37" s="6" t="s">
        <v>47</v>
      </c>
      <c r="E37" s="2" t="s">
        <v>587</v>
      </c>
      <c r="F37" s="3"/>
    </row>
    <row r="38" spans="1:6" x14ac:dyDescent="0.25">
      <c r="A38" s="59">
        <v>44764</v>
      </c>
      <c r="B38" s="6" t="s">
        <v>47</v>
      </c>
      <c r="C38" s="6" t="s">
        <v>47</v>
      </c>
      <c r="D38" s="6" t="s">
        <v>47</v>
      </c>
      <c r="E38" s="2" t="s">
        <v>587</v>
      </c>
      <c r="F38" s="3"/>
    </row>
    <row r="39" spans="1:6" x14ac:dyDescent="0.25">
      <c r="A39" s="59">
        <v>44767</v>
      </c>
      <c r="B39" s="6" t="s">
        <v>47</v>
      </c>
      <c r="C39" s="6" t="s">
        <v>47</v>
      </c>
      <c r="D39" s="6" t="s">
        <v>47</v>
      </c>
      <c r="E39" s="2" t="s">
        <v>587</v>
      </c>
      <c r="F39" s="3"/>
    </row>
    <row r="40" spans="1:6" x14ac:dyDescent="0.25">
      <c r="A40" s="59">
        <v>44768</v>
      </c>
      <c r="B40" s="6" t="s">
        <v>47</v>
      </c>
      <c r="C40" s="6" t="s">
        <v>47</v>
      </c>
      <c r="D40" s="6" t="s">
        <v>47</v>
      </c>
      <c r="E40" s="2" t="s">
        <v>587</v>
      </c>
      <c r="F40" s="3"/>
    </row>
    <row r="41" spans="1:6" x14ac:dyDescent="0.25">
      <c r="A41" s="59">
        <v>44769</v>
      </c>
      <c r="B41" s="6" t="s">
        <v>47</v>
      </c>
      <c r="C41" s="6" t="s">
        <v>47</v>
      </c>
      <c r="D41" s="6" t="s">
        <v>47</v>
      </c>
      <c r="E41" s="2" t="s">
        <v>587</v>
      </c>
      <c r="F41" s="3"/>
    </row>
    <row r="42" spans="1:6" x14ac:dyDescent="0.25">
      <c r="A42" s="59">
        <v>44770</v>
      </c>
      <c r="B42" s="6" t="s">
        <v>47</v>
      </c>
      <c r="C42" s="6" t="s">
        <v>47</v>
      </c>
      <c r="D42" s="6" t="s">
        <v>47</v>
      </c>
      <c r="E42" s="2" t="s">
        <v>587</v>
      </c>
      <c r="F42" s="3"/>
    </row>
    <row r="43" spans="1:6" x14ac:dyDescent="0.25">
      <c r="A43" s="59">
        <v>44771</v>
      </c>
      <c r="B43" s="6" t="s">
        <v>47</v>
      </c>
      <c r="C43" s="6" t="s">
        <v>47</v>
      </c>
      <c r="D43" s="6" t="s">
        <v>47</v>
      </c>
      <c r="E43" s="2" t="s">
        <v>587</v>
      </c>
      <c r="F43" s="3"/>
    </row>
    <row r="44" spans="1:6" x14ac:dyDescent="0.25">
      <c r="A44" s="59">
        <v>44774</v>
      </c>
      <c r="B44" s="6" t="s">
        <v>47</v>
      </c>
      <c r="C44" s="6" t="s">
        <v>47</v>
      </c>
      <c r="D44" s="6" t="s">
        <v>47</v>
      </c>
      <c r="E44" s="2" t="s">
        <v>587</v>
      </c>
      <c r="F44" s="3"/>
    </row>
    <row r="45" spans="1:6" x14ac:dyDescent="0.25">
      <c r="A45" s="59">
        <v>44775</v>
      </c>
      <c r="B45" s="6" t="s">
        <v>47</v>
      </c>
      <c r="C45" s="6" t="s">
        <v>47</v>
      </c>
      <c r="D45" s="6" t="s">
        <v>47</v>
      </c>
      <c r="E45" s="2" t="s">
        <v>587</v>
      </c>
      <c r="F45" s="3"/>
    </row>
    <row r="46" spans="1:6" x14ac:dyDescent="0.25">
      <c r="A46" s="59">
        <v>44776</v>
      </c>
      <c r="B46" s="6" t="s">
        <v>47</v>
      </c>
      <c r="C46" s="6" t="s">
        <v>47</v>
      </c>
      <c r="D46" s="6" t="s">
        <v>47</v>
      </c>
      <c r="E46" s="2" t="s">
        <v>587</v>
      </c>
      <c r="F46" s="3"/>
    </row>
    <row r="47" spans="1:6" x14ac:dyDescent="0.25">
      <c r="A47" s="59">
        <v>44777</v>
      </c>
      <c r="B47" s="6" t="s">
        <v>47</v>
      </c>
      <c r="C47" s="6" t="s">
        <v>47</v>
      </c>
      <c r="D47" s="6" t="s">
        <v>47</v>
      </c>
      <c r="E47" s="2" t="s">
        <v>587</v>
      </c>
      <c r="F47" s="3"/>
    </row>
    <row r="48" spans="1:6" x14ac:dyDescent="0.25">
      <c r="A48" s="59">
        <v>44778</v>
      </c>
      <c r="B48" s="6" t="s">
        <v>47</v>
      </c>
      <c r="C48" s="6" t="s">
        <v>47</v>
      </c>
      <c r="D48" s="6" t="s">
        <v>47</v>
      </c>
      <c r="E48" s="2" t="s">
        <v>587</v>
      </c>
      <c r="F48" s="3"/>
    </row>
    <row r="49" spans="1:6" x14ac:dyDescent="0.25">
      <c r="A49" s="59">
        <v>44781</v>
      </c>
      <c r="B49" s="6" t="s">
        <v>47</v>
      </c>
      <c r="C49" s="6" t="s">
        <v>47</v>
      </c>
      <c r="D49" s="6" t="s">
        <v>47</v>
      </c>
      <c r="E49" s="2" t="s">
        <v>587</v>
      </c>
      <c r="F49" s="3"/>
    </row>
    <row r="50" spans="1:6" x14ac:dyDescent="0.25">
      <c r="A50" s="59">
        <v>44782</v>
      </c>
      <c r="B50" s="6" t="s">
        <v>47</v>
      </c>
      <c r="C50" s="6" t="s">
        <v>47</v>
      </c>
      <c r="D50" s="6" t="s">
        <v>47</v>
      </c>
      <c r="E50" s="2" t="s">
        <v>587</v>
      </c>
      <c r="F50" s="3"/>
    </row>
    <row r="51" spans="1:6" x14ac:dyDescent="0.25">
      <c r="A51" s="59">
        <v>44783</v>
      </c>
      <c r="B51" s="6" t="s">
        <v>47</v>
      </c>
      <c r="C51" s="6" t="s">
        <v>47</v>
      </c>
      <c r="D51" s="6" t="s">
        <v>47</v>
      </c>
      <c r="E51" s="2" t="s">
        <v>587</v>
      </c>
      <c r="F51" s="3"/>
    </row>
    <row r="52" spans="1:6" x14ac:dyDescent="0.25">
      <c r="A52" s="59">
        <v>44784</v>
      </c>
      <c r="B52" s="6" t="s">
        <v>47</v>
      </c>
      <c r="C52" s="6" t="s">
        <v>47</v>
      </c>
      <c r="D52" s="6" t="s">
        <v>47</v>
      </c>
      <c r="E52" s="2" t="s">
        <v>587</v>
      </c>
      <c r="F52" s="3"/>
    </row>
    <row r="53" spans="1:6" x14ac:dyDescent="0.25">
      <c r="A53" s="59">
        <v>44785</v>
      </c>
      <c r="B53" s="6" t="s">
        <v>47</v>
      </c>
      <c r="C53" s="6" t="s">
        <v>47</v>
      </c>
      <c r="D53" s="6" t="s">
        <v>47</v>
      </c>
      <c r="E53" s="2" t="s">
        <v>587</v>
      </c>
      <c r="F53" s="3"/>
    </row>
    <row r="54" spans="1:6" x14ac:dyDescent="0.25">
      <c r="A54" s="59">
        <v>44788</v>
      </c>
      <c r="B54" s="6" t="s">
        <v>47</v>
      </c>
      <c r="C54" s="6"/>
      <c r="D54" s="6" t="s">
        <v>47</v>
      </c>
      <c r="E54" s="2" t="s">
        <v>944</v>
      </c>
      <c r="F54" s="3" t="s">
        <v>531</v>
      </c>
    </row>
    <row r="55" spans="1:6" x14ac:dyDescent="0.25">
      <c r="A55" s="59">
        <v>44789</v>
      </c>
      <c r="B55" s="6" t="s">
        <v>47</v>
      </c>
      <c r="C55" s="6" t="s">
        <v>47</v>
      </c>
      <c r="D55" s="6" t="s">
        <v>47</v>
      </c>
      <c r="E55" s="2" t="s">
        <v>587</v>
      </c>
      <c r="F55" s="3"/>
    </row>
    <row r="56" spans="1:6" x14ac:dyDescent="0.25">
      <c r="A56" s="59">
        <v>44790</v>
      </c>
      <c r="B56" s="6" t="s">
        <v>47</v>
      </c>
      <c r="C56" s="6" t="s">
        <v>47</v>
      </c>
      <c r="D56" s="6" t="s">
        <v>47</v>
      </c>
      <c r="E56" s="2" t="s">
        <v>587</v>
      </c>
      <c r="F56" s="3"/>
    </row>
    <row r="57" spans="1:6" x14ac:dyDescent="0.25">
      <c r="A57" s="59">
        <v>44791</v>
      </c>
      <c r="B57" s="6" t="s">
        <v>47</v>
      </c>
      <c r="C57" s="6" t="s">
        <v>47</v>
      </c>
      <c r="D57" s="6" t="s">
        <v>47</v>
      </c>
      <c r="E57" s="2" t="s">
        <v>587</v>
      </c>
      <c r="F57" s="3"/>
    </row>
    <row r="58" spans="1:6" x14ac:dyDescent="0.25">
      <c r="A58" s="59">
        <v>44792</v>
      </c>
      <c r="B58" s="6" t="s">
        <v>47</v>
      </c>
      <c r="C58" s="6" t="s">
        <v>47</v>
      </c>
      <c r="D58" s="6" t="s">
        <v>47</v>
      </c>
      <c r="E58" s="2" t="s">
        <v>587</v>
      </c>
      <c r="F58" s="3"/>
    </row>
    <row r="59" spans="1:6" x14ac:dyDescent="0.25">
      <c r="A59" s="59">
        <v>44795</v>
      </c>
      <c r="B59" s="6" t="s">
        <v>47</v>
      </c>
      <c r="C59" s="6" t="s">
        <v>47</v>
      </c>
      <c r="D59" s="6" t="s">
        <v>47</v>
      </c>
      <c r="E59" s="2" t="s">
        <v>587</v>
      </c>
      <c r="F59" s="3"/>
    </row>
    <row r="60" spans="1:6" x14ac:dyDescent="0.25">
      <c r="A60" s="59">
        <v>44796</v>
      </c>
      <c r="B60" s="6" t="s">
        <v>47</v>
      </c>
      <c r="C60" s="6" t="s">
        <v>47</v>
      </c>
      <c r="D60" s="6" t="s">
        <v>47</v>
      </c>
      <c r="E60" s="2" t="s">
        <v>587</v>
      </c>
      <c r="F60" s="3"/>
    </row>
    <row r="61" spans="1:6" x14ac:dyDescent="0.25">
      <c r="A61" s="59">
        <v>44797</v>
      </c>
      <c r="B61" s="6" t="s">
        <v>47</v>
      </c>
      <c r="C61" s="6" t="s">
        <v>47</v>
      </c>
      <c r="D61" s="6" t="s">
        <v>47</v>
      </c>
      <c r="E61" s="2" t="s">
        <v>587</v>
      </c>
      <c r="F61" s="3"/>
    </row>
    <row r="62" spans="1:6" x14ac:dyDescent="0.25">
      <c r="A62" s="59">
        <v>44798</v>
      </c>
      <c r="B62" s="6" t="s">
        <v>47</v>
      </c>
      <c r="C62" s="6" t="s">
        <v>47</v>
      </c>
      <c r="D62" s="6" t="s">
        <v>47</v>
      </c>
      <c r="E62" s="2" t="s">
        <v>587</v>
      </c>
      <c r="F62" s="3"/>
    </row>
    <row r="63" spans="1:6" x14ac:dyDescent="0.25">
      <c r="A63" s="59">
        <v>44799</v>
      </c>
      <c r="B63" s="6" t="s">
        <v>47</v>
      </c>
      <c r="C63" s="6" t="s">
        <v>47</v>
      </c>
      <c r="D63" s="6" t="s">
        <v>47</v>
      </c>
      <c r="E63" s="2" t="s">
        <v>587</v>
      </c>
      <c r="F63" s="3"/>
    </row>
    <row r="64" spans="1:6" x14ac:dyDescent="0.25">
      <c r="A64" s="59">
        <v>44802</v>
      </c>
      <c r="B64" s="6" t="s">
        <v>47</v>
      </c>
      <c r="C64" s="6" t="s">
        <v>47</v>
      </c>
      <c r="D64" s="6" t="s">
        <v>47</v>
      </c>
      <c r="E64" s="2" t="s">
        <v>587</v>
      </c>
      <c r="F64" s="3"/>
    </row>
    <row r="65" spans="1:6" x14ac:dyDescent="0.25">
      <c r="A65" s="59">
        <v>44803</v>
      </c>
      <c r="B65" s="6" t="s">
        <v>47</v>
      </c>
      <c r="C65" s="6" t="s">
        <v>47</v>
      </c>
      <c r="D65" s="6" t="s">
        <v>47</v>
      </c>
      <c r="E65" s="2" t="s">
        <v>587</v>
      </c>
      <c r="F65" s="3"/>
    </row>
    <row r="66" spans="1:6" x14ac:dyDescent="0.25">
      <c r="A66" s="59">
        <v>44804</v>
      </c>
      <c r="B66" s="6" t="s">
        <v>47</v>
      </c>
      <c r="C66" s="6" t="s">
        <v>47</v>
      </c>
      <c r="D66" s="6" t="s">
        <v>47</v>
      </c>
      <c r="E66" s="2" t="s">
        <v>587</v>
      </c>
      <c r="F66" s="3"/>
    </row>
    <row r="67" spans="1:6" x14ac:dyDescent="0.25">
      <c r="A67" s="59">
        <v>44805</v>
      </c>
      <c r="B67" s="6" t="s">
        <v>47</v>
      </c>
      <c r="C67" s="6" t="s">
        <v>47</v>
      </c>
      <c r="D67" s="6" t="s">
        <v>47</v>
      </c>
      <c r="E67" s="2" t="s">
        <v>587</v>
      </c>
      <c r="F67" s="3"/>
    </row>
    <row r="68" spans="1:6" x14ac:dyDescent="0.25">
      <c r="A68" s="59">
        <v>44806</v>
      </c>
      <c r="B68" s="6" t="s">
        <v>47</v>
      </c>
      <c r="C68" s="6" t="s">
        <v>47</v>
      </c>
      <c r="D68" s="6" t="s">
        <v>47</v>
      </c>
      <c r="E68" s="2" t="s">
        <v>587</v>
      </c>
      <c r="F68" s="3"/>
    </row>
    <row r="69" spans="1:6" x14ac:dyDescent="0.25">
      <c r="A69" s="59">
        <v>44809</v>
      </c>
      <c r="B69" s="6" t="s">
        <v>47</v>
      </c>
      <c r="C69" s="6" t="s">
        <v>47</v>
      </c>
      <c r="D69" s="6" t="s">
        <v>47</v>
      </c>
      <c r="E69" s="2" t="s">
        <v>587</v>
      </c>
      <c r="F69" s="3"/>
    </row>
    <row r="70" spans="1:6" x14ac:dyDescent="0.25">
      <c r="A70" s="59">
        <v>44810</v>
      </c>
      <c r="B70" s="6" t="s">
        <v>47</v>
      </c>
      <c r="C70" s="6" t="s">
        <v>47</v>
      </c>
      <c r="D70" s="6" t="s">
        <v>47</v>
      </c>
      <c r="E70" s="2" t="s">
        <v>587</v>
      </c>
      <c r="F70" s="3"/>
    </row>
    <row r="71" spans="1:6" x14ac:dyDescent="0.25">
      <c r="A71" s="59">
        <v>44812</v>
      </c>
      <c r="B71" s="6" t="s">
        <v>47</v>
      </c>
      <c r="C71" s="6" t="s">
        <v>47</v>
      </c>
      <c r="D71" s="6" t="s">
        <v>47</v>
      </c>
      <c r="E71" s="2" t="s">
        <v>587</v>
      </c>
      <c r="F71" s="3"/>
    </row>
    <row r="72" spans="1:6" x14ac:dyDescent="0.25">
      <c r="A72" s="59">
        <v>44813</v>
      </c>
      <c r="B72" s="6" t="s">
        <v>47</v>
      </c>
      <c r="C72" s="6" t="s">
        <v>47</v>
      </c>
      <c r="D72" s="6" t="s">
        <v>47</v>
      </c>
      <c r="E72" s="2" t="s">
        <v>587</v>
      </c>
      <c r="F72" s="3"/>
    </row>
    <row r="73" spans="1:6" x14ac:dyDescent="0.25">
      <c r="A73" s="59">
        <v>44816</v>
      </c>
      <c r="B73" s="6" t="s">
        <v>47</v>
      </c>
      <c r="C73" s="6" t="s">
        <v>47</v>
      </c>
      <c r="D73" s="6" t="s">
        <v>47</v>
      </c>
      <c r="E73" s="2" t="s">
        <v>587</v>
      </c>
      <c r="F73" s="3"/>
    </row>
    <row r="74" spans="1:6" x14ac:dyDescent="0.25">
      <c r="A74" s="59">
        <v>44817</v>
      </c>
      <c r="B74" s="6" t="s">
        <v>47</v>
      </c>
      <c r="C74" s="6"/>
      <c r="D74" s="6" t="s">
        <v>47</v>
      </c>
      <c r="E74" s="2" t="s">
        <v>944</v>
      </c>
      <c r="F74" s="3" t="s">
        <v>614</v>
      </c>
    </row>
    <row r="75" spans="1:6" x14ac:dyDescent="0.25">
      <c r="A75" s="59">
        <v>44818</v>
      </c>
      <c r="B75" s="6" t="s">
        <v>47</v>
      </c>
      <c r="C75" s="6"/>
      <c r="D75" s="6" t="s">
        <v>47</v>
      </c>
      <c r="E75" s="2" t="s">
        <v>944</v>
      </c>
      <c r="F75" s="3" t="s">
        <v>614</v>
      </c>
    </row>
    <row r="76" spans="1:6" x14ac:dyDescent="0.25">
      <c r="A76" s="59">
        <v>44819</v>
      </c>
      <c r="B76" s="6" t="s">
        <v>47</v>
      </c>
      <c r="C76" s="6" t="s">
        <v>47</v>
      </c>
      <c r="D76" s="6" t="s">
        <v>47</v>
      </c>
      <c r="E76" s="2" t="s">
        <v>587</v>
      </c>
      <c r="F76" s="3" t="s">
        <v>733</v>
      </c>
    </row>
    <row r="77" spans="1:6" x14ac:dyDescent="0.25">
      <c r="A77" s="59">
        <v>44820</v>
      </c>
      <c r="B77" s="6" t="s">
        <v>47</v>
      </c>
      <c r="C77" s="6"/>
      <c r="D77" s="6" t="s">
        <v>47</v>
      </c>
      <c r="E77" s="2" t="s">
        <v>944</v>
      </c>
      <c r="F77" s="3" t="s">
        <v>614</v>
      </c>
    </row>
    <row r="78" spans="1:6" x14ac:dyDescent="0.25">
      <c r="A78" s="59">
        <v>44823</v>
      </c>
      <c r="B78" s="6" t="s">
        <v>47</v>
      </c>
      <c r="C78" s="6" t="s">
        <v>47</v>
      </c>
      <c r="D78" s="6" t="s">
        <v>47</v>
      </c>
      <c r="E78" s="2" t="s">
        <v>587</v>
      </c>
      <c r="F78" s="3" t="s">
        <v>733</v>
      </c>
    </row>
    <row r="79" spans="1:6" x14ac:dyDescent="0.25">
      <c r="A79" s="59">
        <v>44824</v>
      </c>
      <c r="B79" s="6" t="s">
        <v>47</v>
      </c>
      <c r="C79" s="6" t="s">
        <v>47</v>
      </c>
      <c r="D79" s="6" t="s">
        <v>47</v>
      </c>
      <c r="E79" s="2" t="s">
        <v>587</v>
      </c>
      <c r="F79" s="3"/>
    </row>
    <row r="80" spans="1:6" x14ac:dyDescent="0.25">
      <c r="A80" s="59">
        <v>44825</v>
      </c>
      <c r="B80" s="6" t="s">
        <v>47</v>
      </c>
      <c r="C80" s="6" t="s">
        <v>47</v>
      </c>
      <c r="D80" s="6" t="s">
        <v>47</v>
      </c>
      <c r="E80" s="2" t="s">
        <v>587</v>
      </c>
      <c r="F80" s="3"/>
    </row>
    <row r="81" spans="1:6" x14ac:dyDescent="0.25">
      <c r="A81" s="59">
        <v>44826</v>
      </c>
      <c r="B81" s="6" t="s">
        <v>47</v>
      </c>
      <c r="C81" s="6" t="s">
        <v>47</v>
      </c>
      <c r="D81" s="6" t="s">
        <v>47</v>
      </c>
      <c r="E81" s="2" t="s">
        <v>587</v>
      </c>
      <c r="F81" s="3" t="s">
        <v>732</v>
      </c>
    </row>
    <row r="82" spans="1:6" x14ac:dyDescent="0.25">
      <c r="A82" s="59">
        <v>44827</v>
      </c>
      <c r="B82" s="6" t="s">
        <v>47</v>
      </c>
      <c r="C82" s="6"/>
      <c r="D82" s="6" t="s">
        <v>47</v>
      </c>
      <c r="E82" s="2" t="s">
        <v>944</v>
      </c>
      <c r="F82" s="3" t="s">
        <v>614</v>
      </c>
    </row>
    <row r="83" spans="1:6" x14ac:dyDescent="0.25">
      <c r="A83" s="59">
        <v>44830</v>
      </c>
      <c r="B83" s="6" t="s">
        <v>47</v>
      </c>
      <c r="C83" s="6" t="s">
        <v>47</v>
      </c>
      <c r="D83" s="6" t="s">
        <v>47</v>
      </c>
      <c r="E83" s="2" t="s">
        <v>587</v>
      </c>
      <c r="F83" s="3"/>
    </row>
    <row r="84" spans="1:6" x14ac:dyDescent="0.25">
      <c r="A84" s="59">
        <v>44831</v>
      </c>
      <c r="B84" s="6" t="s">
        <v>47</v>
      </c>
      <c r="C84" s="6" t="s">
        <v>47</v>
      </c>
      <c r="D84" s="6" t="s">
        <v>47</v>
      </c>
      <c r="E84" s="2" t="s">
        <v>587</v>
      </c>
      <c r="F84" s="3"/>
    </row>
    <row r="85" spans="1:6" x14ac:dyDescent="0.25">
      <c r="A85" s="59">
        <v>44832</v>
      </c>
      <c r="B85" s="6" t="s">
        <v>47</v>
      </c>
      <c r="C85" s="6" t="s">
        <v>47</v>
      </c>
      <c r="D85" s="6" t="s">
        <v>47</v>
      </c>
      <c r="E85" s="2" t="s">
        <v>587</v>
      </c>
      <c r="F85" s="3"/>
    </row>
    <row r="86" spans="1:6" x14ac:dyDescent="0.25">
      <c r="A86" s="59">
        <v>44833</v>
      </c>
      <c r="B86" s="6" t="s">
        <v>47</v>
      </c>
      <c r="C86" s="6" t="s">
        <v>47</v>
      </c>
      <c r="D86" s="6" t="s">
        <v>47</v>
      </c>
      <c r="E86" s="2" t="s">
        <v>587</v>
      </c>
      <c r="F86" s="3"/>
    </row>
    <row r="87" spans="1:6" x14ac:dyDescent="0.25">
      <c r="A87" s="59">
        <v>44834</v>
      </c>
      <c r="B87" s="6" t="s">
        <v>47</v>
      </c>
      <c r="C87" s="6" t="s">
        <v>47</v>
      </c>
      <c r="D87" s="6" t="s">
        <v>47</v>
      </c>
      <c r="E87" s="2" t="s">
        <v>587</v>
      </c>
      <c r="F87" s="3"/>
    </row>
    <row r="88" spans="1:6" x14ac:dyDescent="0.25">
      <c r="A88" s="59">
        <v>44837</v>
      </c>
      <c r="B88" s="6" t="s">
        <v>47</v>
      </c>
      <c r="C88" s="6" t="s">
        <v>47</v>
      </c>
      <c r="D88" s="6" t="s">
        <v>47</v>
      </c>
      <c r="E88" s="2" t="s">
        <v>587</v>
      </c>
      <c r="F88" s="3"/>
    </row>
    <row r="89" spans="1:6" x14ac:dyDescent="0.25">
      <c r="A89" s="59">
        <v>44838</v>
      </c>
      <c r="B89" s="6" t="s">
        <v>47</v>
      </c>
      <c r="C89" s="6" t="s">
        <v>47</v>
      </c>
      <c r="D89" s="6" t="s">
        <v>47</v>
      </c>
      <c r="E89" s="2" t="s">
        <v>587</v>
      </c>
      <c r="F89" s="3"/>
    </row>
    <row r="90" spans="1:6" x14ac:dyDescent="0.25">
      <c r="A90" s="59">
        <v>44839</v>
      </c>
      <c r="B90" s="6" t="s">
        <v>47</v>
      </c>
      <c r="C90" s="6" t="s">
        <v>47</v>
      </c>
      <c r="D90" s="6" t="s">
        <v>47</v>
      </c>
      <c r="E90" s="2" t="s">
        <v>587</v>
      </c>
      <c r="F90" s="3"/>
    </row>
    <row r="91" spans="1:6" x14ac:dyDescent="0.25">
      <c r="A91" s="59">
        <v>44840</v>
      </c>
      <c r="B91" s="6" t="s">
        <v>47</v>
      </c>
      <c r="C91" s="6" t="s">
        <v>47</v>
      </c>
      <c r="D91" s="6" t="s">
        <v>47</v>
      </c>
      <c r="E91" s="2" t="s">
        <v>587</v>
      </c>
      <c r="F91" s="3"/>
    </row>
    <row r="92" spans="1:6" x14ac:dyDescent="0.25">
      <c r="A92" s="59">
        <v>44841</v>
      </c>
      <c r="B92" s="6" t="s">
        <v>47</v>
      </c>
      <c r="C92" s="6" t="s">
        <v>47</v>
      </c>
      <c r="D92" s="6" t="s">
        <v>47</v>
      </c>
      <c r="E92" s="2" t="s">
        <v>587</v>
      </c>
      <c r="F92" s="3"/>
    </row>
    <row r="93" spans="1:6" x14ac:dyDescent="0.25">
      <c r="A93" s="59">
        <v>44844</v>
      </c>
      <c r="B93" s="6" t="s">
        <v>47</v>
      </c>
      <c r="C93" s="6" t="s">
        <v>47</v>
      </c>
      <c r="D93" s="6" t="s">
        <v>47</v>
      </c>
      <c r="E93" s="2" t="s">
        <v>587</v>
      </c>
      <c r="F93" s="3"/>
    </row>
    <row r="94" spans="1:6" x14ac:dyDescent="0.25">
      <c r="A94" s="59">
        <v>44845</v>
      </c>
      <c r="B94" s="6" t="s">
        <v>47</v>
      </c>
      <c r="C94" s="6" t="s">
        <v>47</v>
      </c>
      <c r="D94" s="6" t="s">
        <v>47</v>
      </c>
      <c r="E94" s="2" t="s">
        <v>587</v>
      </c>
      <c r="F94" s="3"/>
    </row>
    <row r="95" spans="1:6" x14ac:dyDescent="0.25">
      <c r="A95" s="59">
        <v>44847</v>
      </c>
      <c r="B95" s="6" t="s">
        <v>47</v>
      </c>
      <c r="C95" s="6" t="s">
        <v>47</v>
      </c>
      <c r="D95" s="6" t="s">
        <v>47</v>
      </c>
      <c r="E95" s="2" t="s">
        <v>587</v>
      </c>
      <c r="F95" s="3"/>
    </row>
    <row r="96" spans="1:6" x14ac:dyDescent="0.25">
      <c r="A96" s="59">
        <v>44848</v>
      </c>
      <c r="B96" s="6" t="s">
        <v>47</v>
      </c>
      <c r="C96" s="6" t="s">
        <v>47</v>
      </c>
      <c r="D96" s="6" t="s">
        <v>47</v>
      </c>
      <c r="E96" s="2" t="s">
        <v>587</v>
      </c>
      <c r="F96" s="3"/>
    </row>
    <row r="97" spans="1:6" x14ac:dyDescent="0.25">
      <c r="A97" s="59">
        <v>44851</v>
      </c>
      <c r="B97" s="6" t="s">
        <v>47</v>
      </c>
      <c r="C97" s="6" t="s">
        <v>47</v>
      </c>
      <c r="D97" s="6" t="s">
        <v>47</v>
      </c>
      <c r="E97" s="2" t="s">
        <v>587</v>
      </c>
      <c r="F97" s="3"/>
    </row>
    <row r="98" spans="1:6" x14ac:dyDescent="0.25">
      <c r="A98" s="59">
        <v>44852</v>
      </c>
      <c r="B98" s="6" t="s">
        <v>47</v>
      </c>
      <c r="C98" s="6" t="s">
        <v>47</v>
      </c>
      <c r="D98" s="6" t="s">
        <v>47</v>
      </c>
      <c r="E98" s="2" t="s">
        <v>587</v>
      </c>
      <c r="F98" s="3"/>
    </row>
    <row r="99" spans="1:6" x14ac:dyDescent="0.25">
      <c r="A99" s="59">
        <v>44853</v>
      </c>
      <c r="B99" s="6" t="s">
        <v>47</v>
      </c>
      <c r="C99" s="6" t="s">
        <v>47</v>
      </c>
      <c r="D99" s="6" t="s">
        <v>47</v>
      </c>
      <c r="E99" s="2" t="s">
        <v>587</v>
      </c>
      <c r="F99" s="3"/>
    </row>
    <row r="100" spans="1:6" x14ac:dyDescent="0.25">
      <c r="A100" s="59">
        <v>44854</v>
      </c>
      <c r="B100" s="6" t="s">
        <v>47</v>
      </c>
      <c r="C100" s="6" t="s">
        <v>47</v>
      </c>
      <c r="D100" s="6" t="s">
        <v>47</v>
      </c>
      <c r="E100" s="2" t="s">
        <v>587</v>
      </c>
      <c r="F100" s="3"/>
    </row>
    <row r="101" spans="1:6" x14ac:dyDescent="0.25">
      <c r="A101" s="59">
        <v>44855</v>
      </c>
      <c r="B101" s="6" t="s">
        <v>47</v>
      </c>
      <c r="C101" s="6" t="s">
        <v>47</v>
      </c>
      <c r="D101" s="6" t="s">
        <v>47</v>
      </c>
      <c r="E101" s="2" t="s">
        <v>587</v>
      </c>
      <c r="F101" s="3"/>
    </row>
    <row r="102" spans="1:6" x14ac:dyDescent="0.25">
      <c r="A102" s="59">
        <v>44858</v>
      </c>
      <c r="B102" s="6" t="s">
        <v>47</v>
      </c>
      <c r="C102" s="6" t="s">
        <v>47</v>
      </c>
      <c r="D102" s="6" t="s">
        <v>47</v>
      </c>
      <c r="E102" s="2" t="s">
        <v>587</v>
      </c>
      <c r="F102" s="3"/>
    </row>
    <row r="103" spans="1:6" x14ac:dyDescent="0.25">
      <c r="A103" s="59">
        <v>44859</v>
      </c>
      <c r="B103" s="6" t="s">
        <v>47</v>
      </c>
      <c r="C103" s="6" t="s">
        <v>47</v>
      </c>
      <c r="D103" s="6" t="s">
        <v>47</v>
      </c>
      <c r="E103" s="2" t="s">
        <v>587</v>
      </c>
      <c r="F103" s="3"/>
    </row>
    <row r="104" spans="1:6" x14ac:dyDescent="0.25">
      <c r="A104" s="59">
        <v>44860</v>
      </c>
      <c r="B104" s="6" t="s">
        <v>47</v>
      </c>
      <c r="C104" s="6" t="s">
        <v>47</v>
      </c>
      <c r="D104" s="6" t="s">
        <v>47</v>
      </c>
      <c r="E104" s="2" t="s">
        <v>587</v>
      </c>
      <c r="F104" s="3"/>
    </row>
    <row r="105" spans="1:6" x14ac:dyDescent="0.25">
      <c r="A105" s="59">
        <v>44861</v>
      </c>
      <c r="B105" s="6" t="s">
        <v>47</v>
      </c>
      <c r="C105" s="6" t="s">
        <v>47</v>
      </c>
      <c r="D105" s="6" t="s">
        <v>47</v>
      </c>
      <c r="E105" s="2" t="s">
        <v>587</v>
      </c>
      <c r="F105" s="3"/>
    </row>
    <row r="106" spans="1:6" x14ac:dyDescent="0.25">
      <c r="A106" s="59">
        <v>44862</v>
      </c>
      <c r="B106" s="6" t="s">
        <v>47</v>
      </c>
      <c r="C106" s="6" t="s">
        <v>47</v>
      </c>
      <c r="D106" s="6" t="s">
        <v>47</v>
      </c>
      <c r="E106" s="2" t="s">
        <v>587</v>
      </c>
      <c r="F106" s="3"/>
    </row>
    <row r="107" spans="1:6" x14ac:dyDescent="0.25">
      <c r="A107" s="59">
        <v>44865</v>
      </c>
      <c r="B107" s="6" t="s">
        <v>47</v>
      </c>
      <c r="C107" s="6" t="s">
        <v>47</v>
      </c>
      <c r="D107" s="6" t="s">
        <v>47</v>
      </c>
      <c r="E107" s="2" t="s">
        <v>587</v>
      </c>
      <c r="F107" s="3"/>
    </row>
    <row r="108" spans="1:6" x14ac:dyDescent="0.25">
      <c r="A108" s="59">
        <v>44866</v>
      </c>
      <c r="B108" s="6" t="s">
        <v>47</v>
      </c>
      <c r="C108" s="6" t="s">
        <v>47</v>
      </c>
      <c r="D108" s="6" t="s">
        <v>47</v>
      </c>
      <c r="E108" s="2" t="s">
        <v>587</v>
      </c>
      <c r="F108" s="3"/>
    </row>
    <row r="109" spans="1:6" x14ac:dyDescent="0.25">
      <c r="A109" s="59">
        <v>44868</v>
      </c>
      <c r="B109" s="6" t="s">
        <v>47</v>
      </c>
      <c r="C109" s="6" t="s">
        <v>47</v>
      </c>
      <c r="D109" s="6" t="s">
        <v>47</v>
      </c>
      <c r="E109" s="2" t="s">
        <v>587</v>
      </c>
      <c r="F109" s="3"/>
    </row>
    <row r="110" spans="1:6" x14ac:dyDescent="0.25">
      <c r="A110" s="59">
        <v>44869</v>
      </c>
      <c r="B110" s="6" t="s">
        <v>47</v>
      </c>
      <c r="C110" s="6" t="s">
        <v>47</v>
      </c>
      <c r="D110" s="6" t="s">
        <v>47</v>
      </c>
      <c r="E110" s="2" t="s">
        <v>587</v>
      </c>
      <c r="F110" s="3"/>
    </row>
    <row r="111" spans="1:6" x14ac:dyDescent="0.25">
      <c r="A111" s="59">
        <v>44872</v>
      </c>
      <c r="B111" s="6" t="s">
        <v>47</v>
      </c>
      <c r="C111" s="6" t="s">
        <v>47</v>
      </c>
      <c r="D111" s="6" t="s">
        <v>47</v>
      </c>
      <c r="E111" s="2" t="s">
        <v>587</v>
      </c>
      <c r="F111" s="3"/>
    </row>
    <row r="112" spans="1:6" x14ac:dyDescent="0.25">
      <c r="A112" s="59">
        <v>44873</v>
      </c>
      <c r="B112" s="6" t="s">
        <v>47</v>
      </c>
      <c r="C112" s="6" t="s">
        <v>47</v>
      </c>
      <c r="D112" s="6" t="s">
        <v>47</v>
      </c>
      <c r="E112" s="2" t="s">
        <v>587</v>
      </c>
      <c r="F112" s="3"/>
    </row>
    <row r="113" spans="1:6" x14ac:dyDescent="0.25">
      <c r="A113" s="59">
        <v>44874</v>
      </c>
      <c r="B113" s="6" t="s">
        <v>47</v>
      </c>
      <c r="C113" s="6" t="s">
        <v>47</v>
      </c>
      <c r="D113" s="6" t="s">
        <v>47</v>
      </c>
      <c r="E113" s="2" t="s">
        <v>587</v>
      </c>
      <c r="F113" s="3"/>
    </row>
    <row r="114" spans="1:6" x14ac:dyDescent="0.25">
      <c r="A114" s="59">
        <v>44875</v>
      </c>
      <c r="B114" s="6" t="s">
        <v>47</v>
      </c>
      <c r="C114" s="6" t="s">
        <v>47</v>
      </c>
      <c r="D114" s="6" t="s">
        <v>47</v>
      </c>
      <c r="E114" s="2" t="s">
        <v>587</v>
      </c>
      <c r="F114" s="3"/>
    </row>
    <row r="115" spans="1:6" x14ac:dyDescent="0.25">
      <c r="A115" s="59">
        <v>44876</v>
      </c>
      <c r="B115" s="6" t="s">
        <v>47</v>
      </c>
      <c r="C115" s="6" t="s">
        <v>47</v>
      </c>
      <c r="D115" s="6" t="s">
        <v>47</v>
      </c>
      <c r="E115" s="2" t="s">
        <v>587</v>
      </c>
      <c r="F115" s="3"/>
    </row>
    <row r="116" spans="1:6" x14ac:dyDescent="0.25">
      <c r="A116" s="59">
        <v>44879</v>
      </c>
      <c r="B116" s="6" t="s">
        <v>47</v>
      </c>
      <c r="C116" s="6" t="s">
        <v>47</v>
      </c>
      <c r="D116" s="6" t="s">
        <v>47</v>
      </c>
      <c r="E116" s="2" t="s">
        <v>587</v>
      </c>
      <c r="F116" s="3"/>
    </row>
    <row r="117" spans="1:6" x14ac:dyDescent="0.25">
      <c r="A117" s="59">
        <v>44880</v>
      </c>
      <c r="B117" s="6" t="s">
        <v>47</v>
      </c>
      <c r="C117" s="6" t="s">
        <v>47</v>
      </c>
      <c r="D117" s="6" t="s">
        <v>47</v>
      </c>
      <c r="E117" s="2" t="s">
        <v>587</v>
      </c>
      <c r="F117" s="3"/>
    </row>
    <row r="118" spans="1:6" x14ac:dyDescent="0.25">
      <c r="A118" s="59">
        <v>44881</v>
      </c>
      <c r="B118" s="6" t="s">
        <v>47</v>
      </c>
      <c r="C118" s="6" t="s">
        <v>47</v>
      </c>
      <c r="D118" s="6" t="s">
        <v>47</v>
      </c>
      <c r="E118" s="2" t="s">
        <v>587</v>
      </c>
      <c r="F118" s="3"/>
    </row>
    <row r="119" spans="1:6" x14ac:dyDescent="0.25">
      <c r="A119" s="59">
        <v>44882</v>
      </c>
      <c r="B119" s="6" t="s">
        <v>47</v>
      </c>
      <c r="C119" s="6" t="s">
        <v>47</v>
      </c>
      <c r="D119" s="6" t="s">
        <v>47</v>
      </c>
      <c r="E119" s="2" t="s">
        <v>587</v>
      </c>
      <c r="F119" s="3"/>
    </row>
    <row r="120" spans="1:6" x14ac:dyDescent="0.25">
      <c r="A120" s="59">
        <v>44883</v>
      </c>
      <c r="B120" s="6" t="s">
        <v>47</v>
      </c>
      <c r="C120" s="6" t="s">
        <v>47</v>
      </c>
      <c r="D120" s="6" t="s">
        <v>47</v>
      </c>
      <c r="E120" s="2" t="s">
        <v>587</v>
      </c>
      <c r="F120" s="3"/>
    </row>
    <row r="121" spans="1:6" x14ac:dyDescent="0.25">
      <c r="A121" s="59">
        <v>44886</v>
      </c>
      <c r="B121" s="6" t="s">
        <v>47</v>
      </c>
      <c r="C121" s="6" t="s">
        <v>47</v>
      </c>
      <c r="D121" s="6" t="s">
        <v>47</v>
      </c>
      <c r="E121" s="2" t="s">
        <v>587</v>
      </c>
      <c r="F121" s="3"/>
    </row>
    <row r="122" spans="1:6" x14ac:dyDescent="0.25">
      <c r="A122" s="59">
        <v>44887</v>
      </c>
      <c r="B122" s="6" t="s">
        <v>47</v>
      </c>
      <c r="C122" s="6" t="s">
        <v>47</v>
      </c>
      <c r="D122" s="6" t="s">
        <v>47</v>
      </c>
      <c r="E122" s="2" t="s">
        <v>587</v>
      </c>
      <c r="F122" s="3"/>
    </row>
    <row r="123" spans="1:6" x14ac:dyDescent="0.25">
      <c r="A123" s="59">
        <v>44888</v>
      </c>
      <c r="B123" s="6" t="s">
        <v>47</v>
      </c>
      <c r="C123" s="6" t="s">
        <v>47</v>
      </c>
      <c r="D123" s="6" t="s">
        <v>47</v>
      </c>
      <c r="E123" s="2" t="s">
        <v>587</v>
      </c>
      <c r="F123" s="3"/>
    </row>
    <row r="124" spans="1:6" x14ac:dyDescent="0.25">
      <c r="A124" s="59">
        <v>44889</v>
      </c>
      <c r="B124" s="6" t="s">
        <v>47</v>
      </c>
      <c r="C124" s="6" t="s">
        <v>47</v>
      </c>
      <c r="D124" s="6" t="s">
        <v>47</v>
      </c>
      <c r="E124" s="2" t="s">
        <v>587</v>
      </c>
      <c r="F124" s="3"/>
    </row>
    <row r="125" spans="1:6" x14ac:dyDescent="0.25">
      <c r="A125" s="59">
        <v>44890</v>
      </c>
      <c r="B125" s="6" t="s">
        <v>47</v>
      </c>
      <c r="C125" s="6" t="s">
        <v>47</v>
      </c>
      <c r="D125" s="6" t="s">
        <v>47</v>
      </c>
      <c r="E125" s="2" t="s">
        <v>587</v>
      </c>
      <c r="F125" s="3"/>
    </row>
    <row r="126" spans="1:6" x14ac:dyDescent="0.25">
      <c r="A126" s="59">
        <v>44891</v>
      </c>
      <c r="B126" s="6" t="s">
        <v>47</v>
      </c>
      <c r="C126" s="6" t="s">
        <v>47</v>
      </c>
      <c r="D126" s="6" t="s">
        <v>47</v>
      </c>
      <c r="E126" s="2" t="s">
        <v>587</v>
      </c>
      <c r="F126" s="3"/>
    </row>
    <row r="127" spans="1:6" x14ac:dyDescent="0.25">
      <c r="A127" s="59">
        <v>44892</v>
      </c>
      <c r="B127" s="6" t="s">
        <v>47</v>
      </c>
      <c r="C127" s="6" t="s">
        <v>47</v>
      </c>
      <c r="D127" s="6" t="s">
        <v>47</v>
      </c>
      <c r="E127" s="2" t="s">
        <v>587</v>
      </c>
      <c r="F127" s="3"/>
    </row>
    <row r="128" spans="1:6" x14ac:dyDescent="0.25">
      <c r="A128" s="59">
        <v>44893</v>
      </c>
      <c r="B128" s="6" t="s">
        <v>47</v>
      </c>
      <c r="C128" s="6" t="s">
        <v>47</v>
      </c>
      <c r="D128" s="6" t="s">
        <v>47</v>
      </c>
      <c r="E128" s="2" t="s">
        <v>587</v>
      </c>
      <c r="F128" s="3"/>
    </row>
    <row r="129" spans="1:6" x14ac:dyDescent="0.25">
      <c r="A129" s="59">
        <v>44894</v>
      </c>
      <c r="B129" s="6" t="s">
        <v>47</v>
      </c>
      <c r="C129" s="6" t="s">
        <v>47</v>
      </c>
      <c r="D129" s="6" t="s">
        <v>47</v>
      </c>
      <c r="E129" s="2" t="s">
        <v>587</v>
      </c>
      <c r="F129" s="3"/>
    </row>
    <row r="130" spans="1:6" x14ac:dyDescent="0.25">
      <c r="A130" s="59">
        <v>44895</v>
      </c>
      <c r="B130" s="6" t="s">
        <v>47</v>
      </c>
      <c r="C130" s="6" t="s">
        <v>47</v>
      </c>
      <c r="D130" s="6" t="s">
        <v>47</v>
      </c>
      <c r="E130" s="2" t="s">
        <v>587</v>
      </c>
      <c r="F130" s="3"/>
    </row>
    <row r="131" spans="1:6" x14ac:dyDescent="0.25">
      <c r="A131" s="59">
        <v>44896</v>
      </c>
      <c r="B131" s="6" t="s">
        <v>47</v>
      </c>
      <c r="C131" s="6" t="s">
        <v>47</v>
      </c>
      <c r="D131" s="6" t="s">
        <v>47</v>
      </c>
      <c r="E131" s="2" t="s">
        <v>587</v>
      </c>
      <c r="F131" s="3"/>
    </row>
    <row r="132" spans="1:6" x14ac:dyDescent="0.25">
      <c r="A132" s="59">
        <v>44897</v>
      </c>
      <c r="B132" s="6" t="s">
        <v>47</v>
      </c>
      <c r="C132" s="6" t="s">
        <v>47</v>
      </c>
      <c r="D132" s="6" t="s">
        <v>47</v>
      </c>
      <c r="E132" s="2" t="s">
        <v>587</v>
      </c>
      <c r="F132" s="3"/>
    </row>
    <row r="133" spans="1:6" x14ac:dyDescent="0.25">
      <c r="A133" s="59">
        <v>44900</v>
      </c>
      <c r="B133" s="6" t="s">
        <v>47</v>
      </c>
      <c r="C133" s="6" t="s">
        <v>47</v>
      </c>
      <c r="D133" s="6" t="s">
        <v>47</v>
      </c>
      <c r="E133" s="2" t="s">
        <v>587</v>
      </c>
      <c r="F133" s="3"/>
    </row>
    <row r="134" spans="1:6" x14ac:dyDescent="0.25">
      <c r="A134" s="59">
        <v>44901</v>
      </c>
      <c r="B134" s="6" t="s">
        <v>47</v>
      </c>
      <c r="C134" s="6" t="s">
        <v>47</v>
      </c>
      <c r="D134" s="6" t="s">
        <v>47</v>
      </c>
      <c r="E134" s="2" t="s">
        <v>587</v>
      </c>
      <c r="F134" s="3"/>
    </row>
    <row r="135" spans="1:6" x14ac:dyDescent="0.25">
      <c r="A135" s="59">
        <v>44902</v>
      </c>
      <c r="B135" s="6" t="s">
        <v>47</v>
      </c>
      <c r="C135" s="6" t="s">
        <v>47</v>
      </c>
      <c r="D135" s="6" t="s">
        <v>47</v>
      </c>
      <c r="E135" s="2" t="s">
        <v>587</v>
      </c>
      <c r="F135" s="3"/>
    </row>
    <row r="136" spans="1:6" x14ac:dyDescent="0.25">
      <c r="A136" s="59">
        <v>44903</v>
      </c>
      <c r="B136" s="6" t="s">
        <v>47</v>
      </c>
      <c r="C136" s="6" t="s">
        <v>47</v>
      </c>
      <c r="D136" s="6" t="s">
        <v>47</v>
      </c>
      <c r="E136" s="2" t="s">
        <v>587</v>
      </c>
      <c r="F136" s="3"/>
    </row>
    <row r="137" spans="1:6" x14ac:dyDescent="0.25">
      <c r="A137" s="59">
        <v>44904</v>
      </c>
      <c r="B137" s="6" t="s">
        <v>47</v>
      </c>
      <c r="C137" s="6" t="s">
        <v>47</v>
      </c>
      <c r="D137" s="6" t="s">
        <v>47</v>
      </c>
      <c r="E137" s="2" t="s">
        <v>587</v>
      </c>
      <c r="F137" s="3"/>
    </row>
    <row r="138" spans="1:6" x14ac:dyDescent="0.25">
      <c r="A138" s="59">
        <v>44907</v>
      </c>
      <c r="B138" s="6" t="s">
        <v>47</v>
      </c>
      <c r="C138" s="6" t="s">
        <v>47</v>
      </c>
      <c r="D138" s="6" t="s">
        <v>47</v>
      </c>
      <c r="E138" s="2" t="s">
        <v>587</v>
      </c>
    </row>
    <row r="139" spans="1:6" x14ac:dyDescent="0.25">
      <c r="A139" s="59">
        <v>44908</v>
      </c>
      <c r="B139" s="6" t="s">
        <v>47</v>
      </c>
      <c r="C139" s="6" t="s">
        <v>47</v>
      </c>
      <c r="D139" s="6" t="s">
        <v>47</v>
      </c>
      <c r="E139" s="2" t="s">
        <v>587</v>
      </c>
    </row>
    <row r="140" spans="1:6" x14ac:dyDescent="0.25">
      <c r="A140" s="59">
        <v>44909</v>
      </c>
      <c r="B140" s="6" t="s">
        <v>47</v>
      </c>
      <c r="C140" s="6" t="s">
        <v>47</v>
      </c>
      <c r="D140" s="6" t="s">
        <v>47</v>
      </c>
      <c r="E140" s="2" t="s">
        <v>587</v>
      </c>
    </row>
    <row r="141" spans="1:6" x14ac:dyDescent="0.25">
      <c r="A141" s="59">
        <v>44910</v>
      </c>
      <c r="B141" s="6" t="s">
        <v>47</v>
      </c>
      <c r="C141" s="6" t="s">
        <v>47</v>
      </c>
      <c r="D141" s="6" t="s">
        <v>47</v>
      </c>
      <c r="E141" s="2" t="s">
        <v>587</v>
      </c>
    </row>
    <row r="142" spans="1:6" x14ac:dyDescent="0.25">
      <c r="A142" s="59">
        <v>44911</v>
      </c>
      <c r="B142" s="6" t="s">
        <v>47</v>
      </c>
      <c r="C142" s="6" t="s">
        <v>47</v>
      </c>
      <c r="D142" s="6" t="s">
        <v>47</v>
      </c>
      <c r="E142" s="2" t="s">
        <v>587</v>
      </c>
    </row>
    <row r="143" spans="1:6" x14ac:dyDescent="0.25">
      <c r="A143" s="59">
        <v>44914</v>
      </c>
      <c r="B143" s="6" t="s">
        <v>47</v>
      </c>
      <c r="C143" s="6" t="s">
        <v>47</v>
      </c>
      <c r="D143" s="6" t="s">
        <v>47</v>
      </c>
      <c r="E143" s="2" t="s">
        <v>587</v>
      </c>
    </row>
    <row r="144" spans="1:6" x14ac:dyDescent="0.25">
      <c r="A144" s="59">
        <v>44915</v>
      </c>
      <c r="B144" s="6" t="s">
        <v>47</v>
      </c>
      <c r="C144" s="6" t="s">
        <v>47</v>
      </c>
      <c r="D144" s="6" t="s">
        <v>47</v>
      </c>
      <c r="E144" s="2" t="s">
        <v>587</v>
      </c>
    </row>
    <row r="145" spans="1:5" x14ac:dyDescent="0.25">
      <c r="A145" s="59">
        <v>44916</v>
      </c>
      <c r="B145" s="6" t="s">
        <v>47</v>
      </c>
      <c r="C145" s="6" t="s">
        <v>47</v>
      </c>
      <c r="D145" s="6" t="s">
        <v>47</v>
      </c>
      <c r="E145" s="2" t="s">
        <v>587</v>
      </c>
    </row>
    <row r="146" spans="1:5" x14ac:dyDescent="0.25">
      <c r="A146" s="59">
        <v>44917</v>
      </c>
      <c r="B146" s="6" t="s">
        <v>47</v>
      </c>
      <c r="C146" s="6" t="s">
        <v>47</v>
      </c>
      <c r="D146" s="6" t="s">
        <v>47</v>
      </c>
      <c r="E146" s="2" t="s">
        <v>587</v>
      </c>
    </row>
    <row r="147" spans="1:5" x14ac:dyDescent="0.25">
      <c r="A147" s="59">
        <v>44918</v>
      </c>
      <c r="B147" s="6" t="s">
        <v>47</v>
      </c>
      <c r="C147" s="6" t="s">
        <v>47</v>
      </c>
      <c r="D147" s="6" t="s">
        <v>47</v>
      </c>
      <c r="E147" s="2" t="s">
        <v>587</v>
      </c>
    </row>
    <row r="148" spans="1:5" x14ac:dyDescent="0.25">
      <c r="A148" s="59">
        <v>44921</v>
      </c>
      <c r="B148" s="6" t="s">
        <v>47</v>
      </c>
      <c r="C148" s="6" t="s">
        <v>47</v>
      </c>
      <c r="D148" s="6" t="s">
        <v>47</v>
      </c>
      <c r="E148" s="2" t="s">
        <v>587</v>
      </c>
    </row>
    <row r="149" spans="1:5" x14ac:dyDescent="0.25">
      <c r="A149" s="59">
        <v>44922</v>
      </c>
      <c r="B149" s="6" t="s">
        <v>47</v>
      </c>
      <c r="C149" s="6" t="s">
        <v>47</v>
      </c>
      <c r="D149" s="6" t="s">
        <v>47</v>
      </c>
      <c r="E149" s="2" t="s">
        <v>587</v>
      </c>
    </row>
    <row r="150" spans="1:5" x14ac:dyDescent="0.25">
      <c r="A150" s="59">
        <v>44923</v>
      </c>
      <c r="B150" s="6" t="s">
        <v>47</v>
      </c>
      <c r="C150" s="6" t="s">
        <v>47</v>
      </c>
      <c r="D150" s="6" t="s">
        <v>47</v>
      </c>
      <c r="E150" s="2" t="s">
        <v>587</v>
      </c>
    </row>
    <row r="151" spans="1:5" x14ac:dyDescent="0.25">
      <c r="A151" s="59">
        <v>44924</v>
      </c>
      <c r="B151" s="6" t="s">
        <v>47</v>
      </c>
      <c r="C151" s="6" t="s">
        <v>47</v>
      </c>
      <c r="D151" s="6" t="s">
        <v>47</v>
      </c>
      <c r="E151" s="2" t="s">
        <v>587</v>
      </c>
    </row>
    <row r="152" spans="1:5" x14ac:dyDescent="0.25">
      <c r="A152" s="59">
        <v>44925</v>
      </c>
      <c r="B152" s="6" t="s">
        <v>47</v>
      </c>
      <c r="C152" s="6" t="s">
        <v>47</v>
      </c>
      <c r="D152" s="6" t="s">
        <v>47</v>
      </c>
      <c r="E152" s="2" t="s">
        <v>587</v>
      </c>
    </row>
    <row r="153" spans="1:5" x14ac:dyDescent="0.25">
      <c r="A153" s="59">
        <v>44928</v>
      </c>
      <c r="B153" s="6" t="s">
        <v>47</v>
      </c>
      <c r="C153" s="6" t="s">
        <v>47</v>
      </c>
      <c r="D153" s="6" t="s">
        <v>47</v>
      </c>
      <c r="E153" s="2" t="s">
        <v>587</v>
      </c>
    </row>
    <row r="154" spans="1:5" x14ac:dyDescent="0.25">
      <c r="A154" s="59">
        <v>44929</v>
      </c>
      <c r="B154" s="6" t="s">
        <v>47</v>
      </c>
      <c r="C154" s="6" t="s">
        <v>47</v>
      </c>
      <c r="D154" s="6" t="s">
        <v>47</v>
      </c>
      <c r="E154" s="2" t="s">
        <v>587</v>
      </c>
    </row>
    <row r="155" spans="1:5" x14ac:dyDescent="0.25">
      <c r="A155" s="59">
        <v>44930</v>
      </c>
      <c r="B155" s="6" t="s">
        <v>47</v>
      </c>
      <c r="C155" s="6" t="s">
        <v>47</v>
      </c>
      <c r="D155" s="6" t="s">
        <v>47</v>
      </c>
      <c r="E155" s="2" t="s">
        <v>587</v>
      </c>
    </row>
    <row r="156" spans="1:5" x14ac:dyDescent="0.25">
      <c r="A156" s="59">
        <v>44931</v>
      </c>
      <c r="B156" s="6" t="s">
        <v>47</v>
      </c>
      <c r="C156" s="6" t="s">
        <v>47</v>
      </c>
      <c r="D156" s="6" t="s">
        <v>47</v>
      </c>
      <c r="E156" s="2" t="s">
        <v>587</v>
      </c>
    </row>
    <row r="157" spans="1:5" x14ac:dyDescent="0.25">
      <c r="A157" s="59">
        <v>44932</v>
      </c>
      <c r="B157" s="6" t="s">
        <v>47</v>
      </c>
      <c r="C157" s="6" t="s">
        <v>47</v>
      </c>
      <c r="D157" s="6" t="s">
        <v>47</v>
      </c>
      <c r="E157" s="2" t="s">
        <v>587</v>
      </c>
    </row>
    <row r="158" spans="1:5" x14ac:dyDescent="0.25">
      <c r="A158" s="59">
        <v>44935</v>
      </c>
      <c r="B158" s="6" t="s">
        <v>47</v>
      </c>
      <c r="C158" s="6" t="s">
        <v>47</v>
      </c>
      <c r="D158" s="6" t="s">
        <v>47</v>
      </c>
      <c r="E158" s="2" t="s">
        <v>587</v>
      </c>
    </row>
    <row r="159" spans="1:5" x14ac:dyDescent="0.25">
      <c r="A159" s="59">
        <v>44936</v>
      </c>
      <c r="B159" s="6" t="s">
        <v>47</v>
      </c>
      <c r="C159" s="6" t="s">
        <v>47</v>
      </c>
      <c r="D159" s="6" t="s">
        <v>47</v>
      </c>
      <c r="E159" s="2" t="s">
        <v>587</v>
      </c>
    </row>
    <row r="160" spans="1:5" x14ac:dyDescent="0.25">
      <c r="A160" s="59">
        <v>44937</v>
      </c>
      <c r="B160" s="6" t="s">
        <v>47</v>
      </c>
      <c r="C160" s="6" t="s">
        <v>47</v>
      </c>
      <c r="D160" s="6" t="s">
        <v>47</v>
      </c>
      <c r="E160" s="2" t="s">
        <v>587</v>
      </c>
    </row>
    <row r="161" spans="1:5" x14ac:dyDescent="0.25">
      <c r="A161" s="59">
        <v>44938</v>
      </c>
      <c r="B161" s="6" t="s">
        <v>47</v>
      </c>
      <c r="C161" s="6" t="s">
        <v>47</v>
      </c>
      <c r="D161" s="6" t="s">
        <v>47</v>
      </c>
      <c r="E161" s="2" t="s">
        <v>587</v>
      </c>
    </row>
    <row r="162" spans="1:5" x14ac:dyDescent="0.25">
      <c r="A162" s="59">
        <v>44939</v>
      </c>
      <c r="B162" s="6" t="s">
        <v>47</v>
      </c>
      <c r="C162" s="6" t="s">
        <v>47</v>
      </c>
      <c r="D162" s="6" t="s">
        <v>47</v>
      </c>
      <c r="E162" s="2" t="s">
        <v>587</v>
      </c>
    </row>
    <row r="163" spans="1:5" x14ac:dyDescent="0.25">
      <c r="A163" s="59">
        <v>44942</v>
      </c>
      <c r="B163" s="6" t="s">
        <v>47</v>
      </c>
      <c r="C163" s="6" t="s">
        <v>47</v>
      </c>
      <c r="D163" s="6" t="s">
        <v>47</v>
      </c>
      <c r="E163" s="2" t="s">
        <v>587</v>
      </c>
    </row>
    <row r="164" spans="1:5" x14ac:dyDescent="0.25">
      <c r="A164" s="59">
        <v>44943</v>
      </c>
      <c r="B164" s="6" t="s">
        <v>47</v>
      </c>
      <c r="C164" s="6" t="s">
        <v>47</v>
      </c>
      <c r="D164" s="6" t="s">
        <v>47</v>
      </c>
      <c r="E164" s="2" t="s">
        <v>587</v>
      </c>
    </row>
    <row r="165" spans="1:5" x14ac:dyDescent="0.25">
      <c r="A165" s="59">
        <v>44944</v>
      </c>
      <c r="B165" s="6" t="s">
        <v>47</v>
      </c>
      <c r="C165" s="6" t="s">
        <v>47</v>
      </c>
      <c r="D165" s="6" t="s">
        <v>47</v>
      </c>
      <c r="E165" s="2" t="s">
        <v>587</v>
      </c>
    </row>
    <row r="166" spans="1:5" x14ac:dyDescent="0.25">
      <c r="A166" s="59">
        <v>44945</v>
      </c>
      <c r="B166" s="6" t="s">
        <v>47</v>
      </c>
      <c r="C166" s="6" t="s">
        <v>47</v>
      </c>
      <c r="D166" s="6" t="s">
        <v>47</v>
      </c>
      <c r="E166" s="2" t="s">
        <v>587</v>
      </c>
    </row>
    <row r="167" spans="1:5" x14ac:dyDescent="0.25">
      <c r="A167" s="59">
        <v>44946</v>
      </c>
      <c r="B167" s="6" t="s">
        <v>47</v>
      </c>
      <c r="C167" s="6" t="s">
        <v>47</v>
      </c>
      <c r="D167" s="6" t="s">
        <v>47</v>
      </c>
      <c r="E167" s="2" t="s">
        <v>587</v>
      </c>
    </row>
    <row r="168" spans="1:5" x14ac:dyDescent="0.25">
      <c r="A168" s="59">
        <v>44949</v>
      </c>
      <c r="B168" s="6" t="s">
        <v>47</v>
      </c>
      <c r="C168" s="6" t="s">
        <v>47</v>
      </c>
      <c r="D168" s="6" t="s">
        <v>47</v>
      </c>
      <c r="E168" s="2" t="s">
        <v>587</v>
      </c>
    </row>
    <row r="169" spans="1:5" x14ac:dyDescent="0.25">
      <c r="A169" s="59">
        <v>44950</v>
      </c>
      <c r="B169" s="6" t="s">
        <v>47</v>
      </c>
      <c r="C169" s="6" t="s">
        <v>47</v>
      </c>
      <c r="D169" s="6" t="s">
        <v>47</v>
      </c>
      <c r="E169" s="2" t="s">
        <v>587</v>
      </c>
    </row>
    <row r="170" spans="1:5" x14ac:dyDescent="0.25">
      <c r="A170" s="59">
        <v>44951</v>
      </c>
      <c r="B170" s="6" t="s">
        <v>47</v>
      </c>
      <c r="C170" s="6" t="s">
        <v>47</v>
      </c>
      <c r="D170" s="6" t="s">
        <v>47</v>
      </c>
      <c r="E170" s="2" t="s">
        <v>587</v>
      </c>
    </row>
    <row r="171" spans="1:5" x14ac:dyDescent="0.25">
      <c r="A171" s="59">
        <v>44952</v>
      </c>
      <c r="B171" s="6" t="s">
        <v>47</v>
      </c>
      <c r="C171" s="6" t="s">
        <v>47</v>
      </c>
      <c r="D171" s="6" t="s">
        <v>47</v>
      </c>
      <c r="E171" s="2" t="s">
        <v>587</v>
      </c>
    </row>
    <row r="172" spans="1:5" x14ac:dyDescent="0.25">
      <c r="A172" s="59">
        <v>44953</v>
      </c>
      <c r="B172" s="6" t="s">
        <v>47</v>
      </c>
      <c r="C172" s="6" t="s">
        <v>47</v>
      </c>
      <c r="D172" s="6" t="s">
        <v>47</v>
      </c>
      <c r="E172" s="2" t="s">
        <v>587</v>
      </c>
    </row>
    <row r="173" spans="1:5" x14ac:dyDescent="0.25">
      <c r="A173" s="59">
        <v>44956</v>
      </c>
      <c r="B173" s="6" t="s">
        <v>47</v>
      </c>
      <c r="C173" s="6" t="s">
        <v>47</v>
      </c>
      <c r="D173" s="6" t="s">
        <v>47</v>
      </c>
      <c r="E173" s="2" t="s">
        <v>587</v>
      </c>
    </row>
    <row r="174" spans="1:5" x14ac:dyDescent="0.25">
      <c r="A174" s="59">
        <v>44957</v>
      </c>
      <c r="B174" s="6" t="s">
        <v>47</v>
      </c>
      <c r="C174" s="6" t="s">
        <v>47</v>
      </c>
      <c r="D174" s="6" t="s">
        <v>47</v>
      </c>
      <c r="E174" s="2" t="s">
        <v>587</v>
      </c>
    </row>
    <row r="175" spans="1:5" x14ac:dyDescent="0.25">
      <c r="A175" s="59">
        <v>44958</v>
      </c>
      <c r="B175" s="6" t="s">
        <v>47</v>
      </c>
      <c r="C175" s="6" t="s">
        <v>47</v>
      </c>
      <c r="D175" s="6" t="s">
        <v>47</v>
      </c>
      <c r="E175" s="2" t="s">
        <v>587</v>
      </c>
    </row>
    <row r="176" spans="1:5" x14ac:dyDescent="0.25">
      <c r="A176" s="59">
        <v>44959</v>
      </c>
      <c r="B176" s="6" t="s">
        <v>47</v>
      </c>
      <c r="C176" s="6" t="s">
        <v>47</v>
      </c>
      <c r="D176" s="6" t="s">
        <v>47</v>
      </c>
      <c r="E176" s="2" t="s">
        <v>587</v>
      </c>
    </row>
    <row r="177" spans="1:6" x14ac:dyDescent="0.25">
      <c r="A177" s="59">
        <v>44960</v>
      </c>
      <c r="B177" s="6" t="s">
        <v>47</v>
      </c>
      <c r="C177" s="6" t="s">
        <v>47</v>
      </c>
      <c r="D177" s="6" t="s">
        <v>47</v>
      </c>
      <c r="E177" s="2" t="s">
        <v>587</v>
      </c>
    </row>
    <row r="178" spans="1:6" x14ac:dyDescent="0.25">
      <c r="A178" s="59">
        <v>44963</v>
      </c>
      <c r="B178" s="6" t="s">
        <v>47</v>
      </c>
      <c r="C178" s="6" t="s">
        <v>47</v>
      </c>
      <c r="D178" s="6" t="s">
        <v>47</v>
      </c>
      <c r="E178" s="2" t="s">
        <v>587</v>
      </c>
    </row>
    <row r="179" spans="1:6" x14ac:dyDescent="0.25">
      <c r="A179" s="59">
        <v>44964</v>
      </c>
      <c r="B179" s="6" t="s">
        <v>47</v>
      </c>
      <c r="C179" s="6" t="s">
        <v>47</v>
      </c>
      <c r="D179" s="6" t="s">
        <v>47</v>
      </c>
      <c r="E179" s="2" t="s">
        <v>587</v>
      </c>
    </row>
    <row r="180" spans="1:6" x14ac:dyDescent="0.25">
      <c r="A180" s="59">
        <v>44965</v>
      </c>
      <c r="B180" s="6" t="s">
        <v>47</v>
      </c>
      <c r="C180" s="6" t="s">
        <v>47</v>
      </c>
      <c r="D180" s="6" t="s">
        <v>47</v>
      </c>
      <c r="E180" s="2" t="s">
        <v>587</v>
      </c>
    </row>
    <row r="181" spans="1:6" x14ac:dyDescent="0.25">
      <c r="A181" s="59">
        <v>44966</v>
      </c>
      <c r="B181" s="6" t="s">
        <v>47</v>
      </c>
      <c r="C181" s="6" t="s">
        <v>47</v>
      </c>
      <c r="D181" s="6" t="s">
        <v>47</v>
      </c>
      <c r="E181" s="2" t="s">
        <v>587</v>
      </c>
    </row>
    <row r="182" spans="1:6" x14ac:dyDescent="0.25">
      <c r="A182" s="59">
        <v>44967</v>
      </c>
      <c r="B182" s="6" t="s">
        <v>47</v>
      </c>
      <c r="C182" s="6" t="s">
        <v>47</v>
      </c>
      <c r="D182" s="6" t="s">
        <v>47</v>
      </c>
      <c r="E182" s="2" t="s">
        <v>587</v>
      </c>
    </row>
    <row r="183" spans="1:6" x14ac:dyDescent="0.25">
      <c r="A183" s="59">
        <v>44970</v>
      </c>
      <c r="B183" s="6" t="s">
        <v>47</v>
      </c>
      <c r="C183" s="6" t="s">
        <v>47</v>
      </c>
      <c r="D183" s="6" t="s">
        <v>47</v>
      </c>
      <c r="E183" s="2" t="s">
        <v>587</v>
      </c>
    </row>
    <row r="184" spans="1:6" x14ac:dyDescent="0.25">
      <c r="A184" s="59">
        <v>44971</v>
      </c>
      <c r="B184" s="6" t="s">
        <v>47</v>
      </c>
      <c r="C184" s="6" t="s">
        <v>47</v>
      </c>
      <c r="D184" s="6" t="s">
        <v>47</v>
      </c>
      <c r="E184" s="2" t="s">
        <v>587</v>
      </c>
    </row>
    <row r="185" spans="1:6" x14ac:dyDescent="0.25">
      <c r="A185" s="59">
        <v>44972</v>
      </c>
      <c r="B185" s="6" t="s">
        <v>47</v>
      </c>
      <c r="C185" s="6" t="s">
        <v>47</v>
      </c>
      <c r="D185" s="6" t="s">
        <v>47</v>
      </c>
      <c r="E185" s="2" t="s">
        <v>587</v>
      </c>
    </row>
    <row r="186" spans="1:6" x14ac:dyDescent="0.25">
      <c r="A186" s="59">
        <v>44973</v>
      </c>
      <c r="B186" s="6" t="s">
        <v>47</v>
      </c>
      <c r="C186" s="6" t="s">
        <v>47</v>
      </c>
      <c r="D186" s="6" t="s">
        <v>47</v>
      </c>
      <c r="E186" s="2" t="s">
        <v>587</v>
      </c>
    </row>
    <row r="187" spans="1:6" x14ac:dyDescent="0.25">
      <c r="A187" s="59">
        <v>44974</v>
      </c>
      <c r="B187" s="6" t="s">
        <v>47</v>
      </c>
      <c r="C187" s="6" t="s">
        <v>47</v>
      </c>
      <c r="D187" s="6" t="s">
        <v>47</v>
      </c>
      <c r="E187" s="2" t="s">
        <v>587</v>
      </c>
    </row>
    <row r="188" spans="1:6" x14ac:dyDescent="0.25">
      <c r="A188" s="59">
        <v>44977</v>
      </c>
      <c r="B188" s="6" t="s">
        <v>47</v>
      </c>
      <c r="C188" s="6" t="s">
        <v>47</v>
      </c>
      <c r="D188" s="6" t="s">
        <v>47</v>
      </c>
      <c r="E188" s="2" t="s">
        <v>587</v>
      </c>
    </row>
    <row r="189" spans="1:6" x14ac:dyDescent="0.25">
      <c r="A189" s="59">
        <v>44978</v>
      </c>
      <c r="B189" s="6" t="s">
        <v>47</v>
      </c>
      <c r="C189" s="6" t="s">
        <v>47</v>
      </c>
      <c r="D189" s="6" t="s">
        <v>47</v>
      </c>
      <c r="E189" s="2" t="s">
        <v>587</v>
      </c>
    </row>
    <row r="190" spans="1:6" x14ac:dyDescent="0.25">
      <c r="A190" s="59">
        <v>44979</v>
      </c>
      <c r="B190" s="6" t="s">
        <v>47</v>
      </c>
      <c r="C190" s="6" t="s">
        <v>47</v>
      </c>
      <c r="D190" s="6" t="s">
        <v>47</v>
      </c>
      <c r="E190" s="2" t="s">
        <v>587</v>
      </c>
      <c r="F190" t="s">
        <v>958</v>
      </c>
    </row>
    <row r="191" spans="1:6" x14ac:dyDescent="0.25">
      <c r="A191" s="59">
        <v>44980</v>
      </c>
      <c r="B191" s="6" t="s">
        <v>47</v>
      </c>
      <c r="C191" s="6" t="s">
        <v>47</v>
      </c>
      <c r="D191" s="6" t="s">
        <v>47</v>
      </c>
      <c r="E191" s="2" t="s">
        <v>587</v>
      </c>
      <c r="F191" t="s">
        <v>958</v>
      </c>
    </row>
    <row r="192" spans="1:6" x14ac:dyDescent="0.25">
      <c r="A192" s="59">
        <v>44981</v>
      </c>
      <c r="B192" s="6" t="s">
        <v>47</v>
      </c>
      <c r="C192" s="6" t="s">
        <v>47</v>
      </c>
      <c r="D192" s="6" t="s">
        <v>47</v>
      </c>
      <c r="E192" s="2" t="s">
        <v>587</v>
      </c>
    </row>
    <row r="193" spans="1:5" x14ac:dyDescent="0.25">
      <c r="A193" s="59">
        <v>44984</v>
      </c>
      <c r="B193" s="6" t="s">
        <v>47</v>
      </c>
      <c r="C193" s="6" t="s">
        <v>47</v>
      </c>
      <c r="D193" s="6" t="s">
        <v>47</v>
      </c>
      <c r="E193" s="2" t="s">
        <v>587</v>
      </c>
    </row>
    <row r="194" spans="1:5" x14ac:dyDescent="0.25">
      <c r="A194" s="59">
        <v>44985</v>
      </c>
      <c r="B194" s="6" t="s">
        <v>47</v>
      </c>
      <c r="C194" s="6" t="s">
        <v>47</v>
      </c>
      <c r="D194" s="6" t="s">
        <v>47</v>
      </c>
      <c r="E194" s="2" t="s">
        <v>587</v>
      </c>
    </row>
    <row r="195" spans="1:5" x14ac:dyDescent="0.25">
      <c r="A195" s="59">
        <v>44986</v>
      </c>
      <c r="B195" s="6" t="s">
        <v>47</v>
      </c>
      <c r="C195" s="6" t="s">
        <v>47</v>
      </c>
      <c r="D195" s="6" t="s">
        <v>47</v>
      </c>
      <c r="E195" s="2" t="s">
        <v>587</v>
      </c>
    </row>
    <row r="196" spans="1:5" x14ac:dyDescent="0.25">
      <c r="A196" s="59">
        <v>44987</v>
      </c>
      <c r="B196" s="6" t="s">
        <v>47</v>
      </c>
      <c r="C196" s="6" t="s">
        <v>47</v>
      </c>
      <c r="D196" s="6" t="s">
        <v>47</v>
      </c>
      <c r="E196" s="2" t="s">
        <v>587</v>
      </c>
    </row>
    <row r="197" spans="1:5" x14ac:dyDescent="0.25">
      <c r="A197" s="59">
        <v>44988</v>
      </c>
      <c r="B197" s="6" t="s">
        <v>47</v>
      </c>
      <c r="C197" s="6" t="s">
        <v>47</v>
      </c>
      <c r="D197" s="6" t="s">
        <v>47</v>
      </c>
      <c r="E197" s="2" t="s">
        <v>587</v>
      </c>
    </row>
    <row r="198" spans="1:5" x14ac:dyDescent="0.25">
      <c r="A198" s="59">
        <v>44991</v>
      </c>
      <c r="B198" s="6" t="s">
        <v>47</v>
      </c>
      <c r="C198" s="6" t="s">
        <v>47</v>
      </c>
      <c r="D198" s="6" t="s">
        <v>47</v>
      </c>
      <c r="E198" s="2" t="s">
        <v>587</v>
      </c>
    </row>
    <row r="199" spans="1:5" x14ac:dyDescent="0.25">
      <c r="A199" s="59">
        <v>44992</v>
      </c>
      <c r="B199" s="6" t="s">
        <v>47</v>
      </c>
      <c r="C199" s="6" t="s">
        <v>47</v>
      </c>
      <c r="D199" s="6" t="s">
        <v>47</v>
      </c>
      <c r="E199" s="2" t="s">
        <v>587</v>
      </c>
    </row>
    <row r="200" spans="1:5" x14ac:dyDescent="0.25">
      <c r="A200" s="59">
        <v>44993</v>
      </c>
      <c r="B200" s="6" t="s">
        <v>47</v>
      </c>
      <c r="C200" s="6" t="s">
        <v>47</v>
      </c>
      <c r="D200" s="6" t="s">
        <v>47</v>
      </c>
      <c r="E200" s="2" t="s">
        <v>587</v>
      </c>
    </row>
    <row r="201" spans="1:5" x14ac:dyDescent="0.25">
      <c r="A201" s="59">
        <v>44994</v>
      </c>
      <c r="B201" s="6" t="s">
        <v>47</v>
      </c>
      <c r="C201" s="6" t="s">
        <v>47</v>
      </c>
      <c r="D201" s="6" t="s">
        <v>47</v>
      </c>
      <c r="E201" s="2" t="s">
        <v>587</v>
      </c>
    </row>
    <row r="202" spans="1:5" x14ac:dyDescent="0.25">
      <c r="A202" s="59">
        <v>44995</v>
      </c>
      <c r="B202" s="6" t="s">
        <v>47</v>
      </c>
      <c r="C202" s="6" t="s">
        <v>47</v>
      </c>
      <c r="D202" s="6" t="s">
        <v>47</v>
      </c>
      <c r="E202" s="2" t="s">
        <v>587</v>
      </c>
    </row>
    <row r="203" spans="1:5" x14ac:dyDescent="0.25">
      <c r="A203" s="59">
        <v>44998</v>
      </c>
      <c r="B203" s="6" t="s">
        <v>47</v>
      </c>
      <c r="C203" s="6" t="s">
        <v>47</v>
      </c>
      <c r="D203" s="6" t="s">
        <v>47</v>
      </c>
      <c r="E203" s="2" t="s">
        <v>587</v>
      </c>
    </row>
    <row r="204" spans="1:5" x14ac:dyDescent="0.25">
      <c r="A204" s="59">
        <v>44999</v>
      </c>
      <c r="B204" s="6" t="s">
        <v>47</v>
      </c>
      <c r="C204" s="6" t="s">
        <v>47</v>
      </c>
      <c r="D204" s="6" t="s">
        <v>47</v>
      </c>
      <c r="E204" s="2" t="s">
        <v>587</v>
      </c>
    </row>
    <row r="205" spans="1:5" x14ac:dyDescent="0.25">
      <c r="A205" s="59">
        <v>45000</v>
      </c>
      <c r="B205" s="6" t="s">
        <v>47</v>
      </c>
      <c r="C205" s="6" t="s">
        <v>47</v>
      </c>
      <c r="D205" s="6" t="s">
        <v>47</v>
      </c>
      <c r="E205" s="2" t="s">
        <v>587</v>
      </c>
    </row>
    <row r="206" spans="1:5" x14ac:dyDescent="0.25">
      <c r="A206" s="59">
        <v>45001</v>
      </c>
      <c r="B206" s="6" t="s">
        <v>47</v>
      </c>
      <c r="C206" s="6" t="s">
        <v>47</v>
      </c>
      <c r="D206" s="6" t="s">
        <v>47</v>
      </c>
      <c r="E206" s="2" t="s">
        <v>587</v>
      </c>
    </row>
    <row r="207" spans="1:5" x14ac:dyDescent="0.25">
      <c r="A207" s="59">
        <v>45002</v>
      </c>
      <c r="B207" s="6" t="s">
        <v>47</v>
      </c>
      <c r="C207" s="6" t="s">
        <v>47</v>
      </c>
      <c r="D207" s="6" t="s">
        <v>47</v>
      </c>
      <c r="E207" s="2" t="s">
        <v>587</v>
      </c>
    </row>
    <row r="208" spans="1:5" x14ac:dyDescent="0.25">
      <c r="A208" s="59">
        <v>45005</v>
      </c>
      <c r="B208" s="6" t="s">
        <v>47</v>
      </c>
      <c r="C208" s="6" t="s">
        <v>47</v>
      </c>
      <c r="D208" s="6" t="s">
        <v>47</v>
      </c>
      <c r="E208" s="2" t="s">
        <v>587</v>
      </c>
    </row>
    <row r="209" spans="1:5" x14ac:dyDescent="0.25">
      <c r="A209" s="59">
        <v>45006</v>
      </c>
      <c r="B209" s="6" t="s">
        <v>47</v>
      </c>
      <c r="C209" s="6" t="s">
        <v>47</v>
      </c>
      <c r="D209" s="6" t="s">
        <v>47</v>
      </c>
      <c r="E209" s="2" t="s">
        <v>587</v>
      </c>
    </row>
    <row r="210" spans="1:5" x14ac:dyDescent="0.25">
      <c r="A210" s="59">
        <v>45007</v>
      </c>
      <c r="B210" s="6" t="s">
        <v>47</v>
      </c>
      <c r="C210" s="6" t="s">
        <v>47</v>
      </c>
      <c r="D210" s="6" t="s">
        <v>47</v>
      </c>
      <c r="E210" s="2" t="s">
        <v>587</v>
      </c>
    </row>
    <row r="211" spans="1:5" x14ac:dyDescent="0.25">
      <c r="A211" s="59">
        <v>45008</v>
      </c>
      <c r="B211" s="6" t="s">
        <v>47</v>
      </c>
      <c r="C211" s="6" t="s">
        <v>47</v>
      </c>
      <c r="D211" s="6" t="s">
        <v>47</v>
      </c>
      <c r="E211" s="2" t="s">
        <v>587</v>
      </c>
    </row>
    <row r="212" spans="1:5" x14ac:dyDescent="0.25">
      <c r="A212" s="59">
        <v>45009</v>
      </c>
      <c r="B212" s="6" t="s">
        <v>47</v>
      </c>
      <c r="C212" s="6" t="s">
        <v>47</v>
      </c>
      <c r="D212" s="6" t="s">
        <v>47</v>
      </c>
      <c r="E212" s="2" t="s">
        <v>587</v>
      </c>
    </row>
    <row r="213" spans="1:5" x14ac:dyDescent="0.25">
      <c r="A213" s="59">
        <v>45012</v>
      </c>
      <c r="B213" s="6" t="s">
        <v>47</v>
      </c>
      <c r="C213" s="6" t="s">
        <v>47</v>
      </c>
      <c r="D213" s="6" t="s">
        <v>47</v>
      </c>
      <c r="E213" s="2" t="s">
        <v>587</v>
      </c>
    </row>
    <row r="214" spans="1:5" x14ac:dyDescent="0.25">
      <c r="A214" s="59">
        <v>45013</v>
      </c>
      <c r="B214" s="6" t="s">
        <v>47</v>
      </c>
      <c r="C214" s="6" t="s">
        <v>47</v>
      </c>
      <c r="D214" s="6" t="s">
        <v>47</v>
      </c>
      <c r="E214" s="2" t="s">
        <v>587</v>
      </c>
    </row>
    <row r="215" spans="1:5" x14ac:dyDescent="0.25">
      <c r="A215" s="59">
        <v>45014</v>
      </c>
      <c r="B215" s="6" t="s">
        <v>47</v>
      </c>
      <c r="C215" s="6" t="s">
        <v>47</v>
      </c>
      <c r="D215" s="6" t="s">
        <v>47</v>
      </c>
      <c r="E215" s="2" t="s">
        <v>587</v>
      </c>
    </row>
    <row r="216" spans="1:5" x14ac:dyDescent="0.25">
      <c r="A216" s="59">
        <v>45015</v>
      </c>
      <c r="B216" s="6" t="s">
        <v>47</v>
      </c>
      <c r="C216" s="6" t="s">
        <v>47</v>
      </c>
      <c r="D216" s="6" t="s">
        <v>47</v>
      </c>
      <c r="E216" s="2" t="s">
        <v>587</v>
      </c>
    </row>
    <row r="217" spans="1:5" x14ac:dyDescent="0.25">
      <c r="A217" s="59">
        <v>45016</v>
      </c>
      <c r="B217" s="6" t="s">
        <v>47</v>
      </c>
      <c r="C217" s="6" t="s">
        <v>47</v>
      </c>
      <c r="D217" s="6" t="s">
        <v>47</v>
      </c>
      <c r="E217" s="2" t="s">
        <v>587</v>
      </c>
    </row>
    <row r="218" spans="1:5" x14ac:dyDescent="0.25">
      <c r="A218" s="59">
        <v>45019</v>
      </c>
      <c r="B218" s="6" t="s">
        <v>47</v>
      </c>
      <c r="C218" s="6" t="s">
        <v>47</v>
      </c>
      <c r="D218" s="6" t="s">
        <v>47</v>
      </c>
      <c r="E218" s="2" t="s">
        <v>587</v>
      </c>
    </row>
    <row r="219" spans="1:5" x14ac:dyDescent="0.25">
      <c r="A219" s="59">
        <v>45020</v>
      </c>
      <c r="B219" s="6" t="s">
        <v>47</v>
      </c>
      <c r="C219" s="6" t="s">
        <v>47</v>
      </c>
      <c r="D219" s="6" t="s">
        <v>47</v>
      </c>
      <c r="E219" s="2" t="s">
        <v>587</v>
      </c>
    </row>
    <row r="220" spans="1:5" x14ac:dyDescent="0.25">
      <c r="A220" s="59">
        <v>45021</v>
      </c>
      <c r="B220" s="6" t="s">
        <v>47</v>
      </c>
      <c r="C220" s="6" t="s">
        <v>47</v>
      </c>
      <c r="D220" s="6" t="s">
        <v>47</v>
      </c>
      <c r="E220" s="2" t="s">
        <v>587</v>
      </c>
    </row>
    <row r="221" spans="1:5" x14ac:dyDescent="0.25">
      <c r="A221" s="59">
        <v>45022</v>
      </c>
      <c r="B221" s="6" t="s">
        <v>47</v>
      </c>
      <c r="C221" s="6" t="s">
        <v>47</v>
      </c>
      <c r="D221" s="6" t="s">
        <v>47</v>
      </c>
      <c r="E221" s="2" t="s">
        <v>587</v>
      </c>
    </row>
    <row r="222" spans="1:5" x14ac:dyDescent="0.25">
      <c r="A222" s="59">
        <v>45023</v>
      </c>
      <c r="B222" s="6" t="s">
        <v>47</v>
      </c>
      <c r="C222" s="6" t="s">
        <v>47</v>
      </c>
      <c r="D222" s="6" t="s">
        <v>47</v>
      </c>
      <c r="E222" s="2" t="s">
        <v>587</v>
      </c>
    </row>
    <row r="223" spans="1:5" x14ac:dyDescent="0.25">
      <c r="A223" s="59">
        <v>45026</v>
      </c>
      <c r="B223" s="6" t="s">
        <v>47</v>
      </c>
      <c r="C223" s="6" t="s">
        <v>47</v>
      </c>
      <c r="D223" s="6" t="s">
        <v>47</v>
      </c>
      <c r="E223" s="2" t="s">
        <v>587</v>
      </c>
    </row>
    <row r="224" spans="1:5" x14ac:dyDescent="0.25">
      <c r="A224" s="59">
        <v>45027</v>
      </c>
      <c r="B224" s="6" t="s">
        <v>47</v>
      </c>
      <c r="C224" s="6" t="s">
        <v>47</v>
      </c>
      <c r="D224" s="6" t="s">
        <v>47</v>
      </c>
      <c r="E224" s="2" t="s">
        <v>587</v>
      </c>
    </row>
    <row r="225" spans="1:5" x14ac:dyDescent="0.25">
      <c r="A225" s="59">
        <v>45028</v>
      </c>
      <c r="B225" s="6" t="s">
        <v>47</v>
      </c>
      <c r="C225" s="6" t="s">
        <v>47</v>
      </c>
      <c r="D225" s="6" t="s">
        <v>47</v>
      </c>
      <c r="E225" s="2" t="s">
        <v>587</v>
      </c>
    </row>
    <row r="226" spans="1:5" x14ac:dyDescent="0.25">
      <c r="A226" s="59">
        <v>45029</v>
      </c>
      <c r="B226" s="6" t="s">
        <v>47</v>
      </c>
      <c r="C226" s="6" t="s">
        <v>47</v>
      </c>
      <c r="D226" s="6" t="s">
        <v>47</v>
      </c>
      <c r="E226" s="2" t="s">
        <v>587</v>
      </c>
    </row>
    <row r="227" spans="1:5" x14ac:dyDescent="0.25">
      <c r="A227" s="59">
        <v>45030</v>
      </c>
      <c r="B227" s="6" t="s">
        <v>47</v>
      </c>
      <c r="C227" s="6" t="s">
        <v>47</v>
      </c>
      <c r="D227" s="6" t="s">
        <v>47</v>
      </c>
      <c r="E227" s="2" t="s">
        <v>587</v>
      </c>
    </row>
    <row r="228" spans="1:5" x14ac:dyDescent="0.25">
      <c r="A228" s="59">
        <v>45033</v>
      </c>
      <c r="B228" s="6" t="s">
        <v>47</v>
      </c>
      <c r="C228" s="6" t="s">
        <v>47</v>
      </c>
      <c r="D228" s="6" t="s">
        <v>47</v>
      </c>
      <c r="E228" s="2" t="s">
        <v>587</v>
      </c>
    </row>
    <row r="229" spans="1:5" x14ac:dyDescent="0.25">
      <c r="A229" s="59">
        <v>45034</v>
      </c>
      <c r="B229" s="6" t="s">
        <v>47</v>
      </c>
      <c r="C229" s="6" t="s">
        <v>47</v>
      </c>
      <c r="D229" s="6" t="s">
        <v>47</v>
      </c>
      <c r="E229" s="2" t="s">
        <v>587</v>
      </c>
    </row>
    <row r="230" spans="1:5" x14ac:dyDescent="0.25">
      <c r="A230" s="59">
        <v>45035</v>
      </c>
      <c r="B230" s="6" t="s">
        <v>47</v>
      </c>
      <c r="C230" s="6" t="s">
        <v>47</v>
      </c>
      <c r="D230" s="6" t="s">
        <v>47</v>
      </c>
      <c r="E230" s="2" t="s">
        <v>587</v>
      </c>
    </row>
    <row r="231" spans="1:5" x14ac:dyDescent="0.25">
      <c r="A231" s="59">
        <v>45036</v>
      </c>
      <c r="B231" s="6" t="s">
        <v>47</v>
      </c>
      <c r="C231" s="6" t="s">
        <v>47</v>
      </c>
      <c r="D231" s="6" t="s">
        <v>47</v>
      </c>
      <c r="E231" s="2" t="s">
        <v>587</v>
      </c>
    </row>
    <row r="232" spans="1:5" x14ac:dyDescent="0.25">
      <c r="A232" s="59">
        <v>45037</v>
      </c>
      <c r="B232" s="6" t="s">
        <v>47</v>
      </c>
      <c r="C232" s="6" t="s">
        <v>47</v>
      </c>
      <c r="D232" s="6" t="s">
        <v>47</v>
      </c>
      <c r="E232" s="2" t="s">
        <v>587</v>
      </c>
    </row>
    <row r="233" spans="1:5" x14ac:dyDescent="0.25">
      <c r="A233" s="59">
        <v>45040</v>
      </c>
      <c r="B233" s="6" t="s">
        <v>47</v>
      </c>
      <c r="C233" s="6" t="s">
        <v>47</v>
      </c>
      <c r="D233" s="6" t="s">
        <v>47</v>
      </c>
      <c r="E233" s="2" t="s">
        <v>587</v>
      </c>
    </row>
    <row r="234" spans="1:5" x14ac:dyDescent="0.25">
      <c r="A234" s="59">
        <v>45041</v>
      </c>
      <c r="B234" s="6" t="s">
        <v>47</v>
      </c>
      <c r="C234" s="6" t="s">
        <v>47</v>
      </c>
      <c r="D234" s="6" t="s">
        <v>47</v>
      </c>
      <c r="E234" s="2" t="s">
        <v>587</v>
      </c>
    </row>
    <row r="235" spans="1:5" x14ac:dyDescent="0.25">
      <c r="A235" s="59">
        <v>45042</v>
      </c>
      <c r="B235" s="6" t="s">
        <v>47</v>
      </c>
      <c r="C235" s="6" t="s">
        <v>47</v>
      </c>
      <c r="D235" s="6" t="s">
        <v>47</v>
      </c>
      <c r="E235" s="2" t="s">
        <v>587</v>
      </c>
    </row>
    <row r="236" spans="1:5" x14ac:dyDescent="0.25">
      <c r="A236" s="59">
        <v>45043</v>
      </c>
      <c r="B236" s="6" t="s">
        <v>47</v>
      </c>
      <c r="C236" s="6" t="s">
        <v>47</v>
      </c>
      <c r="D236" s="6" t="s">
        <v>47</v>
      </c>
      <c r="E236" s="2" t="s">
        <v>587</v>
      </c>
    </row>
    <row r="237" spans="1:5" x14ac:dyDescent="0.25">
      <c r="A237" s="59">
        <v>45044</v>
      </c>
      <c r="B237" s="6" t="s">
        <v>47</v>
      </c>
      <c r="C237" s="6" t="s">
        <v>47</v>
      </c>
      <c r="D237" s="6" t="s">
        <v>47</v>
      </c>
      <c r="E237" s="2" t="s">
        <v>587</v>
      </c>
    </row>
    <row r="238" spans="1:5" x14ac:dyDescent="0.25">
      <c r="A238" s="59">
        <v>45047</v>
      </c>
      <c r="B238" s="6" t="s">
        <v>47</v>
      </c>
      <c r="C238" s="6" t="s">
        <v>47</v>
      </c>
      <c r="D238" s="6" t="s">
        <v>47</v>
      </c>
      <c r="E238" s="2" t="s">
        <v>587</v>
      </c>
    </row>
    <row r="239" spans="1:5" x14ac:dyDescent="0.25">
      <c r="A239" s="59">
        <v>45048</v>
      </c>
      <c r="B239" s="6" t="s">
        <v>47</v>
      </c>
      <c r="C239" s="6" t="s">
        <v>47</v>
      </c>
      <c r="D239" s="6" t="s">
        <v>47</v>
      </c>
      <c r="E239" s="2" t="s">
        <v>587</v>
      </c>
    </row>
    <row r="240" spans="1:5" x14ac:dyDescent="0.25">
      <c r="A240" s="59">
        <v>45049</v>
      </c>
      <c r="B240" s="6" t="s">
        <v>47</v>
      </c>
      <c r="C240" s="6" t="s">
        <v>47</v>
      </c>
      <c r="D240" s="6" t="s">
        <v>47</v>
      </c>
      <c r="E240" s="2" t="s">
        <v>587</v>
      </c>
    </row>
    <row r="241" spans="1:5" x14ac:dyDescent="0.25">
      <c r="A241" s="59">
        <v>45050</v>
      </c>
      <c r="B241" s="6" t="s">
        <v>47</v>
      </c>
      <c r="C241" s="6" t="s">
        <v>47</v>
      </c>
      <c r="D241" s="6" t="s">
        <v>47</v>
      </c>
      <c r="E241" s="2" t="s">
        <v>587</v>
      </c>
    </row>
    <row r="242" spans="1:5" x14ac:dyDescent="0.25">
      <c r="A242" s="59">
        <v>45051</v>
      </c>
      <c r="B242" s="6" t="s">
        <v>47</v>
      </c>
      <c r="C242" s="6" t="s">
        <v>47</v>
      </c>
      <c r="D242" s="6" t="s">
        <v>47</v>
      </c>
      <c r="E242" s="2" t="s">
        <v>587</v>
      </c>
    </row>
    <row r="243" spans="1:5" x14ac:dyDescent="0.25">
      <c r="A243" s="59">
        <v>45054</v>
      </c>
      <c r="B243" s="6" t="s">
        <v>47</v>
      </c>
      <c r="C243" s="6" t="s">
        <v>47</v>
      </c>
      <c r="D243" s="6" t="s">
        <v>47</v>
      </c>
      <c r="E243" s="2" t="s">
        <v>587</v>
      </c>
    </row>
    <row r="244" spans="1:5" x14ac:dyDescent="0.25">
      <c r="A244" s="59">
        <v>45055</v>
      </c>
      <c r="B244" s="6" t="s">
        <v>47</v>
      </c>
      <c r="C244" s="6" t="s">
        <v>47</v>
      </c>
      <c r="D244" s="6" t="s">
        <v>47</v>
      </c>
      <c r="E244" s="2" t="s">
        <v>587</v>
      </c>
    </row>
    <row r="245" spans="1:5" x14ac:dyDescent="0.25">
      <c r="A245" s="59">
        <v>45056</v>
      </c>
      <c r="B245" s="6" t="s">
        <v>47</v>
      </c>
      <c r="C245" s="6" t="s">
        <v>47</v>
      </c>
      <c r="D245" s="6" t="s">
        <v>47</v>
      </c>
      <c r="E245" s="2" t="s">
        <v>587</v>
      </c>
    </row>
    <row r="246" spans="1:5" x14ac:dyDescent="0.25">
      <c r="A246" s="59">
        <v>45057</v>
      </c>
      <c r="B246" s="6" t="s">
        <v>47</v>
      </c>
      <c r="C246" s="6" t="s">
        <v>47</v>
      </c>
      <c r="D246" s="6" t="s">
        <v>47</v>
      </c>
      <c r="E246" s="2" t="s">
        <v>587</v>
      </c>
    </row>
    <row r="247" spans="1:5" x14ac:dyDescent="0.25">
      <c r="A247" s="59">
        <v>45058</v>
      </c>
      <c r="B247" s="6" t="s">
        <v>47</v>
      </c>
      <c r="C247" s="6" t="s">
        <v>47</v>
      </c>
      <c r="D247" s="6" t="s">
        <v>47</v>
      </c>
      <c r="E247" s="2" t="s">
        <v>587</v>
      </c>
    </row>
    <row r="248" spans="1:5" x14ac:dyDescent="0.25">
      <c r="A248" s="59">
        <v>45059</v>
      </c>
      <c r="B248" s="6" t="s">
        <v>47</v>
      </c>
      <c r="C248" s="6" t="s">
        <v>47</v>
      </c>
      <c r="D248" s="6" t="s">
        <v>47</v>
      </c>
      <c r="E248" s="2" t="s">
        <v>587</v>
      </c>
    </row>
    <row r="249" spans="1:5" x14ac:dyDescent="0.25">
      <c r="A249" s="59">
        <v>45060</v>
      </c>
      <c r="B249" s="6" t="s">
        <v>47</v>
      </c>
      <c r="C249" s="6" t="s">
        <v>47</v>
      </c>
      <c r="D249" s="6" t="s">
        <v>47</v>
      </c>
      <c r="E249" s="2" t="s">
        <v>587</v>
      </c>
    </row>
    <row r="250" spans="1:5" x14ac:dyDescent="0.25">
      <c r="A250" s="59">
        <v>45061</v>
      </c>
      <c r="B250" s="6" t="s">
        <v>47</v>
      </c>
      <c r="C250" s="6" t="s">
        <v>47</v>
      </c>
      <c r="D250" s="6" t="s">
        <v>47</v>
      </c>
      <c r="E250" s="2" t="s">
        <v>587</v>
      </c>
    </row>
    <row r="251" spans="1:5" x14ac:dyDescent="0.25">
      <c r="A251" s="59">
        <v>45062</v>
      </c>
      <c r="B251" s="6" t="s">
        <v>47</v>
      </c>
      <c r="C251" s="6" t="s">
        <v>47</v>
      </c>
      <c r="D251" s="6" t="s">
        <v>47</v>
      </c>
      <c r="E251" s="2" t="s">
        <v>587</v>
      </c>
    </row>
    <row r="252" spans="1:5" x14ac:dyDescent="0.25">
      <c r="A252" s="59">
        <v>45063</v>
      </c>
      <c r="B252" s="6" t="s">
        <v>47</v>
      </c>
      <c r="C252" s="6" t="s">
        <v>47</v>
      </c>
      <c r="D252" s="6" t="s">
        <v>47</v>
      </c>
      <c r="E252" s="2" t="s">
        <v>587</v>
      </c>
    </row>
    <row r="253" spans="1:5" x14ac:dyDescent="0.25">
      <c r="A253" s="59">
        <v>45064</v>
      </c>
      <c r="B253" s="6" t="s">
        <v>47</v>
      </c>
      <c r="C253" s="6" t="s">
        <v>47</v>
      </c>
      <c r="D253" s="6" t="s">
        <v>47</v>
      </c>
      <c r="E253" s="2" t="s">
        <v>587</v>
      </c>
    </row>
    <row r="254" spans="1:5" x14ac:dyDescent="0.25">
      <c r="A254" s="59">
        <v>45065</v>
      </c>
      <c r="B254" s="6" t="s">
        <v>47</v>
      </c>
      <c r="C254" s="6" t="s">
        <v>47</v>
      </c>
      <c r="D254" s="6" t="s">
        <v>47</v>
      </c>
      <c r="E254" s="2" t="s">
        <v>587</v>
      </c>
    </row>
    <row r="255" spans="1:5" x14ac:dyDescent="0.25">
      <c r="A255" s="59">
        <v>45066</v>
      </c>
      <c r="B255" s="6" t="s">
        <v>47</v>
      </c>
      <c r="C255" s="6" t="s">
        <v>47</v>
      </c>
      <c r="D255" s="6" t="s">
        <v>47</v>
      </c>
      <c r="E255" s="2" t="s">
        <v>587</v>
      </c>
    </row>
    <row r="256" spans="1:5" x14ac:dyDescent="0.25">
      <c r="A256" s="59">
        <v>45067</v>
      </c>
      <c r="B256" s="6" t="s">
        <v>47</v>
      </c>
      <c r="C256" s="6" t="s">
        <v>47</v>
      </c>
      <c r="D256" s="6" t="s">
        <v>47</v>
      </c>
      <c r="E256" s="2" t="s">
        <v>587</v>
      </c>
    </row>
    <row r="257" spans="1:5" x14ac:dyDescent="0.25">
      <c r="A257" s="59">
        <v>45068</v>
      </c>
      <c r="B257" s="6" t="s">
        <v>47</v>
      </c>
      <c r="C257" s="6" t="s">
        <v>47</v>
      </c>
      <c r="D257" s="6" t="s">
        <v>47</v>
      </c>
      <c r="E257" s="2" t="s">
        <v>587</v>
      </c>
    </row>
    <row r="258" spans="1:5" x14ac:dyDescent="0.25">
      <c r="A258" s="59">
        <v>45069</v>
      </c>
      <c r="B258" s="6" t="s">
        <v>47</v>
      </c>
      <c r="C258" s="6" t="s">
        <v>47</v>
      </c>
      <c r="D258" s="6" t="s">
        <v>47</v>
      </c>
      <c r="E258" s="2" t="s">
        <v>587</v>
      </c>
    </row>
    <row r="259" spans="1:5" x14ac:dyDescent="0.25">
      <c r="A259" s="59">
        <v>45070</v>
      </c>
      <c r="B259" s="6" t="s">
        <v>47</v>
      </c>
      <c r="C259" s="6" t="s">
        <v>47</v>
      </c>
      <c r="D259" s="6" t="s">
        <v>47</v>
      </c>
      <c r="E259" s="2" t="s">
        <v>587</v>
      </c>
    </row>
    <row r="260" spans="1:5" x14ac:dyDescent="0.25">
      <c r="A260" s="59">
        <v>45071</v>
      </c>
      <c r="B260" s="6" t="s">
        <v>47</v>
      </c>
      <c r="C260" s="6" t="s">
        <v>47</v>
      </c>
      <c r="D260" s="6" t="s">
        <v>47</v>
      </c>
      <c r="E260" s="2" t="s">
        <v>587</v>
      </c>
    </row>
    <row r="261" spans="1:5" x14ac:dyDescent="0.25">
      <c r="A261" s="59">
        <v>45072</v>
      </c>
      <c r="B261" s="6" t="s">
        <v>47</v>
      </c>
      <c r="C261" s="6" t="s">
        <v>47</v>
      </c>
      <c r="D261" s="6" t="s">
        <v>47</v>
      </c>
      <c r="E261" s="2" t="s">
        <v>587</v>
      </c>
    </row>
    <row r="262" spans="1:5" x14ac:dyDescent="0.25">
      <c r="A262" s="59">
        <v>45075</v>
      </c>
      <c r="B262" s="6" t="s">
        <v>47</v>
      </c>
      <c r="C262" s="6" t="s">
        <v>47</v>
      </c>
      <c r="D262" s="6" t="s">
        <v>47</v>
      </c>
      <c r="E262" s="2" t="s">
        <v>587</v>
      </c>
    </row>
    <row r="263" spans="1:5" x14ac:dyDescent="0.25">
      <c r="A263" s="59">
        <v>45076</v>
      </c>
      <c r="B263" s="6" t="s">
        <v>47</v>
      </c>
      <c r="C263" s="6" t="s">
        <v>47</v>
      </c>
      <c r="D263" s="6" t="s">
        <v>47</v>
      </c>
      <c r="E263" s="2" t="s">
        <v>587</v>
      </c>
    </row>
    <row r="264" spans="1:5" x14ac:dyDescent="0.25">
      <c r="A264" s="59">
        <v>45077</v>
      </c>
      <c r="B264" s="6" t="s">
        <v>47</v>
      </c>
      <c r="C264" s="6" t="s">
        <v>47</v>
      </c>
      <c r="D264" s="6" t="s">
        <v>47</v>
      </c>
      <c r="E264" s="2" t="s">
        <v>587</v>
      </c>
    </row>
    <row r="265" spans="1:5" x14ac:dyDescent="0.25">
      <c r="A265" s="59">
        <v>45078</v>
      </c>
      <c r="B265" s="6" t="s">
        <v>47</v>
      </c>
      <c r="C265" s="6" t="s">
        <v>47</v>
      </c>
      <c r="D265" s="6" t="s">
        <v>47</v>
      </c>
      <c r="E265" s="2" t="s">
        <v>587</v>
      </c>
    </row>
    <row r="266" spans="1:5" x14ac:dyDescent="0.25">
      <c r="A266" s="59">
        <v>45079</v>
      </c>
      <c r="B266" s="6" t="s">
        <v>47</v>
      </c>
      <c r="C266" s="6" t="s">
        <v>47</v>
      </c>
      <c r="D266" s="6" t="s">
        <v>47</v>
      </c>
      <c r="E266" s="2" t="s">
        <v>587</v>
      </c>
    </row>
    <row r="267" spans="1:5" x14ac:dyDescent="0.25">
      <c r="A267" s="59">
        <v>45082</v>
      </c>
      <c r="B267" s="6" t="s">
        <v>47</v>
      </c>
      <c r="C267" s="6" t="s">
        <v>47</v>
      </c>
      <c r="D267" s="6" t="s">
        <v>47</v>
      </c>
      <c r="E267" s="2" t="s">
        <v>587</v>
      </c>
    </row>
    <row r="268" spans="1:5" x14ac:dyDescent="0.25">
      <c r="A268" s="59">
        <v>45083</v>
      </c>
      <c r="B268" s="6" t="s">
        <v>47</v>
      </c>
      <c r="C268" s="6" t="s">
        <v>47</v>
      </c>
      <c r="D268" s="6" t="s">
        <v>47</v>
      </c>
      <c r="E268" s="2" t="s">
        <v>587</v>
      </c>
    </row>
    <row r="269" spans="1:5" x14ac:dyDescent="0.25">
      <c r="A269" s="59">
        <v>45084</v>
      </c>
      <c r="B269" s="6" t="s">
        <v>47</v>
      </c>
      <c r="C269" s="6" t="s">
        <v>47</v>
      </c>
      <c r="D269" s="6" t="s">
        <v>47</v>
      </c>
      <c r="E269" s="2" t="s">
        <v>587</v>
      </c>
    </row>
    <row r="270" spans="1:5" x14ac:dyDescent="0.25">
      <c r="A270" s="59">
        <v>45085</v>
      </c>
      <c r="B270" s="6" t="s">
        <v>47</v>
      </c>
      <c r="C270" s="6" t="s">
        <v>47</v>
      </c>
      <c r="D270" s="6" t="s">
        <v>47</v>
      </c>
      <c r="E270" s="2" t="s">
        <v>587</v>
      </c>
    </row>
    <row r="271" spans="1:5" x14ac:dyDescent="0.25">
      <c r="A271" s="59">
        <v>45086</v>
      </c>
      <c r="B271" s="6" t="s">
        <v>47</v>
      </c>
      <c r="C271" s="6" t="s">
        <v>47</v>
      </c>
      <c r="D271" s="6" t="s">
        <v>47</v>
      </c>
      <c r="E271" s="2" t="s">
        <v>587</v>
      </c>
    </row>
    <row r="272" spans="1:5" x14ac:dyDescent="0.25">
      <c r="A272" s="59">
        <v>45087</v>
      </c>
      <c r="B272" s="6" t="s">
        <v>47</v>
      </c>
      <c r="C272" s="6" t="s">
        <v>47</v>
      </c>
      <c r="D272" s="6" t="s">
        <v>47</v>
      </c>
      <c r="E272" s="2" t="s">
        <v>587</v>
      </c>
    </row>
    <row r="273" spans="1:5" x14ac:dyDescent="0.25">
      <c r="A273" s="59">
        <v>45088</v>
      </c>
      <c r="B273" s="6" t="s">
        <v>47</v>
      </c>
      <c r="C273" s="6" t="s">
        <v>47</v>
      </c>
      <c r="D273" s="6" t="s">
        <v>47</v>
      </c>
      <c r="E273" s="2" t="s">
        <v>587</v>
      </c>
    </row>
    <row r="274" spans="1:5" x14ac:dyDescent="0.25">
      <c r="A274" s="59">
        <v>45089</v>
      </c>
      <c r="B274" s="6" t="s">
        <v>47</v>
      </c>
      <c r="C274" s="6" t="s">
        <v>47</v>
      </c>
      <c r="D274" s="6" t="s">
        <v>47</v>
      </c>
      <c r="E274" s="2" t="s">
        <v>587</v>
      </c>
    </row>
    <row r="275" spans="1:5" x14ac:dyDescent="0.25">
      <c r="A275" s="59">
        <v>45090</v>
      </c>
      <c r="B275" s="6" t="s">
        <v>47</v>
      </c>
      <c r="C275" s="6" t="s">
        <v>47</v>
      </c>
      <c r="D275" s="6" t="s">
        <v>47</v>
      </c>
      <c r="E275" s="2" t="s">
        <v>587</v>
      </c>
    </row>
    <row r="276" spans="1:5" x14ac:dyDescent="0.25">
      <c r="A276" s="59">
        <v>45091</v>
      </c>
      <c r="B276" s="6" t="s">
        <v>47</v>
      </c>
      <c r="C276" s="6" t="s">
        <v>47</v>
      </c>
      <c r="D276" s="6" t="s">
        <v>47</v>
      </c>
      <c r="E276" s="2" t="s">
        <v>587</v>
      </c>
    </row>
    <row r="277" spans="1:5" x14ac:dyDescent="0.25">
      <c r="A277" s="59">
        <v>45092</v>
      </c>
      <c r="B277" s="6" t="s">
        <v>47</v>
      </c>
      <c r="C277" s="6" t="s">
        <v>47</v>
      </c>
      <c r="D277" s="6" t="s">
        <v>47</v>
      </c>
      <c r="E277" s="2" t="s">
        <v>587</v>
      </c>
    </row>
    <row r="278" spans="1:5" x14ac:dyDescent="0.25">
      <c r="A278" s="59">
        <v>45093</v>
      </c>
      <c r="B278" s="6" t="s">
        <v>47</v>
      </c>
      <c r="C278" s="6" t="s">
        <v>47</v>
      </c>
      <c r="D278" s="6" t="s">
        <v>47</v>
      </c>
      <c r="E278" s="2" t="s">
        <v>587</v>
      </c>
    </row>
    <row r="279" spans="1:5" x14ac:dyDescent="0.25">
      <c r="A279" s="59">
        <v>45096</v>
      </c>
      <c r="B279" s="6" t="s">
        <v>47</v>
      </c>
      <c r="C279" s="6" t="s">
        <v>47</v>
      </c>
      <c r="D279" s="6" t="s">
        <v>47</v>
      </c>
      <c r="E279" s="2" t="s">
        <v>587</v>
      </c>
    </row>
    <row r="280" spans="1:5" x14ac:dyDescent="0.25">
      <c r="A280" s="59">
        <v>45097</v>
      </c>
      <c r="B280" s="6" t="s">
        <v>47</v>
      </c>
      <c r="C280" s="6" t="s">
        <v>47</v>
      </c>
      <c r="D280" s="6" t="s">
        <v>47</v>
      </c>
      <c r="E280" s="2" t="s">
        <v>587</v>
      </c>
    </row>
    <row r="281" spans="1:5" x14ac:dyDescent="0.25">
      <c r="A281" s="59">
        <v>45098</v>
      </c>
      <c r="B281" s="6" t="s">
        <v>47</v>
      </c>
      <c r="C281" s="6" t="s">
        <v>47</v>
      </c>
      <c r="D281" s="6" t="s">
        <v>47</v>
      </c>
      <c r="E281" s="2" t="s">
        <v>587</v>
      </c>
    </row>
    <row r="282" spans="1:5" x14ac:dyDescent="0.25">
      <c r="A282" s="59">
        <v>45099</v>
      </c>
      <c r="B282" s="6" t="s">
        <v>47</v>
      </c>
      <c r="C282" s="6" t="s">
        <v>47</v>
      </c>
      <c r="D282" s="6" t="s">
        <v>47</v>
      </c>
      <c r="E282" s="2" t="s">
        <v>587</v>
      </c>
    </row>
    <row r="283" spans="1:5" x14ac:dyDescent="0.25">
      <c r="A283" s="59">
        <v>45100</v>
      </c>
      <c r="B283" s="6" t="s">
        <v>47</v>
      </c>
      <c r="C283" s="6" t="s">
        <v>47</v>
      </c>
      <c r="D283" s="6" t="s">
        <v>47</v>
      </c>
      <c r="E283" s="2" t="s">
        <v>587</v>
      </c>
    </row>
    <row r="284" spans="1:5" x14ac:dyDescent="0.25">
      <c r="A284" s="59">
        <v>45103</v>
      </c>
      <c r="B284" s="6" t="s">
        <v>47</v>
      </c>
      <c r="C284" s="6" t="s">
        <v>47</v>
      </c>
      <c r="D284" s="6" t="s">
        <v>47</v>
      </c>
      <c r="E284" s="2" t="s">
        <v>587</v>
      </c>
    </row>
    <row r="285" spans="1:5" x14ac:dyDescent="0.25">
      <c r="A285" s="59">
        <v>45104</v>
      </c>
      <c r="B285" s="6" t="s">
        <v>47</v>
      </c>
      <c r="C285" s="6" t="s">
        <v>47</v>
      </c>
      <c r="D285" s="6" t="s">
        <v>47</v>
      </c>
      <c r="E285" s="2" t="s">
        <v>587</v>
      </c>
    </row>
    <row r="286" spans="1:5" x14ac:dyDescent="0.25">
      <c r="A286" s="59">
        <v>45105</v>
      </c>
      <c r="B286" s="6" t="s">
        <v>47</v>
      </c>
      <c r="C286" s="6" t="s">
        <v>47</v>
      </c>
      <c r="D286" s="6" t="s">
        <v>47</v>
      </c>
      <c r="E286" s="2" t="s">
        <v>587</v>
      </c>
    </row>
    <row r="287" spans="1:5" x14ac:dyDescent="0.25">
      <c r="A287" s="59">
        <v>45106</v>
      </c>
      <c r="B287" s="6" t="s">
        <v>47</v>
      </c>
      <c r="C287" s="6" t="s">
        <v>47</v>
      </c>
      <c r="D287" s="6" t="s">
        <v>47</v>
      </c>
      <c r="E287" s="2" t="s">
        <v>587</v>
      </c>
    </row>
    <row r="288" spans="1:5" x14ac:dyDescent="0.25">
      <c r="A288" s="59">
        <v>45107</v>
      </c>
      <c r="B288" s="6" t="s">
        <v>47</v>
      </c>
      <c r="C288" s="6" t="s">
        <v>47</v>
      </c>
      <c r="D288" s="6" t="s">
        <v>47</v>
      </c>
      <c r="E288" s="2" t="s">
        <v>587</v>
      </c>
    </row>
    <row r="289" spans="1:5" x14ac:dyDescent="0.25">
      <c r="A289" s="59">
        <v>45110</v>
      </c>
      <c r="B289" s="6" t="s">
        <v>47</v>
      </c>
      <c r="C289" s="6" t="s">
        <v>47</v>
      </c>
      <c r="D289" s="6" t="s">
        <v>47</v>
      </c>
      <c r="E289" s="2" t="s">
        <v>587</v>
      </c>
    </row>
    <row r="290" spans="1:5" x14ac:dyDescent="0.25">
      <c r="A290" s="59">
        <v>45111</v>
      </c>
      <c r="B290" s="6" t="s">
        <v>47</v>
      </c>
      <c r="C290" s="6" t="s">
        <v>47</v>
      </c>
      <c r="D290" s="6" t="s">
        <v>47</v>
      </c>
      <c r="E290" s="2" t="s">
        <v>587</v>
      </c>
    </row>
    <row r="291" spans="1:5" x14ac:dyDescent="0.25">
      <c r="A291" s="59">
        <v>45112</v>
      </c>
      <c r="B291" s="6" t="s">
        <v>47</v>
      </c>
      <c r="C291" s="6" t="s">
        <v>47</v>
      </c>
      <c r="D291" s="6" t="s">
        <v>47</v>
      </c>
      <c r="E291" s="2" t="s">
        <v>587</v>
      </c>
    </row>
    <row r="292" spans="1:5" x14ac:dyDescent="0.25">
      <c r="A292" s="59">
        <v>45113</v>
      </c>
      <c r="B292" s="6" t="s">
        <v>47</v>
      </c>
      <c r="C292" s="6" t="s">
        <v>47</v>
      </c>
      <c r="D292" s="6" t="s">
        <v>47</v>
      </c>
      <c r="E292" s="2" t="s">
        <v>587</v>
      </c>
    </row>
    <row r="293" spans="1:5" x14ac:dyDescent="0.25">
      <c r="A293" s="59">
        <v>45114</v>
      </c>
      <c r="B293" s="6" t="s">
        <v>47</v>
      </c>
      <c r="C293" s="6" t="s">
        <v>47</v>
      </c>
      <c r="D293" s="6" t="s">
        <v>47</v>
      </c>
      <c r="E293" s="2" t="s">
        <v>587</v>
      </c>
    </row>
    <row r="294" spans="1:5" x14ac:dyDescent="0.25">
      <c r="A294" s="59">
        <v>45117</v>
      </c>
      <c r="B294" s="6" t="s">
        <v>47</v>
      </c>
      <c r="C294" s="6" t="s">
        <v>47</v>
      </c>
      <c r="D294" s="6" t="s">
        <v>47</v>
      </c>
      <c r="E294" s="2" t="s">
        <v>587</v>
      </c>
    </row>
    <row r="295" spans="1:5" x14ac:dyDescent="0.25">
      <c r="A295" s="59">
        <v>45118</v>
      </c>
      <c r="B295" s="6" t="s">
        <v>47</v>
      </c>
      <c r="C295" s="6" t="s">
        <v>47</v>
      </c>
      <c r="D295" s="6" t="s">
        <v>47</v>
      </c>
      <c r="E295" s="2" t="s">
        <v>587</v>
      </c>
    </row>
    <row r="296" spans="1:5" x14ac:dyDescent="0.25">
      <c r="A296" s="59">
        <v>45119</v>
      </c>
      <c r="B296" s="6" t="s">
        <v>47</v>
      </c>
      <c r="C296" s="6" t="s">
        <v>47</v>
      </c>
      <c r="D296" s="6" t="s">
        <v>47</v>
      </c>
      <c r="E296" s="2" t="s">
        <v>587</v>
      </c>
    </row>
    <row r="297" spans="1:5" x14ac:dyDescent="0.25">
      <c r="A297" s="59">
        <v>45120</v>
      </c>
      <c r="B297" s="6" t="s">
        <v>47</v>
      </c>
      <c r="C297" s="6" t="s">
        <v>47</v>
      </c>
      <c r="D297" s="6" t="s">
        <v>47</v>
      </c>
      <c r="E297" s="2" t="s">
        <v>587</v>
      </c>
    </row>
    <row r="298" spans="1:5" x14ac:dyDescent="0.25">
      <c r="A298" s="59">
        <v>45121</v>
      </c>
      <c r="B298" s="6" t="s">
        <v>47</v>
      </c>
      <c r="C298" s="6" t="s">
        <v>47</v>
      </c>
      <c r="D298" s="6" t="s">
        <v>47</v>
      </c>
      <c r="E298" s="2" t="s">
        <v>587</v>
      </c>
    </row>
    <row r="299" spans="1:5" x14ac:dyDescent="0.25">
      <c r="A299" s="59">
        <v>45124</v>
      </c>
      <c r="B299" s="6" t="s">
        <v>47</v>
      </c>
      <c r="C299" s="6" t="s">
        <v>47</v>
      </c>
      <c r="D299" s="6" t="s">
        <v>47</v>
      </c>
      <c r="E299" s="2" t="s">
        <v>587</v>
      </c>
    </row>
    <row r="300" spans="1:5" x14ac:dyDescent="0.25">
      <c r="A300" s="59">
        <v>45125</v>
      </c>
      <c r="B300" s="6" t="s">
        <v>47</v>
      </c>
      <c r="C300" s="6" t="s">
        <v>47</v>
      </c>
      <c r="D300" s="6" t="s">
        <v>47</v>
      </c>
      <c r="E300" s="2" t="s">
        <v>587</v>
      </c>
    </row>
    <row r="301" spans="1:5" x14ac:dyDescent="0.25">
      <c r="A301" s="59">
        <v>45126</v>
      </c>
      <c r="B301" s="6" t="s">
        <v>47</v>
      </c>
      <c r="C301" s="6" t="s">
        <v>47</v>
      </c>
      <c r="D301" s="6" t="s">
        <v>47</v>
      </c>
      <c r="E301" s="2" t="s">
        <v>587</v>
      </c>
    </row>
    <row r="302" spans="1:5" x14ac:dyDescent="0.25">
      <c r="A302" s="59">
        <v>45127</v>
      </c>
      <c r="B302" s="6" t="s">
        <v>47</v>
      </c>
      <c r="C302" s="6" t="s">
        <v>47</v>
      </c>
      <c r="D302" s="6" t="s">
        <v>47</v>
      </c>
      <c r="E302" s="2" t="s">
        <v>587</v>
      </c>
    </row>
    <row r="303" spans="1:5" x14ac:dyDescent="0.25">
      <c r="A303" s="59">
        <v>45128</v>
      </c>
      <c r="B303" s="6" t="s">
        <v>47</v>
      </c>
      <c r="C303" s="6" t="s">
        <v>47</v>
      </c>
      <c r="D303" s="6" t="s">
        <v>47</v>
      </c>
      <c r="E303" s="2" t="s">
        <v>587</v>
      </c>
    </row>
    <row r="304" spans="1:5" x14ac:dyDescent="0.25">
      <c r="A304" s="59">
        <v>45131</v>
      </c>
      <c r="B304" s="6" t="s">
        <v>47</v>
      </c>
      <c r="C304" s="6" t="s">
        <v>47</v>
      </c>
      <c r="D304" s="6" t="s">
        <v>47</v>
      </c>
      <c r="E304" s="2" t="s">
        <v>587</v>
      </c>
    </row>
    <row r="305" spans="1:5" x14ac:dyDescent="0.25">
      <c r="A305" s="59">
        <v>45132</v>
      </c>
      <c r="B305" s="6" t="s">
        <v>47</v>
      </c>
      <c r="C305" s="6" t="s">
        <v>47</v>
      </c>
      <c r="D305" s="6" t="s">
        <v>47</v>
      </c>
      <c r="E305" s="2" t="s">
        <v>587</v>
      </c>
    </row>
    <row r="306" spans="1:5" x14ac:dyDescent="0.25">
      <c r="A306" s="59">
        <v>45133</v>
      </c>
      <c r="B306" s="6" t="s">
        <v>47</v>
      </c>
      <c r="C306" s="6" t="s">
        <v>47</v>
      </c>
      <c r="D306" s="6" t="s">
        <v>47</v>
      </c>
      <c r="E306" s="2" t="s">
        <v>587</v>
      </c>
    </row>
    <row r="307" spans="1:5" x14ac:dyDescent="0.25">
      <c r="A307" s="59">
        <v>45134</v>
      </c>
      <c r="B307" s="6" t="s">
        <v>47</v>
      </c>
      <c r="C307" s="6" t="s">
        <v>47</v>
      </c>
      <c r="D307" s="6" t="s">
        <v>47</v>
      </c>
      <c r="E307" s="2" t="s">
        <v>587</v>
      </c>
    </row>
    <row r="308" spans="1:5" x14ac:dyDescent="0.25">
      <c r="A308" s="59">
        <v>45135</v>
      </c>
      <c r="B308" s="6" t="s">
        <v>47</v>
      </c>
      <c r="C308" s="6" t="s">
        <v>47</v>
      </c>
      <c r="D308" s="6" t="s">
        <v>47</v>
      </c>
      <c r="E308" s="2" t="s">
        <v>587</v>
      </c>
    </row>
    <row r="309" spans="1:5" x14ac:dyDescent="0.25">
      <c r="A309" s="59">
        <v>45136</v>
      </c>
      <c r="B309" s="6" t="s">
        <v>47</v>
      </c>
      <c r="C309" s="6" t="s">
        <v>47</v>
      </c>
      <c r="D309" s="6" t="s">
        <v>47</v>
      </c>
      <c r="E309" s="2" t="s">
        <v>587</v>
      </c>
    </row>
    <row r="310" spans="1:5" x14ac:dyDescent="0.25">
      <c r="A310" s="59">
        <v>45137</v>
      </c>
      <c r="B310" s="6" t="s">
        <v>47</v>
      </c>
      <c r="C310" s="6" t="s">
        <v>47</v>
      </c>
      <c r="D310" s="6" t="s">
        <v>47</v>
      </c>
      <c r="E310" s="2" t="s">
        <v>587</v>
      </c>
    </row>
    <row r="311" spans="1:5" x14ac:dyDescent="0.25">
      <c r="A311" s="59">
        <v>45138</v>
      </c>
      <c r="B311" s="6" t="s">
        <v>47</v>
      </c>
      <c r="C311" s="6" t="s">
        <v>47</v>
      </c>
      <c r="D311" s="6" t="s">
        <v>47</v>
      </c>
      <c r="E311" s="2" t="s">
        <v>587</v>
      </c>
    </row>
    <row r="312" spans="1:5" x14ac:dyDescent="0.25">
      <c r="A312" s="59">
        <v>45139</v>
      </c>
      <c r="B312" s="6" t="s">
        <v>47</v>
      </c>
      <c r="C312" s="6" t="s">
        <v>47</v>
      </c>
      <c r="D312" s="6" t="s">
        <v>47</v>
      </c>
      <c r="E312" s="2" t="s">
        <v>587</v>
      </c>
    </row>
    <row r="313" spans="1:5" x14ac:dyDescent="0.25">
      <c r="A313" s="59">
        <v>45140</v>
      </c>
      <c r="B313" s="6" t="s">
        <v>47</v>
      </c>
      <c r="C313" s="6" t="s">
        <v>47</v>
      </c>
      <c r="D313" s="6" t="s">
        <v>47</v>
      </c>
      <c r="E313" s="2" t="s">
        <v>587</v>
      </c>
    </row>
    <row r="314" spans="1:5" x14ac:dyDescent="0.25">
      <c r="A314" s="59">
        <v>45141</v>
      </c>
      <c r="B314" s="6" t="s">
        <v>47</v>
      </c>
      <c r="C314" s="6" t="s">
        <v>47</v>
      </c>
      <c r="D314" s="6" t="s">
        <v>47</v>
      </c>
      <c r="E314" s="2" t="s">
        <v>587</v>
      </c>
    </row>
    <row r="315" spans="1:5" x14ac:dyDescent="0.25">
      <c r="A315" s="59">
        <v>45142</v>
      </c>
      <c r="B315" s="6" t="s">
        <v>47</v>
      </c>
      <c r="C315" s="6" t="s">
        <v>47</v>
      </c>
      <c r="D315" s="6" t="s">
        <v>47</v>
      </c>
      <c r="E315" s="2" t="s">
        <v>587</v>
      </c>
    </row>
    <row r="316" spans="1:5" x14ac:dyDescent="0.25">
      <c r="A316" s="59">
        <v>45143</v>
      </c>
      <c r="B316" s="6" t="s">
        <v>47</v>
      </c>
      <c r="C316" s="6" t="s">
        <v>47</v>
      </c>
      <c r="D316" s="6" t="s">
        <v>47</v>
      </c>
      <c r="E316" s="2" t="s">
        <v>587</v>
      </c>
    </row>
    <row r="317" spans="1:5" x14ac:dyDescent="0.25">
      <c r="A317" s="59">
        <v>45144</v>
      </c>
      <c r="B317" s="6" t="s">
        <v>47</v>
      </c>
      <c r="C317" s="6" t="s">
        <v>47</v>
      </c>
      <c r="D317" s="6" t="s">
        <v>47</v>
      </c>
      <c r="E317" s="2" t="s">
        <v>587</v>
      </c>
    </row>
    <row r="318" spans="1:5" x14ac:dyDescent="0.25">
      <c r="A318" s="59">
        <v>45145</v>
      </c>
      <c r="B318" s="6" t="s">
        <v>47</v>
      </c>
      <c r="C318" s="6" t="s">
        <v>47</v>
      </c>
      <c r="D318" s="6" t="s">
        <v>47</v>
      </c>
      <c r="E318" s="2" t="s">
        <v>587</v>
      </c>
    </row>
    <row r="319" spans="1:5" x14ac:dyDescent="0.25">
      <c r="A319" s="59">
        <v>45146</v>
      </c>
      <c r="B319" s="6" t="s">
        <v>47</v>
      </c>
      <c r="C319" s="6" t="s">
        <v>47</v>
      </c>
      <c r="D319" s="6" t="s">
        <v>47</v>
      </c>
      <c r="E319" s="2" t="s">
        <v>587</v>
      </c>
    </row>
    <row r="320" spans="1:5" x14ac:dyDescent="0.25">
      <c r="A320" s="59">
        <v>45147</v>
      </c>
      <c r="B320" s="6" t="s">
        <v>47</v>
      </c>
      <c r="C320" s="6" t="s">
        <v>47</v>
      </c>
      <c r="D320" s="6" t="s">
        <v>47</v>
      </c>
      <c r="E320" s="2" t="s">
        <v>587</v>
      </c>
    </row>
    <row r="321" spans="1:5" x14ac:dyDescent="0.25">
      <c r="A321" s="59">
        <v>45148</v>
      </c>
      <c r="B321" s="6" t="s">
        <v>47</v>
      </c>
      <c r="C321" s="6" t="s">
        <v>47</v>
      </c>
      <c r="D321" s="6" t="s">
        <v>47</v>
      </c>
      <c r="E321" s="2" t="s">
        <v>587</v>
      </c>
    </row>
    <row r="322" spans="1:5" x14ac:dyDescent="0.25">
      <c r="A322" s="59">
        <v>45149</v>
      </c>
      <c r="B322" s="6" t="s">
        <v>47</v>
      </c>
      <c r="C322" s="6" t="s">
        <v>47</v>
      </c>
      <c r="D322" s="6" t="s">
        <v>47</v>
      </c>
      <c r="E322" s="2" t="s">
        <v>587</v>
      </c>
    </row>
    <row r="323" spans="1:5" x14ac:dyDescent="0.25">
      <c r="A323" s="59">
        <v>45152</v>
      </c>
      <c r="B323" s="6" t="s">
        <v>47</v>
      </c>
      <c r="C323" s="6" t="s">
        <v>47</v>
      </c>
      <c r="D323" s="6" t="s">
        <v>47</v>
      </c>
      <c r="E323" s="2" t="s">
        <v>587</v>
      </c>
    </row>
    <row r="324" spans="1:5" x14ac:dyDescent="0.25">
      <c r="A324" s="59">
        <v>45153</v>
      </c>
      <c r="B324" s="6" t="s">
        <v>47</v>
      </c>
      <c r="C324" s="6" t="s">
        <v>47</v>
      </c>
      <c r="D324" s="6" t="s">
        <v>47</v>
      </c>
      <c r="E324" s="2" t="s">
        <v>587</v>
      </c>
    </row>
    <row r="325" spans="1:5" x14ac:dyDescent="0.25">
      <c r="A325" s="59">
        <v>45154</v>
      </c>
      <c r="B325" s="6" t="s">
        <v>47</v>
      </c>
      <c r="C325" s="6" t="s">
        <v>47</v>
      </c>
      <c r="D325" s="6" t="s">
        <v>47</v>
      </c>
      <c r="E325" s="2" t="s">
        <v>587</v>
      </c>
    </row>
    <row r="326" spans="1:5" x14ac:dyDescent="0.25">
      <c r="A326" s="59">
        <v>45155</v>
      </c>
      <c r="B326" s="6" t="s">
        <v>47</v>
      </c>
      <c r="C326" s="6" t="s">
        <v>47</v>
      </c>
      <c r="D326" s="6" t="s">
        <v>47</v>
      </c>
      <c r="E326" s="2" t="s">
        <v>587</v>
      </c>
    </row>
    <row r="327" spans="1:5" x14ac:dyDescent="0.25">
      <c r="A327" s="59">
        <v>45156</v>
      </c>
      <c r="B327" s="6" t="s">
        <v>47</v>
      </c>
      <c r="C327" s="6" t="s">
        <v>47</v>
      </c>
      <c r="D327" s="6" t="s">
        <v>47</v>
      </c>
      <c r="E327" s="2" t="s">
        <v>587</v>
      </c>
    </row>
    <row r="328" spans="1:5" x14ac:dyDescent="0.25">
      <c r="A328" s="59">
        <v>45157</v>
      </c>
      <c r="B328" s="6" t="s">
        <v>47</v>
      </c>
      <c r="C328" s="6" t="s">
        <v>47</v>
      </c>
      <c r="D328" s="6" t="s">
        <v>47</v>
      </c>
      <c r="E328" s="2" t="s">
        <v>587</v>
      </c>
    </row>
    <row r="329" spans="1:5" x14ac:dyDescent="0.25">
      <c r="A329" s="59">
        <v>45158</v>
      </c>
      <c r="B329" s="6" t="s">
        <v>47</v>
      </c>
      <c r="C329" s="6" t="s">
        <v>47</v>
      </c>
      <c r="D329" s="6" t="s">
        <v>47</v>
      </c>
      <c r="E329" s="2" t="s">
        <v>587</v>
      </c>
    </row>
    <row r="330" spans="1:5" x14ac:dyDescent="0.25">
      <c r="A330" s="59">
        <v>45159</v>
      </c>
      <c r="B330" s="6" t="s">
        <v>47</v>
      </c>
      <c r="C330" s="6" t="s">
        <v>47</v>
      </c>
      <c r="D330" s="6" t="s">
        <v>47</v>
      </c>
      <c r="E330" s="2" t="s">
        <v>587</v>
      </c>
    </row>
    <row r="331" spans="1:5" x14ac:dyDescent="0.25">
      <c r="A331" s="59">
        <v>45160</v>
      </c>
      <c r="B331" s="6" t="s">
        <v>47</v>
      </c>
      <c r="C331" s="6" t="s">
        <v>47</v>
      </c>
      <c r="D331" s="6" t="s">
        <v>47</v>
      </c>
      <c r="E331" s="2" t="s">
        <v>587</v>
      </c>
    </row>
    <row r="332" spans="1:5" x14ac:dyDescent="0.25">
      <c r="A332" s="59">
        <v>45161</v>
      </c>
      <c r="B332" s="6" t="s">
        <v>47</v>
      </c>
      <c r="C332" s="6" t="s">
        <v>47</v>
      </c>
      <c r="D332" s="6" t="s">
        <v>47</v>
      </c>
      <c r="E332" s="2" t="s">
        <v>587</v>
      </c>
    </row>
    <row r="333" spans="1:5" x14ac:dyDescent="0.25">
      <c r="A333" s="59">
        <v>45162</v>
      </c>
      <c r="B333" s="6" t="s">
        <v>47</v>
      </c>
      <c r="C333" s="6" t="s">
        <v>47</v>
      </c>
      <c r="D333" s="6" t="s">
        <v>47</v>
      </c>
      <c r="E333" s="2" t="s">
        <v>587</v>
      </c>
    </row>
    <row r="334" spans="1:5" x14ac:dyDescent="0.25">
      <c r="A334" s="59">
        <v>45163</v>
      </c>
      <c r="B334" s="6" t="s">
        <v>47</v>
      </c>
      <c r="C334" s="6" t="s">
        <v>47</v>
      </c>
      <c r="D334" s="6" t="s">
        <v>47</v>
      </c>
      <c r="E334" s="2" t="s">
        <v>587</v>
      </c>
    </row>
    <row r="335" spans="1:5" x14ac:dyDescent="0.25">
      <c r="A335" s="59">
        <v>45164</v>
      </c>
      <c r="B335" s="6" t="s">
        <v>47</v>
      </c>
      <c r="C335" s="6" t="s">
        <v>47</v>
      </c>
      <c r="D335" s="6" t="s">
        <v>47</v>
      </c>
      <c r="E335" s="2" t="s">
        <v>587</v>
      </c>
    </row>
    <row r="336" spans="1:5" x14ac:dyDescent="0.25">
      <c r="A336" s="59">
        <v>45165</v>
      </c>
      <c r="B336" s="6" t="s">
        <v>47</v>
      </c>
      <c r="C336" s="6" t="s">
        <v>47</v>
      </c>
      <c r="D336" s="6" t="s">
        <v>47</v>
      </c>
      <c r="E336" s="2" t="s">
        <v>587</v>
      </c>
    </row>
    <row r="337" spans="1:7" x14ac:dyDescent="0.25">
      <c r="A337" s="59">
        <v>45166</v>
      </c>
      <c r="B337" s="6" t="s">
        <v>47</v>
      </c>
      <c r="C337" s="6" t="s">
        <v>47</v>
      </c>
      <c r="D337" s="6" t="s">
        <v>47</v>
      </c>
      <c r="E337" s="2" t="s">
        <v>587</v>
      </c>
    </row>
    <row r="338" spans="1:7" x14ac:dyDescent="0.25">
      <c r="A338" s="59">
        <v>45167</v>
      </c>
      <c r="B338" s="6" t="s">
        <v>47</v>
      </c>
      <c r="C338" s="6" t="s">
        <v>47</v>
      </c>
      <c r="D338" s="6" t="s">
        <v>47</v>
      </c>
      <c r="E338" s="2" t="s">
        <v>587</v>
      </c>
    </row>
    <row r="339" spans="1:7" x14ac:dyDescent="0.25">
      <c r="A339" s="59">
        <v>45168</v>
      </c>
      <c r="B339" s="6" t="s">
        <v>47</v>
      </c>
      <c r="C339" s="6" t="s">
        <v>47</v>
      </c>
      <c r="D339" s="6" t="s">
        <v>47</v>
      </c>
      <c r="E339" s="2" t="s">
        <v>587</v>
      </c>
    </row>
    <row r="340" spans="1:7" x14ac:dyDescent="0.25">
      <c r="A340" s="59">
        <v>45169</v>
      </c>
      <c r="B340" s="6" t="s">
        <v>47</v>
      </c>
      <c r="C340" s="6" t="s">
        <v>47</v>
      </c>
      <c r="D340" s="6" t="s">
        <v>47</v>
      </c>
      <c r="E340" s="2" t="s">
        <v>587</v>
      </c>
    </row>
    <row r="341" spans="1:7" x14ac:dyDescent="0.25">
      <c r="A341" s="59">
        <v>45170</v>
      </c>
      <c r="B341" s="6" t="s">
        <v>47</v>
      </c>
      <c r="C341" s="6" t="s">
        <v>47</v>
      </c>
      <c r="D341" s="6" t="s">
        <v>47</v>
      </c>
      <c r="E341" s="2" t="s">
        <v>587</v>
      </c>
      <c r="F341" s="2"/>
      <c r="G341" s="2" t="str">
        <f t="shared" ref="G341" ca="1" si="0">IF(C341&lt;=TODAY(),IF(COUNTBLANK(D341:F341)=0,"Conforme","Não conforme"),"")</f>
        <v/>
      </c>
    </row>
    <row r="342" spans="1:7" x14ac:dyDescent="0.25">
      <c r="A342" s="59">
        <v>45171</v>
      </c>
      <c r="B342" s="6" t="s">
        <v>47</v>
      </c>
      <c r="C342" s="6" t="s">
        <v>47</v>
      </c>
      <c r="D342" s="6" t="s">
        <v>47</v>
      </c>
      <c r="E342" s="2" t="s">
        <v>587</v>
      </c>
    </row>
    <row r="343" spans="1:7" x14ac:dyDescent="0.25">
      <c r="A343" s="59">
        <v>45172</v>
      </c>
      <c r="B343" s="6" t="s">
        <v>47</v>
      </c>
      <c r="C343" s="6" t="s">
        <v>47</v>
      </c>
      <c r="D343" s="6" t="s">
        <v>47</v>
      </c>
      <c r="E343" s="2" t="s">
        <v>587</v>
      </c>
    </row>
    <row r="344" spans="1:7" x14ac:dyDescent="0.25">
      <c r="A344" s="59">
        <v>45173</v>
      </c>
      <c r="B344" s="6" t="s">
        <v>47</v>
      </c>
      <c r="C344" s="6" t="s">
        <v>47</v>
      </c>
      <c r="D344" s="6" t="s">
        <v>47</v>
      </c>
      <c r="E344" s="2" t="s">
        <v>587</v>
      </c>
    </row>
    <row r="345" spans="1:7" x14ac:dyDescent="0.25">
      <c r="A345" s="59">
        <v>45174</v>
      </c>
      <c r="B345" s="6" t="s">
        <v>47</v>
      </c>
      <c r="C345" s="6" t="s">
        <v>47</v>
      </c>
      <c r="D345" s="6" t="s">
        <v>47</v>
      </c>
      <c r="E345" s="2" t="s">
        <v>587</v>
      </c>
    </row>
    <row r="346" spans="1:7" x14ac:dyDescent="0.25">
      <c r="A346" s="59">
        <v>45175</v>
      </c>
      <c r="B346" s="6" t="s">
        <v>47</v>
      </c>
      <c r="C346" s="6" t="s">
        <v>47</v>
      </c>
      <c r="D346" s="6" t="s">
        <v>47</v>
      </c>
      <c r="E346" s="2" t="s">
        <v>587</v>
      </c>
    </row>
    <row r="347" spans="1:7" x14ac:dyDescent="0.25">
      <c r="A347" s="59">
        <v>45176</v>
      </c>
      <c r="B347" s="6" t="s">
        <v>47</v>
      </c>
      <c r="C347" s="6" t="s">
        <v>47</v>
      </c>
      <c r="D347" s="6" t="s">
        <v>47</v>
      </c>
      <c r="E347" s="2" t="s">
        <v>587</v>
      </c>
    </row>
    <row r="348" spans="1:7" x14ac:dyDescent="0.25">
      <c r="A348" s="59">
        <v>45177</v>
      </c>
      <c r="B348" s="6" t="s">
        <v>47</v>
      </c>
      <c r="C348" s="6" t="s">
        <v>47</v>
      </c>
      <c r="D348" s="6" t="s">
        <v>47</v>
      </c>
      <c r="E348" s="2" t="s">
        <v>587</v>
      </c>
    </row>
    <row r="349" spans="1:7" x14ac:dyDescent="0.25">
      <c r="A349" s="59">
        <v>45178</v>
      </c>
      <c r="B349" s="6" t="s">
        <v>47</v>
      </c>
      <c r="C349" s="6" t="s">
        <v>47</v>
      </c>
      <c r="D349" s="6" t="s">
        <v>47</v>
      </c>
      <c r="E349" s="2" t="s">
        <v>587</v>
      </c>
    </row>
    <row r="350" spans="1:7" x14ac:dyDescent="0.25">
      <c r="A350" s="59">
        <v>45179</v>
      </c>
      <c r="B350" s="6" t="s">
        <v>47</v>
      </c>
      <c r="C350" s="6" t="s">
        <v>47</v>
      </c>
      <c r="D350" s="6" t="s">
        <v>47</v>
      </c>
      <c r="E350" s="2" t="s">
        <v>587</v>
      </c>
    </row>
    <row r="351" spans="1:7" x14ac:dyDescent="0.25">
      <c r="A351" s="59">
        <v>45180</v>
      </c>
      <c r="B351" s="6" t="s">
        <v>47</v>
      </c>
      <c r="C351" s="6" t="s">
        <v>47</v>
      </c>
      <c r="D351" s="6" t="s">
        <v>47</v>
      </c>
      <c r="E351" s="2" t="s">
        <v>587</v>
      </c>
    </row>
    <row r="352" spans="1:7" x14ac:dyDescent="0.25">
      <c r="A352" s="59">
        <v>45181</v>
      </c>
      <c r="B352" s="6" t="s">
        <v>47</v>
      </c>
      <c r="C352" s="6" t="s">
        <v>47</v>
      </c>
      <c r="D352" s="6" t="s">
        <v>47</v>
      </c>
      <c r="E352" s="2" t="s">
        <v>587</v>
      </c>
    </row>
    <row r="353" spans="1:5" x14ac:dyDescent="0.25">
      <c r="A353" s="59">
        <v>45182</v>
      </c>
      <c r="B353" s="6" t="s">
        <v>47</v>
      </c>
      <c r="C353" s="6" t="s">
        <v>47</v>
      </c>
      <c r="D353" s="6" t="s">
        <v>47</v>
      </c>
      <c r="E353" s="2" t="s">
        <v>587</v>
      </c>
    </row>
    <row r="354" spans="1:5" x14ac:dyDescent="0.25">
      <c r="A354" s="59">
        <v>45183</v>
      </c>
      <c r="B354" s="6" t="s">
        <v>47</v>
      </c>
      <c r="C354" s="6" t="s">
        <v>47</v>
      </c>
      <c r="D354" s="6" t="s">
        <v>47</v>
      </c>
      <c r="E354" s="2" t="s">
        <v>587</v>
      </c>
    </row>
    <row r="355" spans="1:5" x14ac:dyDescent="0.25">
      <c r="A355" s="59">
        <v>45184</v>
      </c>
      <c r="B355" s="6" t="s">
        <v>47</v>
      </c>
      <c r="C355" s="6" t="s">
        <v>47</v>
      </c>
      <c r="D355" s="6" t="s">
        <v>47</v>
      </c>
      <c r="E355" s="2" t="s">
        <v>587</v>
      </c>
    </row>
    <row r="356" spans="1:5" x14ac:dyDescent="0.25">
      <c r="A356" s="59">
        <v>45185</v>
      </c>
      <c r="B356" s="6" t="s">
        <v>47</v>
      </c>
      <c r="C356" s="6" t="s">
        <v>47</v>
      </c>
      <c r="D356" s="6" t="s">
        <v>47</v>
      </c>
      <c r="E356" s="2" t="s">
        <v>587</v>
      </c>
    </row>
    <row r="357" spans="1:5" x14ac:dyDescent="0.25">
      <c r="A357" s="59">
        <v>45186</v>
      </c>
      <c r="B357" s="6" t="s">
        <v>47</v>
      </c>
      <c r="C357" s="6" t="s">
        <v>47</v>
      </c>
      <c r="D357" s="6" t="s">
        <v>47</v>
      </c>
      <c r="E357" s="2" t="s">
        <v>587</v>
      </c>
    </row>
    <row r="358" spans="1:5" x14ac:dyDescent="0.25">
      <c r="A358" s="59">
        <v>45187</v>
      </c>
      <c r="B358" s="6" t="s">
        <v>47</v>
      </c>
      <c r="C358" s="6" t="s">
        <v>47</v>
      </c>
      <c r="D358" s="6" t="s">
        <v>47</v>
      </c>
      <c r="E358" s="2" t="s">
        <v>587</v>
      </c>
    </row>
    <row r="359" spans="1:5" x14ac:dyDescent="0.25">
      <c r="A359" s="59">
        <v>45188</v>
      </c>
      <c r="B359" s="6" t="s">
        <v>47</v>
      </c>
      <c r="C359" s="6" t="s">
        <v>47</v>
      </c>
      <c r="D359" s="6" t="s">
        <v>47</v>
      </c>
      <c r="E359" s="2" t="s">
        <v>587</v>
      </c>
    </row>
    <row r="360" spans="1:5" x14ac:dyDescent="0.25">
      <c r="A360" s="59">
        <v>45189</v>
      </c>
      <c r="B360" s="6" t="s">
        <v>47</v>
      </c>
      <c r="C360" s="6" t="s">
        <v>47</v>
      </c>
      <c r="D360" s="6" t="s">
        <v>47</v>
      </c>
      <c r="E360" s="2" t="s">
        <v>587</v>
      </c>
    </row>
    <row r="361" spans="1:5" x14ac:dyDescent="0.25">
      <c r="A361" s="59">
        <v>45190</v>
      </c>
      <c r="B361" s="6" t="s">
        <v>47</v>
      </c>
      <c r="C361" s="6" t="s">
        <v>47</v>
      </c>
      <c r="D361" s="6" t="s">
        <v>47</v>
      </c>
      <c r="E361" s="2" t="s">
        <v>587</v>
      </c>
    </row>
    <row r="362" spans="1:5" x14ac:dyDescent="0.25">
      <c r="A362" s="59">
        <v>45191</v>
      </c>
      <c r="B362" s="6" t="s">
        <v>47</v>
      </c>
      <c r="C362" s="6" t="s">
        <v>47</v>
      </c>
      <c r="D362" s="6" t="s">
        <v>47</v>
      </c>
      <c r="E362" s="2" t="s">
        <v>587</v>
      </c>
    </row>
    <row r="363" spans="1:5" x14ac:dyDescent="0.25">
      <c r="A363" s="59">
        <v>45192</v>
      </c>
      <c r="B363" s="6" t="s">
        <v>47</v>
      </c>
      <c r="C363" s="6" t="s">
        <v>47</v>
      </c>
      <c r="D363" s="6" t="s">
        <v>47</v>
      </c>
      <c r="E363" s="2" t="s">
        <v>587</v>
      </c>
    </row>
    <row r="364" spans="1:5" x14ac:dyDescent="0.25">
      <c r="A364" s="59">
        <v>45193</v>
      </c>
      <c r="B364" s="6" t="s">
        <v>47</v>
      </c>
      <c r="C364" s="6" t="s">
        <v>47</v>
      </c>
      <c r="D364" s="6" t="s">
        <v>47</v>
      </c>
      <c r="E364" s="2" t="s">
        <v>587</v>
      </c>
    </row>
    <row r="365" spans="1:5" x14ac:dyDescent="0.25">
      <c r="A365" s="59">
        <v>45194</v>
      </c>
      <c r="B365" s="6" t="s">
        <v>47</v>
      </c>
      <c r="C365" s="6" t="s">
        <v>47</v>
      </c>
      <c r="D365" s="6" t="s">
        <v>47</v>
      </c>
      <c r="E365" s="2" t="s">
        <v>587</v>
      </c>
    </row>
    <row r="366" spans="1:5" x14ac:dyDescent="0.25">
      <c r="A366" s="59">
        <v>45195</v>
      </c>
      <c r="B366" s="6" t="s">
        <v>47</v>
      </c>
      <c r="C366" s="6" t="s">
        <v>47</v>
      </c>
      <c r="D366" s="6" t="s">
        <v>47</v>
      </c>
      <c r="E366" s="2" t="s">
        <v>587</v>
      </c>
    </row>
    <row r="367" spans="1:5" x14ac:dyDescent="0.25">
      <c r="A367" s="59">
        <v>45196</v>
      </c>
      <c r="B367" s="6" t="s">
        <v>47</v>
      </c>
      <c r="C367" s="6" t="s">
        <v>47</v>
      </c>
      <c r="D367" s="6" t="s">
        <v>47</v>
      </c>
      <c r="E367" s="2" t="s">
        <v>587</v>
      </c>
    </row>
    <row r="368" spans="1:5" x14ac:dyDescent="0.25">
      <c r="A368" s="59">
        <v>45197</v>
      </c>
      <c r="B368" s="6" t="s">
        <v>47</v>
      </c>
      <c r="C368" s="6" t="s">
        <v>47</v>
      </c>
      <c r="D368" s="6" t="s">
        <v>47</v>
      </c>
      <c r="E368" s="2" t="s">
        <v>587</v>
      </c>
    </row>
    <row r="369" spans="1:6" x14ac:dyDescent="0.25">
      <c r="A369" s="59">
        <v>45198</v>
      </c>
      <c r="B369" s="6" t="s">
        <v>47</v>
      </c>
      <c r="C369" s="6" t="s">
        <v>47</v>
      </c>
      <c r="D369" s="6" t="s">
        <v>47</v>
      </c>
      <c r="E369" s="2" t="s">
        <v>587</v>
      </c>
    </row>
    <row r="370" spans="1:6" x14ac:dyDescent="0.25">
      <c r="A370" s="59">
        <v>45199</v>
      </c>
      <c r="B370" s="6" t="s">
        <v>47</v>
      </c>
      <c r="C370" s="6" t="s">
        <v>47</v>
      </c>
      <c r="D370" s="6" t="s">
        <v>47</v>
      </c>
      <c r="E370" s="2" t="s">
        <v>587</v>
      </c>
    </row>
    <row r="371" spans="1:6" x14ac:dyDescent="0.25">
      <c r="A371" s="59">
        <v>45200</v>
      </c>
      <c r="B371" s="6" t="s">
        <v>47</v>
      </c>
      <c r="C371" s="6" t="s">
        <v>47</v>
      </c>
      <c r="D371" s="6" t="s">
        <v>47</v>
      </c>
      <c r="E371" s="2" t="s">
        <v>587</v>
      </c>
    </row>
    <row r="372" spans="1:6" x14ac:dyDescent="0.25">
      <c r="A372" s="59">
        <v>45201</v>
      </c>
      <c r="B372" s="6" t="s">
        <v>47</v>
      </c>
      <c r="C372" s="6" t="s">
        <v>47</v>
      </c>
      <c r="D372" s="6" t="s">
        <v>47</v>
      </c>
      <c r="E372" s="2" t="s">
        <v>587</v>
      </c>
    </row>
    <row r="373" spans="1:6" x14ac:dyDescent="0.25">
      <c r="A373" s="59">
        <v>45202</v>
      </c>
      <c r="B373" s="6" t="s">
        <v>47</v>
      </c>
      <c r="C373" s="6" t="s">
        <v>47</v>
      </c>
      <c r="D373" s="6" t="s">
        <v>47</v>
      </c>
      <c r="E373" s="2" t="s">
        <v>587</v>
      </c>
    </row>
    <row r="374" spans="1:6" x14ac:dyDescent="0.25">
      <c r="A374" s="59">
        <v>45203</v>
      </c>
      <c r="B374" s="6" t="s">
        <v>47</v>
      </c>
      <c r="C374" s="6" t="s">
        <v>47</v>
      </c>
      <c r="D374" s="6" t="s">
        <v>47</v>
      </c>
      <c r="E374" s="2" t="s">
        <v>587</v>
      </c>
    </row>
    <row r="375" spans="1:6" x14ac:dyDescent="0.25">
      <c r="A375" s="59">
        <v>45204</v>
      </c>
      <c r="B375" s="6" t="s">
        <v>47</v>
      </c>
      <c r="C375" s="6" t="s">
        <v>47</v>
      </c>
      <c r="D375" s="6" t="s">
        <v>47</v>
      </c>
      <c r="E375" s="2" t="s">
        <v>587</v>
      </c>
    </row>
    <row r="376" spans="1:6" x14ac:dyDescent="0.25">
      <c r="A376" s="59">
        <v>45205</v>
      </c>
      <c r="B376" s="6" t="s">
        <v>47</v>
      </c>
      <c r="C376" s="6" t="s">
        <v>47</v>
      </c>
      <c r="D376" s="6" t="s">
        <v>47</v>
      </c>
      <c r="E376" s="2" t="s">
        <v>587</v>
      </c>
    </row>
    <row r="377" spans="1:6" x14ac:dyDescent="0.25">
      <c r="A377" s="59">
        <v>45206</v>
      </c>
      <c r="B377" s="6" t="s">
        <v>47</v>
      </c>
      <c r="C377" s="6" t="s">
        <v>47</v>
      </c>
      <c r="D377" s="6" t="s">
        <v>47</v>
      </c>
      <c r="E377" s="2" t="s">
        <v>587</v>
      </c>
    </row>
    <row r="378" spans="1:6" x14ac:dyDescent="0.25">
      <c r="A378" s="59">
        <v>45207</v>
      </c>
      <c r="B378" s="6" t="s">
        <v>47</v>
      </c>
      <c r="C378" s="6" t="s">
        <v>47</v>
      </c>
      <c r="D378" s="6" t="s">
        <v>47</v>
      </c>
      <c r="E378" s="2" t="s">
        <v>587</v>
      </c>
    </row>
    <row r="379" spans="1:6" x14ac:dyDescent="0.25">
      <c r="A379" s="59">
        <v>45208</v>
      </c>
      <c r="B379" s="6" t="s">
        <v>47</v>
      </c>
      <c r="C379" s="6" t="s">
        <v>47</v>
      </c>
      <c r="D379" s="6" t="s">
        <v>47</v>
      </c>
      <c r="E379" s="2" t="s">
        <v>587</v>
      </c>
    </row>
    <row r="380" spans="1:6" x14ac:dyDescent="0.25">
      <c r="A380" s="59">
        <v>45209</v>
      </c>
      <c r="B380" s="6" t="s">
        <v>1968</v>
      </c>
      <c r="C380" s="6" t="s">
        <v>1968</v>
      </c>
      <c r="D380" s="6" t="s">
        <v>1968</v>
      </c>
      <c r="E380" s="2" t="s">
        <v>944</v>
      </c>
      <c r="F380" t="s">
        <v>2177</v>
      </c>
    </row>
    <row r="381" spans="1:6" x14ac:dyDescent="0.25">
      <c r="A381" s="59">
        <v>45210</v>
      </c>
      <c r="B381" s="6" t="s">
        <v>47</v>
      </c>
      <c r="C381" s="6" t="s">
        <v>47</v>
      </c>
      <c r="D381" s="6" t="s">
        <v>47</v>
      </c>
      <c r="E381" s="2" t="s">
        <v>587</v>
      </c>
    </row>
    <row r="382" spans="1:6" x14ac:dyDescent="0.25">
      <c r="A382" s="59">
        <v>45211</v>
      </c>
      <c r="B382" s="6" t="s">
        <v>47</v>
      </c>
      <c r="C382" s="6" t="s">
        <v>47</v>
      </c>
      <c r="D382" s="6" t="s">
        <v>47</v>
      </c>
      <c r="E382" s="2" t="s">
        <v>587</v>
      </c>
    </row>
    <row r="383" spans="1:6" x14ac:dyDescent="0.25">
      <c r="A383" s="59">
        <v>45212</v>
      </c>
      <c r="B383" s="6" t="s">
        <v>47</v>
      </c>
      <c r="C383" s="6" t="s">
        <v>47</v>
      </c>
      <c r="D383" s="6" t="s">
        <v>47</v>
      </c>
      <c r="E383" s="2" t="s">
        <v>587</v>
      </c>
    </row>
    <row r="384" spans="1:6" x14ac:dyDescent="0.25">
      <c r="A384" s="59">
        <v>45213</v>
      </c>
      <c r="B384" s="6" t="s">
        <v>47</v>
      </c>
      <c r="C384" s="6" t="s">
        <v>47</v>
      </c>
      <c r="D384" s="6" t="s">
        <v>47</v>
      </c>
      <c r="E384" s="2" t="s">
        <v>587</v>
      </c>
    </row>
    <row r="385" spans="1:5" x14ac:dyDescent="0.25">
      <c r="A385" s="59">
        <v>45214</v>
      </c>
      <c r="B385" s="6" t="s">
        <v>47</v>
      </c>
      <c r="C385" s="6" t="s">
        <v>47</v>
      </c>
      <c r="D385" s="6" t="s">
        <v>47</v>
      </c>
      <c r="E385" s="2" t="s">
        <v>587</v>
      </c>
    </row>
    <row r="386" spans="1:5" x14ac:dyDescent="0.25">
      <c r="A386" s="59">
        <v>45215</v>
      </c>
      <c r="B386" s="6" t="s">
        <v>47</v>
      </c>
      <c r="C386" s="6" t="s">
        <v>47</v>
      </c>
      <c r="D386" s="6" t="s">
        <v>47</v>
      </c>
      <c r="E386" s="2" t="s">
        <v>587</v>
      </c>
    </row>
    <row r="387" spans="1:5" x14ac:dyDescent="0.25">
      <c r="A387" s="59">
        <v>45216</v>
      </c>
      <c r="B387" s="6" t="s">
        <v>47</v>
      </c>
      <c r="C387" s="6" t="s">
        <v>47</v>
      </c>
      <c r="D387" s="6" t="s">
        <v>47</v>
      </c>
      <c r="E387" s="2" t="s">
        <v>587</v>
      </c>
    </row>
    <row r="388" spans="1:5" x14ac:dyDescent="0.25">
      <c r="A388" s="59">
        <v>45217</v>
      </c>
      <c r="B388" s="6" t="s">
        <v>47</v>
      </c>
      <c r="C388" s="6" t="s">
        <v>47</v>
      </c>
      <c r="D388" s="6" t="s">
        <v>47</v>
      </c>
      <c r="E388" s="2" t="s">
        <v>587</v>
      </c>
    </row>
    <row r="389" spans="1:5" x14ac:dyDescent="0.25">
      <c r="A389" s="59">
        <v>45218</v>
      </c>
      <c r="B389" s="6" t="s">
        <v>47</v>
      </c>
      <c r="C389" s="6" t="s">
        <v>47</v>
      </c>
      <c r="D389" s="6" t="s">
        <v>47</v>
      </c>
      <c r="E389" s="2" t="s">
        <v>587</v>
      </c>
    </row>
    <row r="390" spans="1:5" x14ac:dyDescent="0.25">
      <c r="A390" s="59">
        <v>45219</v>
      </c>
      <c r="B390" s="6" t="s">
        <v>47</v>
      </c>
      <c r="C390" s="6" t="s">
        <v>47</v>
      </c>
      <c r="D390" s="6" t="s">
        <v>47</v>
      </c>
      <c r="E390" s="2" t="s">
        <v>587</v>
      </c>
    </row>
    <row r="391" spans="1:5" x14ac:dyDescent="0.25">
      <c r="A391" s="59">
        <v>45220</v>
      </c>
      <c r="B391" s="6" t="s">
        <v>47</v>
      </c>
      <c r="C391" s="6" t="s">
        <v>47</v>
      </c>
      <c r="D391" s="6" t="s">
        <v>47</v>
      </c>
      <c r="E391" s="2" t="s">
        <v>587</v>
      </c>
    </row>
    <row r="392" spans="1:5" x14ac:dyDescent="0.25">
      <c r="A392" s="59">
        <v>45221</v>
      </c>
      <c r="B392" s="6" t="s">
        <v>47</v>
      </c>
      <c r="C392" s="6" t="s">
        <v>47</v>
      </c>
      <c r="D392" s="6" t="s">
        <v>47</v>
      </c>
      <c r="E392" s="2" t="s">
        <v>587</v>
      </c>
    </row>
    <row r="393" spans="1:5" x14ac:dyDescent="0.25">
      <c r="A393" s="59">
        <v>45222</v>
      </c>
      <c r="B393" s="6" t="s">
        <v>47</v>
      </c>
      <c r="C393" s="6" t="s">
        <v>47</v>
      </c>
      <c r="D393" s="6" t="s">
        <v>47</v>
      </c>
      <c r="E393" s="2" t="s">
        <v>587</v>
      </c>
    </row>
    <row r="394" spans="1:5" x14ac:dyDescent="0.25">
      <c r="A394" s="59">
        <v>45223</v>
      </c>
      <c r="B394" s="6" t="s">
        <v>47</v>
      </c>
      <c r="C394" s="6" t="s">
        <v>47</v>
      </c>
      <c r="D394" s="6" t="s">
        <v>47</v>
      </c>
      <c r="E394" s="2" t="s">
        <v>587</v>
      </c>
    </row>
    <row r="395" spans="1:5" x14ac:dyDescent="0.25">
      <c r="A395" s="59">
        <v>45224</v>
      </c>
      <c r="B395" s="6" t="s">
        <v>47</v>
      </c>
      <c r="C395" s="6" t="s">
        <v>47</v>
      </c>
      <c r="D395" s="6" t="s">
        <v>47</v>
      </c>
      <c r="E395" s="2" t="s">
        <v>587</v>
      </c>
    </row>
    <row r="396" spans="1:5" x14ac:dyDescent="0.25">
      <c r="A396" s="59"/>
      <c r="B396" s="6"/>
      <c r="C396" s="6"/>
      <c r="D396" s="6"/>
      <c r="E396" s="2"/>
    </row>
    <row r="397" spans="1:5" x14ac:dyDescent="0.25">
      <c r="A397" s="59"/>
      <c r="B397" s="6"/>
      <c r="C397" s="6"/>
      <c r="D397" s="6"/>
      <c r="E397" s="2"/>
    </row>
    <row r="398" spans="1:5" x14ac:dyDescent="0.25">
      <c r="A398" s="59"/>
      <c r="B398" s="6"/>
      <c r="C398" s="6"/>
      <c r="D398" s="6"/>
      <c r="E398" s="2"/>
    </row>
    <row r="399" spans="1:5" x14ac:dyDescent="0.25">
      <c r="A399" s="59"/>
      <c r="B399" s="6"/>
      <c r="C399" s="6"/>
      <c r="D399" s="6"/>
      <c r="E399" s="2"/>
    </row>
    <row r="400" spans="1:5" x14ac:dyDescent="0.25">
      <c r="A400" s="59"/>
      <c r="B400" s="6"/>
      <c r="C400" s="6"/>
      <c r="D400" s="6"/>
      <c r="E400" s="2"/>
    </row>
    <row r="401" spans="1:5" x14ac:dyDescent="0.25">
      <c r="A401" s="59"/>
      <c r="B401" s="6"/>
      <c r="C401" s="6"/>
      <c r="D401" s="6"/>
      <c r="E401" s="2"/>
    </row>
    <row r="402" spans="1:5" x14ac:dyDescent="0.25">
      <c r="A402" s="59"/>
      <c r="B402" s="6"/>
      <c r="C402" s="6"/>
      <c r="D402" s="6"/>
      <c r="E402" s="2"/>
    </row>
    <row r="403" spans="1:5" x14ac:dyDescent="0.25">
      <c r="A403" s="59"/>
      <c r="B403" s="6"/>
      <c r="C403" s="6"/>
      <c r="D403" s="6"/>
      <c r="E403" s="2"/>
    </row>
    <row r="404" spans="1:5" x14ac:dyDescent="0.25">
      <c r="A404" s="59"/>
      <c r="B404" s="6"/>
      <c r="C404" s="6"/>
      <c r="D404" s="6"/>
      <c r="E404" s="2"/>
    </row>
    <row r="405" spans="1:5" x14ac:dyDescent="0.25">
      <c r="A405" s="59"/>
      <c r="B405" s="6"/>
      <c r="C405" s="6"/>
      <c r="D405" s="6"/>
      <c r="E405" s="2"/>
    </row>
    <row r="406" spans="1:5" x14ac:dyDescent="0.25">
      <c r="A406" s="59"/>
      <c r="B406" s="6"/>
      <c r="C406" s="6"/>
      <c r="D406" s="6"/>
      <c r="E406" s="2"/>
    </row>
    <row r="407" spans="1:5" x14ac:dyDescent="0.25">
      <c r="A407" s="59"/>
      <c r="B407" s="6"/>
      <c r="C407" s="6"/>
      <c r="D407" s="6"/>
      <c r="E407" s="2"/>
    </row>
    <row r="408" spans="1:5" x14ac:dyDescent="0.25">
      <c r="A408" s="59"/>
      <c r="B408" s="6"/>
      <c r="C408" s="6"/>
      <c r="D408" s="6"/>
      <c r="E408" s="2"/>
    </row>
    <row r="409" spans="1:5" x14ac:dyDescent="0.25">
      <c r="A409" s="59"/>
      <c r="B409" s="6"/>
      <c r="C409" s="6"/>
      <c r="D409" s="6"/>
      <c r="E409" s="2"/>
    </row>
    <row r="410" spans="1:5" x14ac:dyDescent="0.25">
      <c r="A410" s="59"/>
      <c r="B410" s="6"/>
      <c r="C410" s="6"/>
      <c r="D410" s="6"/>
      <c r="E410" s="2"/>
    </row>
    <row r="411" spans="1:5" x14ac:dyDescent="0.25">
      <c r="A411" s="59"/>
      <c r="B411" s="6"/>
      <c r="C411" s="6"/>
      <c r="D411" s="6"/>
      <c r="E411" s="2"/>
    </row>
    <row r="412" spans="1:5" x14ac:dyDescent="0.25">
      <c r="A412" s="59"/>
      <c r="B412" s="6"/>
      <c r="C412" s="6"/>
      <c r="D412" s="6"/>
      <c r="E412" s="2"/>
    </row>
    <row r="413" spans="1:5" x14ac:dyDescent="0.25">
      <c r="A413" s="59"/>
      <c r="B413" s="6"/>
      <c r="C413" s="6"/>
      <c r="D413" s="6"/>
      <c r="E413" s="2"/>
    </row>
    <row r="414" spans="1:5" x14ac:dyDescent="0.25">
      <c r="A414" s="59"/>
      <c r="B414" s="6"/>
      <c r="C414" s="6"/>
      <c r="D414" s="6"/>
      <c r="E414" s="2"/>
    </row>
    <row r="415" spans="1:5" x14ac:dyDescent="0.25">
      <c r="A415" s="59"/>
      <c r="B415" s="6"/>
      <c r="C415" s="6"/>
      <c r="D415" s="6"/>
      <c r="E415" s="2"/>
    </row>
    <row r="416" spans="1:5" x14ac:dyDescent="0.25">
      <c r="A416" s="59"/>
      <c r="B416" s="6"/>
      <c r="C416" s="6"/>
      <c r="D416" s="6"/>
      <c r="E416" s="2"/>
    </row>
    <row r="417" spans="1:5" x14ac:dyDescent="0.25">
      <c r="A417" s="59"/>
      <c r="B417" s="6"/>
      <c r="C417" s="6"/>
      <c r="D417" s="6"/>
      <c r="E417" s="2"/>
    </row>
    <row r="418" spans="1:5" x14ac:dyDescent="0.25">
      <c r="A418" s="59"/>
      <c r="B418" s="6"/>
      <c r="C418" s="6"/>
      <c r="D418" s="6"/>
      <c r="E418" s="2"/>
    </row>
    <row r="419" spans="1:5" x14ac:dyDescent="0.25">
      <c r="A419" s="59"/>
      <c r="B419" s="6"/>
      <c r="C419" s="6"/>
      <c r="D419" s="6"/>
      <c r="E419" s="2"/>
    </row>
    <row r="420" spans="1:5" x14ac:dyDescent="0.25">
      <c r="A420" s="59"/>
      <c r="B420" s="6"/>
      <c r="C420" s="6"/>
      <c r="D420" s="6"/>
      <c r="E420" s="2"/>
    </row>
    <row r="421" spans="1:5" x14ac:dyDescent="0.25">
      <c r="A421" s="59"/>
      <c r="B421" s="6"/>
      <c r="C421" s="6"/>
      <c r="D421" s="6"/>
      <c r="E421" s="2"/>
    </row>
    <row r="422" spans="1:5" x14ac:dyDescent="0.25">
      <c r="A422" s="59"/>
      <c r="B422" s="6"/>
      <c r="C422" s="6"/>
      <c r="D422" s="6"/>
      <c r="E422" s="2"/>
    </row>
    <row r="423" spans="1:5" x14ac:dyDescent="0.25">
      <c r="A423" s="59"/>
      <c r="B423" s="6"/>
      <c r="C423" s="6"/>
      <c r="D423" s="6"/>
      <c r="E423" s="2"/>
    </row>
    <row r="424" spans="1:5" x14ac:dyDescent="0.25">
      <c r="A424" s="59"/>
      <c r="B424" s="6"/>
      <c r="C424" s="6"/>
      <c r="D424" s="6"/>
      <c r="E424" s="2"/>
    </row>
    <row r="425" spans="1:5" x14ac:dyDescent="0.25">
      <c r="A425" s="59"/>
      <c r="B425" s="6"/>
      <c r="C425" s="6"/>
      <c r="D425" s="6"/>
      <c r="E425" s="2"/>
    </row>
    <row r="426" spans="1:5" x14ac:dyDescent="0.25">
      <c r="A426" s="59"/>
      <c r="B426" s="6"/>
      <c r="C426" s="6"/>
      <c r="D426" s="6"/>
      <c r="E426" s="2"/>
    </row>
    <row r="427" spans="1:5" x14ac:dyDescent="0.25">
      <c r="A427" s="59"/>
      <c r="B427" s="6"/>
      <c r="C427" s="6"/>
      <c r="D427" s="6"/>
      <c r="E427" s="2"/>
    </row>
    <row r="428" spans="1:5" x14ac:dyDescent="0.25">
      <c r="A428" s="59"/>
      <c r="B428" s="6"/>
      <c r="C428" s="6"/>
      <c r="D428" s="6"/>
      <c r="E428" s="2"/>
    </row>
    <row r="429" spans="1:5" x14ac:dyDescent="0.25">
      <c r="A429" s="59"/>
      <c r="B429" s="6"/>
      <c r="C429" s="6"/>
      <c r="D429" s="6"/>
      <c r="E429" s="2"/>
    </row>
    <row r="430" spans="1:5" x14ac:dyDescent="0.25">
      <c r="A430" s="59"/>
      <c r="B430" s="6"/>
      <c r="C430" s="6"/>
      <c r="D430" s="6"/>
      <c r="E430" s="2"/>
    </row>
    <row r="431" spans="1:5" x14ac:dyDescent="0.25">
      <c r="A431" s="59"/>
      <c r="B431" s="6"/>
      <c r="C431" s="6"/>
      <c r="D431" s="6"/>
      <c r="E431" s="2"/>
    </row>
    <row r="432" spans="1:5" x14ac:dyDescent="0.25">
      <c r="A432" s="59"/>
      <c r="B432" s="6"/>
      <c r="C432" s="6"/>
      <c r="D432" s="6"/>
      <c r="E432" s="2"/>
    </row>
    <row r="433" spans="1:5" x14ac:dyDescent="0.25">
      <c r="A433" s="59"/>
      <c r="B433" s="6"/>
      <c r="C433" s="6"/>
      <c r="D433" s="6"/>
      <c r="E433" s="2"/>
    </row>
    <row r="434" spans="1:5" x14ac:dyDescent="0.25">
      <c r="A434" s="59"/>
      <c r="B434" s="6"/>
      <c r="C434" s="6"/>
      <c r="D434" s="6"/>
      <c r="E434" s="2"/>
    </row>
    <row r="435" spans="1:5" x14ac:dyDescent="0.25">
      <c r="A435" s="59"/>
      <c r="B435" s="6"/>
      <c r="C435" s="6"/>
      <c r="D435" s="6"/>
      <c r="E435" s="2"/>
    </row>
    <row r="436" spans="1:5" x14ac:dyDescent="0.25">
      <c r="A436" s="59"/>
      <c r="B436" s="6"/>
      <c r="C436" s="6"/>
      <c r="D436" s="6"/>
      <c r="E436" s="2"/>
    </row>
    <row r="437" spans="1:5" x14ac:dyDescent="0.25">
      <c r="A437" s="59"/>
      <c r="B437" s="6"/>
      <c r="C437" s="6"/>
      <c r="D437" s="6"/>
      <c r="E437" s="2"/>
    </row>
    <row r="438" spans="1:5" x14ac:dyDescent="0.25">
      <c r="A438" s="59"/>
      <c r="B438" s="6"/>
      <c r="C438" s="6"/>
      <c r="D438" s="6"/>
      <c r="E438" s="2"/>
    </row>
    <row r="439" spans="1:5" x14ac:dyDescent="0.25">
      <c r="A439" s="59"/>
      <c r="B439" s="6"/>
      <c r="C439" s="6"/>
      <c r="D439" s="6"/>
      <c r="E439" s="2"/>
    </row>
    <row r="440" spans="1:5" x14ac:dyDescent="0.25">
      <c r="A440" s="59"/>
      <c r="B440" s="6"/>
      <c r="C440" s="6"/>
      <c r="D440" s="6"/>
      <c r="E440" s="2"/>
    </row>
    <row r="441" spans="1:5" x14ac:dyDescent="0.25">
      <c r="A441" s="59"/>
      <c r="B441" s="6"/>
      <c r="C441" s="6"/>
      <c r="D441" s="6"/>
      <c r="E441" s="2"/>
    </row>
    <row r="442" spans="1:5" x14ac:dyDescent="0.25">
      <c r="A442" s="59"/>
      <c r="B442" s="6"/>
      <c r="C442" s="6"/>
      <c r="D442" s="6"/>
      <c r="E442" s="2"/>
    </row>
    <row r="443" spans="1:5" x14ac:dyDescent="0.25">
      <c r="A443" s="59"/>
      <c r="B443" s="6"/>
      <c r="C443" s="6"/>
      <c r="D443" s="6"/>
      <c r="E443" s="2"/>
    </row>
    <row r="444" spans="1:5" x14ac:dyDescent="0.25">
      <c r="A444" s="59"/>
      <c r="B444" s="6"/>
      <c r="C444" s="6"/>
      <c r="D444" s="6"/>
      <c r="E444" s="2"/>
    </row>
    <row r="445" spans="1:5" x14ac:dyDescent="0.25">
      <c r="A445" s="59"/>
      <c r="B445" s="6"/>
      <c r="C445" s="6"/>
      <c r="D445" s="6"/>
      <c r="E445" s="2"/>
    </row>
    <row r="446" spans="1:5" x14ac:dyDescent="0.25">
      <c r="A446" s="59"/>
      <c r="B446" s="6"/>
      <c r="C446" s="6"/>
      <c r="D446" s="6"/>
      <c r="E446" s="2"/>
    </row>
    <row r="447" spans="1:5" x14ac:dyDescent="0.25">
      <c r="A447" s="59"/>
      <c r="B447" s="6"/>
      <c r="C447" s="6"/>
      <c r="D447" s="6"/>
      <c r="E447" s="2"/>
    </row>
    <row r="448" spans="1:5" x14ac:dyDescent="0.25">
      <c r="A448" s="59"/>
      <c r="B448" s="6"/>
      <c r="C448" s="6"/>
      <c r="D448" s="6"/>
      <c r="E448" s="2"/>
    </row>
    <row r="449" spans="1:5" x14ac:dyDescent="0.25">
      <c r="A449" s="59"/>
      <c r="B449" s="6"/>
      <c r="C449" s="6"/>
      <c r="D449" s="6"/>
      <c r="E449" s="2"/>
    </row>
    <row r="450" spans="1:5" x14ac:dyDescent="0.25">
      <c r="A450" s="59"/>
      <c r="B450" s="6"/>
      <c r="C450" s="6"/>
      <c r="D450" s="6"/>
      <c r="E450" s="2"/>
    </row>
    <row r="451" spans="1:5" x14ac:dyDescent="0.25">
      <c r="A451" s="59"/>
      <c r="B451" s="6"/>
      <c r="C451" s="6"/>
      <c r="D451" s="6"/>
      <c r="E451" s="2"/>
    </row>
    <row r="452" spans="1:5" x14ac:dyDescent="0.25">
      <c r="A452" s="59"/>
      <c r="B452" s="6"/>
      <c r="C452" s="6"/>
      <c r="D452" s="6"/>
      <c r="E452" s="2"/>
    </row>
    <row r="453" spans="1:5" x14ac:dyDescent="0.25">
      <c r="A453" s="59"/>
      <c r="B453" s="6"/>
      <c r="C453" s="6"/>
      <c r="D453" s="6"/>
      <c r="E453" s="2"/>
    </row>
    <row r="454" spans="1:5" x14ac:dyDescent="0.25">
      <c r="A454" s="59"/>
      <c r="B454" s="6"/>
      <c r="C454" s="6"/>
      <c r="D454" s="6"/>
      <c r="E454" s="2"/>
    </row>
    <row r="455" spans="1:5" x14ac:dyDescent="0.25">
      <c r="A455" s="59"/>
      <c r="B455" s="6"/>
      <c r="C455" s="6"/>
      <c r="D455" s="6"/>
      <c r="E455" s="2"/>
    </row>
    <row r="456" spans="1:5" x14ac:dyDescent="0.25">
      <c r="A456" s="59"/>
      <c r="B456" s="6"/>
      <c r="C456" s="6"/>
      <c r="D456" s="6"/>
      <c r="E456" s="2"/>
    </row>
    <row r="457" spans="1:5" x14ac:dyDescent="0.25">
      <c r="A457" s="59"/>
      <c r="B457" s="6"/>
      <c r="C457" s="6"/>
      <c r="D457" s="6"/>
      <c r="E457" s="2"/>
    </row>
    <row r="458" spans="1:5" x14ac:dyDescent="0.25">
      <c r="A458" s="59"/>
      <c r="B458" s="6"/>
      <c r="C458" s="6"/>
      <c r="D458" s="6"/>
      <c r="E458" s="2"/>
    </row>
    <row r="459" spans="1:5" x14ac:dyDescent="0.25">
      <c r="A459" s="59"/>
      <c r="B459" s="6"/>
      <c r="C459" s="6"/>
      <c r="D459" s="6"/>
      <c r="E459" s="2"/>
    </row>
    <row r="460" spans="1:5" x14ac:dyDescent="0.25">
      <c r="A460" s="59"/>
      <c r="B460" s="6"/>
      <c r="C460" s="6"/>
      <c r="D460" s="6"/>
      <c r="E460" s="2"/>
    </row>
    <row r="461" spans="1:5" x14ac:dyDescent="0.25">
      <c r="A461" s="59"/>
      <c r="B461" s="6"/>
      <c r="C461" s="6"/>
      <c r="D461" s="6"/>
      <c r="E461" s="2"/>
    </row>
    <row r="462" spans="1:5" x14ac:dyDescent="0.25">
      <c r="A462" s="59"/>
      <c r="B462" s="6"/>
      <c r="C462" s="6"/>
      <c r="D462" s="6"/>
      <c r="E462" s="2"/>
    </row>
    <row r="463" spans="1:5" x14ac:dyDescent="0.25">
      <c r="A463" s="59"/>
      <c r="B463" s="6"/>
      <c r="C463" s="6"/>
      <c r="D463" s="6"/>
      <c r="E463" s="2"/>
    </row>
    <row r="464" spans="1:5" x14ac:dyDescent="0.25">
      <c r="A464" s="59"/>
      <c r="B464" s="6"/>
      <c r="C464" s="6"/>
      <c r="D464" s="6"/>
      <c r="E464" s="2"/>
    </row>
    <row r="465" spans="1:5" x14ac:dyDescent="0.25">
      <c r="A465" s="59"/>
      <c r="B465" s="6"/>
      <c r="C465" s="6"/>
      <c r="D465" s="6"/>
      <c r="E465" s="2"/>
    </row>
    <row r="466" spans="1:5" x14ac:dyDescent="0.25">
      <c r="A466" s="59"/>
      <c r="B466" s="6"/>
      <c r="C466" s="6"/>
      <c r="D466" s="6"/>
      <c r="E466" s="2"/>
    </row>
    <row r="467" spans="1:5" x14ac:dyDescent="0.25">
      <c r="A467" s="59"/>
      <c r="B467" s="6"/>
      <c r="C467" s="6"/>
      <c r="D467" s="6"/>
      <c r="E467" s="2"/>
    </row>
    <row r="468" spans="1:5" x14ac:dyDescent="0.25">
      <c r="A468" s="59"/>
      <c r="B468" s="6"/>
      <c r="C468" s="6"/>
      <c r="D468" s="6"/>
      <c r="E468" s="2"/>
    </row>
    <row r="469" spans="1:5" x14ac:dyDescent="0.25">
      <c r="A469" s="59"/>
      <c r="B469" s="6"/>
      <c r="C469" s="6"/>
      <c r="D469" s="6"/>
      <c r="E469" s="2"/>
    </row>
    <row r="470" spans="1:5" x14ac:dyDescent="0.25">
      <c r="A470" s="59"/>
      <c r="B470" s="6"/>
      <c r="C470" s="6"/>
      <c r="D470" s="6"/>
      <c r="E470" s="2"/>
    </row>
    <row r="471" spans="1:5" x14ac:dyDescent="0.25">
      <c r="A471" s="59"/>
      <c r="B471" s="6"/>
      <c r="C471" s="6"/>
      <c r="D471" s="6"/>
      <c r="E471" s="2"/>
    </row>
    <row r="472" spans="1:5" x14ac:dyDescent="0.25">
      <c r="A472" s="59"/>
      <c r="B472" s="6"/>
      <c r="C472" s="6"/>
      <c r="D472" s="6"/>
      <c r="E472" s="2"/>
    </row>
    <row r="473" spans="1:5" x14ac:dyDescent="0.25">
      <c r="A473" s="59"/>
      <c r="B473" s="6"/>
      <c r="C473" s="6"/>
      <c r="D473" s="6"/>
      <c r="E473" s="2"/>
    </row>
    <row r="474" spans="1:5" x14ac:dyDescent="0.25">
      <c r="A474" s="59"/>
      <c r="B474" s="6"/>
      <c r="C474" s="6"/>
      <c r="D474" s="6"/>
      <c r="E474" s="2"/>
    </row>
    <row r="475" spans="1:5" x14ac:dyDescent="0.25">
      <c r="A475" s="59"/>
      <c r="B475" s="6"/>
      <c r="C475" s="6"/>
      <c r="D475" s="6"/>
      <c r="E475" s="2"/>
    </row>
    <row r="476" spans="1:5" x14ac:dyDescent="0.25">
      <c r="A476" s="59"/>
      <c r="B476" s="6"/>
      <c r="C476" s="6"/>
      <c r="D476" s="6"/>
      <c r="E476" s="2"/>
    </row>
    <row r="477" spans="1:5" x14ac:dyDescent="0.25">
      <c r="A477" s="59"/>
      <c r="B477" s="6"/>
      <c r="C477" s="6"/>
      <c r="D477" s="6"/>
      <c r="E477" s="2"/>
    </row>
    <row r="478" spans="1:5" x14ac:dyDescent="0.25">
      <c r="A478" s="59"/>
      <c r="B478" s="6"/>
      <c r="C478" s="6"/>
      <c r="D478" s="6"/>
      <c r="E478" s="2"/>
    </row>
    <row r="479" spans="1:5" x14ac:dyDescent="0.25">
      <c r="A479" s="59"/>
      <c r="B479" s="6"/>
      <c r="C479" s="6"/>
      <c r="D479" s="6"/>
      <c r="E479" s="2"/>
    </row>
    <row r="480" spans="1:5" x14ac:dyDescent="0.25">
      <c r="A480" s="59"/>
      <c r="B480" s="6"/>
      <c r="C480" s="6"/>
      <c r="D480" s="6"/>
      <c r="E480" s="2"/>
    </row>
    <row r="481" spans="1:5" x14ac:dyDescent="0.25">
      <c r="A481" s="59"/>
      <c r="B481" s="6"/>
      <c r="C481" s="6"/>
      <c r="D481" s="6"/>
      <c r="E481" s="2"/>
    </row>
    <row r="482" spans="1:5" x14ac:dyDescent="0.25">
      <c r="A482" s="59"/>
      <c r="B482" s="6"/>
      <c r="C482" s="6"/>
      <c r="D482" s="6"/>
      <c r="E482" s="2"/>
    </row>
    <row r="483" spans="1:5" x14ac:dyDescent="0.25">
      <c r="A483" s="59"/>
      <c r="B483" s="6"/>
      <c r="C483" s="6"/>
      <c r="D483" s="6"/>
      <c r="E483" s="2"/>
    </row>
    <row r="484" spans="1:5" x14ac:dyDescent="0.25">
      <c r="A484" s="59"/>
      <c r="B484" s="6"/>
      <c r="C484" s="6"/>
      <c r="D484" s="6"/>
      <c r="E484" s="2"/>
    </row>
    <row r="485" spans="1:5" x14ac:dyDescent="0.25">
      <c r="A485" s="59"/>
      <c r="B485" s="6"/>
      <c r="C485" s="6"/>
      <c r="D485" s="6"/>
      <c r="E485" s="2"/>
    </row>
    <row r="486" spans="1:5" x14ac:dyDescent="0.25">
      <c r="A486" s="59"/>
      <c r="B486" s="6"/>
      <c r="C486" s="6"/>
      <c r="D486" s="6"/>
      <c r="E486" s="2"/>
    </row>
    <row r="487" spans="1:5" x14ac:dyDescent="0.25">
      <c r="A487" s="59"/>
      <c r="B487" s="6"/>
      <c r="C487" s="6"/>
      <c r="D487" s="6"/>
      <c r="E487" s="2"/>
    </row>
    <row r="488" spans="1:5" x14ac:dyDescent="0.25">
      <c r="A488" s="59"/>
      <c r="B488" s="6"/>
      <c r="C488" s="6"/>
      <c r="D488" s="6"/>
      <c r="E488" s="2"/>
    </row>
    <row r="489" spans="1:5" x14ac:dyDescent="0.25">
      <c r="A489" s="59"/>
      <c r="B489" s="6"/>
      <c r="C489" s="6"/>
      <c r="D489" s="6"/>
      <c r="E489" s="2"/>
    </row>
    <row r="490" spans="1:5" x14ac:dyDescent="0.25">
      <c r="A490" s="59"/>
      <c r="B490" s="6"/>
      <c r="C490" s="6"/>
      <c r="D490" s="6"/>
      <c r="E490" s="2"/>
    </row>
    <row r="491" spans="1:5" x14ac:dyDescent="0.25">
      <c r="A491" s="59"/>
      <c r="B491" s="6"/>
      <c r="C491" s="6"/>
      <c r="D491" s="6"/>
      <c r="E491" s="2"/>
    </row>
    <row r="492" spans="1:5" x14ac:dyDescent="0.25">
      <c r="A492" s="59"/>
      <c r="B492" s="6"/>
      <c r="C492" s="6"/>
      <c r="D492" s="6"/>
      <c r="E492" s="2"/>
    </row>
    <row r="493" spans="1:5" x14ac:dyDescent="0.25">
      <c r="A493" s="59"/>
      <c r="B493" s="6"/>
      <c r="C493" s="6"/>
      <c r="D493" s="6"/>
      <c r="E493" s="2"/>
    </row>
    <row r="494" spans="1:5" x14ac:dyDescent="0.25">
      <c r="A494" s="59"/>
      <c r="B494" s="6"/>
      <c r="C494" s="6"/>
      <c r="D494" s="6"/>
      <c r="E494" s="2"/>
    </row>
    <row r="495" spans="1:5" x14ac:dyDescent="0.25">
      <c r="A495" s="59"/>
      <c r="B495" s="6"/>
      <c r="C495" s="6"/>
      <c r="D495" s="6"/>
      <c r="E495" s="2"/>
    </row>
    <row r="496" spans="1:5" x14ac:dyDescent="0.25">
      <c r="A496" s="59"/>
      <c r="B496" s="6"/>
      <c r="C496" s="6"/>
      <c r="D496" s="6"/>
      <c r="E496" s="2"/>
    </row>
    <row r="497" spans="1:5" x14ac:dyDescent="0.25">
      <c r="A497" s="59"/>
      <c r="B497" s="6"/>
      <c r="C497" s="6"/>
      <c r="D497" s="6"/>
      <c r="E497" s="2"/>
    </row>
    <row r="498" spans="1:5" x14ac:dyDescent="0.25">
      <c r="A498" s="59"/>
      <c r="B498" s="6"/>
      <c r="C498" s="6"/>
      <c r="D498" s="6"/>
      <c r="E498" s="2"/>
    </row>
    <row r="499" spans="1:5" x14ac:dyDescent="0.25">
      <c r="A499" s="59"/>
      <c r="B499" s="6"/>
      <c r="C499" s="6"/>
      <c r="D499" s="6"/>
      <c r="E499" s="2"/>
    </row>
    <row r="500" spans="1:5" x14ac:dyDescent="0.25">
      <c r="A500" s="59"/>
      <c r="B500" s="6"/>
      <c r="C500" s="6"/>
      <c r="D500" s="6"/>
      <c r="E500" s="2"/>
    </row>
    <row r="501" spans="1:5" x14ac:dyDescent="0.25">
      <c r="A501" s="59"/>
      <c r="B501" s="6"/>
      <c r="C501" s="6"/>
      <c r="D501" s="6"/>
      <c r="E501" s="2"/>
    </row>
    <row r="502" spans="1:5" x14ac:dyDescent="0.25">
      <c r="A502" s="59"/>
      <c r="B502" s="6"/>
      <c r="C502" s="6"/>
      <c r="D502" s="6"/>
      <c r="E502" s="2"/>
    </row>
    <row r="503" spans="1:5" x14ac:dyDescent="0.25">
      <c r="A503" s="59"/>
      <c r="B503" s="6"/>
      <c r="C503" s="6"/>
      <c r="D503" s="6"/>
      <c r="E503" s="2"/>
    </row>
    <row r="504" spans="1:5" x14ac:dyDescent="0.25">
      <c r="A504" s="59"/>
      <c r="B504" s="6"/>
      <c r="C504" s="6"/>
      <c r="D504" s="6"/>
      <c r="E504" s="2"/>
    </row>
    <row r="505" spans="1:5" x14ac:dyDescent="0.25">
      <c r="A505" s="59"/>
      <c r="B505" s="6"/>
      <c r="C505" s="6"/>
      <c r="D505" s="6"/>
      <c r="E505" s="2"/>
    </row>
    <row r="506" spans="1:5" x14ac:dyDescent="0.25">
      <c r="A506" s="59"/>
      <c r="B506" s="6"/>
      <c r="C506" s="6"/>
      <c r="D506" s="6"/>
      <c r="E506" s="2"/>
    </row>
    <row r="507" spans="1:5" x14ac:dyDescent="0.25">
      <c r="A507" s="59"/>
      <c r="B507" s="6"/>
      <c r="C507" s="6"/>
      <c r="D507" s="6"/>
      <c r="E507" s="2"/>
    </row>
    <row r="508" spans="1:5" x14ac:dyDescent="0.25">
      <c r="A508" s="59"/>
      <c r="B508" s="6"/>
      <c r="C508" s="6"/>
      <c r="D508" s="6"/>
      <c r="E508" s="2"/>
    </row>
    <row r="509" spans="1:5" x14ac:dyDescent="0.25">
      <c r="A509" s="59"/>
      <c r="B509" s="6"/>
      <c r="C509" s="6"/>
      <c r="D509" s="6"/>
      <c r="E509" s="2"/>
    </row>
    <row r="510" spans="1:5" x14ac:dyDescent="0.25">
      <c r="A510" s="59"/>
      <c r="B510" s="6"/>
      <c r="C510" s="6"/>
      <c r="D510" s="6"/>
      <c r="E510" s="2"/>
    </row>
    <row r="511" spans="1:5" x14ac:dyDescent="0.25">
      <c r="A511" s="59"/>
      <c r="B511" s="6"/>
      <c r="C511" s="6"/>
      <c r="D511" s="6"/>
      <c r="E511" s="2"/>
    </row>
    <row r="512" spans="1:5" x14ac:dyDescent="0.25">
      <c r="A512" s="59"/>
      <c r="B512" s="6"/>
      <c r="C512" s="6"/>
      <c r="D512" s="6"/>
      <c r="E512" s="2"/>
    </row>
    <row r="513" spans="1:5" x14ac:dyDescent="0.25">
      <c r="A513" s="59"/>
      <c r="B513" s="6"/>
      <c r="C513" s="6"/>
      <c r="D513" s="6"/>
      <c r="E513" s="2"/>
    </row>
    <row r="514" spans="1:5" x14ac:dyDescent="0.25">
      <c r="A514" s="59"/>
      <c r="B514" s="6"/>
      <c r="C514" s="6"/>
      <c r="D514" s="6"/>
      <c r="E514" s="2"/>
    </row>
    <row r="515" spans="1:5" x14ac:dyDescent="0.25">
      <c r="A515" s="59"/>
      <c r="B515" s="6"/>
      <c r="C515" s="6"/>
      <c r="D515" s="6"/>
      <c r="E515" s="2"/>
    </row>
    <row r="516" spans="1:5" x14ac:dyDescent="0.25">
      <c r="A516" s="59"/>
      <c r="B516" s="6"/>
      <c r="C516" s="6"/>
      <c r="D516" s="6"/>
      <c r="E516" s="2"/>
    </row>
    <row r="517" spans="1:5" x14ac:dyDescent="0.25">
      <c r="A517" s="59"/>
      <c r="B517" s="6"/>
      <c r="C517" s="6"/>
      <c r="D517" s="6"/>
      <c r="E517" s="2"/>
    </row>
    <row r="518" spans="1:5" x14ac:dyDescent="0.25">
      <c r="A518" s="59"/>
      <c r="B518" s="6"/>
      <c r="C518" s="6"/>
      <c r="D518" s="6"/>
      <c r="E518" s="2"/>
    </row>
    <row r="519" spans="1:5" x14ac:dyDescent="0.25">
      <c r="A519" s="59"/>
      <c r="B519" s="6"/>
      <c r="C519" s="6"/>
      <c r="D519" s="6"/>
      <c r="E519" s="2"/>
    </row>
    <row r="520" spans="1:5" x14ac:dyDescent="0.25">
      <c r="A520" s="59"/>
      <c r="B520" s="6"/>
      <c r="C520" s="6"/>
      <c r="D520" s="6"/>
      <c r="E520" s="2"/>
    </row>
    <row r="521" spans="1:5" x14ac:dyDescent="0.25">
      <c r="A521" s="59"/>
      <c r="B521" s="6"/>
      <c r="C521" s="6"/>
      <c r="D521" s="6"/>
      <c r="E521" s="2"/>
    </row>
    <row r="522" spans="1:5" x14ac:dyDescent="0.25">
      <c r="A522" s="59"/>
      <c r="B522" s="6"/>
      <c r="C522" s="6"/>
      <c r="D522" s="6"/>
      <c r="E522" s="2"/>
    </row>
    <row r="523" spans="1:5" x14ac:dyDescent="0.25">
      <c r="A523" s="59"/>
      <c r="B523" s="6"/>
      <c r="C523" s="6"/>
      <c r="D523" s="6"/>
      <c r="E523" s="2"/>
    </row>
    <row r="524" spans="1:5" x14ac:dyDescent="0.25">
      <c r="A524" s="59"/>
      <c r="B524" s="6"/>
      <c r="C524" s="6"/>
      <c r="D524" s="6"/>
      <c r="E524" s="2"/>
    </row>
    <row r="525" spans="1:5" x14ac:dyDescent="0.25">
      <c r="A525" s="59"/>
      <c r="B525" s="6"/>
      <c r="C525" s="6"/>
      <c r="D525" s="6"/>
      <c r="E525" s="2"/>
    </row>
    <row r="526" spans="1:5" x14ac:dyDescent="0.25">
      <c r="A526" s="59"/>
      <c r="B526" s="6"/>
      <c r="C526" s="6"/>
      <c r="D526" s="6"/>
      <c r="E526" s="2"/>
    </row>
    <row r="527" spans="1:5" x14ac:dyDescent="0.25">
      <c r="A527" s="59"/>
      <c r="B527" s="6"/>
      <c r="C527" s="6"/>
      <c r="D527" s="6"/>
      <c r="E527" s="2"/>
    </row>
    <row r="528" spans="1:5" x14ac:dyDescent="0.25">
      <c r="A528" s="59"/>
      <c r="B528" s="6"/>
      <c r="C528" s="6"/>
      <c r="D528" s="6"/>
      <c r="E528" s="2"/>
    </row>
    <row r="529" spans="1:5" x14ac:dyDescent="0.25">
      <c r="A529" s="59"/>
      <c r="B529" s="6"/>
      <c r="C529" s="6"/>
      <c r="D529" s="6"/>
      <c r="E529" s="2"/>
    </row>
    <row r="530" spans="1:5" x14ac:dyDescent="0.25">
      <c r="A530" s="59"/>
      <c r="B530" s="6"/>
      <c r="C530" s="6"/>
      <c r="D530" s="6"/>
      <c r="E530" s="2"/>
    </row>
    <row r="531" spans="1:5" x14ac:dyDescent="0.25">
      <c r="A531" s="59"/>
      <c r="B531" s="6"/>
      <c r="C531" s="6"/>
      <c r="D531" s="6"/>
      <c r="E531" s="2"/>
    </row>
    <row r="532" spans="1:5" x14ac:dyDescent="0.25">
      <c r="A532" s="59"/>
      <c r="B532" s="6"/>
      <c r="C532" s="6"/>
      <c r="D532" s="6"/>
      <c r="E532" s="2"/>
    </row>
    <row r="533" spans="1:5" x14ac:dyDescent="0.25">
      <c r="A533" s="59"/>
      <c r="B533" s="6"/>
      <c r="C533" s="6"/>
      <c r="D533" s="6"/>
      <c r="E533" s="2"/>
    </row>
    <row r="534" spans="1:5" x14ac:dyDescent="0.25">
      <c r="A534" s="59"/>
      <c r="B534" s="6"/>
      <c r="C534" s="6"/>
      <c r="D534" s="6"/>
      <c r="E534" s="2"/>
    </row>
    <row r="535" spans="1:5" x14ac:dyDescent="0.25">
      <c r="A535" s="59"/>
      <c r="B535" s="6"/>
      <c r="C535" s="6"/>
      <c r="D535" s="6"/>
      <c r="E535" s="2"/>
    </row>
    <row r="536" spans="1:5" x14ac:dyDescent="0.25">
      <c r="A536" s="59"/>
      <c r="B536" s="6"/>
      <c r="C536" s="6"/>
      <c r="D536" s="6"/>
      <c r="E536" s="2"/>
    </row>
    <row r="537" spans="1:5" x14ac:dyDescent="0.25">
      <c r="A537" s="59"/>
      <c r="B537" s="6"/>
      <c r="C537" s="6"/>
      <c r="D537" s="6"/>
      <c r="E537" s="2"/>
    </row>
    <row r="538" spans="1:5" x14ac:dyDescent="0.25">
      <c r="A538" s="59"/>
      <c r="B538" s="6"/>
      <c r="C538" s="6"/>
      <c r="D538" s="6"/>
      <c r="E538" s="2"/>
    </row>
    <row r="539" spans="1:5" x14ac:dyDescent="0.25">
      <c r="A539" s="59"/>
      <c r="B539" s="6"/>
      <c r="C539" s="6"/>
      <c r="D539" s="6"/>
      <c r="E539" s="2"/>
    </row>
    <row r="540" spans="1:5" x14ac:dyDescent="0.25">
      <c r="A540" s="59"/>
      <c r="B540" s="6"/>
      <c r="C540" s="6"/>
      <c r="D540" s="6"/>
      <c r="E540" s="2"/>
    </row>
    <row r="541" spans="1:5" x14ac:dyDescent="0.25">
      <c r="A541" s="59"/>
      <c r="B541" s="6"/>
      <c r="C541" s="6"/>
      <c r="D541" s="6"/>
      <c r="E541" s="2"/>
    </row>
    <row r="542" spans="1:5" x14ac:dyDescent="0.25">
      <c r="A542" s="59"/>
      <c r="B542" s="6"/>
      <c r="C542" s="6"/>
      <c r="D542" s="6"/>
      <c r="E542" s="2"/>
    </row>
    <row r="543" spans="1:5" x14ac:dyDescent="0.25">
      <c r="A543" s="59"/>
      <c r="B543" s="6"/>
      <c r="C543" s="6"/>
      <c r="D543" s="6"/>
      <c r="E543" s="2"/>
    </row>
    <row r="544" spans="1:5" x14ac:dyDescent="0.25">
      <c r="A544" s="59"/>
      <c r="B544" s="6"/>
      <c r="C544" s="6"/>
      <c r="D544" s="6"/>
      <c r="E544" s="2"/>
    </row>
    <row r="545" spans="1:5" x14ac:dyDescent="0.25">
      <c r="A545" s="59"/>
      <c r="B545" s="6"/>
      <c r="C545" s="6"/>
      <c r="D545" s="6"/>
      <c r="E545" s="2"/>
    </row>
    <row r="546" spans="1:5" x14ac:dyDescent="0.25">
      <c r="A546" s="59"/>
      <c r="B546" s="6"/>
      <c r="C546" s="6"/>
      <c r="D546" s="6"/>
      <c r="E546" s="2"/>
    </row>
    <row r="547" spans="1:5" x14ac:dyDescent="0.25">
      <c r="A547" s="59"/>
      <c r="B547" s="6"/>
      <c r="C547" s="6"/>
      <c r="D547" s="6"/>
      <c r="E547" s="2"/>
    </row>
    <row r="548" spans="1:5" x14ac:dyDescent="0.25">
      <c r="A548" s="59"/>
      <c r="B548" s="6"/>
      <c r="C548" s="6"/>
      <c r="D548" s="6"/>
      <c r="E548" s="2"/>
    </row>
    <row r="549" spans="1:5" x14ac:dyDescent="0.25">
      <c r="A549" s="59"/>
      <c r="B549" s="6"/>
      <c r="C549" s="6"/>
      <c r="D549" s="6"/>
      <c r="E549" s="2"/>
    </row>
    <row r="550" spans="1:5" x14ac:dyDescent="0.25">
      <c r="A550" s="59"/>
      <c r="B550" s="6"/>
      <c r="C550" s="6"/>
      <c r="D550" s="6"/>
      <c r="E550" s="2"/>
    </row>
    <row r="551" spans="1:5" x14ac:dyDescent="0.25">
      <c r="A551" s="59"/>
      <c r="B551" s="6"/>
      <c r="C551" s="6"/>
      <c r="D551" s="6"/>
      <c r="E551" s="2"/>
    </row>
    <row r="552" spans="1:5" x14ac:dyDescent="0.25">
      <c r="A552" s="59"/>
      <c r="B552" s="6"/>
      <c r="C552" s="6"/>
      <c r="D552" s="6"/>
      <c r="E552" s="2"/>
    </row>
    <row r="553" spans="1:5" x14ac:dyDescent="0.25">
      <c r="A553" s="59"/>
      <c r="B553" s="6"/>
      <c r="C553" s="6"/>
      <c r="D553" s="6"/>
      <c r="E553" s="2"/>
    </row>
    <row r="554" spans="1:5" x14ac:dyDescent="0.25">
      <c r="A554" s="59"/>
      <c r="B554" s="6"/>
      <c r="C554" s="6"/>
      <c r="D554" s="6"/>
      <c r="E554" s="2"/>
    </row>
    <row r="555" spans="1:5" x14ac:dyDescent="0.25">
      <c r="A555" s="59"/>
      <c r="B555" s="6"/>
      <c r="C555" s="6"/>
      <c r="D555" s="6"/>
      <c r="E555" s="2"/>
    </row>
    <row r="556" spans="1:5" x14ac:dyDescent="0.25">
      <c r="A556" s="59"/>
      <c r="B556" s="6"/>
      <c r="C556" s="6"/>
      <c r="D556" s="6"/>
      <c r="E556" s="2"/>
    </row>
    <row r="557" spans="1:5" x14ac:dyDescent="0.25">
      <c r="A557" s="59"/>
      <c r="B557" s="6"/>
      <c r="C557" s="6"/>
      <c r="D557" s="6"/>
      <c r="E557" s="2"/>
    </row>
    <row r="558" spans="1:5" x14ac:dyDescent="0.25">
      <c r="A558" s="59"/>
      <c r="B558" s="6"/>
      <c r="C558" s="6"/>
      <c r="D558" s="6"/>
      <c r="E558" s="2"/>
    </row>
    <row r="559" spans="1:5" x14ac:dyDescent="0.25">
      <c r="A559" s="59"/>
      <c r="B559" s="6"/>
      <c r="C559" s="6"/>
      <c r="D559" s="6"/>
      <c r="E559" s="2"/>
    </row>
    <row r="560" spans="1:5" x14ac:dyDescent="0.25">
      <c r="A560" s="59"/>
      <c r="B560" s="6"/>
      <c r="C560" s="6"/>
      <c r="D560" s="6"/>
      <c r="E560" s="2"/>
    </row>
    <row r="561" spans="1:5" x14ac:dyDescent="0.25">
      <c r="A561" s="59"/>
      <c r="B561" s="6"/>
      <c r="C561" s="6"/>
      <c r="D561" s="6"/>
      <c r="E561" s="2"/>
    </row>
    <row r="562" spans="1:5" x14ac:dyDescent="0.25">
      <c r="A562" s="59"/>
      <c r="B562" s="6"/>
      <c r="C562" s="6"/>
      <c r="D562" s="6"/>
      <c r="E562" s="2"/>
    </row>
    <row r="563" spans="1:5" x14ac:dyDescent="0.25">
      <c r="A563" s="59"/>
      <c r="B563" s="6"/>
      <c r="C563" s="6"/>
      <c r="D563" s="6"/>
      <c r="E563" s="2"/>
    </row>
    <row r="564" spans="1:5" x14ac:dyDescent="0.25">
      <c r="A564" s="59"/>
      <c r="B564" s="6"/>
      <c r="C564" s="6"/>
      <c r="D564" s="6"/>
      <c r="E564" s="2"/>
    </row>
    <row r="565" spans="1:5" x14ac:dyDescent="0.25">
      <c r="A565" s="59"/>
      <c r="B565" s="6"/>
      <c r="C565" s="6"/>
      <c r="D565" s="6"/>
      <c r="E565" s="2"/>
    </row>
    <row r="566" spans="1:5" x14ac:dyDescent="0.25">
      <c r="A566" s="59"/>
      <c r="B566" s="6"/>
      <c r="C566" s="6"/>
      <c r="D566" s="6"/>
      <c r="E566" s="2"/>
    </row>
    <row r="567" spans="1:5" x14ac:dyDescent="0.25">
      <c r="A567" s="59"/>
      <c r="B567" s="6"/>
      <c r="C567" s="6"/>
      <c r="D567" s="6"/>
      <c r="E567" s="2"/>
    </row>
    <row r="568" spans="1:5" x14ac:dyDescent="0.25">
      <c r="A568" s="59"/>
      <c r="B568" s="6"/>
      <c r="C568" s="6"/>
      <c r="D568" s="6"/>
      <c r="E568" s="2"/>
    </row>
    <row r="569" spans="1:5" x14ac:dyDescent="0.25">
      <c r="A569" s="59"/>
      <c r="B569" s="6"/>
      <c r="C569" s="6"/>
      <c r="D569" s="6"/>
      <c r="E569" s="2"/>
    </row>
    <row r="570" spans="1:5" x14ac:dyDescent="0.25">
      <c r="A570" s="59"/>
      <c r="B570" s="6"/>
      <c r="C570" s="6"/>
      <c r="D570" s="6"/>
      <c r="E570" s="2"/>
    </row>
    <row r="571" spans="1:5" x14ac:dyDescent="0.25">
      <c r="A571" s="59"/>
      <c r="B571" s="6"/>
      <c r="C571" s="6"/>
      <c r="D571" s="6"/>
      <c r="E571" s="2"/>
    </row>
    <row r="572" spans="1:5" x14ac:dyDescent="0.25">
      <c r="A572" s="59"/>
      <c r="B572" s="6"/>
      <c r="C572" s="6"/>
      <c r="D572" s="6"/>
      <c r="E572" s="2"/>
    </row>
    <row r="573" spans="1:5" x14ac:dyDescent="0.25">
      <c r="A573" s="59"/>
      <c r="B573" s="6"/>
      <c r="C573" s="6"/>
      <c r="D573" s="6"/>
      <c r="E573" s="2"/>
    </row>
    <row r="574" spans="1:5" x14ac:dyDescent="0.25">
      <c r="A574" s="59"/>
      <c r="B574" s="6"/>
      <c r="C574" s="6"/>
      <c r="D574" s="6"/>
      <c r="E574" s="2"/>
    </row>
    <row r="575" spans="1:5" x14ac:dyDescent="0.25">
      <c r="A575" s="59"/>
      <c r="B575" s="6"/>
      <c r="C575" s="6"/>
      <c r="D575" s="6"/>
      <c r="E575" s="2"/>
    </row>
    <row r="576" spans="1:5" x14ac:dyDescent="0.25">
      <c r="A576" s="59"/>
      <c r="B576" s="6"/>
      <c r="C576" s="6"/>
      <c r="D576" s="6"/>
      <c r="E576" s="2"/>
    </row>
    <row r="577" spans="1:5" x14ac:dyDescent="0.25">
      <c r="A577" s="59"/>
      <c r="B577" s="6"/>
      <c r="C577" s="6"/>
      <c r="D577" s="6"/>
      <c r="E577" s="2"/>
    </row>
    <row r="578" spans="1:5" x14ac:dyDescent="0.25">
      <c r="A578" s="59"/>
      <c r="B578" s="6"/>
      <c r="C578" s="6"/>
      <c r="D578" s="6"/>
      <c r="E578" s="2"/>
    </row>
    <row r="579" spans="1:5" x14ac:dyDescent="0.25">
      <c r="A579" s="59"/>
      <c r="B579" s="6"/>
      <c r="C579" s="6"/>
      <c r="D579" s="6"/>
      <c r="E579" s="2"/>
    </row>
    <row r="580" spans="1:5" x14ac:dyDescent="0.25">
      <c r="A580" s="59"/>
      <c r="B580" s="6"/>
      <c r="C580" s="6"/>
      <c r="D580" s="6"/>
      <c r="E580" s="2"/>
    </row>
    <row r="581" spans="1:5" x14ac:dyDescent="0.25">
      <c r="A581" s="59"/>
      <c r="B581" s="6"/>
      <c r="C581" s="6"/>
      <c r="D581" s="6"/>
      <c r="E581" s="2"/>
    </row>
    <row r="582" spans="1:5" x14ac:dyDescent="0.25">
      <c r="A582" s="59"/>
      <c r="B582" s="6"/>
      <c r="C582" s="6"/>
      <c r="D582" s="6"/>
      <c r="E582" s="2"/>
    </row>
    <row r="583" spans="1:5" x14ac:dyDescent="0.25">
      <c r="A583" s="59"/>
      <c r="B583" s="6"/>
      <c r="C583" s="6"/>
      <c r="D583" s="6"/>
      <c r="E583" s="2"/>
    </row>
    <row r="584" spans="1:5" x14ac:dyDescent="0.25">
      <c r="A584" s="59"/>
      <c r="B584" s="6"/>
      <c r="C584" s="6"/>
      <c r="D584" s="6"/>
      <c r="E584" s="2"/>
    </row>
    <row r="585" spans="1:5" x14ac:dyDescent="0.25">
      <c r="A585" s="59"/>
      <c r="B585" s="6"/>
      <c r="C585" s="6"/>
      <c r="D585" s="6"/>
      <c r="E585" s="2"/>
    </row>
    <row r="586" spans="1:5" x14ac:dyDescent="0.25">
      <c r="A586" s="59"/>
      <c r="B586" s="6"/>
      <c r="C586" s="6"/>
      <c r="D586" s="6"/>
      <c r="E586" s="2"/>
    </row>
    <row r="587" spans="1:5" x14ac:dyDescent="0.25">
      <c r="A587" s="59"/>
      <c r="B587" s="6"/>
      <c r="C587" s="6"/>
      <c r="D587" s="6"/>
      <c r="E587" s="2"/>
    </row>
    <row r="588" spans="1:5" x14ac:dyDescent="0.25">
      <c r="A588" s="59"/>
      <c r="B588" s="6"/>
      <c r="C588" s="6"/>
      <c r="D588" s="6"/>
      <c r="E588" s="2"/>
    </row>
    <row r="589" spans="1:5" x14ac:dyDescent="0.25">
      <c r="A589" s="59"/>
      <c r="B589" s="6"/>
      <c r="C589" s="6"/>
      <c r="D589" s="6"/>
      <c r="E589" s="2"/>
    </row>
    <row r="590" spans="1:5" x14ac:dyDescent="0.25">
      <c r="A590" s="59"/>
      <c r="B590" s="6"/>
      <c r="C590" s="6"/>
      <c r="D590" s="6"/>
      <c r="E590" s="2"/>
    </row>
    <row r="591" spans="1:5" x14ac:dyDescent="0.25">
      <c r="A591" s="59"/>
      <c r="B591" s="6"/>
      <c r="C591" s="6"/>
      <c r="D591" s="6"/>
      <c r="E591" s="2"/>
    </row>
    <row r="592" spans="1:5" x14ac:dyDescent="0.25">
      <c r="A592" s="59"/>
      <c r="B592" s="6"/>
      <c r="C592" s="6"/>
      <c r="D592" s="6"/>
      <c r="E592" s="2"/>
    </row>
    <row r="593" spans="1:5" x14ac:dyDescent="0.25">
      <c r="A593" s="59"/>
      <c r="B593" s="6"/>
      <c r="C593" s="6"/>
      <c r="D593" s="6"/>
      <c r="E593" s="2"/>
    </row>
    <row r="594" spans="1:5" x14ac:dyDescent="0.25">
      <c r="A594" s="59"/>
      <c r="B594" s="6"/>
      <c r="C594" s="6"/>
      <c r="D594" s="6"/>
      <c r="E594" s="2"/>
    </row>
    <row r="595" spans="1:5" x14ac:dyDescent="0.25">
      <c r="A595" s="59"/>
      <c r="B595" s="6"/>
      <c r="C595" s="6"/>
      <c r="D595" s="6"/>
      <c r="E595" s="2"/>
    </row>
    <row r="596" spans="1:5" x14ac:dyDescent="0.25">
      <c r="A596" s="59"/>
      <c r="B596" s="6"/>
      <c r="C596" s="6"/>
      <c r="D596" s="6"/>
      <c r="E596" s="2"/>
    </row>
    <row r="597" spans="1:5" x14ac:dyDescent="0.25">
      <c r="A597" s="59"/>
      <c r="B597" s="6"/>
      <c r="C597" s="6"/>
      <c r="D597" s="6"/>
      <c r="E597" s="2"/>
    </row>
    <row r="598" spans="1:5" x14ac:dyDescent="0.25">
      <c r="A598" s="59"/>
      <c r="B598" s="6"/>
      <c r="C598" s="6"/>
      <c r="D598" s="6"/>
      <c r="E598" s="2"/>
    </row>
    <row r="599" spans="1:5" x14ac:dyDescent="0.25">
      <c r="A599" s="59"/>
      <c r="B599" s="6"/>
      <c r="C599" s="6"/>
      <c r="D599" s="6"/>
      <c r="E599" s="2"/>
    </row>
    <row r="600" spans="1:5" x14ac:dyDescent="0.25">
      <c r="A600" s="59"/>
      <c r="B600" s="6"/>
      <c r="C600" s="6"/>
      <c r="D600" s="6"/>
      <c r="E600" s="2"/>
    </row>
    <row r="601" spans="1:5" x14ac:dyDescent="0.25">
      <c r="A601" s="59"/>
      <c r="B601" s="6"/>
      <c r="C601" s="6"/>
      <c r="D601" s="6"/>
      <c r="E601" s="2"/>
    </row>
    <row r="602" spans="1:5" x14ac:dyDescent="0.25">
      <c r="A602" s="59"/>
      <c r="B602" s="6"/>
      <c r="C602" s="6"/>
      <c r="D602" s="6"/>
      <c r="E602" s="2"/>
    </row>
    <row r="603" spans="1:5" x14ac:dyDescent="0.25">
      <c r="A603" s="59"/>
      <c r="B603" s="6"/>
      <c r="C603" s="6"/>
      <c r="D603" s="6"/>
      <c r="E603" s="2"/>
    </row>
    <row r="604" spans="1:5" x14ac:dyDescent="0.25">
      <c r="A604" s="59"/>
      <c r="B604" s="6"/>
      <c r="C604" s="6"/>
      <c r="D604" s="6"/>
      <c r="E604" s="2"/>
    </row>
    <row r="605" spans="1:5" x14ac:dyDescent="0.25">
      <c r="A605" s="59"/>
      <c r="B605" s="6"/>
      <c r="C605" s="6"/>
      <c r="D605" s="6"/>
      <c r="E605" s="2"/>
    </row>
    <row r="606" spans="1:5" x14ac:dyDescent="0.25">
      <c r="A606" s="59"/>
      <c r="B606" s="6"/>
      <c r="C606" s="6"/>
      <c r="D606" s="6"/>
      <c r="E606" s="2"/>
    </row>
    <row r="607" spans="1:5" x14ac:dyDescent="0.25">
      <c r="A607" s="59"/>
      <c r="B607" s="6"/>
      <c r="C607" s="6"/>
      <c r="D607" s="6"/>
      <c r="E607" s="2"/>
    </row>
    <row r="608" spans="1:5" x14ac:dyDescent="0.25">
      <c r="A608" s="59"/>
      <c r="B608" s="6"/>
      <c r="C608" s="6"/>
      <c r="D608" s="6"/>
      <c r="E608" s="2"/>
    </row>
    <row r="609" spans="1:5" x14ac:dyDescent="0.25">
      <c r="A609" s="59"/>
      <c r="B609" s="6"/>
      <c r="C609" s="6"/>
      <c r="D609" s="6"/>
      <c r="E609" s="2"/>
    </row>
    <row r="610" spans="1:5" x14ac:dyDescent="0.25">
      <c r="A610" s="59"/>
      <c r="B610" s="6"/>
      <c r="C610" s="6"/>
      <c r="D610" s="6"/>
      <c r="E610" s="2"/>
    </row>
    <row r="611" spans="1:5" x14ac:dyDescent="0.25">
      <c r="A611" s="59"/>
      <c r="B611" s="6"/>
      <c r="C611" s="6"/>
      <c r="D611" s="6"/>
      <c r="E611" s="2"/>
    </row>
    <row r="612" spans="1:5" x14ac:dyDescent="0.25">
      <c r="A612" s="59"/>
      <c r="B612" s="6"/>
      <c r="C612" s="6"/>
      <c r="D612" s="6"/>
      <c r="E612" s="2"/>
    </row>
    <row r="613" spans="1:5" x14ac:dyDescent="0.25">
      <c r="A613" s="59"/>
      <c r="B613" s="6"/>
      <c r="C613" s="6"/>
      <c r="D613" s="6"/>
      <c r="E613" s="2"/>
    </row>
    <row r="614" spans="1:5" x14ac:dyDescent="0.25">
      <c r="A614" s="59"/>
      <c r="B614" s="6"/>
      <c r="C614" s="6"/>
      <c r="D614" s="6"/>
      <c r="E614" s="2"/>
    </row>
    <row r="615" spans="1:5" x14ac:dyDescent="0.25">
      <c r="A615" s="59"/>
      <c r="B615" s="6"/>
      <c r="C615" s="6"/>
      <c r="D615" s="6"/>
      <c r="E615" s="2"/>
    </row>
    <row r="616" spans="1:5" x14ac:dyDescent="0.25">
      <c r="A616" s="59"/>
      <c r="B616" s="6"/>
      <c r="C616" s="6"/>
      <c r="D616" s="6"/>
      <c r="E616" s="2"/>
    </row>
    <row r="617" spans="1:5" x14ac:dyDescent="0.25">
      <c r="A617" s="59"/>
      <c r="B617" s="6"/>
      <c r="C617" s="6"/>
      <c r="D617" s="6"/>
      <c r="E617" s="2"/>
    </row>
    <row r="618" spans="1:5" x14ac:dyDescent="0.25">
      <c r="A618" s="59"/>
      <c r="B618" s="6"/>
      <c r="C618" s="6"/>
      <c r="D618" s="6"/>
      <c r="E618" s="2"/>
    </row>
    <row r="619" spans="1:5" x14ac:dyDescent="0.25">
      <c r="A619" s="59"/>
      <c r="B619" s="6"/>
      <c r="C619" s="6"/>
      <c r="D619" s="6"/>
      <c r="E619" s="2"/>
    </row>
    <row r="620" spans="1:5" x14ac:dyDescent="0.25">
      <c r="A620" s="59"/>
      <c r="B620" s="6"/>
      <c r="C620" s="6"/>
      <c r="D620" s="6"/>
      <c r="E620" s="2"/>
    </row>
    <row r="621" spans="1:5" x14ac:dyDescent="0.25">
      <c r="A621" s="59"/>
      <c r="B621" s="6"/>
      <c r="C621" s="6"/>
      <c r="D621" s="6"/>
      <c r="E621" s="2"/>
    </row>
    <row r="622" spans="1:5" x14ac:dyDescent="0.25">
      <c r="A622" s="59"/>
      <c r="B622" s="6"/>
      <c r="C622" s="6"/>
      <c r="D622" s="6"/>
      <c r="E622" s="2"/>
    </row>
    <row r="623" spans="1:5" x14ac:dyDescent="0.25">
      <c r="A623" s="59"/>
      <c r="B623" s="6"/>
      <c r="C623" s="6"/>
      <c r="D623" s="6"/>
      <c r="E623" s="2"/>
    </row>
    <row r="624" spans="1:5" x14ac:dyDescent="0.25">
      <c r="A624" s="59"/>
      <c r="B624" s="6"/>
      <c r="C624" s="6"/>
      <c r="D624" s="6"/>
      <c r="E624" s="2"/>
    </row>
    <row r="625" spans="1:5" x14ac:dyDescent="0.25">
      <c r="A625" s="59"/>
      <c r="B625" s="6"/>
      <c r="C625" s="6"/>
      <c r="D625" s="6"/>
      <c r="E625" s="2"/>
    </row>
    <row r="626" spans="1:5" x14ac:dyDescent="0.25">
      <c r="A626" s="59"/>
      <c r="B626" s="6"/>
      <c r="C626" s="6"/>
      <c r="D626" s="6"/>
      <c r="E626" s="2"/>
    </row>
    <row r="627" spans="1:5" x14ac:dyDescent="0.25">
      <c r="A627" s="59"/>
      <c r="B627" s="6"/>
      <c r="C627" s="6"/>
      <c r="D627" s="6"/>
      <c r="E627" s="2"/>
    </row>
    <row r="628" spans="1:5" x14ac:dyDescent="0.25">
      <c r="A628" s="59"/>
      <c r="B628" s="6"/>
      <c r="C628" s="6"/>
      <c r="D628" s="6"/>
      <c r="E628" s="2"/>
    </row>
    <row r="629" spans="1:5" x14ac:dyDescent="0.25">
      <c r="A629" s="59"/>
      <c r="B629" s="6"/>
      <c r="C629" s="6"/>
      <c r="D629" s="6"/>
      <c r="E629" s="2"/>
    </row>
    <row r="630" spans="1:5" x14ac:dyDescent="0.25">
      <c r="A630" s="59"/>
      <c r="B630" s="6"/>
      <c r="C630" s="6"/>
      <c r="D630" s="6"/>
      <c r="E630" s="2"/>
    </row>
    <row r="631" spans="1:5" x14ac:dyDescent="0.25">
      <c r="A631" s="59"/>
      <c r="B631" s="6"/>
      <c r="C631" s="6"/>
      <c r="D631" s="6"/>
      <c r="E631" s="2"/>
    </row>
    <row r="632" spans="1:5" x14ac:dyDescent="0.25">
      <c r="A632" s="59"/>
      <c r="B632" s="6"/>
      <c r="C632" s="6"/>
      <c r="D632" s="6"/>
      <c r="E632" s="2"/>
    </row>
    <row r="633" spans="1:5" x14ac:dyDescent="0.25">
      <c r="A633" s="59"/>
      <c r="B633" s="6"/>
      <c r="C633" s="6"/>
      <c r="D633" s="6"/>
      <c r="E633" s="2"/>
    </row>
    <row r="634" spans="1:5" x14ac:dyDescent="0.25">
      <c r="A634" s="59"/>
      <c r="B634" s="6"/>
      <c r="C634" s="6"/>
      <c r="D634" s="6"/>
      <c r="E634" s="2"/>
    </row>
    <row r="635" spans="1:5" x14ac:dyDescent="0.25">
      <c r="A635" s="59"/>
      <c r="B635" s="6"/>
      <c r="C635" s="6"/>
      <c r="D635" s="6"/>
      <c r="E635" s="2"/>
    </row>
    <row r="636" spans="1:5" x14ac:dyDescent="0.25">
      <c r="A636" s="59"/>
      <c r="B636" s="6"/>
      <c r="C636" s="6"/>
      <c r="D636" s="6"/>
      <c r="E636" s="2"/>
    </row>
    <row r="637" spans="1:5" x14ac:dyDescent="0.25">
      <c r="A637" s="59"/>
      <c r="B637" s="6"/>
      <c r="C637" s="6"/>
      <c r="D637" s="6"/>
      <c r="E637" s="2"/>
    </row>
    <row r="638" spans="1:5" x14ac:dyDescent="0.25">
      <c r="A638" s="59"/>
      <c r="B638" s="6"/>
      <c r="C638" s="6"/>
      <c r="D638" s="6"/>
      <c r="E638" s="2"/>
    </row>
    <row r="639" spans="1:5" x14ac:dyDescent="0.25">
      <c r="A639" s="59"/>
      <c r="B639" s="6"/>
      <c r="C639" s="6"/>
      <c r="D639" s="6"/>
      <c r="E639" s="2"/>
    </row>
    <row r="640" spans="1:5" x14ac:dyDescent="0.25">
      <c r="A640" s="59"/>
      <c r="B640" s="6"/>
      <c r="C640" s="6"/>
      <c r="D640" s="6"/>
      <c r="E640" s="2"/>
    </row>
    <row r="641" spans="1:5" x14ac:dyDescent="0.25">
      <c r="A641" s="59"/>
      <c r="B641" s="6"/>
      <c r="C641" s="6"/>
      <c r="D641" s="6"/>
      <c r="E641" s="2"/>
    </row>
    <row r="642" spans="1:5" x14ac:dyDescent="0.25">
      <c r="A642" s="59"/>
      <c r="B642" s="6"/>
      <c r="C642" s="6"/>
      <c r="D642" s="6"/>
      <c r="E642" s="2"/>
    </row>
    <row r="643" spans="1:5" x14ac:dyDescent="0.25">
      <c r="A643" s="59"/>
      <c r="B643" s="6"/>
      <c r="C643" s="6"/>
      <c r="D643" s="6"/>
      <c r="E643" s="2"/>
    </row>
    <row r="644" spans="1:5" x14ac:dyDescent="0.25">
      <c r="A644" s="59"/>
      <c r="B644" s="6"/>
      <c r="C644" s="6"/>
      <c r="D644" s="6"/>
      <c r="E644" s="2"/>
    </row>
    <row r="645" spans="1:5" x14ac:dyDescent="0.25">
      <c r="A645" s="59"/>
      <c r="B645" s="6"/>
      <c r="C645" s="6"/>
      <c r="D645" s="6"/>
      <c r="E645" s="2"/>
    </row>
    <row r="646" spans="1:5" x14ac:dyDescent="0.25">
      <c r="A646" s="59"/>
      <c r="B646" s="6"/>
      <c r="C646" s="6"/>
      <c r="D646" s="6"/>
      <c r="E646" s="2"/>
    </row>
    <row r="647" spans="1:5" x14ac:dyDescent="0.25">
      <c r="A647" s="59"/>
      <c r="B647" s="6"/>
      <c r="C647" s="6"/>
      <c r="D647" s="6"/>
      <c r="E647" s="2"/>
    </row>
    <row r="648" spans="1:5" x14ac:dyDescent="0.25">
      <c r="A648" s="59"/>
      <c r="B648" s="6"/>
      <c r="C648" s="6"/>
      <c r="D648" s="6"/>
      <c r="E648" s="2"/>
    </row>
    <row r="649" spans="1:5" x14ac:dyDescent="0.25">
      <c r="A649" s="59"/>
      <c r="B649" s="6"/>
      <c r="C649" s="6"/>
      <c r="D649" s="6"/>
      <c r="E649" s="2"/>
    </row>
    <row r="650" spans="1:5" x14ac:dyDescent="0.25">
      <c r="A650" s="59"/>
      <c r="B650" s="6"/>
      <c r="C650" s="6"/>
      <c r="D650" s="6"/>
      <c r="E650" s="2"/>
    </row>
    <row r="651" spans="1:5" x14ac:dyDescent="0.25">
      <c r="A651" s="59"/>
      <c r="B651" s="6"/>
      <c r="C651" s="6"/>
      <c r="D651" s="6"/>
      <c r="E651" s="2"/>
    </row>
    <row r="652" spans="1:5" x14ac:dyDescent="0.25">
      <c r="A652" s="59"/>
      <c r="B652" s="6"/>
      <c r="C652" s="6"/>
      <c r="D652" s="6"/>
      <c r="E652" s="2"/>
    </row>
    <row r="653" spans="1:5" x14ac:dyDescent="0.25">
      <c r="A653" s="59"/>
      <c r="B653" s="6"/>
      <c r="C653" s="6"/>
      <c r="D653" s="6"/>
      <c r="E653" s="2"/>
    </row>
    <row r="654" spans="1:5" x14ac:dyDescent="0.25">
      <c r="A654" s="59"/>
      <c r="B654" s="6"/>
      <c r="C654" s="6"/>
      <c r="D654" s="6"/>
      <c r="E654" s="2"/>
    </row>
    <row r="655" spans="1:5" x14ac:dyDescent="0.25">
      <c r="A655" s="59"/>
      <c r="B655" s="6"/>
      <c r="C655" s="6"/>
      <c r="D655" s="6"/>
      <c r="E655" s="2"/>
    </row>
    <row r="656" spans="1:5" x14ac:dyDescent="0.25">
      <c r="A656" s="59"/>
      <c r="B656" s="6"/>
      <c r="C656" s="6"/>
      <c r="D656" s="6"/>
      <c r="E656" s="2"/>
    </row>
    <row r="657" spans="1:5" x14ac:dyDescent="0.25">
      <c r="A657" s="59"/>
      <c r="B657" s="6"/>
      <c r="C657" s="6"/>
      <c r="D657" s="6"/>
      <c r="E657" s="2"/>
    </row>
    <row r="658" spans="1:5" x14ac:dyDescent="0.25">
      <c r="A658" s="59"/>
      <c r="B658" s="6"/>
      <c r="C658" s="6"/>
      <c r="D658" s="6"/>
      <c r="E658" s="2"/>
    </row>
    <row r="659" spans="1:5" x14ac:dyDescent="0.25">
      <c r="A659" s="59"/>
      <c r="B659" s="6"/>
      <c r="C659" s="6"/>
      <c r="D659" s="6"/>
      <c r="E659" s="2"/>
    </row>
    <row r="660" spans="1:5" x14ac:dyDescent="0.25">
      <c r="A660" s="59"/>
      <c r="B660" s="6"/>
      <c r="C660" s="6"/>
      <c r="D660" s="6"/>
      <c r="E660" s="2"/>
    </row>
    <row r="661" spans="1:5" x14ac:dyDescent="0.25">
      <c r="A661" s="59"/>
      <c r="B661" s="6"/>
      <c r="C661" s="6"/>
      <c r="D661" s="6"/>
      <c r="E661" s="2"/>
    </row>
    <row r="662" spans="1:5" x14ac:dyDescent="0.25">
      <c r="A662" s="59"/>
      <c r="B662" s="6"/>
      <c r="C662" s="6"/>
      <c r="D662" s="6"/>
      <c r="E662" s="2"/>
    </row>
    <row r="663" spans="1:5" x14ac:dyDescent="0.25">
      <c r="A663" s="59"/>
      <c r="B663" s="6"/>
      <c r="C663" s="6"/>
      <c r="D663" s="6"/>
      <c r="E663" s="2"/>
    </row>
    <row r="664" spans="1:5" x14ac:dyDescent="0.25">
      <c r="A664" s="59"/>
      <c r="B664" s="6"/>
      <c r="C664" s="6"/>
      <c r="D664" s="6"/>
      <c r="E664" s="2"/>
    </row>
    <row r="665" spans="1:5" x14ac:dyDescent="0.25">
      <c r="A665" s="59"/>
      <c r="B665" s="6"/>
      <c r="C665" s="6"/>
      <c r="D665" s="6"/>
      <c r="E665" s="2"/>
    </row>
    <row r="666" spans="1:5" x14ac:dyDescent="0.25">
      <c r="A666" s="59"/>
      <c r="B666" s="6"/>
      <c r="C666" s="6"/>
      <c r="D666" s="6"/>
      <c r="E666" s="2"/>
    </row>
    <row r="667" spans="1:5" x14ac:dyDescent="0.25">
      <c r="A667" s="59"/>
      <c r="B667" s="6"/>
      <c r="C667" s="6"/>
      <c r="D667" s="6"/>
      <c r="E667" s="2"/>
    </row>
    <row r="668" spans="1:5" x14ac:dyDescent="0.25">
      <c r="A668" s="59"/>
      <c r="B668" s="6"/>
      <c r="C668" s="6"/>
      <c r="D668" s="6"/>
      <c r="E668" s="2"/>
    </row>
    <row r="669" spans="1:5" x14ac:dyDescent="0.25">
      <c r="A669" s="59"/>
      <c r="B669" s="6"/>
      <c r="C669" s="6"/>
      <c r="D669" s="6"/>
      <c r="E669" s="2"/>
    </row>
    <row r="670" spans="1:5" x14ac:dyDescent="0.25">
      <c r="A670" s="59"/>
      <c r="B670" s="6"/>
      <c r="C670" s="6"/>
      <c r="D670" s="6"/>
      <c r="E670" s="2"/>
    </row>
    <row r="671" spans="1:5" x14ac:dyDescent="0.25">
      <c r="A671" s="59"/>
      <c r="B671" s="6"/>
      <c r="C671" s="6"/>
      <c r="D671" s="6"/>
      <c r="E671" s="2"/>
    </row>
    <row r="672" spans="1:5" x14ac:dyDescent="0.25">
      <c r="A672" s="59"/>
      <c r="B672" s="6"/>
      <c r="C672" s="6"/>
      <c r="D672" s="6"/>
      <c r="E672" s="2"/>
    </row>
    <row r="673" spans="1:5" x14ac:dyDescent="0.25">
      <c r="A673" s="59"/>
      <c r="B673" s="6"/>
      <c r="C673" s="6"/>
      <c r="D673" s="6"/>
      <c r="E673" s="2"/>
    </row>
    <row r="674" spans="1:5" x14ac:dyDescent="0.25">
      <c r="A674" s="59"/>
      <c r="B674" s="6"/>
      <c r="C674" s="6"/>
      <c r="D674" s="6"/>
      <c r="E674" s="2"/>
    </row>
    <row r="675" spans="1:5" x14ac:dyDescent="0.25">
      <c r="A675" s="59"/>
      <c r="B675" s="6"/>
      <c r="C675" s="6"/>
      <c r="D675" s="6"/>
      <c r="E675" s="2"/>
    </row>
    <row r="676" spans="1:5" x14ac:dyDescent="0.25">
      <c r="A676" s="59"/>
      <c r="B676" s="6"/>
      <c r="C676" s="6"/>
      <c r="D676" s="6"/>
      <c r="E676" s="2"/>
    </row>
    <row r="677" spans="1:5" x14ac:dyDescent="0.25">
      <c r="A677" s="59"/>
      <c r="B677" s="6"/>
      <c r="C677" s="6"/>
      <c r="D677" s="6"/>
      <c r="E677" s="2"/>
    </row>
    <row r="678" spans="1:5" x14ac:dyDescent="0.25">
      <c r="A678" s="59"/>
      <c r="B678" s="6"/>
      <c r="C678" s="6"/>
      <c r="D678" s="6"/>
      <c r="E678" s="2"/>
    </row>
    <row r="679" spans="1:5" x14ac:dyDescent="0.25">
      <c r="A679" s="59"/>
      <c r="B679" s="6"/>
      <c r="C679" s="6"/>
      <c r="D679" s="6"/>
      <c r="E679" s="2"/>
    </row>
    <row r="680" spans="1:5" x14ac:dyDescent="0.25">
      <c r="A680" s="59"/>
      <c r="B680" s="6"/>
      <c r="C680" s="6"/>
      <c r="D680" s="6"/>
      <c r="E680" s="2"/>
    </row>
    <row r="681" spans="1:5" x14ac:dyDescent="0.25">
      <c r="A681" s="59"/>
      <c r="B681" s="6"/>
      <c r="C681" s="6"/>
      <c r="D681" s="6"/>
      <c r="E681" s="2"/>
    </row>
    <row r="682" spans="1:5" x14ac:dyDescent="0.25">
      <c r="A682" s="59"/>
      <c r="B682" s="6"/>
      <c r="C682" s="6"/>
      <c r="D682" s="6"/>
      <c r="E682" s="2"/>
    </row>
    <row r="683" spans="1:5" x14ac:dyDescent="0.25">
      <c r="A683" s="59"/>
      <c r="B683" s="6"/>
      <c r="C683" s="6"/>
      <c r="D683" s="6"/>
      <c r="E683" s="2"/>
    </row>
    <row r="684" spans="1:5" x14ac:dyDescent="0.25">
      <c r="A684" s="59"/>
      <c r="B684" s="6"/>
      <c r="C684" s="6"/>
      <c r="D684" s="6"/>
      <c r="E684" s="2"/>
    </row>
    <row r="685" spans="1:5" x14ac:dyDescent="0.25">
      <c r="A685" s="59"/>
      <c r="B685" s="6"/>
      <c r="C685" s="6"/>
      <c r="D685" s="6"/>
      <c r="E685" s="2"/>
    </row>
    <row r="686" spans="1:5" x14ac:dyDescent="0.25">
      <c r="A686" s="59"/>
      <c r="B686" s="6"/>
      <c r="C686" s="6"/>
      <c r="D686" s="6"/>
      <c r="E686" s="2"/>
    </row>
    <row r="687" spans="1:5" x14ac:dyDescent="0.25">
      <c r="A687" s="59"/>
      <c r="B687" s="6"/>
      <c r="C687" s="6"/>
      <c r="D687" s="6"/>
      <c r="E687" s="2"/>
    </row>
    <row r="688" spans="1:5" x14ac:dyDescent="0.25">
      <c r="A688" s="59"/>
      <c r="B688" s="6"/>
      <c r="C688" s="6"/>
      <c r="D688" s="6"/>
      <c r="E688" s="2"/>
    </row>
    <row r="689" spans="1:5" x14ac:dyDescent="0.25">
      <c r="A689" s="59"/>
      <c r="B689" s="6"/>
      <c r="C689" s="6"/>
      <c r="D689" s="6"/>
      <c r="E689" s="2"/>
    </row>
    <row r="690" spans="1:5" x14ac:dyDescent="0.25">
      <c r="A690" s="59"/>
      <c r="B690" s="6"/>
      <c r="C690" s="6"/>
      <c r="D690" s="6"/>
      <c r="E690" s="2"/>
    </row>
    <row r="691" spans="1:5" x14ac:dyDescent="0.25">
      <c r="A691" s="59"/>
      <c r="B691" s="6"/>
      <c r="C691" s="6"/>
      <c r="D691" s="6"/>
      <c r="E691" s="2"/>
    </row>
    <row r="692" spans="1:5" x14ac:dyDescent="0.25">
      <c r="A692" s="59"/>
      <c r="B692" s="6"/>
      <c r="C692" s="6"/>
      <c r="D692" s="6"/>
      <c r="E692" s="2"/>
    </row>
    <row r="693" spans="1:5" x14ac:dyDescent="0.25">
      <c r="A693" s="59"/>
      <c r="B693" s="6"/>
      <c r="C693" s="6"/>
      <c r="D693" s="6"/>
      <c r="E693" s="2"/>
    </row>
    <row r="694" spans="1:5" x14ac:dyDescent="0.25">
      <c r="A694" s="59"/>
      <c r="B694" s="6"/>
      <c r="C694" s="6"/>
      <c r="D694" s="6"/>
      <c r="E694" s="2"/>
    </row>
    <row r="695" spans="1:5" x14ac:dyDescent="0.25">
      <c r="A695" s="59"/>
      <c r="B695" s="6"/>
      <c r="C695" s="6"/>
      <c r="D695" s="6"/>
      <c r="E695" s="2"/>
    </row>
    <row r="696" spans="1:5" x14ac:dyDescent="0.25">
      <c r="A696" s="59"/>
      <c r="B696" s="6"/>
      <c r="C696" s="6"/>
      <c r="D696" s="6"/>
      <c r="E696" s="2"/>
    </row>
    <row r="697" spans="1:5" x14ac:dyDescent="0.25">
      <c r="A697" s="59"/>
      <c r="B697" s="6"/>
      <c r="C697" s="6"/>
      <c r="D697" s="6"/>
      <c r="E697" s="2"/>
    </row>
    <row r="698" spans="1:5" x14ac:dyDescent="0.25">
      <c r="A698" s="59"/>
      <c r="B698" s="6"/>
      <c r="C698" s="6"/>
      <c r="D698" s="6"/>
      <c r="E698" s="2"/>
    </row>
    <row r="699" spans="1:5" x14ac:dyDescent="0.25">
      <c r="A699" s="59"/>
      <c r="B699" s="6"/>
      <c r="C699" s="6"/>
      <c r="D699" s="6"/>
      <c r="E699" s="2"/>
    </row>
    <row r="700" spans="1:5" x14ac:dyDescent="0.25">
      <c r="A700" s="59"/>
      <c r="B700" s="6"/>
      <c r="C700" s="6"/>
      <c r="D700" s="6"/>
      <c r="E700" s="2"/>
    </row>
    <row r="701" spans="1:5" x14ac:dyDescent="0.25">
      <c r="A701" s="59"/>
      <c r="B701" s="6"/>
      <c r="C701" s="6"/>
      <c r="D701" s="6"/>
      <c r="E701" s="2"/>
    </row>
    <row r="702" spans="1:5" x14ac:dyDescent="0.25">
      <c r="A702" s="59"/>
      <c r="B702" s="6"/>
      <c r="C702" s="6"/>
      <c r="D702" s="6"/>
      <c r="E702" s="2"/>
    </row>
    <row r="703" spans="1:5" x14ac:dyDescent="0.25">
      <c r="A703" s="59"/>
      <c r="B703" s="6"/>
      <c r="C703" s="6"/>
      <c r="D703" s="6"/>
      <c r="E703" s="2"/>
    </row>
    <row r="704" spans="1:5" x14ac:dyDescent="0.25">
      <c r="A704" s="59"/>
      <c r="B704" s="6"/>
      <c r="C704" s="6"/>
      <c r="D704" s="6"/>
      <c r="E704" s="2"/>
    </row>
    <row r="705" spans="1:5" x14ac:dyDescent="0.25">
      <c r="A705" s="59"/>
      <c r="B705" s="6"/>
      <c r="C705" s="6"/>
      <c r="D705" s="6"/>
      <c r="E705" s="2"/>
    </row>
    <row r="706" spans="1:5" x14ac:dyDescent="0.25">
      <c r="A706" s="59"/>
      <c r="B706" s="6"/>
      <c r="C706" s="6"/>
      <c r="D706" s="6"/>
      <c r="E706" s="2"/>
    </row>
    <row r="707" spans="1:5" x14ac:dyDescent="0.25">
      <c r="A707" s="59"/>
      <c r="B707" s="6"/>
      <c r="C707" s="6"/>
      <c r="D707" s="6"/>
      <c r="E707" s="2"/>
    </row>
    <row r="708" spans="1:5" x14ac:dyDescent="0.25">
      <c r="A708" s="59"/>
      <c r="B708" s="6"/>
      <c r="C708" s="6"/>
      <c r="D708" s="6"/>
      <c r="E708" s="2"/>
    </row>
    <row r="709" spans="1:5" x14ac:dyDescent="0.25">
      <c r="A709" s="59"/>
      <c r="B709" s="6"/>
      <c r="C709" s="6"/>
      <c r="D709" s="6"/>
      <c r="E709" s="2"/>
    </row>
    <row r="710" spans="1:5" x14ac:dyDescent="0.25">
      <c r="A710" s="59"/>
      <c r="B710" s="6"/>
      <c r="C710" s="6"/>
      <c r="D710" s="6"/>
      <c r="E710" s="2"/>
    </row>
    <row r="711" spans="1:5" x14ac:dyDescent="0.25">
      <c r="A711" s="59"/>
      <c r="B711" s="6"/>
      <c r="C711" s="6"/>
      <c r="D711" s="6"/>
      <c r="E711" s="2"/>
    </row>
    <row r="712" spans="1:5" x14ac:dyDescent="0.25">
      <c r="A712" s="59"/>
      <c r="B712" s="6"/>
      <c r="C712" s="6"/>
      <c r="D712" s="6"/>
      <c r="E712" s="2"/>
    </row>
    <row r="713" spans="1:5" x14ac:dyDescent="0.25">
      <c r="A713" s="59"/>
      <c r="B713" s="6"/>
      <c r="C713" s="6"/>
      <c r="D713" s="6"/>
      <c r="E713" s="2"/>
    </row>
    <row r="714" spans="1:5" x14ac:dyDescent="0.25">
      <c r="A714" s="59"/>
      <c r="B714" s="6"/>
      <c r="C714" s="6"/>
      <c r="D714" s="6"/>
      <c r="E714" s="2"/>
    </row>
    <row r="715" spans="1:5" x14ac:dyDescent="0.25">
      <c r="A715" s="59"/>
      <c r="B715" s="6"/>
      <c r="C715" s="6"/>
      <c r="D715" s="6"/>
      <c r="E715" s="2"/>
    </row>
    <row r="716" spans="1:5" x14ac:dyDescent="0.25">
      <c r="A716" s="59"/>
      <c r="B716" s="6"/>
      <c r="C716" s="6"/>
      <c r="D716" s="6"/>
      <c r="E716" s="2"/>
    </row>
    <row r="717" spans="1:5" x14ac:dyDescent="0.25">
      <c r="A717" s="59"/>
      <c r="B717" s="6"/>
      <c r="C717" s="6"/>
      <c r="D717" s="6"/>
      <c r="E717" s="2"/>
    </row>
    <row r="718" spans="1:5" x14ac:dyDescent="0.25">
      <c r="A718" s="59"/>
      <c r="B718" s="6"/>
      <c r="C718" s="6"/>
      <c r="D718" s="6"/>
      <c r="E718" s="2"/>
    </row>
    <row r="719" spans="1:5" x14ac:dyDescent="0.25">
      <c r="A719" s="59"/>
      <c r="B719" s="6"/>
      <c r="C719" s="6"/>
      <c r="D719" s="6"/>
      <c r="E719" s="2"/>
    </row>
    <row r="720" spans="1:5" x14ac:dyDescent="0.25">
      <c r="A720" s="59"/>
      <c r="B720" s="6"/>
      <c r="C720" s="6"/>
      <c r="D720" s="6"/>
      <c r="E720" s="2"/>
    </row>
    <row r="721" spans="1:5" x14ac:dyDescent="0.25">
      <c r="A721" s="59"/>
      <c r="B721" s="6"/>
      <c r="C721" s="6"/>
      <c r="D721" s="6"/>
      <c r="E721" s="2"/>
    </row>
    <row r="722" spans="1:5" x14ac:dyDescent="0.25">
      <c r="A722" s="59"/>
      <c r="B722" s="6"/>
      <c r="C722" s="6"/>
      <c r="D722" s="6"/>
      <c r="E722" s="2"/>
    </row>
    <row r="723" spans="1:5" x14ac:dyDescent="0.25">
      <c r="A723" s="59"/>
      <c r="B723" s="6"/>
      <c r="C723" s="6"/>
      <c r="D723" s="6"/>
      <c r="E723" s="2"/>
    </row>
    <row r="724" spans="1:5" x14ac:dyDescent="0.25">
      <c r="A724" s="59"/>
      <c r="B724" s="6"/>
      <c r="C724" s="6"/>
      <c r="D724" s="6"/>
      <c r="E724" s="2"/>
    </row>
    <row r="725" spans="1:5" x14ac:dyDescent="0.25">
      <c r="A725" s="59"/>
      <c r="B725" s="6"/>
      <c r="C725" s="6"/>
      <c r="D725" s="6"/>
      <c r="E725" s="2"/>
    </row>
    <row r="726" spans="1:5" x14ac:dyDescent="0.25">
      <c r="A726" s="59"/>
      <c r="B726" s="6"/>
      <c r="C726" s="6"/>
      <c r="D726" s="6"/>
      <c r="E726" s="2"/>
    </row>
    <row r="727" spans="1:5" x14ac:dyDescent="0.25">
      <c r="A727" s="59"/>
      <c r="B727" s="6"/>
      <c r="C727" s="6"/>
      <c r="D727" s="6"/>
      <c r="E727" s="2"/>
    </row>
    <row r="728" spans="1:5" x14ac:dyDescent="0.25">
      <c r="A728" s="59"/>
      <c r="B728" s="6"/>
      <c r="C728" s="6"/>
      <c r="D728" s="6"/>
      <c r="E728" s="2"/>
    </row>
    <row r="729" spans="1:5" x14ac:dyDescent="0.25">
      <c r="A729" s="59"/>
      <c r="B729" s="6"/>
      <c r="C729" s="6"/>
      <c r="D729" s="6"/>
      <c r="E729" s="2"/>
    </row>
    <row r="730" spans="1:5" x14ac:dyDescent="0.25">
      <c r="A730" s="59"/>
      <c r="B730" s="6"/>
      <c r="C730" s="6"/>
      <c r="D730" s="6"/>
      <c r="E730" s="2"/>
    </row>
    <row r="731" spans="1:5" x14ac:dyDescent="0.25">
      <c r="A731" s="59"/>
      <c r="B731" s="6"/>
      <c r="C731" s="6"/>
      <c r="D731" s="6"/>
      <c r="E731" s="2"/>
    </row>
    <row r="732" spans="1:5" x14ac:dyDescent="0.25">
      <c r="A732" s="59"/>
      <c r="B732" s="6"/>
      <c r="C732" s="6"/>
      <c r="D732" s="6"/>
      <c r="E732" s="2"/>
    </row>
    <row r="733" spans="1:5" x14ac:dyDescent="0.25">
      <c r="A733" s="59"/>
      <c r="B733" s="6"/>
      <c r="C733" s="6"/>
      <c r="D733" s="6"/>
      <c r="E733" s="2"/>
    </row>
    <row r="734" spans="1:5" x14ac:dyDescent="0.25">
      <c r="A734" s="59"/>
      <c r="B734" s="6"/>
      <c r="C734" s="6"/>
      <c r="D734" s="6"/>
      <c r="E734" s="2"/>
    </row>
    <row r="735" spans="1:5" x14ac:dyDescent="0.25">
      <c r="A735" s="59"/>
      <c r="B735" s="6"/>
      <c r="C735" s="6"/>
      <c r="D735" s="6"/>
      <c r="E735" s="2"/>
    </row>
    <row r="736" spans="1:5" x14ac:dyDescent="0.25">
      <c r="A736" s="59"/>
      <c r="B736" s="6"/>
      <c r="C736" s="6"/>
      <c r="D736" s="6"/>
      <c r="E736" s="2"/>
    </row>
    <row r="737" spans="1:5" x14ac:dyDescent="0.25">
      <c r="A737" s="59"/>
      <c r="B737" s="6"/>
      <c r="C737" s="6"/>
      <c r="D737" s="6"/>
      <c r="E737" s="2"/>
    </row>
    <row r="738" spans="1:5" x14ac:dyDescent="0.25">
      <c r="A738" s="59"/>
      <c r="B738" s="6"/>
      <c r="C738" s="6"/>
      <c r="D738" s="6"/>
      <c r="E738" s="2"/>
    </row>
    <row r="739" spans="1:5" x14ac:dyDescent="0.25">
      <c r="A739" s="59"/>
      <c r="B739" s="6"/>
      <c r="C739" s="6"/>
      <c r="D739" s="6"/>
      <c r="E739" s="2"/>
    </row>
    <row r="740" spans="1:5" x14ac:dyDescent="0.25">
      <c r="A740" s="59"/>
      <c r="B740" s="6"/>
      <c r="C740" s="6"/>
      <c r="D740" s="6"/>
      <c r="E740" s="2"/>
    </row>
    <row r="741" spans="1:5" x14ac:dyDescent="0.25">
      <c r="A741" s="59"/>
      <c r="B741" s="6"/>
      <c r="C741" s="6"/>
      <c r="D741" s="6"/>
      <c r="E741" s="2"/>
    </row>
    <row r="742" spans="1:5" x14ac:dyDescent="0.25">
      <c r="A742" s="59"/>
      <c r="B742" s="6"/>
      <c r="C742" s="6"/>
      <c r="D742" s="6"/>
      <c r="E742" s="2"/>
    </row>
    <row r="743" spans="1:5" x14ac:dyDescent="0.25">
      <c r="A743" s="59"/>
      <c r="B743" s="6"/>
      <c r="C743" s="6"/>
      <c r="D743" s="6"/>
      <c r="E743" s="2"/>
    </row>
    <row r="744" spans="1:5" x14ac:dyDescent="0.25">
      <c r="A744" s="59"/>
      <c r="B744" s="6"/>
      <c r="C744" s="6"/>
      <c r="D744" s="6"/>
      <c r="E744" s="2"/>
    </row>
    <row r="745" spans="1:5" x14ac:dyDescent="0.25">
      <c r="A745" s="59"/>
      <c r="B745" s="6"/>
      <c r="C745" s="6"/>
      <c r="D745" s="6"/>
      <c r="E745" s="2"/>
    </row>
    <row r="746" spans="1:5" x14ac:dyDescent="0.25">
      <c r="A746" s="59"/>
      <c r="B746" s="6"/>
      <c r="C746" s="6"/>
      <c r="D746" s="6"/>
      <c r="E746" s="2"/>
    </row>
    <row r="747" spans="1:5" x14ac:dyDescent="0.25">
      <c r="A747" s="59"/>
      <c r="B747" s="6"/>
      <c r="C747" s="6"/>
      <c r="D747" s="6"/>
      <c r="E747" s="2"/>
    </row>
    <row r="748" spans="1:5" x14ac:dyDescent="0.25">
      <c r="A748" s="59"/>
      <c r="B748" s="6"/>
      <c r="C748" s="6"/>
      <c r="D748" s="6"/>
      <c r="E748" s="2"/>
    </row>
    <row r="749" spans="1:5" x14ac:dyDescent="0.25">
      <c r="A749" s="59"/>
      <c r="B749" s="6"/>
      <c r="C749" s="6"/>
      <c r="D749" s="6"/>
      <c r="E749" s="2"/>
    </row>
    <row r="750" spans="1:5" x14ac:dyDescent="0.25">
      <c r="A750" s="59"/>
      <c r="B750" s="6"/>
      <c r="C750" s="6"/>
      <c r="D750" s="6"/>
      <c r="E750" s="2"/>
    </row>
    <row r="751" spans="1:5" x14ac:dyDescent="0.25">
      <c r="A751" s="59"/>
      <c r="B751" s="6"/>
      <c r="C751" s="6"/>
      <c r="D751" s="6"/>
      <c r="E751" s="2"/>
    </row>
    <row r="752" spans="1:5" x14ac:dyDescent="0.25">
      <c r="A752" s="59"/>
      <c r="B752" s="6"/>
      <c r="C752" s="6"/>
      <c r="D752" s="6"/>
      <c r="E752" s="2"/>
    </row>
    <row r="753" spans="1:5" x14ac:dyDescent="0.25">
      <c r="A753" s="59"/>
      <c r="B753" s="6"/>
      <c r="C753" s="6"/>
      <c r="D753" s="6"/>
      <c r="E753" s="2"/>
    </row>
    <row r="754" spans="1:5" x14ac:dyDescent="0.25">
      <c r="A754" s="59"/>
      <c r="B754" s="6"/>
      <c r="C754" s="6"/>
      <c r="D754" s="6"/>
      <c r="E754" s="2"/>
    </row>
    <row r="755" spans="1:5" x14ac:dyDescent="0.25">
      <c r="A755" s="59"/>
      <c r="B755" s="6"/>
      <c r="C755" s="6"/>
      <c r="D755" s="6"/>
      <c r="E755" s="2"/>
    </row>
    <row r="756" spans="1:5" x14ac:dyDescent="0.25">
      <c r="A756" s="59"/>
      <c r="B756" s="6"/>
      <c r="C756" s="6"/>
      <c r="D756" s="6"/>
      <c r="E756" s="2"/>
    </row>
    <row r="757" spans="1:5" x14ac:dyDescent="0.25">
      <c r="A757" s="59"/>
      <c r="B757" s="6"/>
      <c r="C757" s="6"/>
      <c r="D757" s="6"/>
      <c r="E757" s="2"/>
    </row>
    <row r="758" spans="1:5" x14ac:dyDescent="0.25">
      <c r="A758" s="59"/>
      <c r="B758" s="6"/>
      <c r="C758" s="6"/>
      <c r="D758" s="6"/>
      <c r="E758" s="2"/>
    </row>
    <row r="759" spans="1:5" x14ac:dyDescent="0.25">
      <c r="A759" s="59"/>
      <c r="B759" s="6"/>
      <c r="C759" s="6"/>
      <c r="D759" s="6"/>
      <c r="E759" s="2"/>
    </row>
    <row r="760" spans="1:5" x14ac:dyDescent="0.25">
      <c r="A760" s="59"/>
      <c r="B760" s="6"/>
      <c r="C760" s="6"/>
      <c r="D760" s="6"/>
      <c r="E760" s="2"/>
    </row>
  </sheetData>
  <conditionalFormatting sqref="B2:D760">
    <cfRule type="cellIs" dxfId="12" priority="3" operator="notEqual">
      <formula>0</formula>
    </cfRule>
    <cfRule type="cellIs" dxfId="11" priority="4" operator="equal">
      <formula>0</formula>
    </cfRule>
  </conditionalFormatting>
  <conditionalFormatting sqref="E2:E760">
    <cfRule type="beginsWith" dxfId="10" priority="27" operator="beginsWith" text="Conforme">
      <formula>LEFT(E2,LEN("Conforme"))="Conforme"</formula>
    </cfRule>
    <cfRule type="containsText" dxfId="9" priority="28" operator="containsText" text="Não">
      <formula>NOT(ISERROR(SEARCH("Não",E2)))</formula>
    </cfRule>
  </conditionalFormatting>
  <conditionalFormatting sqref="F341:G341">
    <cfRule type="beginsWith" dxfId="8" priority="1" operator="beginsWith" text="Conforme">
      <formula>LEFT(F341,LEN("Conforme"))="Conforme"</formula>
    </cfRule>
    <cfRule type="containsText" dxfId="7" priority="2" operator="containsText" text="Não">
      <formula>NOT(ISERROR(SEARCH("Não",F341)))</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ACD44-C9CB-4ACA-AD30-34273EAD5B46}">
  <sheetPr codeName="Sheet8">
    <tabColor theme="9" tint="0.79998168889431442"/>
  </sheetPr>
  <dimension ref="A1:G97"/>
  <sheetViews>
    <sheetView showGridLines="0" zoomScale="85" zoomScaleNormal="85" workbookViewId="0">
      <pane ySplit="1" topLeftCell="A53" activePane="bottomLeft" state="frozen"/>
      <selection pane="bottomLeft" activeCell="A75" sqref="A75"/>
    </sheetView>
  </sheetViews>
  <sheetFormatPr defaultRowHeight="15" x14ac:dyDescent="0.25"/>
  <cols>
    <col min="2" max="4" width="32.28515625" bestFit="1" customWidth="1"/>
    <col min="5" max="5" width="39.28515625" customWidth="1"/>
    <col min="7" max="7" width="31" bestFit="1" customWidth="1"/>
  </cols>
  <sheetData>
    <row r="1" spans="1:7" x14ac:dyDescent="0.25">
      <c r="A1" s="5" t="s">
        <v>0</v>
      </c>
      <c r="B1" s="5" t="s">
        <v>144</v>
      </c>
      <c r="C1" s="5" t="s">
        <v>145</v>
      </c>
      <c r="D1" s="5" t="s">
        <v>11</v>
      </c>
      <c r="E1" s="5" t="s">
        <v>5</v>
      </c>
    </row>
    <row r="2" spans="1:7" x14ac:dyDescent="0.25">
      <c r="A2" s="4">
        <v>44711</v>
      </c>
      <c r="B2" s="6" t="s">
        <v>47</v>
      </c>
      <c r="C2" s="6" t="s">
        <v>47</v>
      </c>
      <c r="D2" s="2" t="s">
        <v>587</v>
      </c>
      <c r="E2" s="3"/>
      <c r="G2" s="27"/>
    </row>
    <row r="3" spans="1:7" x14ac:dyDescent="0.25">
      <c r="A3" s="4">
        <v>44718</v>
      </c>
      <c r="B3" s="6" t="s">
        <v>47</v>
      </c>
      <c r="C3" s="6" t="s">
        <v>47</v>
      </c>
      <c r="D3" s="2" t="s">
        <v>587</v>
      </c>
      <c r="E3" s="3"/>
      <c r="G3" s="27"/>
    </row>
    <row r="4" spans="1:7" x14ac:dyDescent="0.25">
      <c r="A4" s="4">
        <v>44725</v>
      </c>
      <c r="B4" s="6"/>
      <c r="C4" s="6" t="s">
        <v>47</v>
      </c>
      <c r="D4" s="2" t="s">
        <v>944</v>
      </c>
      <c r="E4" s="3" t="s">
        <v>416</v>
      </c>
      <c r="G4" s="27"/>
    </row>
    <row r="5" spans="1:7" x14ac:dyDescent="0.25">
      <c r="A5" s="4">
        <v>44732</v>
      </c>
      <c r="B5" s="6" t="s">
        <v>47</v>
      </c>
      <c r="C5" s="6" t="s">
        <v>47</v>
      </c>
      <c r="D5" s="2" t="s">
        <v>587</v>
      </c>
      <c r="E5" s="3"/>
      <c r="G5" s="27"/>
    </row>
    <row r="6" spans="1:7" x14ac:dyDescent="0.25">
      <c r="A6" s="4">
        <v>44739</v>
      </c>
      <c r="B6" s="6" t="s">
        <v>47</v>
      </c>
      <c r="C6" s="6" t="s">
        <v>47</v>
      </c>
      <c r="D6" s="2" t="s">
        <v>587</v>
      </c>
      <c r="E6" s="3"/>
      <c r="G6" s="27"/>
    </row>
    <row r="7" spans="1:7" x14ac:dyDescent="0.25">
      <c r="A7" s="4">
        <v>44746</v>
      </c>
      <c r="B7" s="6" t="s">
        <v>47</v>
      </c>
      <c r="C7" s="6" t="s">
        <v>47</v>
      </c>
      <c r="D7" s="2" t="s">
        <v>587</v>
      </c>
      <c r="E7" s="3"/>
      <c r="G7" s="27"/>
    </row>
    <row r="8" spans="1:7" x14ac:dyDescent="0.25">
      <c r="A8" s="4">
        <v>44753</v>
      </c>
      <c r="B8" s="6" t="s">
        <v>47</v>
      </c>
      <c r="C8" s="6" t="s">
        <v>47</v>
      </c>
      <c r="D8" s="2" t="s">
        <v>587</v>
      </c>
      <c r="E8" s="3"/>
      <c r="G8" s="27"/>
    </row>
    <row r="9" spans="1:7" x14ac:dyDescent="0.25">
      <c r="A9" s="4">
        <v>44760</v>
      </c>
      <c r="B9" s="6" t="s">
        <v>47</v>
      </c>
      <c r="C9" s="6" t="s">
        <v>47</v>
      </c>
      <c r="D9" s="2" t="s">
        <v>587</v>
      </c>
      <c r="E9" s="3"/>
      <c r="G9" s="27"/>
    </row>
    <row r="10" spans="1:7" x14ac:dyDescent="0.25">
      <c r="A10" s="4">
        <v>44767</v>
      </c>
      <c r="B10" s="6" t="s">
        <v>47</v>
      </c>
      <c r="C10" s="6" t="s">
        <v>47</v>
      </c>
      <c r="D10" s="2" t="s">
        <v>587</v>
      </c>
      <c r="E10" s="3"/>
      <c r="G10" s="27"/>
    </row>
    <row r="11" spans="1:7" x14ac:dyDescent="0.25">
      <c r="A11" s="4">
        <v>44774</v>
      </c>
      <c r="B11" s="6" t="s">
        <v>47</v>
      </c>
      <c r="C11" s="6" t="s">
        <v>47</v>
      </c>
      <c r="D11" s="2" t="s">
        <v>587</v>
      </c>
      <c r="E11" s="3"/>
      <c r="G11" s="27"/>
    </row>
    <row r="12" spans="1:7" x14ac:dyDescent="0.25">
      <c r="A12" s="4">
        <v>44781</v>
      </c>
      <c r="B12" s="6" t="s">
        <v>47</v>
      </c>
      <c r="C12" s="6" t="s">
        <v>47</v>
      </c>
      <c r="D12" s="2" t="s">
        <v>587</v>
      </c>
      <c r="E12" s="3"/>
      <c r="G12" s="27"/>
    </row>
    <row r="13" spans="1:7" x14ac:dyDescent="0.25">
      <c r="A13" s="4">
        <v>44788</v>
      </c>
      <c r="B13" s="6" t="s">
        <v>47</v>
      </c>
      <c r="C13" s="6" t="s">
        <v>47</v>
      </c>
      <c r="D13" s="2" t="s">
        <v>587</v>
      </c>
      <c r="E13" s="3"/>
      <c r="G13" s="27"/>
    </row>
    <row r="14" spans="1:7" x14ac:dyDescent="0.25">
      <c r="A14" s="4">
        <v>44795</v>
      </c>
      <c r="B14" s="6" t="s">
        <v>47</v>
      </c>
      <c r="C14" s="6"/>
      <c r="D14" s="2" t="s">
        <v>944</v>
      </c>
      <c r="E14" s="3" t="s">
        <v>582</v>
      </c>
      <c r="G14" s="27"/>
    </row>
    <row r="15" spans="1:7" x14ac:dyDescent="0.25">
      <c r="A15" s="4">
        <v>44802</v>
      </c>
      <c r="B15" s="6" t="s">
        <v>47</v>
      </c>
      <c r="C15" s="6" t="s">
        <v>47</v>
      </c>
      <c r="D15" s="2" t="s">
        <v>587</v>
      </c>
      <c r="E15" s="3"/>
      <c r="G15" s="27"/>
    </row>
    <row r="16" spans="1:7" x14ac:dyDescent="0.25">
      <c r="A16" s="4">
        <v>44809</v>
      </c>
      <c r="B16" s="6" t="s">
        <v>47</v>
      </c>
      <c r="C16" s="6" t="s">
        <v>47</v>
      </c>
      <c r="D16" s="2" t="s">
        <v>587</v>
      </c>
      <c r="E16" s="3"/>
      <c r="G16" s="27"/>
    </row>
    <row r="17" spans="1:7" x14ac:dyDescent="0.25">
      <c r="A17" s="4">
        <v>44816</v>
      </c>
      <c r="B17" s="6" t="s">
        <v>47</v>
      </c>
      <c r="C17" s="6"/>
      <c r="D17" s="2" t="s">
        <v>944</v>
      </c>
      <c r="E17" s="3" t="s">
        <v>582</v>
      </c>
      <c r="G17" s="27"/>
    </row>
    <row r="18" spans="1:7" x14ac:dyDescent="0.25">
      <c r="A18" s="4">
        <v>44823</v>
      </c>
      <c r="B18" s="6" t="s">
        <v>47</v>
      </c>
      <c r="C18" s="6" t="s">
        <v>47</v>
      </c>
      <c r="D18" s="2" t="s">
        <v>587</v>
      </c>
      <c r="E18" s="3"/>
      <c r="G18" s="27"/>
    </row>
    <row r="19" spans="1:7" x14ac:dyDescent="0.25">
      <c r="A19" s="4">
        <v>44830</v>
      </c>
      <c r="B19" s="6" t="s">
        <v>47</v>
      </c>
      <c r="C19" s="6" t="s">
        <v>47</v>
      </c>
      <c r="D19" s="2" t="s">
        <v>587</v>
      </c>
      <c r="E19" s="3"/>
      <c r="G19" s="27"/>
    </row>
    <row r="20" spans="1:7" x14ac:dyDescent="0.25">
      <c r="A20" s="4">
        <v>44837</v>
      </c>
      <c r="B20" s="6" t="s">
        <v>47</v>
      </c>
      <c r="C20" s="6" t="s">
        <v>47</v>
      </c>
      <c r="D20" s="2" t="s">
        <v>587</v>
      </c>
      <c r="E20" s="3"/>
      <c r="G20" s="27"/>
    </row>
    <row r="21" spans="1:7" x14ac:dyDescent="0.25">
      <c r="A21" s="4">
        <v>44844</v>
      </c>
      <c r="B21" s="6" t="s">
        <v>47</v>
      </c>
      <c r="C21" s="6" t="s">
        <v>47</v>
      </c>
      <c r="D21" s="2" t="s">
        <v>587</v>
      </c>
      <c r="E21" s="3" t="s">
        <v>792</v>
      </c>
      <c r="G21" s="27"/>
    </row>
    <row r="22" spans="1:7" x14ac:dyDescent="0.25">
      <c r="A22" s="4">
        <v>44851</v>
      </c>
      <c r="B22" s="6" t="s">
        <v>47</v>
      </c>
      <c r="C22" s="6" t="s">
        <v>47</v>
      </c>
      <c r="D22" s="2" t="s">
        <v>587</v>
      </c>
      <c r="E22" s="3"/>
      <c r="G22" s="27"/>
    </row>
    <row r="23" spans="1:7" x14ac:dyDescent="0.25">
      <c r="A23" s="4">
        <v>44858</v>
      </c>
      <c r="B23" s="6" t="s">
        <v>47</v>
      </c>
      <c r="C23" s="6" t="s">
        <v>47</v>
      </c>
      <c r="D23" s="2" t="s">
        <v>587</v>
      </c>
      <c r="E23" s="3"/>
      <c r="G23" s="27"/>
    </row>
    <row r="24" spans="1:7" x14ac:dyDescent="0.25">
      <c r="A24" s="4">
        <v>44865</v>
      </c>
      <c r="B24" s="6" t="s">
        <v>47</v>
      </c>
      <c r="C24" s="6" t="s">
        <v>47</v>
      </c>
      <c r="D24" s="2" t="s">
        <v>587</v>
      </c>
      <c r="E24" s="3"/>
      <c r="G24" s="27"/>
    </row>
    <row r="25" spans="1:7" x14ac:dyDescent="0.25">
      <c r="A25" s="4">
        <v>44872</v>
      </c>
      <c r="B25" s="6" t="s">
        <v>47</v>
      </c>
      <c r="C25" s="6" t="s">
        <v>47</v>
      </c>
      <c r="D25" s="2" t="s">
        <v>587</v>
      </c>
      <c r="E25" s="3"/>
      <c r="G25" s="27"/>
    </row>
    <row r="26" spans="1:7" x14ac:dyDescent="0.25">
      <c r="A26" s="4">
        <v>44879</v>
      </c>
      <c r="B26" s="6" t="s">
        <v>47</v>
      </c>
      <c r="C26" s="6" t="s">
        <v>47</v>
      </c>
      <c r="D26" s="2" t="s">
        <v>587</v>
      </c>
      <c r="E26" s="3"/>
      <c r="G26" s="27"/>
    </row>
    <row r="27" spans="1:7" x14ac:dyDescent="0.25">
      <c r="A27" s="4">
        <v>44886</v>
      </c>
      <c r="B27" s="6" t="s">
        <v>47</v>
      </c>
      <c r="C27" s="6" t="s">
        <v>47</v>
      </c>
      <c r="D27" s="2" t="s">
        <v>587</v>
      </c>
      <c r="E27" s="3"/>
      <c r="G27" s="27"/>
    </row>
    <row r="28" spans="1:7" x14ac:dyDescent="0.25">
      <c r="A28" s="4">
        <v>44893</v>
      </c>
      <c r="B28" s="6"/>
      <c r="C28" s="6"/>
      <c r="D28" s="2" t="s">
        <v>944</v>
      </c>
      <c r="E28" s="3" t="s">
        <v>837</v>
      </c>
    </row>
    <row r="29" spans="1:7" x14ac:dyDescent="0.25">
      <c r="A29" s="4">
        <v>44900</v>
      </c>
      <c r="B29" s="6" t="s">
        <v>47</v>
      </c>
      <c r="C29" s="6"/>
      <c r="D29" s="2" t="s">
        <v>944</v>
      </c>
      <c r="E29" s="3" t="s">
        <v>838</v>
      </c>
    </row>
    <row r="30" spans="1:7" x14ac:dyDescent="0.25">
      <c r="A30" s="4">
        <v>44907</v>
      </c>
      <c r="B30" s="6"/>
      <c r="C30" s="6"/>
      <c r="D30" s="2" t="s">
        <v>944</v>
      </c>
      <c r="E30" s="3" t="s">
        <v>837</v>
      </c>
    </row>
    <row r="31" spans="1:7" x14ac:dyDescent="0.25">
      <c r="A31" s="4">
        <v>44914</v>
      </c>
      <c r="B31" s="6" t="s">
        <v>47</v>
      </c>
      <c r="C31" s="6" t="s">
        <v>47</v>
      </c>
      <c r="D31" s="2" t="s">
        <v>587</v>
      </c>
      <c r="E31" s="3"/>
    </row>
    <row r="32" spans="1:7" x14ac:dyDescent="0.25">
      <c r="A32" s="4">
        <v>44921</v>
      </c>
      <c r="B32" s="6" t="s">
        <v>47</v>
      </c>
      <c r="C32" s="6" t="s">
        <v>47</v>
      </c>
      <c r="D32" s="2" t="s">
        <v>587</v>
      </c>
      <c r="E32" s="3"/>
    </row>
    <row r="33" spans="1:5" x14ac:dyDescent="0.25">
      <c r="A33" s="4">
        <v>44928</v>
      </c>
      <c r="B33" s="6" t="s">
        <v>47</v>
      </c>
      <c r="C33" s="6" t="s">
        <v>47</v>
      </c>
      <c r="D33" s="2" t="s">
        <v>587</v>
      </c>
      <c r="E33" s="3"/>
    </row>
    <row r="34" spans="1:5" x14ac:dyDescent="0.25">
      <c r="A34" s="4">
        <v>44935</v>
      </c>
      <c r="B34" s="6" t="s">
        <v>47</v>
      </c>
      <c r="C34" s="6" t="s">
        <v>47</v>
      </c>
      <c r="D34" s="2" t="s">
        <v>587</v>
      </c>
      <c r="E34" s="3"/>
    </row>
    <row r="35" spans="1:5" x14ac:dyDescent="0.25">
      <c r="A35" s="4">
        <v>44942</v>
      </c>
      <c r="B35" s="6" t="s">
        <v>47</v>
      </c>
      <c r="C35" s="6" t="s">
        <v>47</v>
      </c>
      <c r="D35" s="2" t="s">
        <v>587</v>
      </c>
      <c r="E35" s="3"/>
    </row>
    <row r="36" spans="1:5" x14ac:dyDescent="0.25">
      <c r="A36" s="4">
        <v>44949</v>
      </c>
      <c r="B36" s="6" t="s">
        <v>47</v>
      </c>
      <c r="C36" s="6" t="s">
        <v>47</v>
      </c>
      <c r="D36" s="2" t="s">
        <v>587</v>
      </c>
      <c r="E36" s="3"/>
    </row>
    <row r="37" spans="1:5" x14ac:dyDescent="0.25">
      <c r="A37" s="4">
        <v>44956</v>
      </c>
      <c r="B37" s="6" t="s">
        <v>47</v>
      </c>
      <c r="C37" s="6" t="s">
        <v>47</v>
      </c>
      <c r="D37" s="2" t="s">
        <v>587</v>
      </c>
      <c r="E37" s="3"/>
    </row>
    <row r="38" spans="1:5" x14ac:dyDescent="0.25">
      <c r="A38" s="4">
        <v>44963</v>
      </c>
      <c r="B38" s="6"/>
      <c r="C38" s="6"/>
      <c r="D38" s="2" t="s">
        <v>944</v>
      </c>
      <c r="E38" s="3" t="s">
        <v>837</v>
      </c>
    </row>
    <row r="39" spans="1:5" x14ac:dyDescent="0.25">
      <c r="A39" s="4">
        <v>44970</v>
      </c>
      <c r="B39" s="6" t="s">
        <v>47</v>
      </c>
      <c r="C39" s="6" t="s">
        <v>47</v>
      </c>
      <c r="D39" s="2" t="s">
        <v>587</v>
      </c>
      <c r="E39" s="3"/>
    </row>
    <row r="40" spans="1:5" x14ac:dyDescent="0.25">
      <c r="A40" s="4">
        <v>44977</v>
      </c>
      <c r="B40" s="6" t="s">
        <v>47</v>
      </c>
      <c r="C40" s="6" t="s">
        <v>47</v>
      </c>
      <c r="D40" s="2" t="s">
        <v>587</v>
      </c>
      <c r="E40" s="3"/>
    </row>
    <row r="41" spans="1:5" x14ac:dyDescent="0.25">
      <c r="A41" s="4">
        <v>44984</v>
      </c>
      <c r="B41" s="6" t="s">
        <v>47</v>
      </c>
      <c r="C41" s="6" t="s">
        <v>47</v>
      </c>
      <c r="D41" s="2" t="s">
        <v>587</v>
      </c>
      <c r="E41" s="3"/>
    </row>
    <row r="42" spans="1:5" x14ac:dyDescent="0.25">
      <c r="A42" s="4">
        <v>44991</v>
      </c>
      <c r="B42" s="6"/>
      <c r="C42" s="6"/>
      <c r="D42" s="2" t="s">
        <v>944</v>
      </c>
      <c r="E42" s="3" t="s">
        <v>837</v>
      </c>
    </row>
    <row r="43" spans="1:5" x14ac:dyDescent="0.25">
      <c r="A43" s="4">
        <v>44998</v>
      </c>
      <c r="B43" s="6"/>
      <c r="C43" s="6"/>
      <c r="D43" s="2" t="s">
        <v>944</v>
      </c>
      <c r="E43" s="3" t="s">
        <v>837</v>
      </c>
    </row>
    <row r="44" spans="1:5" x14ac:dyDescent="0.25">
      <c r="A44" s="4">
        <v>45005</v>
      </c>
      <c r="B44" s="6"/>
      <c r="C44" s="6"/>
      <c r="D44" s="2" t="s">
        <v>944</v>
      </c>
      <c r="E44" s="3" t="s">
        <v>837</v>
      </c>
    </row>
    <row r="45" spans="1:5" x14ac:dyDescent="0.25">
      <c r="A45" s="4">
        <v>45012</v>
      </c>
      <c r="B45" s="6" t="s">
        <v>47</v>
      </c>
      <c r="C45" s="6" t="s">
        <v>47</v>
      </c>
      <c r="D45" s="2" t="s">
        <v>587</v>
      </c>
      <c r="E45" s="3"/>
    </row>
    <row r="46" spans="1:5" x14ac:dyDescent="0.25">
      <c r="A46" s="4">
        <v>45019</v>
      </c>
      <c r="B46" s="6" t="s">
        <v>47</v>
      </c>
      <c r="C46" s="6" t="s">
        <v>47</v>
      </c>
      <c r="D46" s="2" t="s">
        <v>587</v>
      </c>
      <c r="E46" s="3"/>
    </row>
    <row r="47" spans="1:5" x14ac:dyDescent="0.25">
      <c r="A47" s="4">
        <v>45026</v>
      </c>
      <c r="B47" s="6" t="s">
        <v>47</v>
      </c>
      <c r="C47" s="6" t="s">
        <v>47</v>
      </c>
      <c r="D47" s="2" t="s">
        <v>587</v>
      </c>
      <c r="E47" s="3"/>
    </row>
    <row r="48" spans="1:5" x14ac:dyDescent="0.25">
      <c r="A48" s="4">
        <v>45033</v>
      </c>
      <c r="B48" s="6"/>
      <c r="C48" s="6"/>
      <c r="D48" s="2" t="s">
        <v>944</v>
      </c>
      <c r="E48" s="3"/>
    </row>
    <row r="49" spans="1:5" x14ac:dyDescent="0.25">
      <c r="A49" s="4">
        <v>45040</v>
      </c>
      <c r="B49" s="6" t="s">
        <v>47</v>
      </c>
      <c r="C49" s="6" t="s">
        <v>47</v>
      </c>
      <c r="D49" s="2" t="s">
        <v>587</v>
      </c>
      <c r="E49" s="3"/>
    </row>
    <row r="50" spans="1:5" x14ac:dyDescent="0.25">
      <c r="A50" s="4">
        <v>45047</v>
      </c>
      <c r="B50" s="6" t="s">
        <v>47</v>
      </c>
      <c r="C50" s="6" t="s">
        <v>47</v>
      </c>
      <c r="D50" s="2" t="s">
        <v>587</v>
      </c>
      <c r="E50" s="3"/>
    </row>
    <row r="51" spans="1:5" x14ac:dyDescent="0.25">
      <c r="A51" s="4">
        <v>45054</v>
      </c>
      <c r="B51" s="6"/>
      <c r="C51" s="6"/>
      <c r="D51" s="2" t="s">
        <v>944</v>
      </c>
      <c r="E51" s="3"/>
    </row>
    <row r="52" spans="1:5" x14ac:dyDescent="0.25">
      <c r="A52" s="4">
        <v>45061</v>
      </c>
      <c r="B52" s="6" t="s">
        <v>47</v>
      </c>
      <c r="C52" s="6" t="s">
        <v>47</v>
      </c>
      <c r="D52" s="2" t="s">
        <v>587</v>
      </c>
      <c r="E52" s="3"/>
    </row>
    <row r="53" spans="1:5" x14ac:dyDescent="0.25">
      <c r="A53" s="4">
        <v>45068</v>
      </c>
      <c r="B53" s="6"/>
      <c r="C53" s="6"/>
      <c r="D53" s="2" t="s">
        <v>944</v>
      </c>
      <c r="E53" s="3"/>
    </row>
    <row r="54" spans="1:5" x14ac:dyDescent="0.25">
      <c r="A54" s="4">
        <v>45075</v>
      </c>
      <c r="B54" s="6"/>
      <c r="C54" s="6"/>
      <c r="D54" s="2" t="s">
        <v>944</v>
      </c>
      <c r="E54" s="3"/>
    </row>
    <row r="55" spans="1:5" x14ac:dyDescent="0.25">
      <c r="A55" s="4">
        <v>45082</v>
      </c>
      <c r="B55" s="6" t="s">
        <v>47</v>
      </c>
      <c r="C55" s="6" t="s">
        <v>47</v>
      </c>
      <c r="D55" s="2" t="s">
        <v>587</v>
      </c>
      <c r="E55" s="3"/>
    </row>
    <row r="56" spans="1:5" x14ac:dyDescent="0.25">
      <c r="A56" s="4">
        <v>45089</v>
      </c>
      <c r="B56" s="6" t="s">
        <v>47</v>
      </c>
      <c r="C56" s="6" t="s">
        <v>47</v>
      </c>
      <c r="D56" s="2" t="s">
        <v>587</v>
      </c>
      <c r="E56" s="3"/>
    </row>
    <row r="57" spans="1:5" x14ac:dyDescent="0.25">
      <c r="A57" s="4">
        <v>45096</v>
      </c>
      <c r="B57" s="6" t="s">
        <v>47</v>
      </c>
      <c r="C57" s="6" t="s">
        <v>47</v>
      </c>
      <c r="D57" s="2" t="s">
        <v>587</v>
      </c>
      <c r="E57" s="3"/>
    </row>
    <row r="58" spans="1:5" x14ac:dyDescent="0.25">
      <c r="A58" s="4">
        <v>45103</v>
      </c>
      <c r="B58" s="6"/>
      <c r="C58" s="6"/>
      <c r="D58" s="2" t="s">
        <v>944</v>
      </c>
      <c r="E58" s="3" t="s">
        <v>837</v>
      </c>
    </row>
    <row r="59" spans="1:5" x14ac:dyDescent="0.25">
      <c r="A59" s="4">
        <v>45110</v>
      </c>
      <c r="B59" s="6" t="s">
        <v>47</v>
      </c>
      <c r="C59" s="6" t="s">
        <v>47</v>
      </c>
      <c r="D59" s="2" t="s">
        <v>587</v>
      </c>
      <c r="E59" s="3"/>
    </row>
    <row r="60" spans="1:5" x14ac:dyDescent="0.25">
      <c r="A60" s="4">
        <v>45117</v>
      </c>
      <c r="B60" s="6" t="s">
        <v>47</v>
      </c>
      <c r="C60" s="6" t="s">
        <v>47</v>
      </c>
      <c r="D60" s="2" t="s">
        <v>587</v>
      </c>
      <c r="E60" s="3"/>
    </row>
    <row r="61" spans="1:5" x14ac:dyDescent="0.25">
      <c r="A61" s="4">
        <v>45124</v>
      </c>
      <c r="B61" s="6" t="s">
        <v>47</v>
      </c>
      <c r="C61" s="6" t="s">
        <v>47</v>
      </c>
      <c r="D61" s="2" t="s">
        <v>587</v>
      </c>
      <c r="E61" s="3"/>
    </row>
    <row r="62" spans="1:5" x14ac:dyDescent="0.25">
      <c r="A62" s="4">
        <v>45131</v>
      </c>
      <c r="B62" s="6" t="s">
        <v>47</v>
      </c>
      <c r="C62" s="6" t="s">
        <v>47</v>
      </c>
      <c r="D62" s="2" t="s">
        <v>587</v>
      </c>
      <c r="E62" s="3"/>
    </row>
    <row r="63" spans="1:5" x14ac:dyDescent="0.25">
      <c r="A63" s="4">
        <v>45138</v>
      </c>
      <c r="B63" s="6" t="s">
        <v>47</v>
      </c>
      <c r="C63" s="6" t="s">
        <v>47</v>
      </c>
      <c r="D63" s="2" t="s">
        <v>587</v>
      </c>
      <c r="E63" s="3"/>
    </row>
    <row r="64" spans="1:5" x14ac:dyDescent="0.25">
      <c r="A64" s="4">
        <v>45145</v>
      </c>
      <c r="B64" s="6" t="s">
        <v>47</v>
      </c>
      <c r="C64" s="6" t="s">
        <v>47</v>
      </c>
      <c r="D64" s="2" t="s">
        <v>587</v>
      </c>
      <c r="E64" s="3"/>
    </row>
    <row r="65" spans="1:6" x14ac:dyDescent="0.25">
      <c r="A65" s="4">
        <v>45152</v>
      </c>
      <c r="B65" s="6" t="s">
        <v>47</v>
      </c>
      <c r="C65" s="6" t="s">
        <v>47</v>
      </c>
      <c r="D65" s="2" t="s">
        <v>587</v>
      </c>
      <c r="E65" s="3"/>
    </row>
    <row r="66" spans="1:6" x14ac:dyDescent="0.25">
      <c r="A66" s="4">
        <v>45159</v>
      </c>
      <c r="B66" s="6" t="s">
        <v>47</v>
      </c>
      <c r="C66" s="6" t="s">
        <v>47</v>
      </c>
      <c r="D66" s="2" t="s">
        <v>587</v>
      </c>
      <c r="E66" s="3"/>
    </row>
    <row r="67" spans="1:6" x14ac:dyDescent="0.25">
      <c r="A67" s="4">
        <v>45166</v>
      </c>
      <c r="B67" s="6" t="s">
        <v>47</v>
      </c>
      <c r="C67" s="6" t="s">
        <v>47</v>
      </c>
      <c r="D67" s="2" t="s">
        <v>587</v>
      </c>
      <c r="E67" s="3"/>
    </row>
    <row r="68" spans="1:6" x14ac:dyDescent="0.25">
      <c r="A68" s="4">
        <v>45173</v>
      </c>
      <c r="B68" s="6" t="s">
        <v>47</v>
      </c>
      <c r="C68" s="6" t="s">
        <v>47</v>
      </c>
      <c r="D68" s="2" t="s">
        <v>587</v>
      </c>
      <c r="E68" s="3"/>
      <c r="F68" s="2" t="str">
        <f t="shared" ref="D68:F97" ca="1" si="0">IF(C68&lt;=TODAY(),IF(COUNTBLANK(D68:E68)=0,"Conforme","Não conforme"),"")</f>
        <v/>
      </c>
    </row>
    <row r="69" spans="1:6" x14ac:dyDescent="0.25">
      <c r="A69" s="4">
        <v>45183</v>
      </c>
      <c r="B69" s="6" t="s">
        <v>47</v>
      </c>
      <c r="C69" s="6" t="s">
        <v>47</v>
      </c>
      <c r="D69" s="2" t="str">
        <f t="shared" ca="1" si="0"/>
        <v>Conforme</v>
      </c>
      <c r="E69" s="3"/>
    </row>
    <row r="70" spans="1:6" x14ac:dyDescent="0.25">
      <c r="A70" s="4">
        <v>45191</v>
      </c>
      <c r="B70" s="6" t="s">
        <v>47</v>
      </c>
      <c r="C70" s="6" t="s">
        <v>47</v>
      </c>
      <c r="D70" s="2" t="str">
        <f t="shared" ca="1" si="0"/>
        <v>Conforme</v>
      </c>
      <c r="E70" s="3"/>
    </row>
    <row r="71" spans="1:6" x14ac:dyDescent="0.25">
      <c r="A71" s="4">
        <v>45198</v>
      </c>
      <c r="B71" s="6" t="s">
        <v>47</v>
      </c>
      <c r="C71" s="6" t="s">
        <v>47</v>
      </c>
      <c r="D71" s="2" t="str">
        <f t="shared" ca="1" si="0"/>
        <v>Conforme</v>
      </c>
      <c r="E71" s="3"/>
    </row>
    <row r="72" spans="1:6" x14ac:dyDescent="0.25">
      <c r="A72" s="4">
        <v>45195</v>
      </c>
      <c r="B72" s="6" t="s">
        <v>47</v>
      </c>
      <c r="C72" s="6" t="s">
        <v>47</v>
      </c>
      <c r="D72" s="2" t="str">
        <f t="shared" ca="1" si="0"/>
        <v>Conforme</v>
      </c>
      <c r="E72" s="3"/>
    </row>
    <row r="73" spans="1:6" x14ac:dyDescent="0.25">
      <c r="A73" s="4">
        <v>45205</v>
      </c>
      <c r="B73" s="6" t="s">
        <v>47</v>
      </c>
      <c r="C73" s="6" t="s">
        <v>47</v>
      </c>
      <c r="D73" s="2" t="str">
        <f t="shared" ca="1" si="0"/>
        <v>Conforme</v>
      </c>
      <c r="E73" s="3"/>
    </row>
    <row r="74" spans="1:6" x14ac:dyDescent="0.25">
      <c r="A74" s="4">
        <v>45182</v>
      </c>
      <c r="B74" s="6" t="s">
        <v>47</v>
      </c>
      <c r="C74" s="6" t="s">
        <v>47</v>
      </c>
      <c r="D74" s="2" t="str">
        <f t="shared" ca="1" si="0"/>
        <v>Conforme</v>
      </c>
      <c r="E74" s="3"/>
    </row>
    <row r="75" spans="1:6" x14ac:dyDescent="0.25">
      <c r="A75" s="4"/>
      <c r="B75" s="6"/>
      <c r="C75" s="6"/>
      <c r="D75" s="2" t="str">
        <f t="shared" ca="1" si="0"/>
        <v>Não conforme</v>
      </c>
      <c r="E75" s="3"/>
    </row>
    <row r="76" spans="1:6" x14ac:dyDescent="0.25">
      <c r="A76" s="4"/>
      <c r="B76" s="6"/>
      <c r="C76" s="6"/>
      <c r="D76" s="2" t="str">
        <f t="shared" ca="1" si="0"/>
        <v>Não conforme</v>
      </c>
      <c r="E76" s="3"/>
    </row>
    <row r="77" spans="1:6" x14ac:dyDescent="0.25">
      <c r="A77" s="4"/>
      <c r="B77" s="6"/>
      <c r="C77" s="6"/>
      <c r="D77" s="2" t="str">
        <f t="shared" ca="1" si="0"/>
        <v>Não conforme</v>
      </c>
      <c r="E77" s="3"/>
    </row>
    <row r="78" spans="1:6" x14ac:dyDescent="0.25">
      <c r="A78" s="4"/>
      <c r="B78" s="6"/>
      <c r="C78" s="6"/>
      <c r="D78" s="2" t="str">
        <f t="shared" ca="1" si="0"/>
        <v>Não conforme</v>
      </c>
      <c r="E78" s="3"/>
    </row>
    <row r="79" spans="1:6" x14ac:dyDescent="0.25">
      <c r="A79" s="4"/>
      <c r="B79" s="6"/>
      <c r="C79" s="6"/>
      <c r="D79" s="2" t="str">
        <f t="shared" ca="1" si="0"/>
        <v>Não conforme</v>
      </c>
      <c r="E79" s="3"/>
    </row>
    <row r="80" spans="1:6" x14ac:dyDescent="0.25">
      <c r="A80" s="4"/>
      <c r="B80" s="6"/>
      <c r="C80" s="6"/>
      <c r="D80" s="2" t="str">
        <f t="shared" ca="1" si="0"/>
        <v>Não conforme</v>
      </c>
      <c r="E80" s="3"/>
    </row>
    <row r="81" spans="1:5" x14ac:dyDescent="0.25">
      <c r="A81" s="4"/>
      <c r="B81" s="6"/>
      <c r="C81" s="6"/>
      <c r="D81" s="2" t="str">
        <f t="shared" ca="1" si="0"/>
        <v>Não conforme</v>
      </c>
      <c r="E81" s="3"/>
    </row>
    <row r="82" spans="1:5" x14ac:dyDescent="0.25">
      <c r="A82" s="4"/>
      <c r="B82" s="6"/>
      <c r="C82" s="6"/>
      <c r="D82" s="2" t="str">
        <f t="shared" ca="1" si="0"/>
        <v>Não conforme</v>
      </c>
      <c r="E82" s="3"/>
    </row>
    <row r="83" spans="1:5" x14ac:dyDescent="0.25">
      <c r="A83" s="4"/>
      <c r="B83" s="6"/>
      <c r="C83" s="6"/>
      <c r="D83" s="2" t="str">
        <f t="shared" ca="1" si="0"/>
        <v>Não conforme</v>
      </c>
      <c r="E83" s="3"/>
    </row>
    <row r="84" spans="1:5" x14ac:dyDescent="0.25">
      <c r="A84" s="4"/>
      <c r="B84" s="6"/>
      <c r="C84" s="6"/>
      <c r="D84" s="2" t="str">
        <f t="shared" ca="1" si="0"/>
        <v>Não conforme</v>
      </c>
      <c r="E84" s="3"/>
    </row>
    <row r="85" spans="1:5" x14ac:dyDescent="0.25">
      <c r="A85" s="4"/>
      <c r="B85" s="6"/>
      <c r="C85" s="6"/>
      <c r="D85" s="2" t="str">
        <f t="shared" ca="1" si="0"/>
        <v>Não conforme</v>
      </c>
      <c r="E85" s="3"/>
    </row>
    <row r="86" spans="1:5" x14ac:dyDescent="0.25">
      <c r="A86" s="4"/>
      <c r="B86" s="6"/>
      <c r="C86" s="6"/>
      <c r="D86" s="2" t="str">
        <f t="shared" ca="1" si="0"/>
        <v>Não conforme</v>
      </c>
      <c r="E86" s="3"/>
    </row>
    <row r="87" spans="1:5" x14ac:dyDescent="0.25">
      <c r="A87" s="4"/>
      <c r="B87" s="6"/>
      <c r="C87" s="6"/>
      <c r="D87" s="2" t="str">
        <f t="shared" ca="1" si="0"/>
        <v>Não conforme</v>
      </c>
      <c r="E87" s="3"/>
    </row>
    <row r="88" spans="1:5" x14ac:dyDescent="0.25">
      <c r="A88" s="4"/>
      <c r="B88" s="6"/>
      <c r="C88" s="6"/>
      <c r="D88" s="2" t="str">
        <f t="shared" ca="1" si="0"/>
        <v>Não conforme</v>
      </c>
      <c r="E88" s="3"/>
    </row>
    <row r="89" spans="1:5" x14ac:dyDescent="0.25">
      <c r="A89" s="4"/>
      <c r="B89" s="6"/>
      <c r="C89" s="6"/>
      <c r="D89" s="2" t="str">
        <f t="shared" ca="1" si="0"/>
        <v>Não conforme</v>
      </c>
      <c r="E89" s="3"/>
    </row>
    <row r="90" spans="1:5" x14ac:dyDescent="0.25">
      <c r="A90" s="4"/>
      <c r="B90" s="6"/>
      <c r="C90" s="6"/>
      <c r="D90" s="2" t="str">
        <f t="shared" ca="1" si="0"/>
        <v>Não conforme</v>
      </c>
      <c r="E90" s="3"/>
    </row>
    <row r="91" spans="1:5" x14ac:dyDescent="0.25">
      <c r="A91" s="4"/>
      <c r="B91" s="6"/>
      <c r="C91" s="6"/>
      <c r="D91" s="2" t="str">
        <f t="shared" ca="1" si="0"/>
        <v>Não conforme</v>
      </c>
      <c r="E91" s="3"/>
    </row>
    <row r="92" spans="1:5" x14ac:dyDescent="0.25">
      <c r="A92" s="4"/>
      <c r="B92" s="6"/>
      <c r="C92" s="6"/>
      <c r="D92" s="2" t="str">
        <f t="shared" ca="1" si="0"/>
        <v>Não conforme</v>
      </c>
      <c r="E92" s="3"/>
    </row>
    <row r="93" spans="1:5" x14ac:dyDescent="0.25">
      <c r="A93" s="4"/>
      <c r="B93" s="6"/>
      <c r="C93" s="6"/>
      <c r="D93" s="2" t="str">
        <f t="shared" ca="1" si="0"/>
        <v>Não conforme</v>
      </c>
      <c r="E93" s="3"/>
    </row>
    <row r="94" spans="1:5" x14ac:dyDescent="0.25">
      <c r="A94" s="4"/>
      <c r="B94" s="6"/>
      <c r="C94" s="6"/>
      <c r="D94" s="2" t="str">
        <f t="shared" ca="1" si="0"/>
        <v>Não conforme</v>
      </c>
      <c r="E94" s="3"/>
    </row>
    <row r="95" spans="1:5" x14ac:dyDescent="0.25">
      <c r="A95" s="4"/>
      <c r="B95" s="6"/>
      <c r="C95" s="6"/>
      <c r="D95" s="2" t="str">
        <f t="shared" ca="1" si="0"/>
        <v>Não conforme</v>
      </c>
      <c r="E95" s="3"/>
    </row>
    <row r="96" spans="1:5" x14ac:dyDescent="0.25">
      <c r="A96" s="4"/>
      <c r="B96" s="6"/>
      <c r="C96" s="6"/>
      <c r="D96" s="2" t="str">
        <f t="shared" ca="1" si="0"/>
        <v>Não conforme</v>
      </c>
      <c r="E96" s="3"/>
    </row>
    <row r="97" spans="1:5" x14ac:dyDescent="0.25">
      <c r="A97" s="4"/>
      <c r="B97" s="6"/>
      <c r="C97" s="6"/>
      <c r="D97" s="2" t="str">
        <f t="shared" ca="1" si="0"/>
        <v>Não conforme</v>
      </c>
      <c r="E97" s="3"/>
    </row>
  </sheetData>
  <conditionalFormatting sqref="B2:C97">
    <cfRule type="cellIs" dxfId="6" priority="3" operator="notEqual">
      <formula>0</formula>
    </cfRule>
    <cfRule type="cellIs" dxfId="5" priority="4" operator="equal">
      <formula>0</formula>
    </cfRule>
  </conditionalFormatting>
  <conditionalFormatting sqref="D2:D97">
    <cfRule type="beginsWith" dxfId="4" priority="5" operator="beginsWith" text="Conforme">
      <formula>LEFT(D2,LEN("Conforme"))="Conforme"</formula>
    </cfRule>
    <cfRule type="containsText" dxfId="3" priority="6" operator="containsText" text="Não">
      <formula>NOT(ISERROR(SEARCH("Não",D2)))</formula>
    </cfRule>
  </conditionalFormatting>
  <conditionalFormatting sqref="F68">
    <cfRule type="beginsWith" dxfId="2" priority="1" operator="beginsWith" text="Conforme">
      <formula>LEFT(F68,LEN("Conforme"))="Conforme"</formula>
    </cfRule>
    <cfRule type="containsText" dxfId="1" priority="2" operator="containsText" text="Não">
      <formula>NOT(ISERROR(SEARCH("Não",F68)))</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5BF30-FAD2-4E2D-8A23-FB5F039AF5ED}">
  <sheetPr codeName="Sheet4">
    <tabColor theme="9" tint="0.79998168889431442"/>
  </sheetPr>
  <dimension ref="A1:AD255"/>
  <sheetViews>
    <sheetView showGridLines="0" topLeftCell="A10" zoomScaleNormal="100" workbookViewId="0">
      <selection activeCell="A21" sqref="A21"/>
    </sheetView>
  </sheetViews>
  <sheetFormatPr defaultRowHeight="15" x14ac:dyDescent="0.25"/>
  <cols>
    <col min="1" max="1" width="24.140625" customWidth="1"/>
    <col min="2" max="2" width="22.28515625" style="7" customWidth="1"/>
    <col min="3" max="3" width="53.5703125" bestFit="1" customWidth="1"/>
    <col min="4" max="4" width="24.42578125" bestFit="1" customWidth="1"/>
    <col min="5" max="5" width="22.28515625" customWidth="1"/>
    <col min="6" max="6" width="24.140625" style="187" customWidth="1"/>
    <col min="9" max="9" width="13" bestFit="1" customWidth="1"/>
    <col min="10" max="10" width="14.28515625" customWidth="1"/>
    <col min="11" max="11" width="18.85546875" customWidth="1"/>
    <col min="12" max="12" width="18.28515625" bestFit="1" customWidth="1"/>
    <col min="13" max="13" width="10.28515625" customWidth="1"/>
    <col min="15" max="15" width="18.85546875" style="7" bestFit="1" customWidth="1"/>
    <col min="16" max="16" width="10.140625" bestFit="1" customWidth="1"/>
    <col min="17" max="17" width="14.28515625" bestFit="1" customWidth="1"/>
    <col min="18" max="18" width="4.7109375" bestFit="1" customWidth="1"/>
    <col min="19" max="19" width="5.5703125" bestFit="1" customWidth="1"/>
    <col min="20" max="20" width="5.5703125" customWidth="1"/>
    <col min="21" max="21" width="42.140625" style="1" bestFit="1" customWidth="1"/>
    <col min="22" max="22" width="14.28515625" style="1" bestFit="1" customWidth="1"/>
    <col min="23" max="25" width="10.42578125" style="1" bestFit="1" customWidth="1"/>
    <col min="26" max="28" width="5.5703125" customWidth="1"/>
    <col min="29" max="29" width="18.7109375" bestFit="1" customWidth="1"/>
    <col min="30" max="30" width="18.5703125" bestFit="1" customWidth="1"/>
    <col min="31" max="47" width="5.5703125" customWidth="1"/>
  </cols>
  <sheetData>
    <row r="1" spans="1:30" x14ac:dyDescent="0.25">
      <c r="A1" s="18" t="s">
        <v>194</v>
      </c>
      <c r="B1" s="18" t="s">
        <v>156</v>
      </c>
      <c r="C1" s="18" t="s">
        <v>157</v>
      </c>
      <c r="D1" s="18" t="s">
        <v>159</v>
      </c>
      <c r="E1" s="18" t="s">
        <v>175</v>
      </c>
      <c r="F1" s="185" t="s">
        <v>11</v>
      </c>
      <c r="I1" s="18" t="s">
        <v>192</v>
      </c>
      <c r="J1" s="18" t="s">
        <v>159</v>
      </c>
      <c r="K1" s="18" t="s">
        <v>175</v>
      </c>
      <c r="L1" s="18" t="s">
        <v>193</v>
      </c>
      <c r="M1" s="60" t="s">
        <v>392</v>
      </c>
      <c r="O1"/>
      <c r="U1" s="64" t="s">
        <v>157</v>
      </c>
      <c r="V1" s="279" t="s">
        <v>409</v>
      </c>
      <c r="W1" s="279"/>
      <c r="X1" s="279"/>
      <c r="Y1" s="279"/>
      <c r="AC1" s="18" t="s">
        <v>615</v>
      </c>
      <c r="AD1" s="185" t="s">
        <v>2067</v>
      </c>
    </row>
    <row r="2" spans="1:30" x14ac:dyDescent="0.25">
      <c r="A2" s="32">
        <v>45190</v>
      </c>
      <c r="B2" s="3" t="s">
        <v>162</v>
      </c>
      <c r="C2" s="3" t="s">
        <v>158</v>
      </c>
      <c r="D2" s="2" t="s">
        <v>408</v>
      </c>
      <c r="E2" s="8" t="s">
        <v>161</v>
      </c>
      <c r="F2" s="186"/>
      <c r="I2" s="62" t="s">
        <v>160</v>
      </c>
      <c r="J2" s="62" t="s">
        <v>52</v>
      </c>
      <c r="K2" s="63" t="s">
        <v>177</v>
      </c>
      <c r="L2" s="103" t="s">
        <v>81</v>
      </c>
      <c r="M2" s="62" t="s">
        <v>393</v>
      </c>
      <c r="O2"/>
      <c r="U2" s="3" t="s">
        <v>158</v>
      </c>
      <c r="V2" s="3"/>
      <c r="W2" s="3"/>
      <c r="X2" s="3"/>
      <c r="Y2" s="3"/>
      <c r="AC2" s="8" t="s">
        <v>1763</v>
      </c>
      <c r="AD2" s="188" t="s">
        <v>2422</v>
      </c>
    </row>
    <row r="3" spans="1:30" x14ac:dyDescent="0.25">
      <c r="A3" s="32">
        <v>45190</v>
      </c>
      <c r="B3" s="3" t="s">
        <v>162</v>
      </c>
      <c r="C3" s="3" t="s">
        <v>158</v>
      </c>
      <c r="D3" s="2" t="s">
        <v>408</v>
      </c>
      <c r="E3" s="8" t="s">
        <v>160</v>
      </c>
      <c r="F3" s="186"/>
      <c r="I3" s="62" t="s">
        <v>160</v>
      </c>
      <c r="J3" s="62" t="s">
        <v>52</v>
      </c>
      <c r="K3" s="63" t="s">
        <v>834</v>
      </c>
      <c r="L3" s="103" t="s">
        <v>195</v>
      </c>
      <c r="M3" s="62" t="s">
        <v>391</v>
      </c>
      <c r="O3"/>
      <c r="U3" s="3" t="s">
        <v>52</v>
      </c>
      <c r="V3" s="3" t="s">
        <v>52</v>
      </c>
      <c r="W3" s="3" t="s">
        <v>395</v>
      </c>
      <c r="X3" s="3" t="s">
        <v>397</v>
      </c>
      <c r="Y3" s="3" t="s">
        <v>170</v>
      </c>
      <c r="AC3" s="8" t="s">
        <v>177</v>
      </c>
      <c r="AD3" s="188">
        <v>7011</v>
      </c>
    </row>
    <row r="4" spans="1:30" x14ac:dyDescent="0.25">
      <c r="A4" s="32">
        <v>45190</v>
      </c>
      <c r="B4" s="3" t="s">
        <v>162</v>
      </c>
      <c r="C4" s="3" t="s">
        <v>158</v>
      </c>
      <c r="D4" s="2" t="s">
        <v>408</v>
      </c>
      <c r="E4" s="8" t="s">
        <v>1970</v>
      </c>
      <c r="F4" s="186"/>
      <c r="I4" s="62" t="s">
        <v>160</v>
      </c>
      <c r="J4" s="62" t="s">
        <v>52</v>
      </c>
      <c r="K4" s="63" t="s">
        <v>186</v>
      </c>
      <c r="L4" s="103" t="s">
        <v>81</v>
      </c>
      <c r="M4" s="62" t="s">
        <v>393</v>
      </c>
      <c r="O4"/>
      <c r="U4" s="3" t="s">
        <v>164</v>
      </c>
      <c r="V4" s="3" t="s">
        <v>52</v>
      </c>
      <c r="W4" s="3" t="s">
        <v>164</v>
      </c>
      <c r="X4" s="3" t="s">
        <v>174</v>
      </c>
      <c r="Y4" s="3"/>
      <c r="AC4" s="8" t="s">
        <v>834</v>
      </c>
      <c r="AD4" s="188">
        <v>7000</v>
      </c>
    </row>
    <row r="5" spans="1:30" x14ac:dyDescent="0.25">
      <c r="A5" s="32">
        <v>45190</v>
      </c>
      <c r="B5" s="3" t="s">
        <v>162</v>
      </c>
      <c r="C5" s="3" t="s">
        <v>158</v>
      </c>
      <c r="D5" s="2" t="s">
        <v>408</v>
      </c>
      <c r="E5" s="8" t="s">
        <v>1971</v>
      </c>
      <c r="F5" s="186"/>
      <c r="I5" s="8" t="s">
        <v>160</v>
      </c>
      <c r="J5" s="8" t="s">
        <v>164</v>
      </c>
      <c r="K5" s="2" t="s">
        <v>389</v>
      </c>
      <c r="L5" s="8" t="s">
        <v>195</v>
      </c>
      <c r="M5" s="8" t="s">
        <v>952</v>
      </c>
      <c r="O5"/>
      <c r="U5" s="3" t="s">
        <v>196</v>
      </c>
      <c r="V5" s="3" t="s">
        <v>396</v>
      </c>
      <c r="W5" s="3"/>
      <c r="X5" s="3"/>
      <c r="Y5" s="3"/>
      <c r="AC5" s="8" t="s">
        <v>186</v>
      </c>
      <c r="AD5" s="188"/>
    </row>
    <row r="6" spans="1:30" x14ac:dyDescent="0.25">
      <c r="A6" s="32">
        <v>45190</v>
      </c>
      <c r="B6" s="2" t="s">
        <v>163</v>
      </c>
      <c r="C6" s="8" t="s">
        <v>167</v>
      </c>
      <c r="D6" s="8" t="s">
        <v>52</v>
      </c>
      <c r="E6" s="8" t="s">
        <v>177</v>
      </c>
      <c r="F6" s="186"/>
      <c r="I6" s="8" t="s">
        <v>160</v>
      </c>
      <c r="J6" s="8" t="s">
        <v>164</v>
      </c>
      <c r="K6" s="2" t="s">
        <v>1052</v>
      </c>
      <c r="L6" s="8" t="s">
        <v>195</v>
      </c>
      <c r="M6" s="8" t="s">
        <v>952</v>
      </c>
      <c r="O6"/>
      <c r="U6" s="3" t="s">
        <v>165</v>
      </c>
      <c r="V6" s="3" t="s">
        <v>56</v>
      </c>
      <c r="W6" s="3" t="s">
        <v>169</v>
      </c>
      <c r="X6" s="3"/>
      <c r="Y6" s="3" t="s">
        <v>170</v>
      </c>
      <c r="AC6" s="8" t="s">
        <v>389</v>
      </c>
      <c r="AD6" s="188" t="s">
        <v>2423</v>
      </c>
    </row>
    <row r="7" spans="1:30" x14ac:dyDescent="0.25">
      <c r="A7" s="32">
        <v>45190</v>
      </c>
      <c r="B7" s="2" t="s">
        <v>163</v>
      </c>
      <c r="C7" s="8" t="s">
        <v>172</v>
      </c>
      <c r="D7" s="8" t="s">
        <v>52</v>
      </c>
      <c r="E7" s="8" t="s">
        <v>177</v>
      </c>
      <c r="F7" s="186"/>
      <c r="I7" s="62" t="s">
        <v>160</v>
      </c>
      <c r="J7" s="62" t="s">
        <v>397</v>
      </c>
      <c r="K7" s="63" t="s">
        <v>178</v>
      </c>
      <c r="L7" s="103" t="s">
        <v>81</v>
      </c>
      <c r="M7" s="62" t="s">
        <v>391</v>
      </c>
      <c r="O7"/>
      <c r="U7" s="3" t="s">
        <v>166</v>
      </c>
      <c r="V7" s="3" t="s">
        <v>56</v>
      </c>
      <c r="W7" s="3" t="s">
        <v>169</v>
      </c>
      <c r="X7" s="3"/>
      <c r="Y7" s="3" t="s">
        <v>170</v>
      </c>
      <c r="AC7" s="8" t="s">
        <v>1052</v>
      </c>
      <c r="AD7" s="188" t="s">
        <v>2423</v>
      </c>
    </row>
    <row r="8" spans="1:30" x14ac:dyDescent="0.25">
      <c r="A8" s="32">
        <v>45190</v>
      </c>
      <c r="B8" s="2" t="s">
        <v>163</v>
      </c>
      <c r="C8" s="8" t="s">
        <v>167</v>
      </c>
      <c r="D8" s="8" t="s">
        <v>52</v>
      </c>
      <c r="E8" s="8" t="s">
        <v>186</v>
      </c>
      <c r="F8" s="186"/>
      <c r="I8" s="62" t="s">
        <v>160</v>
      </c>
      <c r="J8" s="62" t="s">
        <v>397</v>
      </c>
      <c r="K8" s="63" t="s">
        <v>182</v>
      </c>
      <c r="L8" s="62" t="s">
        <v>81</v>
      </c>
      <c r="M8" s="62" t="s">
        <v>391</v>
      </c>
      <c r="O8"/>
      <c r="U8" s="3" t="s">
        <v>167</v>
      </c>
      <c r="V8" s="3" t="s">
        <v>52</v>
      </c>
      <c r="W8" s="3"/>
      <c r="X8" s="3"/>
      <c r="Y8" s="3" t="s">
        <v>170</v>
      </c>
      <c r="AC8" s="8" t="s">
        <v>178</v>
      </c>
      <c r="AD8" s="188">
        <v>7015</v>
      </c>
    </row>
    <row r="9" spans="1:30" x14ac:dyDescent="0.25">
      <c r="A9" s="32">
        <v>45190</v>
      </c>
      <c r="B9" s="2" t="s">
        <v>163</v>
      </c>
      <c r="C9" s="8" t="s">
        <v>172</v>
      </c>
      <c r="D9" s="8" t="s">
        <v>52</v>
      </c>
      <c r="E9" s="8" t="s">
        <v>186</v>
      </c>
      <c r="F9" s="186"/>
      <c r="I9" s="62" t="s">
        <v>160</v>
      </c>
      <c r="J9" s="62" t="s">
        <v>397</v>
      </c>
      <c r="K9" s="63" t="s">
        <v>1704</v>
      </c>
      <c r="L9" s="62" t="s">
        <v>81</v>
      </c>
      <c r="M9" s="62" t="s">
        <v>394</v>
      </c>
      <c r="O9"/>
      <c r="U9" s="3" t="s">
        <v>56</v>
      </c>
      <c r="V9" s="3" t="s">
        <v>56</v>
      </c>
      <c r="W9" s="3" t="s">
        <v>169</v>
      </c>
      <c r="X9" s="3"/>
      <c r="Y9" s="3" t="s">
        <v>170</v>
      </c>
      <c r="AC9" s="8" t="s">
        <v>182</v>
      </c>
      <c r="AD9" s="188">
        <v>7007</v>
      </c>
    </row>
    <row r="10" spans="1:30" x14ac:dyDescent="0.25">
      <c r="A10" s="32">
        <v>45190</v>
      </c>
      <c r="B10" s="2" t="s">
        <v>163</v>
      </c>
      <c r="C10" s="8" t="s">
        <v>166</v>
      </c>
      <c r="D10" s="8" t="s">
        <v>56</v>
      </c>
      <c r="E10" s="8" t="s">
        <v>55</v>
      </c>
      <c r="F10" s="186"/>
      <c r="I10" s="8" t="s">
        <v>160</v>
      </c>
      <c r="J10" s="8" t="s">
        <v>399</v>
      </c>
      <c r="K10" s="2" t="s">
        <v>390</v>
      </c>
      <c r="L10" s="8" t="s">
        <v>195</v>
      </c>
      <c r="M10" s="8" t="s">
        <v>391</v>
      </c>
      <c r="O10"/>
      <c r="U10" s="3" t="s">
        <v>168</v>
      </c>
      <c r="V10" s="3" t="s">
        <v>56</v>
      </c>
      <c r="W10" s="3" t="s">
        <v>169</v>
      </c>
      <c r="X10" s="3"/>
      <c r="Y10" s="3" t="s">
        <v>170</v>
      </c>
      <c r="AC10" s="8" t="s">
        <v>1704</v>
      </c>
      <c r="AD10" s="188">
        <v>7014</v>
      </c>
    </row>
    <row r="11" spans="1:30" x14ac:dyDescent="0.25">
      <c r="A11" s="32">
        <v>45190</v>
      </c>
      <c r="B11" s="2" t="s">
        <v>163</v>
      </c>
      <c r="C11" s="8" t="s">
        <v>169</v>
      </c>
      <c r="D11" s="8" t="s">
        <v>56</v>
      </c>
      <c r="E11" s="8" t="s">
        <v>55</v>
      </c>
      <c r="F11" s="186"/>
      <c r="I11" s="62" t="s">
        <v>160</v>
      </c>
      <c r="J11" s="62" t="s">
        <v>56</v>
      </c>
      <c r="K11" s="63" t="s">
        <v>55</v>
      </c>
      <c r="L11" s="62" t="s">
        <v>195</v>
      </c>
      <c r="M11" s="62" t="s">
        <v>400</v>
      </c>
      <c r="O11"/>
      <c r="U11" s="3" t="s">
        <v>169</v>
      </c>
      <c r="V11" s="3" t="s">
        <v>56</v>
      </c>
      <c r="W11" s="3" t="s">
        <v>169</v>
      </c>
      <c r="X11" s="3"/>
      <c r="Y11" s="3" t="s">
        <v>170</v>
      </c>
      <c r="AC11" s="8" t="s">
        <v>390</v>
      </c>
      <c r="AD11" s="188" t="s">
        <v>39</v>
      </c>
    </row>
    <row r="12" spans="1:30" x14ac:dyDescent="0.25">
      <c r="A12" s="32">
        <v>45190</v>
      </c>
      <c r="B12" s="2" t="s">
        <v>163</v>
      </c>
      <c r="C12" s="8" t="s">
        <v>166</v>
      </c>
      <c r="D12" s="8" t="s">
        <v>56</v>
      </c>
      <c r="E12" s="8" t="s">
        <v>185</v>
      </c>
      <c r="F12" s="186"/>
      <c r="I12" s="62" t="s">
        <v>160</v>
      </c>
      <c r="J12" s="62" t="s">
        <v>56</v>
      </c>
      <c r="K12" s="63" t="s">
        <v>187</v>
      </c>
      <c r="L12" s="62" t="s">
        <v>81</v>
      </c>
      <c r="M12" s="62" t="s">
        <v>391</v>
      </c>
      <c r="O12"/>
      <c r="U12" s="3" t="s">
        <v>170</v>
      </c>
      <c r="V12" s="3" t="s">
        <v>397</v>
      </c>
      <c r="W12" s="3"/>
      <c r="X12" s="3"/>
      <c r="Y12" s="3" t="s">
        <v>170</v>
      </c>
      <c r="AC12" s="8" t="s">
        <v>185</v>
      </c>
      <c r="AD12" s="188"/>
    </row>
    <row r="13" spans="1:30" x14ac:dyDescent="0.25">
      <c r="A13" s="32">
        <v>45190</v>
      </c>
      <c r="B13" s="2" t="s">
        <v>163</v>
      </c>
      <c r="C13" s="8" t="s">
        <v>169</v>
      </c>
      <c r="D13" s="8" t="s">
        <v>56</v>
      </c>
      <c r="E13" s="8" t="s">
        <v>185</v>
      </c>
      <c r="F13" s="186"/>
      <c r="I13" s="62" t="s">
        <v>160</v>
      </c>
      <c r="J13" s="62" t="s">
        <v>56</v>
      </c>
      <c r="K13" s="63" t="s">
        <v>1705</v>
      </c>
      <c r="L13" s="62" t="s">
        <v>81</v>
      </c>
      <c r="M13" s="62" t="s">
        <v>391</v>
      </c>
      <c r="O13"/>
      <c r="U13" s="3" t="s">
        <v>197</v>
      </c>
      <c r="V13" s="3"/>
      <c r="W13" s="3"/>
      <c r="X13" s="3"/>
      <c r="Y13" s="3" t="s">
        <v>170</v>
      </c>
      <c r="AC13" s="8" t="s">
        <v>187</v>
      </c>
      <c r="AD13" s="188">
        <v>7002</v>
      </c>
    </row>
    <row r="14" spans="1:30" x14ac:dyDescent="0.25">
      <c r="A14" s="32">
        <v>45190</v>
      </c>
      <c r="B14" s="2" t="s">
        <v>163</v>
      </c>
      <c r="C14" s="8" t="s">
        <v>166</v>
      </c>
      <c r="D14" s="8" t="s">
        <v>56</v>
      </c>
      <c r="E14" s="8" t="s">
        <v>635</v>
      </c>
      <c r="F14" s="186"/>
      <c r="I14" s="62" t="s">
        <v>160</v>
      </c>
      <c r="J14" s="62" t="s">
        <v>56</v>
      </c>
      <c r="K14" s="63" t="s">
        <v>3617</v>
      </c>
      <c r="L14" s="62" t="s">
        <v>81</v>
      </c>
      <c r="M14" s="62" t="s">
        <v>391</v>
      </c>
      <c r="O14"/>
      <c r="U14" s="3" t="s">
        <v>171</v>
      </c>
      <c r="V14" s="3" t="s">
        <v>395</v>
      </c>
      <c r="W14" s="3" t="s">
        <v>397</v>
      </c>
      <c r="X14" s="3"/>
      <c r="Y14" s="3" t="s">
        <v>170</v>
      </c>
      <c r="AC14" s="8" t="s">
        <v>1705</v>
      </c>
      <c r="AD14" s="188"/>
    </row>
    <row r="15" spans="1:30" x14ac:dyDescent="0.25">
      <c r="A15" s="32">
        <v>45190</v>
      </c>
      <c r="B15" s="2" t="s">
        <v>163</v>
      </c>
      <c r="C15" s="8" t="s">
        <v>169</v>
      </c>
      <c r="D15" s="8" t="s">
        <v>56</v>
      </c>
      <c r="E15" s="8" t="s">
        <v>635</v>
      </c>
      <c r="F15" s="186"/>
      <c r="I15" s="8" t="s">
        <v>160</v>
      </c>
      <c r="J15" s="8" t="s">
        <v>174</v>
      </c>
      <c r="K15" s="2" t="s">
        <v>183</v>
      </c>
      <c r="L15" s="104" t="s">
        <v>81</v>
      </c>
      <c r="M15" s="8" t="s">
        <v>393</v>
      </c>
      <c r="O15"/>
      <c r="U15" s="3" t="s">
        <v>172</v>
      </c>
      <c r="V15" s="3" t="s">
        <v>52</v>
      </c>
      <c r="W15" s="3" t="s">
        <v>172</v>
      </c>
      <c r="X15" s="3"/>
      <c r="Y15" s="3" t="s">
        <v>170</v>
      </c>
      <c r="AC15" s="8" t="s">
        <v>183</v>
      </c>
      <c r="AD15" s="188"/>
    </row>
    <row r="16" spans="1:30" x14ac:dyDescent="0.25">
      <c r="A16" s="32">
        <v>45190</v>
      </c>
      <c r="B16" s="2" t="s">
        <v>163</v>
      </c>
      <c r="C16" s="8" t="s">
        <v>169</v>
      </c>
      <c r="D16" s="8" t="s">
        <v>174</v>
      </c>
      <c r="E16" s="8" t="s">
        <v>183</v>
      </c>
      <c r="F16" s="186"/>
      <c r="I16" s="62" t="s">
        <v>160</v>
      </c>
      <c r="J16" s="62" t="s">
        <v>169</v>
      </c>
      <c r="K16" s="63" t="s">
        <v>186</v>
      </c>
      <c r="L16" s="103" t="s">
        <v>81</v>
      </c>
      <c r="M16" s="62" t="s">
        <v>393</v>
      </c>
      <c r="O16"/>
      <c r="U16" s="3" t="s">
        <v>173</v>
      </c>
      <c r="V16" s="3"/>
      <c r="W16" s="3"/>
      <c r="X16" s="3"/>
      <c r="Y16" s="3" t="s">
        <v>170</v>
      </c>
      <c r="AC16" s="8" t="s">
        <v>186</v>
      </c>
      <c r="AD16" s="188"/>
    </row>
    <row r="17" spans="1:30" x14ac:dyDescent="0.25">
      <c r="A17" s="32">
        <v>45190</v>
      </c>
      <c r="B17" s="2" t="s">
        <v>163</v>
      </c>
      <c r="C17" s="8" t="s">
        <v>166</v>
      </c>
      <c r="D17" s="8" t="s">
        <v>169</v>
      </c>
      <c r="E17" s="8" t="s">
        <v>842</v>
      </c>
      <c r="F17" s="186"/>
      <c r="I17" s="62" t="s">
        <v>160</v>
      </c>
      <c r="J17" s="62" t="s">
        <v>169</v>
      </c>
      <c r="K17" s="63" t="s">
        <v>842</v>
      </c>
      <c r="L17" s="103" t="s">
        <v>81</v>
      </c>
      <c r="M17" s="62" t="s">
        <v>393</v>
      </c>
      <c r="O17"/>
      <c r="AC17" s="8" t="s">
        <v>842</v>
      </c>
      <c r="AD17" s="188">
        <v>7028</v>
      </c>
    </row>
    <row r="18" spans="1:30" x14ac:dyDescent="0.25">
      <c r="A18" s="32">
        <v>45190</v>
      </c>
      <c r="B18" s="2" t="s">
        <v>163</v>
      </c>
      <c r="C18" s="8" t="s">
        <v>169</v>
      </c>
      <c r="D18" s="8" t="s">
        <v>169</v>
      </c>
      <c r="E18" s="8" t="s">
        <v>842</v>
      </c>
      <c r="F18" s="186"/>
      <c r="I18" s="62" t="s">
        <v>160</v>
      </c>
      <c r="J18" s="62" t="s">
        <v>169</v>
      </c>
      <c r="K18" s="63" t="s">
        <v>188</v>
      </c>
      <c r="L18" s="62" t="s">
        <v>81</v>
      </c>
      <c r="M18" s="62" t="s">
        <v>391</v>
      </c>
      <c r="O18"/>
      <c r="AC18" s="8" t="s">
        <v>188</v>
      </c>
      <c r="AD18" s="188"/>
    </row>
    <row r="19" spans="1:30" x14ac:dyDescent="0.25">
      <c r="A19" s="32">
        <v>45190</v>
      </c>
      <c r="B19" s="2" t="s">
        <v>163</v>
      </c>
      <c r="C19" s="8" t="s">
        <v>166</v>
      </c>
      <c r="D19" s="8" t="s">
        <v>169</v>
      </c>
      <c r="E19" s="8" t="s">
        <v>186</v>
      </c>
      <c r="F19" s="186"/>
      <c r="I19" s="62" t="s">
        <v>160</v>
      </c>
      <c r="J19" s="62" t="s">
        <v>169</v>
      </c>
      <c r="K19" s="63" t="s">
        <v>189</v>
      </c>
      <c r="L19" s="103" t="s">
        <v>81</v>
      </c>
      <c r="M19" s="62" t="s">
        <v>393</v>
      </c>
      <c r="O19"/>
      <c r="AC19" s="8" t="s">
        <v>189</v>
      </c>
      <c r="AD19" s="188">
        <v>7004</v>
      </c>
    </row>
    <row r="20" spans="1:30" x14ac:dyDescent="0.25">
      <c r="A20" s="32">
        <v>45190</v>
      </c>
      <c r="B20" s="2" t="s">
        <v>163</v>
      </c>
      <c r="C20" s="8" t="s">
        <v>169</v>
      </c>
      <c r="D20" s="8" t="s">
        <v>169</v>
      </c>
      <c r="E20" s="8" t="s">
        <v>186</v>
      </c>
      <c r="F20" s="186"/>
      <c r="I20" s="62" t="s">
        <v>160</v>
      </c>
      <c r="J20" s="62" t="s">
        <v>169</v>
      </c>
      <c r="K20" s="63" t="s">
        <v>853</v>
      </c>
      <c r="L20" s="103" t="s">
        <v>81</v>
      </c>
      <c r="M20" s="62" t="s">
        <v>391</v>
      </c>
      <c r="O20"/>
      <c r="AC20" s="8" t="s">
        <v>184</v>
      </c>
      <c r="AD20" s="188">
        <v>7017</v>
      </c>
    </row>
    <row r="21" spans="1:30" x14ac:dyDescent="0.25">
      <c r="A21" s="32">
        <v>45190</v>
      </c>
      <c r="B21" s="2" t="s">
        <v>163</v>
      </c>
      <c r="C21" s="8" t="s">
        <v>166</v>
      </c>
      <c r="D21" s="8" t="s">
        <v>169</v>
      </c>
      <c r="E21" s="8" t="s">
        <v>854</v>
      </c>
      <c r="F21" s="186"/>
      <c r="I21" s="62" t="s">
        <v>160</v>
      </c>
      <c r="J21" s="62" t="s">
        <v>169</v>
      </c>
      <c r="K21" s="63" t="s">
        <v>3791</v>
      </c>
      <c r="L21" s="103" t="s">
        <v>81</v>
      </c>
      <c r="M21" s="62" t="s">
        <v>3924</v>
      </c>
      <c r="O21"/>
      <c r="AC21" s="8" t="s">
        <v>853</v>
      </c>
      <c r="AD21" s="188">
        <v>7024</v>
      </c>
    </row>
    <row r="22" spans="1:30" x14ac:dyDescent="0.25">
      <c r="A22" s="32">
        <v>45190</v>
      </c>
      <c r="B22" s="2" t="s">
        <v>163</v>
      </c>
      <c r="C22" s="8" t="s">
        <v>169</v>
      </c>
      <c r="D22" s="8" t="s">
        <v>169</v>
      </c>
      <c r="E22" s="8" t="s">
        <v>854</v>
      </c>
      <c r="F22" s="186"/>
      <c r="I22" s="8" t="s">
        <v>160</v>
      </c>
      <c r="J22" s="8" t="s">
        <v>396</v>
      </c>
      <c r="K22" s="2" t="s">
        <v>177</v>
      </c>
      <c r="L22" s="104" t="s">
        <v>81</v>
      </c>
      <c r="M22" s="8" t="s">
        <v>393</v>
      </c>
      <c r="O22"/>
      <c r="AC22" s="8" t="s">
        <v>177</v>
      </c>
      <c r="AD22" s="188"/>
    </row>
    <row r="23" spans="1:30" x14ac:dyDescent="0.25">
      <c r="A23" s="32">
        <v>45190</v>
      </c>
      <c r="B23" s="2" t="s">
        <v>163</v>
      </c>
      <c r="C23" s="8" t="s">
        <v>166</v>
      </c>
      <c r="D23" s="8" t="s">
        <v>169</v>
      </c>
      <c r="E23" s="8" t="s">
        <v>188</v>
      </c>
      <c r="F23" s="186"/>
      <c r="I23" s="62" t="s">
        <v>160</v>
      </c>
      <c r="J23" s="62" t="s">
        <v>170</v>
      </c>
      <c r="K23" s="63" t="s">
        <v>177</v>
      </c>
      <c r="L23" s="103" t="s">
        <v>81</v>
      </c>
      <c r="M23" s="62" t="s">
        <v>393</v>
      </c>
      <c r="O23"/>
      <c r="AC23" s="8" t="s">
        <v>177</v>
      </c>
      <c r="AD23" s="188"/>
    </row>
    <row r="24" spans="1:30" x14ac:dyDescent="0.25">
      <c r="A24" s="32">
        <v>45190</v>
      </c>
      <c r="B24" s="2" t="s">
        <v>163</v>
      </c>
      <c r="C24" s="8" t="s">
        <v>169</v>
      </c>
      <c r="D24" s="8" t="s">
        <v>169</v>
      </c>
      <c r="E24" s="8" t="s">
        <v>188</v>
      </c>
      <c r="F24" s="186"/>
      <c r="I24" s="62" t="s">
        <v>160</v>
      </c>
      <c r="J24" s="62" t="s">
        <v>170</v>
      </c>
      <c r="K24" s="63" t="s">
        <v>1156</v>
      </c>
      <c r="L24" s="103" t="s">
        <v>81</v>
      </c>
      <c r="M24" s="62" t="s">
        <v>391</v>
      </c>
      <c r="O24"/>
      <c r="AC24" s="8" t="s">
        <v>1156</v>
      </c>
      <c r="AD24" s="188">
        <v>7023</v>
      </c>
    </row>
    <row r="25" spans="1:30" x14ac:dyDescent="0.25">
      <c r="A25" s="32">
        <v>45190</v>
      </c>
      <c r="B25" s="2" t="s">
        <v>163</v>
      </c>
      <c r="C25" s="8" t="s">
        <v>165</v>
      </c>
      <c r="D25" s="8" t="s">
        <v>169</v>
      </c>
      <c r="E25" s="8" t="s">
        <v>854</v>
      </c>
      <c r="F25" s="186"/>
      <c r="I25" s="62" t="s">
        <v>160</v>
      </c>
      <c r="J25" s="62" t="s">
        <v>170</v>
      </c>
      <c r="K25" s="63" t="s">
        <v>179</v>
      </c>
      <c r="L25" s="62" t="s">
        <v>81</v>
      </c>
      <c r="M25" s="62" t="s">
        <v>391</v>
      </c>
      <c r="O25"/>
      <c r="AC25" s="8" t="s">
        <v>179</v>
      </c>
      <c r="AD25" s="188">
        <v>7022</v>
      </c>
    </row>
    <row r="26" spans="1:30" x14ac:dyDescent="0.25">
      <c r="A26" s="32">
        <v>45190</v>
      </c>
      <c r="B26" s="2" t="s">
        <v>163</v>
      </c>
      <c r="C26" s="8" t="s">
        <v>165</v>
      </c>
      <c r="D26" s="8" t="s">
        <v>169</v>
      </c>
      <c r="E26" s="8" t="s">
        <v>854</v>
      </c>
      <c r="F26" s="186"/>
      <c r="I26" s="8" t="s">
        <v>160</v>
      </c>
      <c r="J26" s="8" t="s">
        <v>171</v>
      </c>
      <c r="K26" s="2" t="s">
        <v>176</v>
      </c>
      <c r="L26" s="104" t="s">
        <v>81</v>
      </c>
      <c r="M26" s="8" t="s">
        <v>393</v>
      </c>
      <c r="O26"/>
      <c r="AC26" s="8" t="s">
        <v>176</v>
      </c>
      <c r="AD26" s="188"/>
    </row>
    <row r="27" spans="1:30" x14ac:dyDescent="0.25">
      <c r="A27" s="32">
        <v>45190</v>
      </c>
      <c r="B27" s="2" t="s">
        <v>163</v>
      </c>
      <c r="C27" s="8" t="s">
        <v>166</v>
      </c>
      <c r="D27" s="8" t="s">
        <v>169</v>
      </c>
      <c r="E27" s="8" t="s">
        <v>189</v>
      </c>
      <c r="F27" s="186"/>
      <c r="I27" s="8" t="s">
        <v>160</v>
      </c>
      <c r="J27" s="8" t="s">
        <v>171</v>
      </c>
      <c r="K27" s="2" t="s">
        <v>959</v>
      </c>
      <c r="L27" s="104" t="s">
        <v>81</v>
      </c>
      <c r="M27" s="8" t="s">
        <v>391</v>
      </c>
      <c r="O27"/>
      <c r="AC27" s="8" t="s">
        <v>959</v>
      </c>
      <c r="AD27" s="188"/>
    </row>
    <row r="28" spans="1:30" x14ac:dyDescent="0.25">
      <c r="A28" s="32">
        <v>45190</v>
      </c>
      <c r="B28" s="2" t="s">
        <v>163</v>
      </c>
      <c r="C28" s="8" t="s">
        <v>169</v>
      </c>
      <c r="D28" s="8" t="s">
        <v>169</v>
      </c>
      <c r="E28" s="8" t="s">
        <v>189</v>
      </c>
      <c r="F28" s="186"/>
      <c r="I28" s="8" t="s">
        <v>160</v>
      </c>
      <c r="J28" s="8" t="s">
        <v>171</v>
      </c>
      <c r="K28" s="2" t="s">
        <v>3916</v>
      </c>
      <c r="L28" s="104" t="s">
        <v>81</v>
      </c>
      <c r="M28" s="8" t="s">
        <v>394</v>
      </c>
      <c r="O28"/>
      <c r="AC28" s="8" t="s">
        <v>191</v>
      </c>
      <c r="AD28" s="188" t="s">
        <v>39</v>
      </c>
    </row>
    <row r="29" spans="1:30" x14ac:dyDescent="0.25">
      <c r="A29" s="32">
        <v>45190</v>
      </c>
      <c r="B29" s="2" t="s">
        <v>163</v>
      </c>
      <c r="C29" s="8" t="s">
        <v>166</v>
      </c>
      <c r="D29" s="8" t="s">
        <v>170</v>
      </c>
      <c r="E29" s="8" t="s">
        <v>177</v>
      </c>
      <c r="F29" s="186"/>
      <c r="I29" s="62" t="s">
        <v>160</v>
      </c>
      <c r="J29" s="62" t="s">
        <v>172</v>
      </c>
      <c r="K29" s="63" t="s">
        <v>191</v>
      </c>
      <c r="L29" s="62" t="s">
        <v>195</v>
      </c>
      <c r="M29" s="62" t="s">
        <v>391</v>
      </c>
      <c r="O29"/>
      <c r="AC29" s="8" t="s">
        <v>2444</v>
      </c>
      <c r="AD29" s="188"/>
    </row>
    <row r="30" spans="1:30" x14ac:dyDescent="0.25">
      <c r="A30" s="32">
        <v>45190</v>
      </c>
      <c r="B30" s="2" t="s">
        <v>163</v>
      </c>
      <c r="C30" s="8" t="s">
        <v>167</v>
      </c>
      <c r="D30" s="8" t="s">
        <v>170</v>
      </c>
      <c r="E30" s="8" t="s">
        <v>177</v>
      </c>
      <c r="F30" s="186"/>
      <c r="I30" s="8" t="s">
        <v>160</v>
      </c>
      <c r="J30" s="8" t="s">
        <v>56</v>
      </c>
      <c r="K30" s="2" t="s">
        <v>2444</v>
      </c>
      <c r="L30" s="104" t="s">
        <v>81</v>
      </c>
      <c r="M30" s="8" t="s">
        <v>393</v>
      </c>
      <c r="O30"/>
    </row>
    <row r="31" spans="1:30" x14ac:dyDescent="0.25">
      <c r="A31" s="32">
        <v>45190</v>
      </c>
      <c r="B31" s="2" t="s">
        <v>163</v>
      </c>
      <c r="C31" s="8" t="s">
        <v>172</v>
      </c>
      <c r="D31" s="8" t="s">
        <v>170</v>
      </c>
      <c r="E31" s="8" t="s">
        <v>177</v>
      </c>
      <c r="F31" s="186"/>
      <c r="O31"/>
    </row>
    <row r="32" spans="1:30" x14ac:dyDescent="0.25">
      <c r="A32" s="32">
        <v>45190</v>
      </c>
      <c r="B32" s="2" t="s">
        <v>163</v>
      </c>
      <c r="C32" s="8" t="s">
        <v>169</v>
      </c>
      <c r="D32" s="8" t="s">
        <v>170</v>
      </c>
      <c r="E32" s="8" t="s">
        <v>177</v>
      </c>
      <c r="F32" s="186"/>
      <c r="O32"/>
    </row>
    <row r="33" spans="1:15" x14ac:dyDescent="0.25">
      <c r="A33" s="32">
        <v>45190</v>
      </c>
      <c r="B33" s="2" t="s">
        <v>163</v>
      </c>
      <c r="C33" s="8" t="s">
        <v>197</v>
      </c>
      <c r="D33" s="8" t="s">
        <v>170</v>
      </c>
      <c r="E33" s="8" t="s">
        <v>177</v>
      </c>
      <c r="F33" s="186"/>
      <c r="O33"/>
    </row>
    <row r="34" spans="1:15" x14ac:dyDescent="0.25">
      <c r="A34" s="32">
        <v>45190</v>
      </c>
      <c r="B34" s="2" t="s">
        <v>163</v>
      </c>
      <c r="C34" s="8" t="s">
        <v>173</v>
      </c>
      <c r="D34" s="8" t="s">
        <v>170</v>
      </c>
      <c r="E34" s="8" t="s">
        <v>177</v>
      </c>
      <c r="F34" s="186"/>
      <c r="O34"/>
    </row>
    <row r="35" spans="1:15" x14ac:dyDescent="0.25">
      <c r="A35" s="32">
        <v>45190</v>
      </c>
      <c r="B35" s="2" t="s">
        <v>163</v>
      </c>
      <c r="C35" s="8" t="s">
        <v>166</v>
      </c>
      <c r="D35" s="8" t="s">
        <v>170</v>
      </c>
      <c r="E35" s="8" t="s">
        <v>179</v>
      </c>
      <c r="F35" s="186"/>
      <c r="O35"/>
    </row>
    <row r="36" spans="1:15" x14ac:dyDescent="0.25">
      <c r="A36" s="32">
        <v>45190</v>
      </c>
      <c r="B36" s="2" t="s">
        <v>163</v>
      </c>
      <c r="C36" s="8" t="s">
        <v>167</v>
      </c>
      <c r="D36" s="8" t="s">
        <v>170</v>
      </c>
      <c r="E36" s="8" t="s">
        <v>179</v>
      </c>
      <c r="F36" s="186"/>
      <c r="O36"/>
    </row>
    <row r="37" spans="1:15" x14ac:dyDescent="0.25">
      <c r="A37" s="32">
        <v>45190</v>
      </c>
      <c r="B37" s="2" t="s">
        <v>163</v>
      </c>
      <c r="C37" s="8" t="s">
        <v>169</v>
      </c>
      <c r="D37" s="8" t="s">
        <v>170</v>
      </c>
      <c r="E37" s="8" t="s">
        <v>179</v>
      </c>
      <c r="F37" s="186"/>
      <c r="O37"/>
    </row>
    <row r="38" spans="1:15" x14ac:dyDescent="0.25">
      <c r="A38" s="32">
        <v>45190</v>
      </c>
      <c r="B38" s="2" t="s">
        <v>163</v>
      </c>
      <c r="C38" s="8" t="s">
        <v>197</v>
      </c>
      <c r="D38" s="8" t="s">
        <v>170</v>
      </c>
      <c r="E38" s="8" t="s">
        <v>179</v>
      </c>
      <c r="F38" s="186"/>
      <c r="O38"/>
    </row>
    <row r="39" spans="1:15" x14ac:dyDescent="0.25">
      <c r="A39" s="32">
        <v>45190</v>
      </c>
      <c r="B39" s="2" t="s">
        <v>163</v>
      </c>
      <c r="C39" s="8" t="s">
        <v>172</v>
      </c>
      <c r="D39" s="8" t="s">
        <v>170</v>
      </c>
      <c r="E39" s="8" t="s">
        <v>179</v>
      </c>
      <c r="F39" s="186"/>
      <c r="O39"/>
    </row>
    <row r="40" spans="1:15" x14ac:dyDescent="0.25">
      <c r="A40" s="32">
        <v>45190</v>
      </c>
      <c r="B40" s="2" t="s">
        <v>163</v>
      </c>
      <c r="C40" s="8" t="s">
        <v>173</v>
      </c>
      <c r="D40" s="8" t="s">
        <v>170</v>
      </c>
      <c r="E40" s="8" t="s">
        <v>179</v>
      </c>
      <c r="F40" s="186"/>
      <c r="O40"/>
    </row>
    <row r="41" spans="1:15" x14ac:dyDescent="0.25">
      <c r="A41" s="32">
        <v>45190</v>
      </c>
      <c r="B41" s="2" t="s">
        <v>163</v>
      </c>
      <c r="C41" s="8" t="s">
        <v>166</v>
      </c>
      <c r="D41" s="8" t="s">
        <v>170</v>
      </c>
      <c r="E41" s="8" t="s">
        <v>1156</v>
      </c>
      <c r="F41" s="186"/>
      <c r="O41"/>
    </row>
    <row r="42" spans="1:15" x14ac:dyDescent="0.25">
      <c r="A42" s="32">
        <v>45190</v>
      </c>
      <c r="B42" s="2" t="s">
        <v>163</v>
      </c>
      <c r="C42" s="8" t="s">
        <v>167</v>
      </c>
      <c r="D42" s="8" t="s">
        <v>170</v>
      </c>
      <c r="E42" s="8" t="s">
        <v>1156</v>
      </c>
      <c r="F42" s="186"/>
      <c r="O42"/>
    </row>
    <row r="43" spans="1:15" x14ac:dyDescent="0.25">
      <c r="A43" s="32">
        <v>45190</v>
      </c>
      <c r="B43" s="2" t="s">
        <v>163</v>
      </c>
      <c r="C43" s="8" t="s">
        <v>169</v>
      </c>
      <c r="D43" s="8" t="s">
        <v>170</v>
      </c>
      <c r="E43" s="8" t="s">
        <v>1156</v>
      </c>
      <c r="F43" s="186"/>
      <c r="O43"/>
    </row>
    <row r="44" spans="1:15" x14ac:dyDescent="0.25">
      <c r="A44" s="32">
        <v>45190</v>
      </c>
      <c r="B44" s="2" t="s">
        <v>163</v>
      </c>
      <c r="C44" s="8" t="s">
        <v>197</v>
      </c>
      <c r="D44" s="8" t="s">
        <v>170</v>
      </c>
      <c r="E44" s="8" t="s">
        <v>1156</v>
      </c>
      <c r="F44" s="186"/>
      <c r="O44"/>
    </row>
    <row r="45" spans="1:15" x14ac:dyDescent="0.25">
      <c r="A45" s="32">
        <v>45190</v>
      </c>
      <c r="B45" s="2" t="s">
        <v>163</v>
      </c>
      <c r="C45" s="8" t="s">
        <v>172</v>
      </c>
      <c r="D45" s="8" t="s">
        <v>170</v>
      </c>
      <c r="E45" s="8" t="s">
        <v>1156</v>
      </c>
      <c r="F45" s="186"/>
      <c r="O45"/>
    </row>
    <row r="46" spans="1:15" x14ac:dyDescent="0.25">
      <c r="A46" s="32">
        <v>45190</v>
      </c>
      <c r="B46" s="2" t="s">
        <v>163</v>
      </c>
      <c r="C46" s="8" t="s">
        <v>173</v>
      </c>
      <c r="D46" s="8" t="s">
        <v>170</v>
      </c>
      <c r="E46" s="8" t="s">
        <v>1156</v>
      </c>
      <c r="F46" s="186"/>
      <c r="O46"/>
    </row>
    <row r="47" spans="1:15" x14ac:dyDescent="0.25">
      <c r="A47" s="32">
        <v>45190</v>
      </c>
      <c r="B47" s="2" t="s">
        <v>163</v>
      </c>
      <c r="C47" s="8" t="s">
        <v>172</v>
      </c>
      <c r="D47" s="8" t="s">
        <v>172</v>
      </c>
      <c r="E47" s="8" t="s">
        <v>191</v>
      </c>
      <c r="F47" s="186"/>
      <c r="O47"/>
    </row>
    <row r="48" spans="1:15" x14ac:dyDescent="0.25">
      <c r="A48" s="32">
        <v>45189</v>
      </c>
      <c r="B48" s="2" t="s">
        <v>163</v>
      </c>
      <c r="C48" s="8" t="s">
        <v>164</v>
      </c>
      <c r="D48" s="8" t="s">
        <v>52</v>
      </c>
      <c r="E48" s="8" t="s">
        <v>177</v>
      </c>
      <c r="F48" s="186"/>
      <c r="O48"/>
    </row>
    <row r="49" spans="1:15" x14ac:dyDescent="0.25">
      <c r="A49" s="32">
        <v>45189</v>
      </c>
      <c r="B49" s="2" t="s">
        <v>163</v>
      </c>
      <c r="C49" s="8" t="s">
        <v>164</v>
      </c>
      <c r="D49" s="8" t="s">
        <v>52</v>
      </c>
      <c r="E49" s="8" t="s">
        <v>186</v>
      </c>
      <c r="F49" s="186"/>
      <c r="O49"/>
    </row>
    <row r="50" spans="1:15" x14ac:dyDescent="0.25">
      <c r="A50" s="32">
        <v>45189</v>
      </c>
      <c r="B50" s="2" t="s">
        <v>163</v>
      </c>
      <c r="C50" s="8" t="s">
        <v>164</v>
      </c>
      <c r="D50" s="8" t="s">
        <v>164</v>
      </c>
      <c r="E50" s="8" t="s">
        <v>389</v>
      </c>
      <c r="F50" s="186"/>
      <c r="O50"/>
    </row>
    <row r="51" spans="1:15" x14ac:dyDescent="0.25">
      <c r="A51" s="32">
        <v>45189</v>
      </c>
      <c r="B51" s="2" t="s">
        <v>163</v>
      </c>
      <c r="C51" s="8" t="s">
        <v>164</v>
      </c>
      <c r="D51" s="8" t="s">
        <v>164</v>
      </c>
      <c r="E51" s="8" t="s">
        <v>1052</v>
      </c>
      <c r="F51" s="186"/>
      <c r="O51"/>
    </row>
    <row r="52" spans="1:15" x14ac:dyDescent="0.25">
      <c r="A52" s="32">
        <v>45189</v>
      </c>
      <c r="B52" s="2" t="s">
        <v>163</v>
      </c>
      <c r="C52" s="8" t="s">
        <v>170</v>
      </c>
      <c r="D52" s="8" t="s">
        <v>397</v>
      </c>
      <c r="E52" s="8" t="s">
        <v>178</v>
      </c>
      <c r="F52" s="186"/>
      <c r="O52"/>
    </row>
    <row r="53" spans="1:15" x14ac:dyDescent="0.25">
      <c r="A53" s="32">
        <v>45189</v>
      </c>
      <c r="B53" s="2" t="s">
        <v>163</v>
      </c>
      <c r="C53" s="8" t="s">
        <v>170</v>
      </c>
      <c r="D53" s="8" t="s">
        <v>397</v>
      </c>
      <c r="E53" s="8" t="s">
        <v>181</v>
      </c>
      <c r="F53" s="186" t="s">
        <v>1258</v>
      </c>
      <c r="O53"/>
    </row>
    <row r="54" spans="1:15" x14ac:dyDescent="0.25">
      <c r="A54" s="32">
        <v>45189</v>
      </c>
      <c r="B54" s="2" t="s">
        <v>163</v>
      </c>
      <c r="C54" s="8" t="s">
        <v>170</v>
      </c>
      <c r="D54" s="8" t="s">
        <v>397</v>
      </c>
      <c r="E54" s="8" t="s">
        <v>182</v>
      </c>
      <c r="F54" s="186"/>
      <c r="O54"/>
    </row>
    <row r="55" spans="1:15" x14ac:dyDescent="0.25">
      <c r="A55" s="32">
        <v>45189</v>
      </c>
      <c r="B55" s="2" t="s">
        <v>163</v>
      </c>
      <c r="C55" s="8" t="s">
        <v>164</v>
      </c>
      <c r="D55" s="8" t="s">
        <v>174</v>
      </c>
      <c r="E55" s="8" t="s">
        <v>183</v>
      </c>
      <c r="F55" s="186"/>
      <c r="O55"/>
    </row>
    <row r="56" spans="1:15" x14ac:dyDescent="0.25">
      <c r="A56" s="32">
        <v>45189</v>
      </c>
      <c r="B56" s="2" t="s">
        <v>163</v>
      </c>
      <c r="C56" s="8" t="s">
        <v>170</v>
      </c>
      <c r="D56" s="8" t="s">
        <v>174</v>
      </c>
      <c r="E56" s="8" t="s">
        <v>183</v>
      </c>
      <c r="F56" s="186"/>
      <c r="O56"/>
    </row>
    <row r="57" spans="1:15" x14ac:dyDescent="0.25">
      <c r="A57" s="32">
        <v>45189</v>
      </c>
      <c r="B57" s="2" t="s">
        <v>163</v>
      </c>
      <c r="C57" s="8" t="s">
        <v>170</v>
      </c>
      <c r="D57" s="8" t="s">
        <v>170</v>
      </c>
      <c r="E57" s="8" t="s">
        <v>177</v>
      </c>
      <c r="F57" s="186"/>
      <c r="O57"/>
    </row>
    <row r="58" spans="1:15" x14ac:dyDescent="0.25">
      <c r="A58" s="32">
        <v>45189</v>
      </c>
      <c r="B58" s="2" t="s">
        <v>163</v>
      </c>
      <c r="C58" s="8" t="s">
        <v>170</v>
      </c>
      <c r="D58" s="8" t="s">
        <v>170</v>
      </c>
      <c r="E58" s="8" t="s">
        <v>179</v>
      </c>
      <c r="F58" s="186"/>
      <c r="O58"/>
    </row>
    <row r="59" spans="1:15" x14ac:dyDescent="0.25">
      <c r="A59" s="32">
        <v>45189</v>
      </c>
      <c r="B59" s="2" t="s">
        <v>163</v>
      </c>
      <c r="C59" s="8" t="s">
        <v>170</v>
      </c>
      <c r="D59" s="8" t="s">
        <v>170</v>
      </c>
      <c r="E59" s="8" t="s">
        <v>1156</v>
      </c>
      <c r="F59" s="186"/>
      <c r="O59"/>
    </row>
    <row r="60" spans="1:15" x14ac:dyDescent="0.25">
      <c r="A60" s="32">
        <v>45189</v>
      </c>
      <c r="B60" s="2" t="s">
        <v>163</v>
      </c>
      <c r="C60" s="8" t="s">
        <v>164</v>
      </c>
      <c r="D60" s="8" t="s">
        <v>174</v>
      </c>
      <c r="E60" s="8" t="s">
        <v>834</v>
      </c>
      <c r="F60" s="186"/>
      <c r="O60"/>
    </row>
    <row r="61" spans="1:15" x14ac:dyDescent="0.25">
      <c r="A61" s="32">
        <v>45189</v>
      </c>
      <c r="B61" s="2" t="s">
        <v>163</v>
      </c>
      <c r="C61" s="8" t="s">
        <v>170</v>
      </c>
      <c r="D61" s="8" t="s">
        <v>397</v>
      </c>
      <c r="E61" s="8" t="s">
        <v>1704</v>
      </c>
      <c r="F61" s="186"/>
      <c r="O61"/>
    </row>
    <row r="62" spans="1:15" x14ac:dyDescent="0.25">
      <c r="A62" s="32">
        <v>45190</v>
      </c>
      <c r="B62" s="2" t="s">
        <v>163</v>
      </c>
      <c r="C62" s="8" t="s">
        <v>52</v>
      </c>
      <c r="D62" s="8" t="s">
        <v>52</v>
      </c>
      <c r="E62" s="8" t="s">
        <v>834</v>
      </c>
      <c r="F62" s="186"/>
      <c r="O62"/>
    </row>
    <row r="63" spans="1:15" x14ac:dyDescent="0.25">
      <c r="A63" s="32">
        <v>45190</v>
      </c>
      <c r="B63" s="2" t="s">
        <v>163</v>
      </c>
      <c r="C63" s="8" t="s">
        <v>52</v>
      </c>
      <c r="D63" s="8" t="s">
        <v>52</v>
      </c>
      <c r="E63" s="8" t="s">
        <v>177</v>
      </c>
      <c r="F63" s="186"/>
      <c r="O63"/>
    </row>
    <row r="64" spans="1:15" x14ac:dyDescent="0.25">
      <c r="A64" s="32">
        <v>45190</v>
      </c>
      <c r="B64" s="2" t="s">
        <v>163</v>
      </c>
      <c r="C64" s="8" t="s">
        <v>406</v>
      </c>
      <c r="D64" s="8" t="s">
        <v>52</v>
      </c>
      <c r="E64" s="8" t="s">
        <v>177</v>
      </c>
      <c r="F64" s="186"/>
      <c r="O64"/>
    </row>
    <row r="65" spans="1:15" x14ac:dyDescent="0.25">
      <c r="A65" s="32">
        <v>45190</v>
      </c>
      <c r="B65" s="2" t="s">
        <v>163</v>
      </c>
      <c r="C65" s="8" t="s">
        <v>52</v>
      </c>
      <c r="D65" s="8" t="s">
        <v>52</v>
      </c>
      <c r="E65" s="8" t="s">
        <v>186</v>
      </c>
      <c r="F65" s="186"/>
      <c r="O65"/>
    </row>
    <row r="66" spans="1:15" x14ac:dyDescent="0.25">
      <c r="A66" s="32">
        <v>45190</v>
      </c>
      <c r="B66" s="2" t="s">
        <v>163</v>
      </c>
      <c r="C66" s="8" t="s">
        <v>406</v>
      </c>
      <c r="D66" s="8" t="s">
        <v>52</v>
      </c>
      <c r="E66" s="8" t="s">
        <v>186</v>
      </c>
      <c r="F66" s="186"/>
      <c r="O66"/>
    </row>
    <row r="67" spans="1:15" x14ac:dyDescent="0.25">
      <c r="A67" s="32">
        <v>45190</v>
      </c>
      <c r="B67" s="2" t="s">
        <v>163</v>
      </c>
      <c r="C67" s="8" t="s">
        <v>171</v>
      </c>
      <c r="D67" s="8" t="s">
        <v>397</v>
      </c>
      <c r="E67" s="8" t="s">
        <v>178</v>
      </c>
      <c r="F67" s="186"/>
      <c r="O67"/>
    </row>
    <row r="68" spans="1:15" x14ac:dyDescent="0.25">
      <c r="A68" s="32">
        <v>45190</v>
      </c>
      <c r="B68" s="2" t="s">
        <v>163</v>
      </c>
      <c r="C68" s="8" t="s">
        <v>52</v>
      </c>
      <c r="D68" s="3" t="s">
        <v>397</v>
      </c>
      <c r="E68" s="8" t="s">
        <v>178</v>
      </c>
      <c r="F68" s="186"/>
      <c r="O68"/>
    </row>
    <row r="69" spans="1:15" x14ac:dyDescent="0.25">
      <c r="A69" s="32">
        <v>45190</v>
      </c>
      <c r="B69" s="2" t="s">
        <v>163</v>
      </c>
      <c r="C69" s="8" t="s">
        <v>171</v>
      </c>
      <c r="D69" s="8" t="s">
        <v>397</v>
      </c>
      <c r="E69" s="8" t="s">
        <v>181</v>
      </c>
      <c r="F69" s="186" t="s">
        <v>1258</v>
      </c>
      <c r="O69"/>
    </row>
    <row r="70" spans="1:15" x14ac:dyDescent="0.25">
      <c r="A70" s="32">
        <v>45190</v>
      </c>
      <c r="B70" s="2" t="s">
        <v>163</v>
      </c>
      <c r="C70" s="8" t="s">
        <v>52</v>
      </c>
      <c r="D70" s="3" t="s">
        <v>397</v>
      </c>
      <c r="E70" s="8" t="s">
        <v>181</v>
      </c>
      <c r="F70" s="186" t="s">
        <v>1258</v>
      </c>
      <c r="O70"/>
    </row>
    <row r="71" spans="1:15" x14ac:dyDescent="0.25">
      <c r="A71" s="32">
        <v>45190</v>
      </c>
      <c r="B71" s="2" t="s">
        <v>163</v>
      </c>
      <c r="C71" s="8" t="s">
        <v>171</v>
      </c>
      <c r="D71" s="8" t="s">
        <v>397</v>
      </c>
      <c r="E71" s="8" t="s">
        <v>182</v>
      </c>
      <c r="F71" s="186"/>
      <c r="O71"/>
    </row>
    <row r="72" spans="1:15" x14ac:dyDescent="0.25">
      <c r="A72" s="32">
        <v>45190</v>
      </c>
      <c r="B72" s="2" t="s">
        <v>163</v>
      </c>
      <c r="C72" s="8" t="s">
        <v>52</v>
      </c>
      <c r="D72" s="3" t="s">
        <v>397</v>
      </c>
      <c r="E72" s="8" t="s">
        <v>182</v>
      </c>
      <c r="F72" s="186"/>
      <c r="O72"/>
    </row>
    <row r="73" spans="1:15" x14ac:dyDescent="0.25">
      <c r="A73" s="32">
        <v>45190</v>
      </c>
      <c r="B73" s="2" t="s">
        <v>163</v>
      </c>
      <c r="C73" s="8" t="s">
        <v>165</v>
      </c>
      <c r="D73" s="8" t="s">
        <v>56</v>
      </c>
      <c r="E73" s="8" t="s">
        <v>55</v>
      </c>
      <c r="F73" s="186"/>
      <c r="O73"/>
    </row>
    <row r="74" spans="1:15" x14ac:dyDescent="0.25">
      <c r="A74" s="32">
        <v>45190</v>
      </c>
      <c r="B74" s="2" t="s">
        <v>163</v>
      </c>
      <c r="C74" s="8" t="s">
        <v>165</v>
      </c>
      <c r="D74" s="8" t="s">
        <v>56</v>
      </c>
      <c r="E74" s="8" t="s">
        <v>185</v>
      </c>
      <c r="F74" s="186"/>
      <c r="O74"/>
    </row>
    <row r="75" spans="1:15" x14ac:dyDescent="0.25">
      <c r="A75" s="32">
        <v>45190</v>
      </c>
      <c r="B75" s="2" t="s">
        <v>163</v>
      </c>
      <c r="C75" s="8" t="s">
        <v>168</v>
      </c>
      <c r="D75" s="8" t="s">
        <v>56</v>
      </c>
      <c r="E75" s="8" t="s">
        <v>55</v>
      </c>
      <c r="F75" s="186"/>
      <c r="O75"/>
    </row>
    <row r="76" spans="1:15" x14ac:dyDescent="0.25">
      <c r="A76" s="32">
        <v>45190</v>
      </c>
      <c r="B76" s="2" t="s">
        <v>163</v>
      </c>
      <c r="C76" s="8" t="s">
        <v>165</v>
      </c>
      <c r="D76" s="8" t="s">
        <v>56</v>
      </c>
      <c r="E76" s="8" t="s">
        <v>635</v>
      </c>
      <c r="F76" s="186"/>
      <c r="O76"/>
    </row>
    <row r="77" spans="1:15" x14ac:dyDescent="0.25">
      <c r="A77" s="32">
        <v>45190</v>
      </c>
      <c r="B77" s="2" t="s">
        <v>163</v>
      </c>
      <c r="C77" s="8" t="s">
        <v>165</v>
      </c>
      <c r="D77" s="8" t="s">
        <v>169</v>
      </c>
      <c r="E77" s="8" t="s">
        <v>842</v>
      </c>
      <c r="F77" s="186"/>
      <c r="O77"/>
    </row>
    <row r="78" spans="1:15" x14ac:dyDescent="0.25">
      <c r="A78" s="32">
        <v>45190</v>
      </c>
      <c r="B78" s="2" t="s">
        <v>163</v>
      </c>
      <c r="C78" s="8" t="s">
        <v>168</v>
      </c>
      <c r="D78" s="8" t="s">
        <v>56</v>
      </c>
      <c r="E78" s="8" t="s">
        <v>185</v>
      </c>
      <c r="F78" s="186"/>
      <c r="O78"/>
    </row>
    <row r="79" spans="1:15" x14ac:dyDescent="0.25">
      <c r="A79" s="32">
        <v>45190</v>
      </c>
      <c r="B79" s="2" t="s">
        <v>163</v>
      </c>
      <c r="C79" s="8" t="s">
        <v>165</v>
      </c>
      <c r="D79" s="8" t="s">
        <v>169</v>
      </c>
      <c r="E79" s="8" t="s">
        <v>186</v>
      </c>
      <c r="F79" s="186"/>
      <c r="O79"/>
    </row>
    <row r="80" spans="1:15" x14ac:dyDescent="0.25">
      <c r="A80" s="32">
        <v>45190</v>
      </c>
      <c r="B80" s="2" t="s">
        <v>163</v>
      </c>
      <c r="C80" s="8" t="s">
        <v>168</v>
      </c>
      <c r="D80" s="8" t="s">
        <v>169</v>
      </c>
      <c r="E80" s="8" t="s">
        <v>854</v>
      </c>
      <c r="F80" s="186"/>
      <c r="O80"/>
    </row>
    <row r="81" spans="1:15" x14ac:dyDescent="0.25">
      <c r="A81" s="32">
        <v>45190</v>
      </c>
      <c r="B81" s="2" t="s">
        <v>163</v>
      </c>
      <c r="C81" s="8" t="s">
        <v>168</v>
      </c>
      <c r="D81" s="8" t="s">
        <v>56</v>
      </c>
      <c r="E81" s="8" t="s">
        <v>635</v>
      </c>
      <c r="F81" s="186"/>
      <c r="O81"/>
    </row>
    <row r="82" spans="1:15" x14ac:dyDescent="0.25">
      <c r="A82" s="32">
        <v>45190</v>
      </c>
      <c r="B82" s="2" t="s">
        <v>163</v>
      </c>
      <c r="C82" s="8" t="s">
        <v>52</v>
      </c>
      <c r="D82" s="8" t="s">
        <v>174</v>
      </c>
      <c r="E82" s="8" t="s">
        <v>183</v>
      </c>
      <c r="F82" s="186"/>
      <c r="O82"/>
    </row>
    <row r="83" spans="1:15" x14ac:dyDescent="0.25">
      <c r="A83" s="32">
        <v>45190</v>
      </c>
      <c r="B83" s="2" t="s">
        <v>163</v>
      </c>
      <c r="C83" s="8" t="s">
        <v>56</v>
      </c>
      <c r="D83" s="8" t="s">
        <v>169</v>
      </c>
      <c r="E83" s="8" t="s">
        <v>854</v>
      </c>
      <c r="F83" s="186"/>
      <c r="O83"/>
    </row>
    <row r="84" spans="1:15" x14ac:dyDescent="0.25">
      <c r="A84" s="32">
        <v>45190</v>
      </c>
      <c r="B84" s="2" t="s">
        <v>163</v>
      </c>
      <c r="C84" s="8" t="s">
        <v>171</v>
      </c>
      <c r="D84" s="8" t="s">
        <v>174</v>
      </c>
      <c r="E84" s="8" t="s">
        <v>183</v>
      </c>
      <c r="F84" s="186"/>
      <c r="O84"/>
    </row>
    <row r="85" spans="1:15" x14ac:dyDescent="0.25">
      <c r="A85" s="32">
        <v>45190</v>
      </c>
      <c r="B85" s="2" t="s">
        <v>163</v>
      </c>
      <c r="C85" s="8" t="s">
        <v>165</v>
      </c>
      <c r="D85" s="8" t="s">
        <v>169</v>
      </c>
      <c r="E85" s="8" t="s">
        <v>188</v>
      </c>
      <c r="F85" s="186"/>
      <c r="O85"/>
    </row>
    <row r="86" spans="1:15" x14ac:dyDescent="0.25">
      <c r="A86" s="32">
        <v>45190</v>
      </c>
      <c r="B86" s="2" t="s">
        <v>163</v>
      </c>
      <c r="C86" s="8" t="s">
        <v>166</v>
      </c>
      <c r="D86" s="8" t="s">
        <v>169</v>
      </c>
      <c r="E86" s="8" t="s">
        <v>184</v>
      </c>
      <c r="F86" s="186"/>
      <c r="O86"/>
    </row>
    <row r="87" spans="1:15" x14ac:dyDescent="0.25">
      <c r="A87" s="32">
        <v>45190</v>
      </c>
      <c r="B87" s="2" t="s">
        <v>163</v>
      </c>
      <c r="C87" s="8" t="s">
        <v>168</v>
      </c>
      <c r="D87" s="8" t="s">
        <v>169</v>
      </c>
      <c r="E87" s="8" t="s">
        <v>842</v>
      </c>
      <c r="F87" s="186"/>
      <c r="O87"/>
    </row>
    <row r="88" spans="1:15" x14ac:dyDescent="0.25">
      <c r="A88" s="32">
        <v>45190</v>
      </c>
      <c r="B88" s="2" t="s">
        <v>163</v>
      </c>
      <c r="C88" s="8" t="s">
        <v>165</v>
      </c>
      <c r="D88" s="8" t="s">
        <v>169</v>
      </c>
      <c r="E88" s="8" t="s">
        <v>189</v>
      </c>
      <c r="F88" s="186"/>
      <c r="O88"/>
    </row>
    <row r="89" spans="1:15" x14ac:dyDescent="0.25">
      <c r="A89" s="32">
        <v>45190</v>
      </c>
      <c r="B89" s="2" t="s">
        <v>163</v>
      </c>
      <c r="C89" s="8" t="s">
        <v>165</v>
      </c>
      <c r="D89" s="8" t="s">
        <v>170</v>
      </c>
      <c r="E89" s="8" t="s">
        <v>177</v>
      </c>
      <c r="F89" s="186"/>
      <c r="O89"/>
    </row>
    <row r="90" spans="1:15" x14ac:dyDescent="0.25">
      <c r="A90" s="32">
        <v>45190</v>
      </c>
      <c r="B90" s="2" t="s">
        <v>163</v>
      </c>
      <c r="C90" s="8" t="s">
        <v>168</v>
      </c>
      <c r="D90" s="8" t="s">
        <v>169</v>
      </c>
      <c r="E90" s="8" t="s">
        <v>186</v>
      </c>
      <c r="F90" s="186"/>
      <c r="O90"/>
    </row>
    <row r="91" spans="1:15" x14ac:dyDescent="0.25">
      <c r="A91" s="32">
        <v>45190</v>
      </c>
      <c r="B91" s="2" t="s">
        <v>163</v>
      </c>
      <c r="C91" s="8" t="s">
        <v>165</v>
      </c>
      <c r="D91" s="8" t="s">
        <v>170</v>
      </c>
      <c r="E91" s="8" t="s">
        <v>179</v>
      </c>
      <c r="F91" s="186"/>
      <c r="O91"/>
    </row>
    <row r="92" spans="1:15" x14ac:dyDescent="0.25">
      <c r="A92" s="32">
        <v>45190</v>
      </c>
      <c r="B92" s="2" t="s">
        <v>163</v>
      </c>
      <c r="C92" s="8" t="s">
        <v>165</v>
      </c>
      <c r="D92" s="8" t="s">
        <v>170</v>
      </c>
      <c r="E92" s="8" t="s">
        <v>1156</v>
      </c>
      <c r="F92" s="186"/>
      <c r="O92"/>
    </row>
    <row r="93" spans="1:15" x14ac:dyDescent="0.25">
      <c r="A93" s="32">
        <v>45190</v>
      </c>
      <c r="B93" s="2" t="s">
        <v>163</v>
      </c>
      <c r="C93" s="8" t="s">
        <v>169</v>
      </c>
      <c r="D93" s="8" t="s">
        <v>169</v>
      </c>
      <c r="E93" s="8" t="s">
        <v>184</v>
      </c>
      <c r="F93" s="186"/>
      <c r="O93"/>
    </row>
    <row r="94" spans="1:15" x14ac:dyDescent="0.25">
      <c r="A94" s="32">
        <v>45190</v>
      </c>
      <c r="B94" s="2" t="s">
        <v>163</v>
      </c>
      <c r="C94" s="8" t="s">
        <v>56</v>
      </c>
      <c r="D94" s="8" t="s">
        <v>56</v>
      </c>
      <c r="E94" s="8" t="s">
        <v>55</v>
      </c>
      <c r="F94" s="186"/>
      <c r="O94"/>
    </row>
    <row r="95" spans="1:15" x14ac:dyDescent="0.25">
      <c r="A95" s="32">
        <v>45190</v>
      </c>
      <c r="B95" s="2" t="s">
        <v>163</v>
      </c>
      <c r="C95" s="8" t="s">
        <v>56</v>
      </c>
      <c r="D95" s="8" t="s">
        <v>56</v>
      </c>
      <c r="E95" s="8" t="s">
        <v>185</v>
      </c>
      <c r="F95" s="186"/>
      <c r="O95"/>
    </row>
    <row r="96" spans="1:15" x14ac:dyDescent="0.25">
      <c r="A96" s="32">
        <v>45190</v>
      </c>
      <c r="B96" s="2" t="s">
        <v>163</v>
      </c>
      <c r="C96" s="8" t="s">
        <v>56</v>
      </c>
      <c r="D96" s="8" t="s">
        <v>56</v>
      </c>
      <c r="E96" s="8" t="s">
        <v>635</v>
      </c>
      <c r="F96" s="186"/>
      <c r="O96"/>
    </row>
    <row r="97" spans="1:15" x14ac:dyDescent="0.25">
      <c r="A97" s="32">
        <v>45190</v>
      </c>
      <c r="B97" s="2" t="s">
        <v>163</v>
      </c>
      <c r="C97" s="8" t="s">
        <v>168</v>
      </c>
      <c r="D97" s="8" t="s">
        <v>169</v>
      </c>
      <c r="E97" s="8" t="s">
        <v>188</v>
      </c>
      <c r="F97" s="186"/>
      <c r="O97"/>
    </row>
    <row r="98" spans="1:15" x14ac:dyDescent="0.25">
      <c r="A98" s="32">
        <v>45190</v>
      </c>
      <c r="B98" s="2" t="s">
        <v>163</v>
      </c>
      <c r="C98" s="8" t="s">
        <v>56</v>
      </c>
      <c r="D98" s="8" t="s">
        <v>174</v>
      </c>
      <c r="E98" s="8" t="s">
        <v>183</v>
      </c>
      <c r="F98" s="186"/>
      <c r="O98"/>
    </row>
    <row r="99" spans="1:15" x14ac:dyDescent="0.25">
      <c r="A99" s="32">
        <v>45190</v>
      </c>
      <c r="B99" s="2" t="s">
        <v>163</v>
      </c>
      <c r="C99" s="8" t="s">
        <v>56</v>
      </c>
      <c r="D99" s="8" t="s">
        <v>169</v>
      </c>
      <c r="E99" s="8" t="s">
        <v>842</v>
      </c>
      <c r="F99" s="186"/>
      <c r="O99"/>
    </row>
    <row r="100" spans="1:15" x14ac:dyDescent="0.25">
      <c r="A100" s="32">
        <v>45190</v>
      </c>
      <c r="B100" s="2" t="s">
        <v>163</v>
      </c>
      <c r="C100" s="8" t="s">
        <v>165</v>
      </c>
      <c r="D100" s="8" t="s">
        <v>169</v>
      </c>
      <c r="E100" s="8" t="s">
        <v>184</v>
      </c>
      <c r="F100" s="186"/>
      <c r="O100"/>
    </row>
    <row r="101" spans="1:15" x14ac:dyDescent="0.25">
      <c r="A101" s="32">
        <v>45190</v>
      </c>
      <c r="B101" s="2" t="s">
        <v>163</v>
      </c>
      <c r="C101" s="8" t="s">
        <v>56</v>
      </c>
      <c r="D101" s="8" t="s">
        <v>169</v>
      </c>
      <c r="E101" s="8" t="s">
        <v>186</v>
      </c>
      <c r="F101" s="186"/>
      <c r="O101"/>
    </row>
    <row r="102" spans="1:15" x14ac:dyDescent="0.25">
      <c r="A102" s="32">
        <v>45190</v>
      </c>
      <c r="B102" s="2" t="s">
        <v>163</v>
      </c>
      <c r="C102" s="8" t="s">
        <v>168</v>
      </c>
      <c r="D102" s="8" t="s">
        <v>169</v>
      </c>
      <c r="E102" s="8" t="s">
        <v>184</v>
      </c>
      <c r="F102" s="186"/>
      <c r="O102"/>
    </row>
    <row r="103" spans="1:15" x14ac:dyDescent="0.25">
      <c r="A103" s="32">
        <v>45190</v>
      </c>
      <c r="B103" s="2" t="s">
        <v>163</v>
      </c>
      <c r="C103" s="8" t="s">
        <v>168</v>
      </c>
      <c r="D103" s="8" t="s">
        <v>169</v>
      </c>
      <c r="E103" s="8" t="s">
        <v>189</v>
      </c>
      <c r="F103" s="186"/>
      <c r="O103"/>
    </row>
    <row r="104" spans="1:15" x14ac:dyDescent="0.25">
      <c r="A104" s="32">
        <v>45190</v>
      </c>
      <c r="B104" s="2" t="s">
        <v>163</v>
      </c>
      <c r="C104" s="8" t="s">
        <v>407</v>
      </c>
      <c r="D104" s="8" t="s">
        <v>396</v>
      </c>
      <c r="E104" s="8" t="s">
        <v>177</v>
      </c>
      <c r="F104" s="186"/>
      <c r="O104"/>
    </row>
    <row r="105" spans="1:15" x14ac:dyDescent="0.25">
      <c r="A105" s="32">
        <v>45190</v>
      </c>
      <c r="B105" s="2" t="s">
        <v>163</v>
      </c>
      <c r="C105" s="8" t="s">
        <v>56</v>
      </c>
      <c r="D105" s="8" t="s">
        <v>169</v>
      </c>
      <c r="E105" s="8" t="s">
        <v>188</v>
      </c>
      <c r="F105" s="186"/>
      <c r="O105"/>
    </row>
    <row r="106" spans="1:15" x14ac:dyDescent="0.25">
      <c r="A106" s="32">
        <v>45190</v>
      </c>
      <c r="B106" s="2" t="s">
        <v>163</v>
      </c>
      <c r="C106" s="8" t="s">
        <v>52</v>
      </c>
      <c r="D106" s="8" t="s">
        <v>170</v>
      </c>
      <c r="E106" s="8" t="s">
        <v>177</v>
      </c>
      <c r="F106" s="186"/>
      <c r="O106"/>
    </row>
    <row r="107" spans="1:15" x14ac:dyDescent="0.25">
      <c r="A107" s="32">
        <v>45190</v>
      </c>
      <c r="B107" s="2" t="s">
        <v>163</v>
      </c>
      <c r="C107" s="8" t="s">
        <v>56</v>
      </c>
      <c r="D107" s="8" t="s">
        <v>169</v>
      </c>
      <c r="E107" s="8" t="s">
        <v>184</v>
      </c>
      <c r="F107" s="186"/>
      <c r="O107"/>
    </row>
    <row r="108" spans="1:15" x14ac:dyDescent="0.25">
      <c r="A108" s="32">
        <v>45190</v>
      </c>
      <c r="B108" s="2" t="s">
        <v>163</v>
      </c>
      <c r="C108" s="8" t="s">
        <v>168</v>
      </c>
      <c r="D108" s="8" t="s">
        <v>170</v>
      </c>
      <c r="E108" s="8" t="s">
        <v>177</v>
      </c>
      <c r="F108" s="186"/>
      <c r="O108"/>
    </row>
    <row r="109" spans="1:15" x14ac:dyDescent="0.25">
      <c r="A109" s="32">
        <v>45190</v>
      </c>
      <c r="B109" s="2" t="s">
        <v>163</v>
      </c>
      <c r="C109" s="8" t="s">
        <v>171</v>
      </c>
      <c r="D109" s="8" t="s">
        <v>170</v>
      </c>
      <c r="E109" s="8" t="s">
        <v>177</v>
      </c>
      <c r="F109" s="186"/>
      <c r="O109"/>
    </row>
    <row r="110" spans="1:15" x14ac:dyDescent="0.25">
      <c r="A110" s="32">
        <v>45190</v>
      </c>
      <c r="B110" s="2" t="s">
        <v>163</v>
      </c>
      <c r="C110" s="8" t="s">
        <v>52</v>
      </c>
      <c r="D110" s="8" t="s">
        <v>170</v>
      </c>
      <c r="E110" s="8" t="s">
        <v>179</v>
      </c>
      <c r="F110" s="186"/>
      <c r="O110"/>
    </row>
    <row r="111" spans="1:15" x14ac:dyDescent="0.25">
      <c r="A111" s="32">
        <v>45190</v>
      </c>
      <c r="B111" s="2" t="s">
        <v>163</v>
      </c>
      <c r="C111" s="8" t="s">
        <v>56</v>
      </c>
      <c r="D111" s="8" t="s">
        <v>169</v>
      </c>
      <c r="E111" s="8" t="s">
        <v>189</v>
      </c>
      <c r="F111" s="186"/>
      <c r="O111"/>
    </row>
    <row r="112" spans="1:15" x14ac:dyDescent="0.25">
      <c r="A112" s="32">
        <v>45190</v>
      </c>
      <c r="B112" s="2" t="s">
        <v>163</v>
      </c>
      <c r="C112" s="8" t="s">
        <v>56</v>
      </c>
      <c r="D112" s="8" t="s">
        <v>170</v>
      </c>
      <c r="E112" s="8" t="s">
        <v>177</v>
      </c>
      <c r="F112" s="186"/>
      <c r="O112"/>
    </row>
    <row r="113" spans="1:15" x14ac:dyDescent="0.25">
      <c r="A113" s="32">
        <v>45190</v>
      </c>
      <c r="B113" s="2" t="s">
        <v>163</v>
      </c>
      <c r="C113" s="8" t="s">
        <v>168</v>
      </c>
      <c r="D113" s="8" t="s">
        <v>170</v>
      </c>
      <c r="E113" s="8" t="s">
        <v>179</v>
      </c>
      <c r="F113" s="186"/>
      <c r="O113"/>
    </row>
    <row r="114" spans="1:15" x14ac:dyDescent="0.25">
      <c r="A114" s="32">
        <v>45190</v>
      </c>
      <c r="B114" s="2" t="s">
        <v>163</v>
      </c>
      <c r="C114" s="8" t="s">
        <v>171</v>
      </c>
      <c r="D114" s="8" t="s">
        <v>170</v>
      </c>
      <c r="E114" s="8" t="s">
        <v>179</v>
      </c>
      <c r="F114" s="186"/>
    </row>
    <row r="115" spans="1:15" x14ac:dyDescent="0.25">
      <c r="A115" s="32">
        <v>45190</v>
      </c>
      <c r="B115" s="2" t="s">
        <v>163</v>
      </c>
      <c r="C115" s="8" t="s">
        <v>52</v>
      </c>
      <c r="D115" s="8" t="s">
        <v>170</v>
      </c>
      <c r="E115" s="8" t="s">
        <v>1156</v>
      </c>
      <c r="F115" s="186"/>
    </row>
    <row r="116" spans="1:15" x14ac:dyDescent="0.25">
      <c r="A116" s="32">
        <v>45190</v>
      </c>
      <c r="B116" s="2" t="s">
        <v>163</v>
      </c>
      <c r="C116" s="8" t="s">
        <v>56</v>
      </c>
      <c r="D116" s="8" t="s">
        <v>170</v>
      </c>
      <c r="E116" s="8" t="s">
        <v>179</v>
      </c>
      <c r="F116" s="186"/>
    </row>
    <row r="117" spans="1:15" x14ac:dyDescent="0.25">
      <c r="A117" s="32">
        <v>45190</v>
      </c>
      <c r="B117" s="2" t="s">
        <v>163</v>
      </c>
      <c r="C117" s="8" t="s">
        <v>56</v>
      </c>
      <c r="D117" s="8" t="s">
        <v>170</v>
      </c>
      <c r="E117" s="8" t="s">
        <v>1156</v>
      </c>
      <c r="F117" s="186"/>
    </row>
    <row r="118" spans="1:15" x14ac:dyDescent="0.25">
      <c r="A118" s="32">
        <v>45190</v>
      </c>
      <c r="B118" s="2" t="s">
        <v>163</v>
      </c>
      <c r="C118" s="8" t="s">
        <v>168</v>
      </c>
      <c r="D118" s="8" t="s">
        <v>170</v>
      </c>
      <c r="E118" s="8" t="s">
        <v>1156</v>
      </c>
      <c r="F118" s="186"/>
    </row>
    <row r="119" spans="1:15" x14ac:dyDescent="0.25">
      <c r="A119" s="32">
        <v>45190</v>
      </c>
      <c r="B119" s="2" t="s">
        <v>163</v>
      </c>
      <c r="C119" s="8" t="s">
        <v>171</v>
      </c>
      <c r="D119" s="8" t="s">
        <v>170</v>
      </c>
      <c r="E119" s="8" t="s">
        <v>1156</v>
      </c>
      <c r="F119" s="186"/>
    </row>
    <row r="120" spans="1:15" x14ac:dyDescent="0.25">
      <c r="A120" s="32">
        <v>45190</v>
      </c>
      <c r="B120" s="2" t="s">
        <v>163</v>
      </c>
      <c r="C120" s="8" t="s">
        <v>171</v>
      </c>
      <c r="D120" s="8" t="s">
        <v>395</v>
      </c>
      <c r="E120" s="8" t="s">
        <v>176</v>
      </c>
      <c r="F120" s="186"/>
    </row>
    <row r="121" spans="1:15" x14ac:dyDescent="0.25">
      <c r="A121" s="32">
        <v>45190</v>
      </c>
      <c r="B121" s="2" t="s">
        <v>163</v>
      </c>
      <c r="C121" s="8" t="s">
        <v>52</v>
      </c>
      <c r="D121" s="3" t="s">
        <v>395</v>
      </c>
      <c r="E121" s="8" t="s">
        <v>176</v>
      </c>
      <c r="F121" s="186"/>
    </row>
    <row r="122" spans="1:15" x14ac:dyDescent="0.25">
      <c r="A122" s="32">
        <v>45190</v>
      </c>
      <c r="B122" s="2" t="s">
        <v>163</v>
      </c>
      <c r="C122" s="8" t="s">
        <v>171</v>
      </c>
      <c r="D122" s="8" t="s">
        <v>395</v>
      </c>
      <c r="E122" s="8" t="s">
        <v>959</v>
      </c>
      <c r="F122" s="186"/>
    </row>
    <row r="123" spans="1:15" x14ac:dyDescent="0.25">
      <c r="A123" s="32">
        <v>45190</v>
      </c>
      <c r="B123" s="2" t="s">
        <v>163</v>
      </c>
      <c r="C123" s="8" t="s">
        <v>52</v>
      </c>
      <c r="D123" s="3" t="s">
        <v>395</v>
      </c>
      <c r="E123" s="8" t="s">
        <v>959</v>
      </c>
      <c r="F123" s="186"/>
    </row>
    <row r="124" spans="1:15" x14ac:dyDescent="0.25">
      <c r="A124" s="32">
        <v>45190</v>
      </c>
      <c r="B124" s="2" t="s">
        <v>163</v>
      </c>
      <c r="C124" s="8" t="s">
        <v>56</v>
      </c>
      <c r="D124" s="8" t="s">
        <v>397</v>
      </c>
      <c r="E124" s="8" t="s">
        <v>178</v>
      </c>
      <c r="F124" s="186"/>
    </row>
    <row r="125" spans="1:15" x14ac:dyDescent="0.25">
      <c r="A125" s="32">
        <v>45190</v>
      </c>
      <c r="B125" s="2" t="s">
        <v>163</v>
      </c>
      <c r="C125" s="8" t="s">
        <v>168</v>
      </c>
      <c r="D125" s="8" t="s">
        <v>56</v>
      </c>
      <c r="E125" s="8" t="s">
        <v>1705</v>
      </c>
      <c r="F125" s="186"/>
    </row>
    <row r="126" spans="1:15" x14ac:dyDescent="0.25">
      <c r="A126" s="32">
        <v>45190</v>
      </c>
      <c r="B126" s="2" t="s">
        <v>163</v>
      </c>
      <c r="C126" s="8" t="s">
        <v>171</v>
      </c>
      <c r="D126" s="8" t="s">
        <v>397</v>
      </c>
      <c r="E126" s="8" t="s">
        <v>1704</v>
      </c>
      <c r="F126" s="186"/>
    </row>
    <row r="127" spans="1:15" x14ac:dyDescent="0.25">
      <c r="A127" s="32">
        <v>45190</v>
      </c>
      <c r="B127" s="2" t="s">
        <v>163</v>
      </c>
      <c r="C127" s="8" t="s">
        <v>169</v>
      </c>
      <c r="D127" s="8" t="s">
        <v>397</v>
      </c>
      <c r="E127" s="8" t="s">
        <v>178</v>
      </c>
      <c r="F127" s="186"/>
    </row>
    <row r="128" spans="1:15" x14ac:dyDescent="0.25">
      <c r="A128" s="32">
        <v>45190</v>
      </c>
      <c r="B128" s="2" t="s">
        <v>163</v>
      </c>
      <c r="C128" s="8" t="s">
        <v>1973</v>
      </c>
      <c r="D128" s="8" t="s">
        <v>52</v>
      </c>
      <c r="E128" s="8" t="s">
        <v>959</v>
      </c>
      <c r="F128" s="186"/>
    </row>
    <row r="129" spans="1:6" x14ac:dyDescent="0.25">
      <c r="A129" s="32">
        <v>45190</v>
      </c>
      <c r="B129" s="2" t="s">
        <v>163</v>
      </c>
      <c r="C129" s="8" t="s">
        <v>166</v>
      </c>
      <c r="D129" s="8" t="s">
        <v>56</v>
      </c>
      <c r="E129" s="8" t="s">
        <v>2444</v>
      </c>
      <c r="F129" s="186"/>
    </row>
    <row r="130" spans="1:6" x14ac:dyDescent="0.25">
      <c r="A130" s="32">
        <v>45190</v>
      </c>
      <c r="B130" s="2" t="s">
        <v>163</v>
      </c>
      <c r="C130" s="8" t="s">
        <v>169</v>
      </c>
      <c r="D130" s="8" t="s">
        <v>56</v>
      </c>
      <c r="E130" s="8" t="s">
        <v>2444</v>
      </c>
      <c r="F130" s="186"/>
    </row>
    <row r="131" spans="1:6" x14ac:dyDescent="0.25">
      <c r="A131" s="32">
        <v>45190</v>
      </c>
      <c r="B131" s="2" t="s">
        <v>163</v>
      </c>
      <c r="C131" s="8" t="s">
        <v>165</v>
      </c>
      <c r="D131" s="8" t="s">
        <v>56</v>
      </c>
      <c r="E131" s="8" t="s">
        <v>2444</v>
      </c>
      <c r="F131" s="186"/>
    </row>
    <row r="132" spans="1:6" x14ac:dyDescent="0.25">
      <c r="A132" s="32">
        <v>45190</v>
      </c>
      <c r="B132" s="2" t="s">
        <v>163</v>
      </c>
      <c r="C132" s="8" t="s">
        <v>168</v>
      </c>
      <c r="D132" s="8" t="s">
        <v>56</v>
      </c>
      <c r="E132" s="8" t="s">
        <v>2444</v>
      </c>
      <c r="F132" s="186"/>
    </row>
    <row r="133" spans="1:6" x14ac:dyDescent="0.25">
      <c r="A133" s="32">
        <v>45190</v>
      </c>
      <c r="B133" s="2" t="s">
        <v>163</v>
      </c>
      <c r="C133" s="8" t="s">
        <v>56</v>
      </c>
      <c r="D133" s="8" t="s">
        <v>56</v>
      </c>
      <c r="E133" s="8" t="s">
        <v>2444</v>
      </c>
      <c r="F133" s="186"/>
    </row>
    <row r="134" spans="1:6" x14ac:dyDescent="0.25">
      <c r="A134" s="32">
        <v>45399</v>
      </c>
      <c r="B134" s="2" t="s">
        <v>162</v>
      </c>
      <c r="C134" s="3" t="s">
        <v>158</v>
      </c>
      <c r="D134" s="2" t="s">
        <v>408</v>
      </c>
      <c r="E134" s="8" t="s">
        <v>161</v>
      </c>
      <c r="F134" s="186"/>
    </row>
    <row r="135" spans="1:6" x14ac:dyDescent="0.25">
      <c r="A135" s="32">
        <v>45399</v>
      </c>
      <c r="B135" s="2" t="s">
        <v>162</v>
      </c>
      <c r="C135" s="3" t="s">
        <v>158</v>
      </c>
      <c r="D135" s="2" t="s">
        <v>408</v>
      </c>
      <c r="E135" s="8" t="s">
        <v>160</v>
      </c>
      <c r="F135" s="186"/>
    </row>
    <row r="136" spans="1:6" x14ac:dyDescent="0.25">
      <c r="A136" s="32">
        <v>45399</v>
      </c>
      <c r="B136" s="2" t="s">
        <v>162</v>
      </c>
      <c r="C136" s="3" t="s">
        <v>158</v>
      </c>
      <c r="D136" s="2" t="s">
        <v>408</v>
      </c>
      <c r="E136" s="8" t="s">
        <v>1970</v>
      </c>
      <c r="F136" s="186"/>
    </row>
    <row r="137" spans="1:6" x14ac:dyDescent="0.25">
      <c r="A137" s="32">
        <v>45399</v>
      </c>
      <c r="B137" s="2" t="s">
        <v>163</v>
      </c>
      <c r="C137" s="3" t="s">
        <v>52</v>
      </c>
      <c r="D137" s="2" t="s">
        <v>52</v>
      </c>
      <c r="E137" s="8" t="s">
        <v>834</v>
      </c>
      <c r="F137" s="186"/>
    </row>
    <row r="138" spans="1:6" x14ac:dyDescent="0.25">
      <c r="A138" s="32">
        <v>45399</v>
      </c>
      <c r="B138" s="2" t="s">
        <v>163</v>
      </c>
      <c r="C138" s="3" t="s">
        <v>52</v>
      </c>
      <c r="D138" s="2" t="s">
        <v>52</v>
      </c>
      <c r="E138" s="8" t="s">
        <v>842</v>
      </c>
      <c r="F138" s="186"/>
    </row>
    <row r="139" spans="1:6" x14ac:dyDescent="0.25">
      <c r="A139" s="32">
        <v>45399</v>
      </c>
      <c r="B139" s="2" t="s">
        <v>163</v>
      </c>
      <c r="C139" s="3" t="s">
        <v>52</v>
      </c>
      <c r="D139" s="2" t="s">
        <v>52</v>
      </c>
      <c r="E139" s="8" t="s">
        <v>177</v>
      </c>
      <c r="F139" s="186"/>
    </row>
    <row r="140" spans="1:6" x14ac:dyDescent="0.25">
      <c r="A140" s="32">
        <v>45399</v>
      </c>
      <c r="B140" s="2" t="s">
        <v>163</v>
      </c>
      <c r="C140" s="3" t="s">
        <v>52</v>
      </c>
      <c r="D140" s="2" t="s">
        <v>52</v>
      </c>
      <c r="E140" s="8" t="s">
        <v>186</v>
      </c>
      <c r="F140" s="186"/>
    </row>
    <row r="141" spans="1:6" x14ac:dyDescent="0.25">
      <c r="A141" s="32">
        <v>45399</v>
      </c>
      <c r="B141" s="2" t="s">
        <v>163</v>
      </c>
      <c r="C141" s="3" t="s">
        <v>52</v>
      </c>
      <c r="D141" s="2" t="s">
        <v>52</v>
      </c>
      <c r="E141" s="8" t="s">
        <v>842</v>
      </c>
      <c r="F141" s="186"/>
    </row>
    <row r="142" spans="1:6" x14ac:dyDescent="0.25">
      <c r="A142" s="32">
        <v>45399</v>
      </c>
      <c r="B142" s="2" t="s">
        <v>163</v>
      </c>
      <c r="C142" s="3" t="s">
        <v>52</v>
      </c>
      <c r="D142" s="2" t="s">
        <v>52</v>
      </c>
      <c r="E142" s="8" t="s">
        <v>3805</v>
      </c>
      <c r="F142" s="186"/>
    </row>
    <row r="143" spans="1:6" x14ac:dyDescent="0.25">
      <c r="A143" s="32">
        <v>45399</v>
      </c>
      <c r="B143" s="2" t="s">
        <v>163</v>
      </c>
      <c r="C143" s="3" t="s">
        <v>52</v>
      </c>
      <c r="D143" s="2" t="s">
        <v>52</v>
      </c>
      <c r="E143" s="8" t="s">
        <v>959</v>
      </c>
      <c r="F143" s="186"/>
    </row>
    <row r="144" spans="1:6" x14ac:dyDescent="0.25">
      <c r="A144" s="32">
        <v>45399</v>
      </c>
      <c r="B144" s="2" t="s">
        <v>163</v>
      </c>
      <c r="C144" s="3" t="s">
        <v>52</v>
      </c>
      <c r="D144" s="2" t="s">
        <v>171</v>
      </c>
      <c r="E144" s="8" t="s">
        <v>176</v>
      </c>
      <c r="F144" s="186"/>
    </row>
    <row r="145" spans="1:6" x14ac:dyDescent="0.25">
      <c r="A145" s="32">
        <v>45399</v>
      </c>
      <c r="B145" s="2" t="s">
        <v>163</v>
      </c>
      <c r="C145" s="3" t="s">
        <v>52</v>
      </c>
      <c r="D145" s="2" t="s">
        <v>171</v>
      </c>
      <c r="E145" s="8" t="s">
        <v>3805</v>
      </c>
      <c r="F145" s="186"/>
    </row>
    <row r="146" spans="1:6" x14ac:dyDescent="0.25">
      <c r="A146" s="32">
        <v>45399</v>
      </c>
      <c r="B146" s="2" t="s">
        <v>163</v>
      </c>
      <c r="C146" s="3" t="s">
        <v>52</v>
      </c>
      <c r="D146" s="2" t="s">
        <v>171</v>
      </c>
      <c r="E146" s="8" t="s">
        <v>959</v>
      </c>
      <c r="F146" s="186"/>
    </row>
    <row r="147" spans="1:6" x14ac:dyDescent="0.25">
      <c r="A147" s="32">
        <v>45399</v>
      </c>
      <c r="B147" s="2" t="s">
        <v>163</v>
      </c>
      <c r="C147" s="3" t="s">
        <v>52</v>
      </c>
      <c r="D147" s="2" t="s">
        <v>170</v>
      </c>
      <c r="E147" s="8" t="s">
        <v>177</v>
      </c>
      <c r="F147" s="186"/>
    </row>
    <row r="148" spans="1:6" x14ac:dyDescent="0.25">
      <c r="A148" s="32">
        <v>45399</v>
      </c>
      <c r="B148" s="2" t="s">
        <v>163</v>
      </c>
      <c r="C148" s="3" t="s">
        <v>52</v>
      </c>
      <c r="D148" s="2" t="s">
        <v>170</v>
      </c>
      <c r="E148" s="8" t="s">
        <v>179</v>
      </c>
      <c r="F148" s="186"/>
    </row>
    <row r="149" spans="1:6" x14ac:dyDescent="0.25">
      <c r="A149" s="32">
        <v>45399</v>
      </c>
      <c r="B149" s="2" t="s">
        <v>163</v>
      </c>
      <c r="C149" s="3" t="s">
        <v>52</v>
      </c>
      <c r="D149" s="2" t="s">
        <v>170</v>
      </c>
      <c r="E149" s="8" t="s">
        <v>1156</v>
      </c>
      <c r="F149" s="186"/>
    </row>
    <row r="150" spans="1:6" x14ac:dyDescent="0.25">
      <c r="A150" s="32">
        <v>45399</v>
      </c>
      <c r="B150" s="2" t="s">
        <v>163</v>
      </c>
      <c r="C150" s="3" t="s">
        <v>52</v>
      </c>
      <c r="D150" s="2" t="s">
        <v>3802</v>
      </c>
      <c r="E150" s="8" t="s">
        <v>183</v>
      </c>
      <c r="F150" s="186"/>
    </row>
    <row r="151" spans="1:6" x14ac:dyDescent="0.25">
      <c r="A151" s="32">
        <v>45399</v>
      </c>
      <c r="B151" s="2" t="s">
        <v>163</v>
      </c>
      <c r="C151" s="3" t="s">
        <v>52</v>
      </c>
      <c r="D151" s="2" t="s">
        <v>3803</v>
      </c>
      <c r="E151" s="8" t="s">
        <v>178</v>
      </c>
      <c r="F151" s="186"/>
    </row>
    <row r="152" spans="1:6" x14ac:dyDescent="0.25">
      <c r="A152" s="32">
        <v>45399</v>
      </c>
      <c r="B152" s="2" t="s">
        <v>163</v>
      </c>
      <c r="C152" s="3" t="s">
        <v>52</v>
      </c>
      <c r="D152" s="2" t="s">
        <v>3803</v>
      </c>
      <c r="E152" s="8" t="s">
        <v>182</v>
      </c>
      <c r="F152" s="186"/>
    </row>
    <row r="153" spans="1:6" x14ac:dyDescent="0.25">
      <c r="A153" s="32">
        <v>45399</v>
      </c>
      <c r="B153" s="2" t="s">
        <v>163</v>
      </c>
      <c r="C153" s="3" t="s">
        <v>52</v>
      </c>
      <c r="D153" s="2" t="s">
        <v>3804</v>
      </c>
      <c r="E153" s="8" t="s">
        <v>3791</v>
      </c>
      <c r="F153" s="186"/>
    </row>
    <row r="154" spans="1:6" x14ac:dyDescent="0.25">
      <c r="A154" s="32">
        <v>45399</v>
      </c>
      <c r="B154" s="2" t="s">
        <v>163</v>
      </c>
      <c r="C154" s="3" t="s">
        <v>52</v>
      </c>
      <c r="D154" s="2" t="s">
        <v>3804</v>
      </c>
      <c r="E154" s="8" t="s">
        <v>854</v>
      </c>
      <c r="F154" s="186"/>
    </row>
    <row r="155" spans="1:6" x14ac:dyDescent="0.25">
      <c r="A155" s="32">
        <v>45399</v>
      </c>
      <c r="B155" s="2" t="s">
        <v>163</v>
      </c>
      <c r="C155" s="3" t="s">
        <v>52</v>
      </c>
      <c r="D155" s="2" t="s">
        <v>3804</v>
      </c>
      <c r="E155" s="8" t="s">
        <v>1705</v>
      </c>
      <c r="F155" s="186"/>
    </row>
    <row r="156" spans="1:6" x14ac:dyDescent="0.25">
      <c r="A156" s="32">
        <v>45399</v>
      </c>
      <c r="B156" s="2" t="s">
        <v>163</v>
      </c>
      <c r="C156" s="3" t="s">
        <v>164</v>
      </c>
      <c r="D156" s="2" t="s">
        <v>3806</v>
      </c>
      <c r="E156" s="8" t="s">
        <v>834</v>
      </c>
      <c r="F156" s="186"/>
    </row>
    <row r="157" spans="1:6" x14ac:dyDescent="0.25">
      <c r="A157" s="32">
        <v>45399</v>
      </c>
      <c r="B157" s="2" t="s">
        <v>163</v>
      </c>
      <c r="C157" s="3" t="s">
        <v>164</v>
      </c>
      <c r="D157" s="2" t="s">
        <v>3806</v>
      </c>
      <c r="E157" s="8" t="s">
        <v>3807</v>
      </c>
      <c r="F157" s="186"/>
    </row>
    <row r="158" spans="1:6" x14ac:dyDescent="0.25">
      <c r="A158" s="32">
        <v>45399</v>
      </c>
      <c r="B158" s="2" t="s">
        <v>163</v>
      </c>
      <c r="C158" s="3" t="s">
        <v>164</v>
      </c>
      <c r="D158" s="2" t="s">
        <v>3806</v>
      </c>
      <c r="E158" s="8" t="s">
        <v>177</v>
      </c>
      <c r="F158" s="186"/>
    </row>
    <row r="159" spans="1:6" x14ac:dyDescent="0.25">
      <c r="A159" s="32">
        <v>45399</v>
      </c>
      <c r="B159" s="2" t="s">
        <v>163</v>
      </c>
      <c r="C159" s="3" t="s">
        <v>164</v>
      </c>
      <c r="D159" s="2" t="s">
        <v>3806</v>
      </c>
      <c r="E159" s="8" t="s">
        <v>389</v>
      </c>
      <c r="F159" s="186"/>
    </row>
    <row r="160" spans="1:6" x14ac:dyDescent="0.25">
      <c r="A160" s="32">
        <v>45399</v>
      </c>
      <c r="B160" s="2" t="s">
        <v>163</v>
      </c>
      <c r="C160" s="3" t="s">
        <v>164</v>
      </c>
      <c r="D160" s="2" t="s">
        <v>3806</v>
      </c>
      <c r="E160" s="8" t="s">
        <v>1052</v>
      </c>
      <c r="F160" s="186"/>
    </row>
    <row r="161" spans="1:6" x14ac:dyDescent="0.25">
      <c r="A161" s="32">
        <v>45399</v>
      </c>
      <c r="B161" s="2" t="s">
        <v>163</v>
      </c>
      <c r="C161" s="3" t="s">
        <v>164</v>
      </c>
      <c r="D161" s="2" t="s">
        <v>3806</v>
      </c>
      <c r="E161" s="8" t="s">
        <v>183</v>
      </c>
      <c r="F161" s="186"/>
    </row>
    <row r="162" spans="1:6" x14ac:dyDescent="0.25">
      <c r="A162" s="32">
        <v>45399</v>
      </c>
      <c r="B162" s="2" t="s">
        <v>163</v>
      </c>
      <c r="C162" s="3" t="s">
        <v>164</v>
      </c>
      <c r="D162" s="2" t="s">
        <v>3806</v>
      </c>
      <c r="E162" s="8" t="s">
        <v>1260</v>
      </c>
      <c r="F162" s="186"/>
    </row>
    <row r="163" spans="1:6" x14ac:dyDescent="0.25">
      <c r="A163" s="32">
        <v>45399</v>
      </c>
      <c r="B163" s="2" t="s">
        <v>163</v>
      </c>
      <c r="C163" s="3" t="s">
        <v>164</v>
      </c>
      <c r="D163" s="2" t="s">
        <v>170</v>
      </c>
      <c r="E163" s="8" t="s">
        <v>177</v>
      </c>
      <c r="F163" s="186"/>
    </row>
    <row r="164" spans="1:6" x14ac:dyDescent="0.25">
      <c r="A164" s="32">
        <v>45399</v>
      </c>
      <c r="B164" s="2" t="s">
        <v>163</v>
      </c>
      <c r="C164" s="3" t="s">
        <v>164</v>
      </c>
      <c r="D164" s="2" t="s">
        <v>170</v>
      </c>
      <c r="E164" s="8" t="s">
        <v>179</v>
      </c>
      <c r="F164" s="186"/>
    </row>
    <row r="165" spans="1:6" x14ac:dyDescent="0.25">
      <c r="A165" s="32">
        <v>45399</v>
      </c>
      <c r="B165" s="2" t="s">
        <v>163</v>
      </c>
      <c r="C165" s="3" t="s">
        <v>164</v>
      </c>
      <c r="D165" s="2" t="s">
        <v>170</v>
      </c>
      <c r="E165" s="8" t="s">
        <v>1156</v>
      </c>
      <c r="F165" s="186"/>
    </row>
    <row r="166" spans="1:6" x14ac:dyDescent="0.25">
      <c r="A166" s="32">
        <v>45399</v>
      </c>
      <c r="B166" s="2" t="s">
        <v>163</v>
      </c>
      <c r="C166" s="3" t="s">
        <v>165</v>
      </c>
      <c r="D166" s="2" t="s">
        <v>3808</v>
      </c>
      <c r="E166" s="8" t="s">
        <v>160</v>
      </c>
      <c r="F166" s="186"/>
    </row>
    <row r="167" spans="1:6" x14ac:dyDescent="0.25">
      <c r="A167" s="32">
        <v>45399</v>
      </c>
      <c r="B167" s="2" t="s">
        <v>163</v>
      </c>
      <c r="C167" s="3" t="s">
        <v>165</v>
      </c>
      <c r="D167" s="2" t="s">
        <v>3809</v>
      </c>
      <c r="E167" s="8" t="s">
        <v>834</v>
      </c>
      <c r="F167" s="186"/>
    </row>
    <row r="168" spans="1:6" x14ac:dyDescent="0.25">
      <c r="A168" s="32">
        <v>45399</v>
      </c>
      <c r="B168" s="2" t="s">
        <v>163</v>
      </c>
      <c r="C168" s="3" t="s">
        <v>165</v>
      </c>
      <c r="D168" s="2" t="s">
        <v>3809</v>
      </c>
      <c r="E168" s="8" t="s">
        <v>842</v>
      </c>
      <c r="F168" s="186"/>
    </row>
    <row r="169" spans="1:6" x14ac:dyDescent="0.25">
      <c r="A169" s="32">
        <v>45399</v>
      </c>
      <c r="B169" s="2" t="s">
        <v>163</v>
      </c>
      <c r="C169" s="3" t="s">
        <v>165</v>
      </c>
      <c r="D169" s="2" t="s">
        <v>3809</v>
      </c>
      <c r="E169" s="8" t="s">
        <v>178</v>
      </c>
      <c r="F169" s="186"/>
    </row>
    <row r="170" spans="1:6" x14ac:dyDescent="0.25">
      <c r="A170" s="32">
        <v>45399</v>
      </c>
      <c r="B170" s="2" t="s">
        <v>163</v>
      </c>
      <c r="C170" s="3" t="s">
        <v>165</v>
      </c>
      <c r="D170" s="2" t="s">
        <v>3809</v>
      </c>
      <c r="E170" s="8" t="s">
        <v>3791</v>
      </c>
      <c r="F170" s="186"/>
    </row>
    <row r="171" spans="1:6" x14ac:dyDescent="0.25">
      <c r="A171" s="32">
        <v>45399</v>
      </c>
      <c r="B171" s="2" t="s">
        <v>163</v>
      </c>
      <c r="C171" s="3" t="s">
        <v>165</v>
      </c>
      <c r="D171" s="2" t="s">
        <v>3809</v>
      </c>
      <c r="E171" s="8" t="s">
        <v>854</v>
      </c>
      <c r="F171" s="186"/>
    </row>
    <row r="172" spans="1:6" x14ac:dyDescent="0.25">
      <c r="A172" s="32">
        <v>45399</v>
      </c>
      <c r="B172" s="2" t="s">
        <v>163</v>
      </c>
      <c r="C172" s="3" t="s">
        <v>165</v>
      </c>
      <c r="D172" s="2" t="s">
        <v>3809</v>
      </c>
      <c r="E172" s="8" t="s">
        <v>1260</v>
      </c>
      <c r="F172" s="186"/>
    </row>
    <row r="173" spans="1:6" x14ac:dyDescent="0.25">
      <c r="A173" s="32">
        <v>45399</v>
      </c>
      <c r="B173" s="2" t="s">
        <v>163</v>
      </c>
      <c r="C173" s="3" t="s">
        <v>165</v>
      </c>
      <c r="D173" s="2" t="s">
        <v>3809</v>
      </c>
      <c r="E173" s="8" t="s">
        <v>188</v>
      </c>
      <c r="F173" s="186"/>
    </row>
    <row r="174" spans="1:6" x14ac:dyDescent="0.25">
      <c r="A174" s="32">
        <v>45399</v>
      </c>
      <c r="B174" s="2" t="s">
        <v>163</v>
      </c>
      <c r="C174" s="3" t="s">
        <v>165</v>
      </c>
      <c r="D174" s="2" t="s">
        <v>3809</v>
      </c>
      <c r="E174" s="8" t="s">
        <v>189</v>
      </c>
      <c r="F174" s="186"/>
    </row>
    <row r="175" spans="1:6" x14ac:dyDescent="0.25">
      <c r="A175" s="32">
        <v>45399</v>
      </c>
      <c r="B175" s="2" t="s">
        <v>163</v>
      </c>
      <c r="C175" s="3" t="s">
        <v>165</v>
      </c>
      <c r="D175" s="2" t="s">
        <v>56</v>
      </c>
      <c r="E175" s="8" t="s">
        <v>635</v>
      </c>
      <c r="F175" s="186"/>
    </row>
    <row r="176" spans="1:6" x14ac:dyDescent="0.25">
      <c r="A176" s="32">
        <v>45399</v>
      </c>
      <c r="B176" s="2" t="s">
        <v>163</v>
      </c>
      <c r="C176" s="3" t="s">
        <v>165</v>
      </c>
      <c r="D176" s="2" t="s">
        <v>56</v>
      </c>
      <c r="E176" s="8" t="s">
        <v>2444</v>
      </c>
      <c r="F176" s="186"/>
    </row>
    <row r="177" spans="1:25" x14ac:dyDescent="0.25">
      <c r="A177" s="32">
        <v>45399</v>
      </c>
      <c r="B177" s="2" t="s">
        <v>163</v>
      </c>
      <c r="C177" s="3" t="s">
        <v>165</v>
      </c>
      <c r="D177" s="2" t="s">
        <v>170</v>
      </c>
      <c r="E177" s="8" t="s">
        <v>177</v>
      </c>
      <c r="F177" s="186"/>
    </row>
    <row r="178" spans="1:25" x14ac:dyDescent="0.25">
      <c r="A178" s="32">
        <v>45399</v>
      </c>
      <c r="B178" s="2" t="s">
        <v>163</v>
      </c>
      <c r="C178" s="3" t="s">
        <v>165</v>
      </c>
      <c r="D178" s="2" t="s">
        <v>170</v>
      </c>
      <c r="E178" s="8" t="s">
        <v>179</v>
      </c>
      <c r="F178" s="186"/>
    </row>
    <row r="179" spans="1:25" x14ac:dyDescent="0.25">
      <c r="A179" s="32">
        <v>45399</v>
      </c>
      <c r="B179" s="2" t="s">
        <v>163</v>
      </c>
      <c r="C179" s="3" t="s">
        <v>165</v>
      </c>
      <c r="D179" s="2" t="s">
        <v>170</v>
      </c>
      <c r="E179" s="8" t="s">
        <v>1156</v>
      </c>
      <c r="F179" s="186"/>
    </row>
    <row r="180" spans="1:25" x14ac:dyDescent="0.25">
      <c r="A180" s="32">
        <v>45399</v>
      </c>
      <c r="B180" s="2" t="s">
        <v>163</v>
      </c>
      <c r="C180" s="3" t="s">
        <v>3810</v>
      </c>
      <c r="D180" s="2" t="s">
        <v>3808</v>
      </c>
      <c r="E180" s="8" t="s">
        <v>160</v>
      </c>
      <c r="F180" s="186"/>
      <c r="N180" s="7"/>
      <c r="O180"/>
      <c r="T180" s="1"/>
      <c r="Y180"/>
    </row>
    <row r="181" spans="1:25" x14ac:dyDescent="0.25">
      <c r="A181" s="32">
        <v>45399</v>
      </c>
      <c r="B181" s="2" t="s">
        <v>163</v>
      </c>
      <c r="C181" s="3" t="s">
        <v>3810</v>
      </c>
      <c r="D181" s="2" t="s">
        <v>408</v>
      </c>
      <c r="E181" s="8" t="s">
        <v>1971</v>
      </c>
      <c r="F181" s="186"/>
    </row>
    <row r="182" spans="1:25" x14ac:dyDescent="0.25">
      <c r="A182" s="32">
        <v>45399</v>
      </c>
      <c r="B182" s="2" t="s">
        <v>163</v>
      </c>
      <c r="C182" s="3" t="s">
        <v>3810</v>
      </c>
      <c r="D182" s="2" t="s">
        <v>170</v>
      </c>
      <c r="E182" s="8" t="s">
        <v>177</v>
      </c>
      <c r="F182" s="186"/>
    </row>
    <row r="183" spans="1:25" x14ac:dyDescent="0.25">
      <c r="A183" s="32">
        <v>45399</v>
      </c>
      <c r="B183" s="2" t="s">
        <v>163</v>
      </c>
      <c r="C183" s="3" t="s">
        <v>3810</v>
      </c>
      <c r="D183" s="2" t="s">
        <v>170</v>
      </c>
      <c r="E183" s="8" t="s">
        <v>179</v>
      </c>
      <c r="F183" s="186"/>
    </row>
    <row r="184" spans="1:25" x14ac:dyDescent="0.25">
      <c r="A184" s="32">
        <v>45399</v>
      </c>
      <c r="B184" s="2" t="s">
        <v>163</v>
      </c>
      <c r="C184" s="3" t="s">
        <v>3810</v>
      </c>
      <c r="D184" s="2" t="s">
        <v>170</v>
      </c>
      <c r="E184" s="8" t="s">
        <v>1156</v>
      </c>
      <c r="F184" s="186"/>
    </row>
    <row r="185" spans="1:25" x14ac:dyDescent="0.25">
      <c r="A185" s="32">
        <v>45399</v>
      </c>
      <c r="B185" s="2" t="s">
        <v>163</v>
      </c>
      <c r="C185" s="3" t="s">
        <v>168</v>
      </c>
      <c r="D185" s="2" t="s">
        <v>3808</v>
      </c>
      <c r="E185" s="8" t="s">
        <v>160</v>
      </c>
      <c r="F185" s="186"/>
    </row>
    <row r="186" spans="1:25" x14ac:dyDescent="0.25">
      <c r="A186" s="32">
        <v>45399</v>
      </c>
      <c r="B186" s="2" t="s">
        <v>163</v>
      </c>
      <c r="C186" s="3" t="s">
        <v>168</v>
      </c>
      <c r="D186" s="2" t="s">
        <v>3809</v>
      </c>
      <c r="E186" s="8" t="s">
        <v>834</v>
      </c>
      <c r="F186" s="186"/>
    </row>
    <row r="187" spans="1:25" x14ac:dyDescent="0.25">
      <c r="A187" s="32">
        <v>45399</v>
      </c>
      <c r="B187" s="2" t="s">
        <v>163</v>
      </c>
      <c r="C187" s="3" t="s">
        <v>168</v>
      </c>
      <c r="D187" s="2" t="s">
        <v>3809</v>
      </c>
      <c r="E187" s="8" t="s">
        <v>842</v>
      </c>
      <c r="F187" s="186"/>
    </row>
    <row r="188" spans="1:25" x14ac:dyDescent="0.25">
      <c r="A188" s="32">
        <v>45399</v>
      </c>
      <c r="B188" s="2" t="s">
        <v>163</v>
      </c>
      <c r="C188" s="3" t="s">
        <v>168</v>
      </c>
      <c r="D188" s="2" t="s">
        <v>3809</v>
      </c>
      <c r="E188" s="8" t="s">
        <v>186</v>
      </c>
      <c r="F188" s="186"/>
    </row>
    <row r="189" spans="1:25" x14ac:dyDescent="0.25">
      <c r="A189" s="32">
        <v>45399</v>
      </c>
      <c r="B189" s="2" t="s">
        <v>163</v>
      </c>
      <c r="C189" s="3" t="s">
        <v>168</v>
      </c>
      <c r="D189" s="2" t="s">
        <v>3809</v>
      </c>
      <c r="E189" s="8" t="s">
        <v>178</v>
      </c>
      <c r="F189" s="186"/>
    </row>
    <row r="190" spans="1:25" x14ac:dyDescent="0.25">
      <c r="A190" s="32">
        <v>45399</v>
      </c>
      <c r="B190" s="2" t="s">
        <v>163</v>
      </c>
      <c r="C190" s="3" t="s">
        <v>168</v>
      </c>
      <c r="D190" s="2" t="s">
        <v>3809</v>
      </c>
      <c r="E190" s="8" t="s">
        <v>3791</v>
      </c>
      <c r="F190" s="186"/>
    </row>
    <row r="191" spans="1:25" x14ac:dyDescent="0.25">
      <c r="A191" s="32">
        <v>45399</v>
      </c>
      <c r="B191" s="2" t="s">
        <v>163</v>
      </c>
      <c r="C191" s="3" t="s">
        <v>168</v>
      </c>
      <c r="D191" s="2" t="s">
        <v>3809</v>
      </c>
      <c r="E191" s="8" t="s">
        <v>854</v>
      </c>
      <c r="F191" s="186"/>
    </row>
    <row r="192" spans="1:25" x14ac:dyDescent="0.25">
      <c r="A192" s="32">
        <v>45399</v>
      </c>
      <c r="B192" s="2" t="s">
        <v>163</v>
      </c>
      <c r="C192" s="3" t="s">
        <v>168</v>
      </c>
      <c r="D192" s="2" t="s">
        <v>3809</v>
      </c>
      <c r="E192" s="8" t="s">
        <v>1260</v>
      </c>
      <c r="F192" s="186"/>
    </row>
    <row r="193" spans="1:6" x14ac:dyDescent="0.25">
      <c r="A193" s="32">
        <v>45399</v>
      </c>
      <c r="B193" s="2" t="s">
        <v>163</v>
      </c>
      <c r="C193" s="3" t="s">
        <v>168</v>
      </c>
      <c r="D193" s="2" t="s">
        <v>3809</v>
      </c>
      <c r="E193" s="8" t="s">
        <v>188</v>
      </c>
      <c r="F193" s="186"/>
    </row>
    <row r="194" spans="1:6" x14ac:dyDescent="0.25">
      <c r="A194" s="32">
        <v>45399</v>
      </c>
      <c r="B194" s="2" t="s">
        <v>163</v>
      </c>
      <c r="C194" s="3" t="s">
        <v>168</v>
      </c>
      <c r="D194" s="2" t="s">
        <v>3809</v>
      </c>
      <c r="E194" s="8" t="s">
        <v>189</v>
      </c>
      <c r="F194" s="186"/>
    </row>
    <row r="195" spans="1:6" x14ac:dyDescent="0.25">
      <c r="A195" s="32">
        <v>45399</v>
      </c>
      <c r="B195" s="2" t="s">
        <v>163</v>
      </c>
      <c r="C195" s="3" t="s">
        <v>168</v>
      </c>
      <c r="D195" s="2" t="s">
        <v>56</v>
      </c>
      <c r="E195" s="8" t="s">
        <v>635</v>
      </c>
      <c r="F195" s="186"/>
    </row>
    <row r="196" spans="1:6" x14ac:dyDescent="0.25">
      <c r="A196" s="32">
        <v>45399</v>
      </c>
      <c r="B196" s="2" t="s">
        <v>163</v>
      </c>
      <c r="C196" s="3" t="s">
        <v>168</v>
      </c>
      <c r="D196" s="2" t="s">
        <v>56</v>
      </c>
      <c r="E196" s="8" t="s">
        <v>2444</v>
      </c>
      <c r="F196" s="186"/>
    </row>
    <row r="197" spans="1:6" x14ac:dyDescent="0.25">
      <c r="A197" s="32">
        <v>45399</v>
      </c>
      <c r="B197" s="2" t="s">
        <v>163</v>
      </c>
      <c r="C197" s="3" t="s">
        <v>168</v>
      </c>
      <c r="D197" s="2" t="s">
        <v>170</v>
      </c>
      <c r="E197" s="8" t="s">
        <v>177</v>
      </c>
      <c r="F197" s="186"/>
    </row>
    <row r="198" spans="1:6" x14ac:dyDescent="0.25">
      <c r="A198" s="32">
        <v>45399</v>
      </c>
      <c r="B198" s="2" t="s">
        <v>163</v>
      </c>
      <c r="C198" s="3" t="s">
        <v>168</v>
      </c>
      <c r="D198" s="2" t="s">
        <v>170</v>
      </c>
      <c r="E198" s="8" t="s">
        <v>179</v>
      </c>
      <c r="F198" s="186"/>
    </row>
    <row r="199" spans="1:6" x14ac:dyDescent="0.25">
      <c r="A199" s="32">
        <v>45399</v>
      </c>
      <c r="B199" s="2" t="s">
        <v>163</v>
      </c>
      <c r="C199" s="3" t="s">
        <v>168</v>
      </c>
      <c r="D199" s="2" t="s">
        <v>170</v>
      </c>
      <c r="E199" s="8" t="s">
        <v>1156</v>
      </c>
      <c r="F199" s="186"/>
    </row>
    <row r="200" spans="1:6" x14ac:dyDescent="0.25">
      <c r="A200" s="32">
        <v>45399</v>
      </c>
      <c r="B200" s="2" t="s">
        <v>163</v>
      </c>
      <c r="C200" s="3" t="s">
        <v>169</v>
      </c>
      <c r="D200" s="2" t="s">
        <v>3809</v>
      </c>
      <c r="E200" s="8" t="s">
        <v>834</v>
      </c>
      <c r="F200" s="186"/>
    </row>
    <row r="201" spans="1:6" x14ac:dyDescent="0.25">
      <c r="A201" s="32">
        <v>45399</v>
      </c>
      <c r="B201" s="2" t="s">
        <v>163</v>
      </c>
      <c r="C201" s="3" t="s">
        <v>169</v>
      </c>
      <c r="D201" s="2" t="s">
        <v>3809</v>
      </c>
      <c r="E201" s="8" t="s">
        <v>842</v>
      </c>
      <c r="F201" s="186"/>
    </row>
    <row r="202" spans="1:6" x14ac:dyDescent="0.25">
      <c r="A202" s="32">
        <v>45399</v>
      </c>
      <c r="B202" s="2" t="s">
        <v>163</v>
      </c>
      <c r="C202" s="3" t="s">
        <v>169</v>
      </c>
      <c r="D202" s="2" t="s">
        <v>3809</v>
      </c>
      <c r="E202" s="8" t="s">
        <v>186</v>
      </c>
      <c r="F202" s="186"/>
    </row>
    <row r="203" spans="1:6" x14ac:dyDescent="0.25">
      <c r="A203" s="32">
        <v>45399</v>
      </c>
      <c r="B203" s="2" t="s">
        <v>163</v>
      </c>
      <c r="C203" s="3" t="s">
        <v>169</v>
      </c>
      <c r="D203" s="2" t="s">
        <v>3809</v>
      </c>
      <c r="E203" s="8" t="s">
        <v>178</v>
      </c>
      <c r="F203" s="186"/>
    </row>
    <row r="204" spans="1:6" x14ac:dyDescent="0.25">
      <c r="A204" s="32">
        <v>45399</v>
      </c>
      <c r="B204" s="2" t="s">
        <v>163</v>
      </c>
      <c r="C204" s="3" t="s">
        <v>169</v>
      </c>
      <c r="D204" s="2" t="s">
        <v>3809</v>
      </c>
      <c r="E204" s="8" t="s">
        <v>3791</v>
      </c>
      <c r="F204" s="186"/>
    </row>
    <row r="205" spans="1:6" x14ac:dyDescent="0.25">
      <c r="A205" s="32">
        <v>45399</v>
      </c>
      <c r="B205" s="2" t="s">
        <v>163</v>
      </c>
      <c r="C205" s="3" t="s">
        <v>169</v>
      </c>
      <c r="D205" s="2" t="s">
        <v>3809</v>
      </c>
      <c r="E205" s="8" t="s">
        <v>854</v>
      </c>
      <c r="F205" s="186"/>
    </row>
    <row r="206" spans="1:6" x14ac:dyDescent="0.25">
      <c r="A206" s="32">
        <v>45399</v>
      </c>
      <c r="B206" s="2" t="s">
        <v>163</v>
      </c>
      <c r="C206" s="3" t="s">
        <v>169</v>
      </c>
      <c r="D206" s="2" t="s">
        <v>3809</v>
      </c>
      <c r="E206" s="8" t="s">
        <v>1260</v>
      </c>
      <c r="F206" s="186"/>
    </row>
    <row r="207" spans="1:6" x14ac:dyDescent="0.25">
      <c r="A207" s="32">
        <v>45399</v>
      </c>
      <c r="B207" s="2" t="s">
        <v>163</v>
      </c>
      <c r="C207" s="3" t="s">
        <v>169</v>
      </c>
      <c r="D207" s="2" t="s">
        <v>3809</v>
      </c>
      <c r="E207" s="8" t="s">
        <v>188</v>
      </c>
      <c r="F207" s="186"/>
    </row>
    <row r="208" spans="1:6" x14ac:dyDescent="0.25">
      <c r="A208" s="32">
        <v>45399</v>
      </c>
      <c r="B208" s="2" t="s">
        <v>163</v>
      </c>
      <c r="C208" s="3" t="s">
        <v>169</v>
      </c>
      <c r="D208" s="2" t="s">
        <v>3809</v>
      </c>
      <c r="E208" s="8" t="s">
        <v>189</v>
      </c>
      <c r="F208" s="186"/>
    </row>
    <row r="209" spans="1:6" x14ac:dyDescent="0.25">
      <c r="A209" s="32">
        <v>45399</v>
      </c>
      <c r="B209" s="2" t="s">
        <v>163</v>
      </c>
      <c r="C209" s="3" t="s">
        <v>169</v>
      </c>
      <c r="D209" s="2" t="s">
        <v>56</v>
      </c>
      <c r="E209" s="8" t="s">
        <v>635</v>
      </c>
      <c r="F209" s="186"/>
    </row>
    <row r="210" spans="1:6" x14ac:dyDescent="0.25">
      <c r="A210" s="32">
        <v>45399</v>
      </c>
      <c r="B210" s="2" t="s">
        <v>163</v>
      </c>
      <c r="C210" s="3" t="s">
        <v>169</v>
      </c>
      <c r="D210" s="2" t="s">
        <v>56</v>
      </c>
      <c r="E210" s="8" t="s">
        <v>2444</v>
      </c>
      <c r="F210" s="186"/>
    </row>
    <row r="211" spans="1:6" x14ac:dyDescent="0.25">
      <c r="A211" s="32">
        <v>45399</v>
      </c>
      <c r="B211" s="2" t="s">
        <v>163</v>
      </c>
      <c r="C211" s="3" t="s">
        <v>169</v>
      </c>
      <c r="D211" s="2" t="s">
        <v>170</v>
      </c>
      <c r="E211" s="8" t="s">
        <v>177</v>
      </c>
      <c r="F211" s="186"/>
    </row>
    <row r="212" spans="1:6" x14ac:dyDescent="0.25">
      <c r="A212" s="32">
        <v>45399</v>
      </c>
      <c r="B212" s="2" t="s">
        <v>163</v>
      </c>
      <c r="C212" s="3" t="s">
        <v>169</v>
      </c>
      <c r="D212" s="2" t="s">
        <v>170</v>
      </c>
      <c r="E212" s="8" t="s">
        <v>179</v>
      </c>
      <c r="F212" s="186"/>
    </row>
    <row r="213" spans="1:6" x14ac:dyDescent="0.25">
      <c r="A213" s="32">
        <v>45399</v>
      </c>
      <c r="B213" s="2" t="s">
        <v>163</v>
      </c>
      <c r="C213" s="3" t="s">
        <v>169</v>
      </c>
      <c r="D213" s="2" t="s">
        <v>170</v>
      </c>
      <c r="E213" s="8" t="s">
        <v>1156</v>
      </c>
      <c r="F213" s="186"/>
    </row>
    <row r="214" spans="1:6" x14ac:dyDescent="0.25">
      <c r="A214" s="32">
        <v>45399</v>
      </c>
      <c r="B214" s="2" t="s">
        <v>163</v>
      </c>
      <c r="C214" s="3" t="s">
        <v>169</v>
      </c>
      <c r="D214" s="2" t="s">
        <v>174</v>
      </c>
      <c r="E214" s="8" t="s">
        <v>160</v>
      </c>
      <c r="F214" s="186"/>
    </row>
    <row r="215" spans="1:6" x14ac:dyDescent="0.25">
      <c r="A215" s="32">
        <v>45399</v>
      </c>
      <c r="B215" s="2" t="s">
        <v>163</v>
      </c>
      <c r="C215" s="3" t="s">
        <v>169</v>
      </c>
      <c r="D215" s="2" t="s">
        <v>3803</v>
      </c>
      <c r="E215" s="8" t="s">
        <v>178</v>
      </c>
      <c r="F215" s="186"/>
    </row>
    <row r="216" spans="1:6" x14ac:dyDescent="0.25">
      <c r="A216" s="32">
        <v>45399</v>
      </c>
      <c r="B216" s="2" t="s">
        <v>163</v>
      </c>
      <c r="C216" s="3" t="s">
        <v>169</v>
      </c>
      <c r="D216" s="2" t="s">
        <v>3803</v>
      </c>
      <c r="E216" s="8" t="s">
        <v>1260</v>
      </c>
      <c r="F216" s="186"/>
    </row>
    <row r="217" spans="1:6" x14ac:dyDescent="0.25">
      <c r="A217" s="32">
        <v>45399</v>
      </c>
      <c r="B217" s="2" t="s">
        <v>163</v>
      </c>
      <c r="C217" s="3" t="s">
        <v>169</v>
      </c>
      <c r="D217" s="2" t="s">
        <v>3803</v>
      </c>
      <c r="E217" s="8" t="s">
        <v>182</v>
      </c>
      <c r="F217" s="186"/>
    </row>
    <row r="218" spans="1:6" x14ac:dyDescent="0.25">
      <c r="A218" s="32">
        <v>45399</v>
      </c>
      <c r="B218" s="2" t="s">
        <v>163</v>
      </c>
      <c r="C218" s="3" t="s">
        <v>3811</v>
      </c>
      <c r="D218" s="2" t="s">
        <v>3808</v>
      </c>
      <c r="E218" s="8" t="s">
        <v>160</v>
      </c>
      <c r="F218" s="186"/>
    </row>
    <row r="219" spans="1:6" x14ac:dyDescent="0.25">
      <c r="A219" s="32">
        <v>45399</v>
      </c>
      <c r="B219" s="2" t="s">
        <v>163</v>
      </c>
      <c r="C219" s="3" t="s">
        <v>3811</v>
      </c>
      <c r="D219" s="2" t="s">
        <v>170</v>
      </c>
      <c r="E219" s="8" t="s">
        <v>177</v>
      </c>
      <c r="F219" s="186"/>
    </row>
    <row r="220" spans="1:6" x14ac:dyDescent="0.25">
      <c r="A220" s="32">
        <v>45399</v>
      </c>
      <c r="B220" s="2" t="s">
        <v>163</v>
      </c>
      <c r="C220" s="3" t="s">
        <v>3811</v>
      </c>
      <c r="D220" s="2" t="s">
        <v>170</v>
      </c>
      <c r="E220" s="8" t="s">
        <v>179</v>
      </c>
      <c r="F220" s="186"/>
    </row>
    <row r="221" spans="1:6" x14ac:dyDescent="0.25">
      <c r="A221" s="32">
        <v>45399</v>
      </c>
      <c r="B221" s="2" t="s">
        <v>163</v>
      </c>
      <c r="C221" s="3" t="s">
        <v>3811</v>
      </c>
      <c r="D221" s="2" t="s">
        <v>170</v>
      </c>
      <c r="E221" s="8" t="s">
        <v>1156</v>
      </c>
      <c r="F221" s="186"/>
    </row>
    <row r="222" spans="1:6" x14ac:dyDescent="0.25">
      <c r="A222" s="32">
        <v>45399</v>
      </c>
      <c r="B222" s="2" t="s">
        <v>163</v>
      </c>
      <c r="C222" s="3" t="s">
        <v>3811</v>
      </c>
      <c r="D222" s="2" t="s">
        <v>408</v>
      </c>
      <c r="E222" s="8" t="s">
        <v>834</v>
      </c>
      <c r="F222" s="186"/>
    </row>
    <row r="223" spans="1:6" x14ac:dyDescent="0.25">
      <c r="A223" s="32">
        <v>45399</v>
      </c>
      <c r="B223" s="2" t="s">
        <v>163</v>
      </c>
      <c r="C223" s="3" t="s">
        <v>3811</v>
      </c>
      <c r="D223" s="2" t="s">
        <v>174</v>
      </c>
      <c r="E223" s="8" t="s">
        <v>183</v>
      </c>
      <c r="F223" s="186"/>
    </row>
    <row r="224" spans="1:6" x14ac:dyDescent="0.25">
      <c r="A224" s="32">
        <v>45399</v>
      </c>
      <c r="B224" s="2" t="s">
        <v>163</v>
      </c>
      <c r="C224" s="3" t="s">
        <v>170</v>
      </c>
      <c r="D224" s="2" t="s">
        <v>170</v>
      </c>
      <c r="E224" s="8" t="s">
        <v>177</v>
      </c>
      <c r="F224" s="186"/>
    </row>
    <row r="225" spans="1:6" x14ac:dyDescent="0.25">
      <c r="A225" s="32">
        <v>45399</v>
      </c>
      <c r="B225" s="2" t="s">
        <v>163</v>
      </c>
      <c r="C225" s="3" t="s">
        <v>170</v>
      </c>
      <c r="D225" s="2" t="s">
        <v>170</v>
      </c>
      <c r="E225" s="8" t="s">
        <v>179</v>
      </c>
      <c r="F225" s="186"/>
    </row>
    <row r="226" spans="1:6" x14ac:dyDescent="0.25">
      <c r="A226" s="32">
        <v>45399</v>
      </c>
      <c r="B226" s="2" t="s">
        <v>163</v>
      </c>
      <c r="C226" s="3" t="s">
        <v>170</v>
      </c>
      <c r="D226" s="2" t="s">
        <v>170</v>
      </c>
      <c r="E226" s="8" t="s">
        <v>1156</v>
      </c>
      <c r="F226" s="186"/>
    </row>
    <row r="227" spans="1:6" x14ac:dyDescent="0.25">
      <c r="A227" s="32">
        <v>45399</v>
      </c>
      <c r="B227" s="2" t="s">
        <v>163</v>
      </c>
      <c r="C227" s="3" t="s">
        <v>170</v>
      </c>
      <c r="D227" s="2" t="s">
        <v>3803</v>
      </c>
      <c r="E227" s="8" t="s">
        <v>178</v>
      </c>
      <c r="F227" s="186"/>
    </row>
    <row r="228" spans="1:6" x14ac:dyDescent="0.25">
      <c r="A228" s="32">
        <v>45399</v>
      </c>
      <c r="B228" s="2" t="s">
        <v>163</v>
      </c>
      <c r="C228" s="3" t="s">
        <v>170</v>
      </c>
      <c r="D228" s="2" t="s">
        <v>3803</v>
      </c>
      <c r="E228" s="8" t="s">
        <v>1260</v>
      </c>
      <c r="F228" s="186"/>
    </row>
    <row r="229" spans="1:6" x14ac:dyDescent="0.25">
      <c r="A229" s="32">
        <v>45399</v>
      </c>
      <c r="B229" s="2" t="s">
        <v>163</v>
      </c>
      <c r="C229" s="3" t="s">
        <v>170</v>
      </c>
      <c r="D229" s="2" t="s">
        <v>3803</v>
      </c>
      <c r="E229" s="8" t="s">
        <v>182</v>
      </c>
      <c r="F229" s="186"/>
    </row>
    <row r="230" spans="1:6" x14ac:dyDescent="0.25">
      <c r="A230" s="32">
        <v>45399</v>
      </c>
      <c r="B230" s="2" t="s">
        <v>163</v>
      </c>
      <c r="C230" s="3" t="s">
        <v>171</v>
      </c>
      <c r="D230" s="2" t="s">
        <v>171</v>
      </c>
      <c r="E230" s="8" t="s">
        <v>176</v>
      </c>
      <c r="F230" s="186"/>
    </row>
    <row r="231" spans="1:6" x14ac:dyDescent="0.25">
      <c r="A231" s="32">
        <v>45399</v>
      </c>
      <c r="B231" s="2" t="s">
        <v>163</v>
      </c>
      <c r="C231" s="3" t="s">
        <v>171</v>
      </c>
      <c r="D231" s="2" t="s">
        <v>171</v>
      </c>
      <c r="E231" s="8" t="s">
        <v>3805</v>
      </c>
      <c r="F231" s="186"/>
    </row>
    <row r="232" spans="1:6" x14ac:dyDescent="0.25">
      <c r="A232" s="32">
        <v>45399</v>
      </c>
      <c r="B232" s="2" t="s">
        <v>163</v>
      </c>
      <c r="C232" s="3" t="s">
        <v>171</v>
      </c>
      <c r="D232" s="2" t="s">
        <v>171</v>
      </c>
      <c r="E232" s="8" t="s">
        <v>959</v>
      </c>
      <c r="F232" s="186"/>
    </row>
    <row r="233" spans="1:6" x14ac:dyDescent="0.25">
      <c r="A233" s="32">
        <v>45399</v>
      </c>
      <c r="B233" s="2" t="s">
        <v>163</v>
      </c>
      <c r="C233" s="3" t="s">
        <v>171</v>
      </c>
      <c r="D233" s="2" t="s">
        <v>170</v>
      </c>
      <c r="E233" s="8" t="s">
        <v>177</v>
      </c>
      <c r="F233" s="186"/>
    </row>
    <row r="234" spans="1:6" x14ac:dyDescent="0.25">
      <c r="A234" s="32">
        <v>45399</v>
      </c>
      <c r="B234" s="2" t="s">
        <v>163</v>
      </c>
      <c r="C234" s="3" t="s">
        <v>171</v>
      </c>
      <c r="D234" s="2" t="s">
        <v>170</v>
      </c>
      <c r="E234" s="8" t="s">
        <v>179</v>
      </c>
      <c r="F234" s="186"/>
    </row>
    <row r="235" spans="1:6" x14ac:dyDescent="0.25">
      <c r="A235" s="32">
        <v>45399</v>
      </c>
      <c r="B235" s="2" t="s">
        <v>163</v>
      </c>
      <c r="C235" s="3" t="s">
        <v>171</v>
      </c>
      <c r="D235" s="2" t="s">
        <v>170</v>
      </c>
      <c r="E235" s="8" t="s">
        <v>1156</v>
      </c>
      <c r="F235" s="186"/>
    </row>
    <row r="236" spans="1:6" x14ac:dyDescent="0.25">
      <c r="A236" s="32">
        <v>45399</v>
      </c>
      <c r="B236" s="2" t="s">
        <v>163</v>
      </c>
      <c r="C236" s="3" t="s">
        <v>171</v>
      </c>
      <c r="D236" s="2" t="s">
        <v>174</v>
      </c>
      <c r="E236" s="8" t="s">
        <v>183</v>
      </c>
      <c r="F236" s="186"/>
    </row>
    <row r="237" spans="1:6" x14ac:dyDescent="0.25">
      <c r="A237" s="32">
        <v>45399</v>
      </c>
      <c r="B237" s="2" t="s">
        <v>163</v>
      </c>
      <c r="C237" s="3" t="s">
        <v>171</v>
      </c>
      <c r="D237" s="2" t="s">
        <v>3803</v>
      </c>
      <c r="E237" s="8" t="s">
        <v>178</v>
      </c>
      <c r="F237" s="186"/>
    </row>
    <row r="238" spans="1:6" x14ac:dyDescent="0.25">
      <c r="A238" s="32">
        <v>45399</v>
      </c>
      <c r="B238" s="2" t="s">
        <v>163</v>
      </c>
      <c r="C238" s="3" t="s">
        <v>171</v>
      </c>
      <c r="D238" s="2" t="s">
        <v>3803</v>
      </c>
      <c r="E238" s="8" t="s">
        <v>1260</v>
      </c>
      <c r="F238" s="186"/>
    </row>
    <row r="239" spans="1:6" x14ac:dyDescent="0.25">
      <c r="A239" s="32">
        <v>45399</v>
      </c>
      <c r="B239" s="2" t="s">
        <v>163</v>
      </c>
      <c r="C239" s="3" t="s">
        <v>171</v>
      </c>
      <c r="D239" s="2" t="s">
        <v>3803</v>
      </c>
      <c r="E239" s="8" t="s">
        <v>182</v>
      </c>
      <c r="F239" s="186"/>
    </row>
    <row r="240" spans="1:6" x14ac:dyDescent="0.25">
      <c r="A240" s="32">
        <v>45399</v>
      </c>
      <c r="B240" s="2" t="s">
        <v>163</v>
      </c>
      <c r="C240" s="3" t="s">
        <v>172</v>
      </c>
      <c r="D240" s="2" t="s">
        <v>3808</v>
      </c>
      <c r="E240" s="8" t="s">
        <v>160</v>
      </c>
      <c r="F240" s="186"/>
    </row>
    <row r="241" spans="1:6" x14ac:dyDescent="0.25">
      <c r="A241" s="32">
        <v>45399</v>
      </c>
      <c r="B241" s="2" t="s">
        <v>163</v>
      </c>
      <c r="C241" s="3" t="s">
        <v>172</v>
      </c>
      <c r="D241" s="2" t="s">
        <v>52</v>
      </c>
      <c r="E241" s="8" t="s">
        <v>834</v>
      </c>
      <c r="F241" s="186"/>
    </row>
    <row r="242" spans="1:6" x14ac:dyDescent="0.25">
      <c r="A242" s="32">
        <v>45399</v>
      </c>
      <c r="B242" s="2" t="s">
        <v>163</v>
      </c>
      <c r="C242" s="3" t="s">
        <v>172</v>
      </c>
      <c r="D242" s="2" t="s">
        <v>52</v>
      </c>
      <c r="E242" s="8" t="s">
        <v>842</v>
      </c>
      <c r="F242" s="186"/>
    </row>
    <row r="243" spans="1:6" x14ac:dyDescent="0.25">
      <c r="A243" s="32">
        <v>45399</v>
      </c>
      <c r="B243" s="2" t="s">
        <v>163</v>
      </c>
      <c r="C243" s="3" t="s">
        <v>172</v>
      </c>
      <c r="D243" s="2" t="s">
        <v>52</v>
      </c>
      <c r="E243" s="8" t="s">
        <v>177</v>
      </c>
      <c r="F243" s="186"/>
    </row>
    <row r="244" spans="1:6" x14ac:dyDescent="0.25">
      <c r="A244" s="32">
        <v>45399</v>
      </c>
      <c r="B244" s="2" t="s">
        <v>163</v>
      </c>
      <c r="C244" s="3" t="s">
        <v>172</v>
      </c>
      <c r="D244" s="2" t="s">
        <v>52</v>
      </c>
      <c r="E244" s="8" t="s">
        <v>186</v>
      </c>
      <c r="F244" s="186"/>
    </row>
    <row r="245" spans="1:6" x14ac:dyDescent="0.25">
      <c r="A245" s="32">
        <v>45399</v>
      </c>
      <c r="B245" s="2" t="s">
        <v>163</v>
      </c>
      <c r="C245" s="3" t="s">
        <v>172</v>
      </c>
      <c r="D245" s="2" t="s">
        <v>52</v>
      </c>
      <c r="E245" s="8" t="s">
        <v>3805</v>
      </c>
      <c r="F245" s="186"/>
    </row>
    <row r="246" spans="1:6" x14ac:dyDescent="0.25">
      <c r="A246" s="32">
        <v>45399</v>
      </c>
      <c r="B246" s="2" t="s">
        <v>163</v>
      </c>
      <c r="C246" s="3" t="s">
        <v>172</v>
      </c>
      <c r="D246" s="2" t="s">
        <v>52</v>
      </c>
      <c r="E246" s="8" t="s">
        <v>959</v>
      </c>
      <c r="F246" s="186"/>
    </row>
    <row r="247" spans="1:6" x14ac:dyDescent="0.25">
      <c r="A247" s="32">
        <v>45399</v>
      </c>
      <c r="B247" s="2" t="s">
        <v>163</v>
      </c>
      <c r="C247" s="3" t="s">
        <v>172</v>
      </c>
      <c r="D247" s="2" t="s">
        <v>170</v>
      </c>
      <c r="E247" s="8" t="s">
        <v>177</v>
      </c>
      <c r="F247" s="186"/>
    </row>
    <row r="248" spans="1:6" x14ac:dyDescent="0.25">
      <c r="A248" s="32">
        <v>45399</v>
      </c>
      <c r="B248" s="2" t="s">
        <v>163</v>
      </c>
      <c r="C248" s="3" t="s">
        <v>172</v>
      </c>
      <c r="D248" s="2" t="s">
        <v>170</v>
      </c>
      <c r="E248" s="8" t="s">
        <v>179</v>
      </c>
      <c r="F248" s="186"/>
    </row>
    <row r="249" spans="1:6" x14ac:dyDescent="0.25">
      <c r="A249" s="32">
        <v>45399</v>
      </c>
      <c r="B249" s="2" t="s">
        <v>163</v>
      </c>
      <c r="C249" s="3" t="s">
        <v>172</v>
      </c>
      <c r="D249" s="2" t="s">
        <v>170</v>
      </c>
      <c r="E249" s="8" t="s">
        <v>1156</v>
      </c>
      <c r="F249" s="186"/>
    </row>
    <row r="250" spans="1:6" x14ac:dyDescent="0.25">
      <c r="A250" s="32">
        <v>45399</v>
      </c>
      <c r="B250" s="2" t="s">
        <v>163</v>
      </c>
      <c r="C250" s="3" t="s">
        <v>172</v>
      </c>
      <c r="D250" s="2" t="s">
        <v>3812</v>
      </c>
      <c r="E250" s="8" t="s">
        <v>191</v>
      </c>
      <c r="F250" s="186"/>
    </row>
    <row r="251" spans="1:6" x14ac:dyDescent="0.25">
      <c r="A251" s="32">
        <v>45399</v>
      </c>
      <c r="B251" s="2" t="s">
        <v>163</v>
      </c>
      <c r="C251" s="3" t="s">
        <v>173</v>
      </c>
      <c r="D251" s="2" t="s">
        <v>160</v>
      </c>
      <c r="E251" s="8" t="s">
        <v>160</v>
      </c>
      <c r="F251" s="186"/>
    </row>
    <row r="252" spans="1:6" x14ac:dyDescent="0.25">
      <c r="A252" s="32">
        <v>45399</v>
      </c>
      <c r="B252" s="2" t="s">
        <v>163</v>
      </c>
      <c r="C252" s="3" t="s">
        <v>173</v>
      </c>
      <c r="D252" s="2" t="s">
        <v>170</v>
      </c>
      <c r="E252" s="8" t="s">
        <v>177</v>
      </c>
      <c r="F252" s="186"/>
    </row>
    <row r="253" spans="1:6" x14ac:dyDescent="0.25">
      <c r="A253" s="32">
        <v>45399</v>
      </c>
      <c r="B253" s="2" t="s">
        <v>163</v>
      </c>
      <c r="C253" s="3" t="s">
        <v>173</v>
      </c>
      <c r="D253" s="2" t="s">
        <v>170</v>
      </c>
      <c r="E253" s="8" t="s">
        <v>179</v>
      </c>
      <c r="F253" s="186"/>
    </row>
    <row r="254" spans="1:6" x14ac:dyDescent="0.25">
      <c r="A254" s="32">
        <v>45399</v>
      </c>
      <c r="B254" s="2" t="s">
        <v>163</v>
      </c>
      <c r="C254" s="3" t="s">
        <v>173</v>
      </c>
      <c r="D254" s="2" t="s">
        <v>170</v>
      </c>
      <c r="E254" s="8" t="s">
        <v>1156</v>
      </c>
      <c r="F254" s="186"/>
    </row>
    <row r="255" spans="1:6" x14ac:dyDescent="0.25">
      <c r="A255" s="32">
        <v>45399</v>
      </c>
      <c r="B255" s="2" t="s">
        <v>163</v>
      </c>
      <c r="C255" s="3" t="s">
        <v>173</v>
      </c>
      <c r="D255" s="2" t="s">
        <v>408</v>
      </c>
      <c r="E255" s="8" t="s">
        <v>834</v>
      </c>
      <c r="F255" s="186"/>
    </row>
  </sheetData>
  <autoFilter ref="A1:F255" xr:uid="{F685BF30-FAD2-4E2D-8A23-FB5F039AF5ED}">
    <sortState xmlns:xlrd2="http://schemas.microsoft.com/office/spreadsheetml/2017/richdata2" ref="A21:F107">
      <sortCondition ref="E1:E133"/>
    </sortState>
  </autoFilter>
  <sortState xmlns:xlrd2="http://schemas.microsoft.com/office/spreadsheetml/2017/richdata2" ref="K34:K55">
    <sortCondition ref="K34:K55"/>
  </sortState>
  <mergeCells count="1">
    <mergeCell ref="V1:Y1"/>
  </mergeCells>
  <conditionalFormatting sqref="M7">
    <cfRule type="duplicateValues" dxfId="0" priority="1"/>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5A463-A2D8-4D6E-B608-DAE20F91192C}">
  <sheetPr codeName="Sheet9">
    <tabColor theme="9" tint="0.79998168889431442"/>
  </sheetPr>
  <dimension ref="A1:AL1598"/>
  <sheetViews>
    <sheetView showGridLines="0" topLeftCell="A49" zoomScaleNormal="100" workbookViewId="0">
      <selection activeCell="E58" sqref="E58"/>
    </sheetView>
  </sheetViews>
  <sheetFormatPr defaultRowHeight="15" x14ac:dyDescent="0.25"/>
  <cols>
    <col min="1" max="1" width="22.42578125" bestFit="1" customWidth="1"/>
    <col min="2" max="2" width="20.42578125" style="7" bestFit="1" customWidth="1"/>
    <col min="3" max="3" width="52.28515625" style="7" bestFit="1" customWidth="1"/>
    <col min="4" max="4" width="62.5703125" style="7" bestFit="1" customWidth="1"/>
    <col min="5" max="5" width="34.7109375" style="7" bestFit="1" customWidth="1"/>
    <col min="6" max="6" width="33" style="7" bestFit="1" customWidth="1"/>
    <col min="9" max="9" width="29.85546875" bestFit="1" customWidth="1"/>
    <col min="10" max="10" width="6.140625" bestFit="1" customWidth="1"/>
    <col min="11" max="11" width="29.85546875" bestFit="1" customWidth="1"/>
    <col min="12" max="12" width="33" bestFit="1" customWidth="1"/>
    <col min="15" max="15" width="29.85546875" bestFit="1" customWidth="1"/>
    <col min="16" max="16" width="15.5703125" bestFit="1" customWidth="1"/>
    <col min="17" max="17" width="14.7109375" bestFit="1" customWidth="1"/>
    <col min="21" max="21" width="63.5703125" bestFit="1" customWidth="1"/>
    <col min="22" max="22" width="33" bestFit="1" customWidth="1"/>
    <col min="23" max="23" width="34.7109375" bestFit="1" customWidth="1"/>
    <col min="37" max="37" width="29.85546875" bestFit="1" customWidth="1"/>
  </cols>
  <sheetData>
    <row r="1" spans="1:38" x14ac:dyDescent="0.25">
      <c r="A1" s="18" t="s">
        <v>194</v>
      </c>
      <c r="B1" s="18" t="s">
        <v>243</v>
      </c>
      <c r="C1" s="18" t="s">
        <v>244</v>
      </c>
      <c r="D1" s="18" t="s">
        <v>245</v>
      </c>
      <c r="E1" s="18" t="s">
        <v>269</v>
      </c>
      <c r="F1" s="18" t="s">
        <v>5</v>
      </c>
      <c r="G1" s="7"/>
      <c r="J1" t="s">
        <v>11</v>
      </c>
      <c r="K1" t="s">
        <v>375</v>
      </c>
      <c r="L1" t="s">
        <v>376</v>
      </c>
      <c r="M1" t="s">
        <v>283</v>
      </c>
      <c r="N1" t="s">
        <v>284</v>
      </c>
      <c r="O1" t="s">
        <v>285</v>
      </c>
      <c r="P1" t="s">
        <v>286</v>
      </c>
      <c r="Q1" t="s">
        <v>287</v>
      </c>
      <c r="R1" t="s">
        <v>288</v>
      </c>
      <c r="S1" t="s">
        <v>289</v>
      </c>
      <c r="T1" t="s">
        <v>290</v>
      </c>
      <c r="U1" t="s">
        <v>377</v>
      </c>
      <c r="V1" t="s">
        <v>537</v>
      </c>
      <c r="W1" s="45" t="s">
        <v>282</v>
      </c>
      <c r="X1" s="45" t="s">
        <v>283</v>
      </c>
      <c r="Y1" s="45" t="s">
        <v>284</v>
      </c>
      <c r="Z1" s="45" t="s">
        <v>285</v>
      </c>
      <c r="AA1" s="45" t="s">
        <v>286</v>
      </c>
      <c r="AB1" s="45" t="s">
        <v>287</v>
      </c>
      <c r="AC1" s="45" t="s">
        <v>288</v>
      </c>
      <c r="AD1" s="45" t="s">
        <v>289</v>
      </c>
      <c r="AE1" s="45" t="s">
        <v>290</v>
      </c>
      <c r="AF1" s="45" t="s">
        <v>291</v>
      </c>
      <c r="AG1" s="45" t="s">
        <v>292</v>
      </c>
      <c r="AH1" s="45" t="s">
        <v>293</v>
      </c>
      <c r="AK1" t="s">
        <v>294</v>
      </c>
      <c r="AL1" t="s">
        <v>373</v>
      </c>
    </row>
    <row r="2" spans="1:38" x14ac:dyDescent="0.25">
      <c r="A2" s="199">
        <v>45196</v>
      </c>
      <c r="B2" s="59" t="s">
        <v>246</v>
      </c>
      <c r="C2" s="3" t="s">
        <v>247</v>
      </c>
      <c r="D2" s="3" t="s">
        <v>248</v>
      </c>
      <c r="E2" s="3" t="s">
        <v>177</v>
      </c>
      <c r="F2" s="3"/>
      <c r="J2" t="s">
        <v>47</v>
      </c>
      <c r="K2" t="s">
        <v>294</v>
      </c>
      <c r="L2" t="s">
        <v>373</v>
      </c>
      <c r="M2" t="b">
        <f t="shared" ref="M2:M49" si="0">VLOOKUP(K2,W:AF,2,FALSE)</f>
        <v>1</v>
      </c>
      <c r="N2" t="b">
        <f t="shared" ref="N2:N49" si="1">IF($J2="OK",VLOOKUP($K2,$W:$AF,3,FALSE),"")</f>
        <v>0</v>
      </c>
      <c r="O2" t="b">
        <f t="shared" ref="O2:O49" si="2">IF($J2="OK",VLOOKUP($K2,$W:$AF,4,FALSE),"")</f>
        <v>0</v>
      </c>
      <c r="P2" t="b">
        <f t="shared" ref="P2:P49" si="3">IF($J2="OK",VLOOKUP($K2,$W:$AF,5,FALSE),"")</f>
        <v>0</v>
      </c>
      <c r="Q2" t="b">
        <f t="shared" ref="Q2:Q49" si="4">IF($J2="OK",VLOOKUP($K2,$W:$AF,6,FALSE),"")</f>
        <v>0</v>
      </c>
      <c r="R2" t="b">
        <f t="shared" ref="R2:R49" si="5">IF($J2="OK",VLOOKUP($K2,$W:$AF,7,FALSE),"")</f>
        <v>1</v>
      </c>
      <c r="S2" t="b">
        <f t="shared" ref="S2:S49" si="6">IF($J2="OK",VLOOKUP($K2,$W:$AF,8,FALSE),"")</f>
        <v>0</v>
      </c>
      <c r="T2" t="b">
        <f t="shared" ref="T2:T49" si="7">IF($J2="OK",VLOOKUP($K2,$W:$AF,9,FALSE),"")</f>
        <v>0</v>
      </c>
      <c r="U2" s="57" t="str">
        <f t="shared" ref="U2:U49" si="8">IF($N2=TRUE,$N$1,"")&amp;" "&amp;IF($O2=TRUE,$O$1,"")&amp;" "&amp;IF($P2=TRUE,$P$1,"")&amp;" "&amp;IF($Q2=TRUE,$Q$1,"")&amp;" "&amp;IF($R2=TRUE,$R$1,"")&amp;" "&amp;IF($S2=TRUE,$S$1,"")&amp;" "&amp;IF($T2=TRUE,$T$1,"")</f>
        <v xml:space="preserve">    Read  </v>
      </c>
      <c r="V2" s="57"/>
      <c r="W2" s="45" t="s">
        <v>294</v>
      </c>
      <c r="X2" s="45" t="b">
        <v>1</v>
      </c>
      <c r="Y2" s="45" t="b">
        <v>0</v>
      </c>
      <c r="Z2" s="45" t="b">
        <v>0</v>
      </c>
      <c r="AA2" s="45" t="b">
        <v>0</v>
      </c>
      <c r="AB2" s="45" t="b">
        <v>0</v>
      </c>
      <c r="AC2" s="45" t="b">
        <v>1</v>
      </c>
      <c r="AD2" s="45" t="b">
        <v>0</v>
      </c>
      <c r="AE2" s="45" t="b">
        <v>0</v>
      </c>
      <c r="AF2" s="45" t="s">
        <v>295</v>
      </c>
      <c r="AG2" s="45" t="b">
        <v>0</v>
      </c>
      <c r="AH2" s="45" t="b">
        <v>0</v>
      </c>
      <c r="AK2" t="s">
        <v>296</v>
      </c>
      <c r="AL2" t="s">
        <v>578</v>
      </c>
    </row>
    <row r="3" spans="1:38" x14ac:dyDescent="0.25">
      <c r="A3" s="59">
        <v>45196</v>
      </c>
      <c r="B3" s="59" t="s">
        <v>246</v>
      </c>
      <c r="C3" s="3" t="s">
        <v>249</v>
      </c>
      <c r="D3" s="3" t="s">
        <v>250</v>
      </c>
      <c r="E3" s="3" t="s">
        <v>177</v>
      </c>
      <c r="F3" s="3"/>
      <c r="J3" t="s">
        <v>374</v>
      </c>
      <c r="K3" t="s">
        <v>296</v>
      </c>
      <c r="L3" t="s">
        <v>578</v>
      </c>
      <c r="M3" t="b">
        <f t="shared" si="0"/>
        <v>0</v>
      </c>
      <c r="N3" t="str">
        <f t="shared" si="1"/>
        <v/>
      </c>
      <c r="O3" t="str">
        <f t="shared" si="2"/>
        <v/>
      </c>
      <c r="P3" t="str">
        <f t="shared" si="3"/>
        <v/>
      </c>
      <c r="Q3" t="str">
        <f t="shared" si="4"/>
        <v/>
      </c>
      <c r="R3" t="str">
        <f t="shared" si="5"/>
        <v/>
      </c>
      <c r="S3" t="str">
        <f t="shared" si="6"/>
        <v/>
      </c>
      <c r="T3" t="str">
        <f t="shared" si="7"/>
        <v/>
      </c>
      <c r="U3" s="57" t="str">
        <f t="shared" si="8"/>
        <v xml:space="preserve">      </v>
      </c>
      <c r="W3" s="45" t="s">
        <v>296</v>
      </c>
      <c r="X3" s="45" t="b">
        <v>0</v>
      </c>
      <c r="Y3" s="45" t="b">
        <v>0</v>
      </c>
      <c r="Z3" s="45" t="b">
        <v>0</v>
      </c>
      <c r="AA3" s="45" t="b">
        <v>0</v>
      </c>
      <c r="AB3" s="45" t="b">
        <v>0</v>
      </c>
      <c r="AC3" s="45" t="b">
        <v>1</v>
      </c>
      <c r="AD3" s="45" t="b">
        <v>0</v>
      </c>
      <c r="AE3" s="45" t="b">
        <v>0</v>
      </c>
      <c r="AF3" s="45" t="s">
        <v>295</v>
      </c>
      <c r="AG3" s="45" t="b">
        <v>0</v>
      </c>
      <c r="AH3" s="45" t="b">
        <v>0</v>
      </c>
      <c r="AK3" t="s">
        <v>320</v>
      </c>
      <c r="AL3" t="s">
        <v>538</v>
      </c>
    </row>
    <row r="4" spans="1:38" x14ac:dyDescent="0.25">
      <c r="A4" s="59">
        <v>45196</v>
      </c>
      <c r="B4" s="59" t="s">
        <v>251</v>
      </c>
      <c r="C4" s="3" t="s">
        <v>252</v>
      </c>
      <c r="D4" s="3" t="s">
        <v>253</v>
      </c>
      <c r="E4" s="3" t="s">
        <v>177</v>
      </c>
      <c r="F4" s="3"/>
      <c r="J4" t="s">
        <v>47</v>
      </c>
      <c r="K4" t="s">
        <v>320</v>
      </c>
      <c r="L4" t="s">
        <v>538</v>
      </c>
      <c r="M4" t="b">
        <f t="shared" si="0"/>
        <v>1</v>
      </c>
      <c r="N4" t="b">
        <f t="shared" si="1"/>
        <v>0</v>
      </c>
      <c r="O4" t="b">
        <f t="shared" si="2"/>
        <v>0</v>
      </c>
      <c r="P4" t="b">
        <f t="shared" si="3"/>
        <v>0</v>
      </c>
      <c r="Q4" t="b">
        <f t="shared" si="4"/>
        <v>0</v>
      </c>
      <c r="R4" t="b">
        <f t="shared" si="5"/>
        <v>1</v>
      </c>
      <c r="S4" t="b">
        <f t="shared" si="6"/>
        <v>0</v>
      </c>
      <c r="T4" t="b">
        <f t="shared" si="7"/>
        <v>0</v>
      </c>
      <c r="U4" s="57" t="str">
        <f t="shared" si="8"/>
        <v xml:space="preserve">    Read  </v>
      </c>
      <c r="V4" s="57"/>
      <c r="W4" s="45" t="s">
        <v>294</v>
      </c>
      <c r="X4" s="45" t="b">
        <v>1</v>
      </c>
      <c r="Y4" s="45" t="b">
        <v>0</v>
      </c>
      <c r="Z4" s="45" t="b">
        <v>0</v>
      </c>
      <c r="AA4" s="45" t="b">
        <v>0</v>
      </c>
      <c r="AB4" s="45" t="b">
        <v>0</v>
      </c>
      <c r="AC4" s="45" t="b">
        <v>1</v>
      </c>
      <c r="AD4" s="45" t="b">
        <v>0</v>
      </c>
      <c r="AE4" s="45" t="b">
        <v>0</v>
      </c>
      <c r="AF4" s="45" t="s">
        <v>297</v>
      </c>
      <c r="AG4" s="45" t="b">
        <v>0</v>
      </c>
      <c r="AH4" s="45" t="b">
        <v>0</v>
      </c>
      <c r="AK4" t="s">
        <v>321</v>
      </c>
      <c r="AL4" t="s">
        <v>539</v>
      </c>
    </row>
    <row r="5" spans="1:38" x14ac:dyDescent="0.25">
      <c r="A5" s="59">
        <v>45196</v>
      </c>
      <c r="B5" s="59" t="s">
        <v>254</v>
      </c>
      <c r="C5" s="3" t="s">
        <v>255</v>
      </c>
      <c r="D5" s="3" t="s">
        <v>256</v>
      </c>
      <c r="E5" s="3" t="s">
        <v>177</v>
      </c>
      <c r="F5" s="3"/>
      <c r="J5" t="s">
        <v>374</v>
      </c>
      <c r="K5" t="s">
        <v>321</v>
      </c>
      <c r="L5" t="s">
        <v>539</v>
      </c>
      <c r="M5" t="b">
        <f t="shared" si="0"/>
        <v>0</v>
      </c>
      <c r="N5" t="str">
        <f t="shared" si="1"/>
        <v/>
      </c>
      <c r="O5" t="str">
        <f t="shared" si="2"/>
        <v/>
      </c>
      <c r="P5" t="str">
        <f t="shared" si="3"/>
        <v/>
      </c>
      <c r="Q5" t="str">
        <f t="shared" si="4"/>
        <v/>
      </c>
      <c r="R5" t="str">
        <f t="shared" si="5"/>
        <v/>
      </c>
      <c r="S5" t="str">
        <f t="shared" si="6"/>
        <v/>
      </c>
      <c r="T5" t="str">
        <f t="shared" si="7"/>
        <v/>
      </c>
      <c r="U5" s="57" t="str">
        <f t="shared" si="8"/>
        <v xml:space="preserve">      </v>
      </c>
      <c r="W5" s="45" t="s">
        <v>296</v>
      </c>
      <c r="X5" s="45" t="b">
        <v>0</v>
      </c>
      <c r="Y5" s="45" t="b">
        <v>0</v>
      </c>
      <c r="Z5" s="45" t="b">
        <v>0</v>
      </c>
      <c r="AA5" s="45" t="b">
        <v>0</v>
      </c>
      <c r="AB5" s="45" t="b">
        <v>0</v>
      </c>
      <c r="AC5" s="45" t="b">
        <v>1</v>
      </c>
      <c r="AD5" s="45" t="b">
        <v>0</v>
      </c>
      <c r="AE5" s="45" t="b">
        <v>0</v>
      </c>
      <c r="AF5" s="45" t="s">
        <v>297</v>
      </c>
      <c r="AG5" s="45" t="b">
        <v>0</v>
      </c>
      <c r="AH5" s="45" t="b">
        <v>0</v>
      </c>
      <c r="AK5" t="s">
        <v>321</v>
      </c>
      <c r="AL5" t="s">
        <v>577</v>
      </c>
    </row>
    <row r="6" spans="1:38" x14ac:dyDescent="0.25">
      <c r="A6" s="59">
        <v>45196</v>
      </c>
      <c r="B6" s="59" t="s">
        <v>257</v>
      </c>
      <c r="C6" s="3" t="s">
        <v>258</v>
      </c>
      <c r="D6" s="3" t="s">
        <v>259</v>
      </c>
      <c r="E6" s="3" t="s">
        <v>183</v>
      </c>
      <c r="F6" s="3"/>
      <c r="J6" t="s">
        <v>374</v>
      </c>
      <c r="K6" t="s">
        <v>322</v>
      </c>
      <c r="L6" t="s">
        <v>540</v>
      </c>
      <c r="M6" t="b">
        <f t="shared" si="0"/>
        <v>0</v>
      </c>
      <c r="N6" t="str">
        <f t="shared" si="1"/>
        <v/>
      </c>
      <c r="O6" t="str">
        <f t="shared" si="2"/>
        <v/>
      </c>
      <c r="P6" t="str">
        <f t="shared" si="3"/>
        <v/>
      </c>
      <c r="Q6" t="str">
        <f t="shared" si="4"/>
        <v/>
      </c>
      <c r="R6" t="str">
        <f t="shared" si="5"/>
        <v/>
      </c>
      <c r="S6" t="str">
        <f t="shared" si="6"/>
        <v/>
      </c>
      <c r="T6" t="str">
        <f t="shared" si="7"/>
        <v/>
      </c>
      <c r="U6" s="57" t="str">
        <f t="shared" si="8"/>
        <v xml:space="preserve">      </v>
      </c>
      <c r="W6" s="45" t="s">
        <v>294</v>
      </c>
      <c r="X6" s="45" t="b">
        <v>1</v>
      </c>
      <c r="Y6" s="45" t="b">
        <v>0</v>
      </c>
      <c r="Z6" s="45" t="b">
        <v>0</v>
      </c>
      <c r="AA6" s="45" t="b">
        <v>0</v>
      </c>
      <c r="AB6" s="45" t="b">
        <v>0</v>
      </c>
      <c r="AC6" s="45" t="b">
        <v>1</v>
      </c>
      <c r="AD6" s="45" t="b">
        <v>0</v>
      </c>
      <c r="AE6" s="45" t="b">
        <v>0</v>
      </c>
      <c r="AF6" s="45" t="s">
        <v>112</v>
      </c>
      <c r="AG6" s="45" t="b">
        <v>1</v>
      </c>
      <c r="AH6" s="45" t="b">
        <v>0</v>
      </c>
      <c r="AK6" t="s">
        <v>322</v>
      </c>
      <c r="AL6" t="s">
        <v>540</v>
      </c>
    </row>
    <row r="7" spans="1:38" x14ac:dyDescent="0.25">
      <c r="A7" s="59">
        <v>45196</v>
      </c>
      <c r="B7" s="59" t="s">
        <v>260</v>
      </c>
      <c r="C7" s="3" t="s">
        <v>261</v>
      </c>
      <c r="D7" s="189" t="s">
        <v>262</v>
      </c>
      <c r="E7" s="3" t="s">
        <v>190</v>
      </c>
      <c r="F7" s="3" t="s">
        <v>1258</v>
      </c>
      <c r="J7" t="s">
        <v>374</v>
      </c>
      <c r="K7" t="s">
        <v>323</v>
      </c>
      <c r="L7" t="s">
        <v>541</v>
      </c>
      <c r="M7" t="b">
        <f t="shared" si="0"/>
        <v>0</v>
      </c>
      <c r="N7" t="str">
        <f t="shared" si="1"/>
        <v/>
      </c>
      <c r="O7" t="str">
        <f t="shared" si="2"/>
        <v/>
      </c>
      <c r="P7" t="str">
        <f t="shared" si="3"/>
        <v/>
      </c>
      <c r="Q7" t="str">
        <f t="shared" si="4"/>
        <v/>
      </c>
      <c r="R7" t="str">
        <f t="shared" si="5"/>
        <v/>
      </c>
      <c r="S7" t="str">
        <f t="shared" si="6"/>
        <v/>
      </c>
      <c r="T7" t="str">
        <f t="shared" si="7"/>
        <v/>
      </c>
      <c r="U7" s="57" t="str">
        <f t="shared" si="8"/>
        <v xml:space="preserve">      </v>
      </c>
      <c r="W7" s="45" t="s">
        <v>296</v>
      </c>
      <c r="X7" s="45" t="b">
        <v>0</v>
      </c>
      <c r="Y7" s="45" t="b">
        <v>0</v>
      </c>
      <c r="Z7" s="45" t="b">
        <v>0</v>
      </c>
      <c r="AA7" s="45" t="b">
        <v>0</v>
      </c>
      <c r="AB7" s="45" t="b">
        <v>0</v>
      </c>
      <c r="AC7" s="45" t="b">
        <v>1</v>
      </c>
      <c r="AD7" s="45" t="b">
        <v>0</v>
      </c>
      <c r="AE7" s="45" t="b">
        <v>0</v>
      </c>
      <c r="AF7" s="45" t="s">
        <v>112</v>
      </c>
      <c r="AG7" s="45" t="b">
        <v>1</v>
      </c>
      <c r="AH7" s="45" t="b">
        <v>0</v>
      </c>
      <c r="AK7" t="s">
        <v>323</v>
      </c>
      <c r="AL7" t="s">
        <v>541</v>
      </c>
    </row>
    <row r="8" spans="1:38" x14ac:dyDescent="0.25">
      <c r="A8" s="59">
        <v>45196</v>
      </c>
      <c r="B8" s="59" t="s">
        <v>260</v>
      </c>
      <c r="C8" s="3" t="s">
        <v>261</v>
      </c>
      <c r="D8" s="3" t="s">
        <v>262</v>
      </c>
      <c r="E8" s="3" t="s">
        <v>177</v>
      </c>
      <c r="F8" s="3"/>
      <c r="J8" t="s">
        <v>374</v>
      </c>
      <c r="K8" t="s">
        <v>324</v>
      </c>
      <c r="L8" t="s">
        <v>542</v>
      </c>
      <c r="M8" t="b">
        <f t="shared" si="0"/>
        <v>0</v>
      </c>
      <c r="N8" t="str">
        <f t="shared" si="1"/>
        <v/>
      </c>
      <c r="O8" t="str">
        <f t="shared" si="2"/>
        <v/>
      </c>
      <c r="P8" t="str">
        <f t="shared" si="3"/>
        <v/>
      </c>
      <c r="Q8" t="str">
        <f t="shared" si="4"/>
        <v/>
      </c>
      <c r="R8" t="str">
        <f t="shared" si="5"/>
        <v/>
      </c>
      <c r="S8" t="str">
        <f t="shared" si="6"/>
        <v/>
      </c>
      <c r="T8" t="str">
        <f t="shared" si="7"/>
        <v/>
      </c>
      <c r="U8" s="57" t="str">
        <f t="shared" si="8"/>
        <v xml:space="preserve">      </v>
      </c>
      <c r="W8" s="45" t="s">
        <v>294</v>
      </c>
      <c r="X8" s="45" t="b">
        <v>1</v>
      </c>
      <c r="Y8" s="45" t="b">
        <v>0</v>
      </c>
      <c r="Z8" s="45" t="b">
        <v>0</v>
      </c>
      <c r="AA8" s="45" t="b">
        <v>0</v>
      </c>
      <c r="AB8" s="45" t="b">
        <v>0</v>
      </c>
      <c r="AC8" s="45" t="b">
        <v>1</v>
      </c>
      <c r="AD8" s="45" t="b">
        <v>0</v>
      </c>
      <c r="AE8" s="45" t="b">
        <v>0</v>
      </c>
      <c r="AF8" s="45" t="s">
        <v>114</v>
      </c>
      <c r="AG8" s="45" t="b">
        <v>1</v>
      </c>
      <c r="AH8" s="45" t="b">
        <v>0</v>
      </c>
      <c r="AK8" t="s">
        <v>324</v>
      </c>
      <c r="AL8" t="s">
        <v>542</v>
      </c>
    </row>
    <row r="9" spans="1:38" x14ac:dyDescent="0.25">
      <c r="A9" s="59">
        <v>45196</v>
      </c>
      <c r="B9" s="59" t="s">
        <v>263</v>
      </c>
      <c r="C9" s="3" t="s">
        <v>264</v>
      </c>
      <c r="D9" s="3" t="s">
        <v>265</v>
      </c>
      <c r="E9" s="3" t="s">
        <v>177</v>
      </c>
      <c r="F9" s="3"/>
      <c r="J9" t="s">
        <v>47</v>
      </c>
      <c r="K9" t="s">
        <v>325</v>
      </c>
      <c r="L9" t="s">
        <v>177</v>
      </c>
      <c r="M9" t="b">
        <f t="shared" si="0"/>
        <v>1</v>
      </c>
      <c r="N9" t="b">
        <f t="shared" si="1"/>
        <v>1</v>
      </c>
      <c r="O9" t="b">
        <f t="shared" si="2"/>
        <v>1</v>
      </c>
      <c r="P9" t="b">
        <f t="shared" si="3"/>
        <v>0</v>
      </c>
      <c r="Q9" t="b">
        <f t="shared" si="4"/>
        <v>1</v>
      </c>
      <c r="R9" t="b">
        <f t="shared" si="5"/>
        <v>1</v>
      </c>
      <c r="S9" t="b">
        <f t="shared" si="6"/>
        <v>1</v>
      </c>
      <c r="T9" t="b">
        <f t="shared" si="7"/>
        <v>1</v>
      </c>
      <c r="U9" s="57" t="str">
        <f t="shared" si="8"/>
        <v>AccessControl Controller  Master Read Risk Trader</v>
      </c>
      <c r="V9" s="57"/>
      <c r="W9" s="45" t="s">
        <v>296</v>
      </c>
      <c r="X9" s="45" t="b">
        <v>0</v>
      </c>
      <c r="Y9" s="45" t="b">
        <v>0</v>
      </c>
      <c r="Z9" s="45" t="b">
        <v>0</v>
      </c>
      <c r="AA9" s="45" t="b">
        <v>0</v>
      </c>
      <c r="AB9" s="45" t="b">
        <v>0</v>
      </c>
      <c r="AC9" s="45" t="b">
        <v>1</v>
      </c>
      <c r="AD9" s="45" t="b">
        <v>0</v>
      </c>
      <c r="AE9" s="45" t="b">
        <v>0</v>
      </c>
      <c r="AF9" s="45" t="s">
        <v>114</v>
      </c>
      <c r="AG9" s="45" t="b">
        <v>0</v>
      </c>
      <c r="AH9" s="45" t="b">
        <v>0</v>
      </c>
      <c r="AK9" t="s">
        <v>325</v>
      </c>
      <c r="AL9" t="s">
        <v>177</v>
      </c>
    </row>
    <row r="10" spans="1:38" x14ac:dyDescent="0.25">
      <c r="A10" s="59">
        <v>45196</v>
      </c>
      <c r="B10" s="59" t="s">
        <v>266</v>
      </c>
      <c r="C10" s="3" t="s">
        <v>267</v>
      </c>
      <c r="D10" s="3" t="s">
        <v>268</v>
      </c>
      <c r="E10" s="3" t="s">
        <v>39</v>
      </c>
      <c r="F10" s="3"/>
      <c r="J10" t="s">
        <v>47</v>
      </c>
      <c r="K10" t="s">
        <v>326</v>
      </c>
      <c r="L10" t="s">
        <v>543</v>
      </c>
      <c r="M10" t="b">
        <f t="shared" si="0"/>
        <v>1</v>
      </c>
      <c r="N10" t="b">
        <f t="shared" si="1"/>
        <v>1</v>
      </c>
      <c r="O10" t="b">
        <f t="shared" si="2"/>
        <v>1</v>
      </c>
      <c r="P10" t="b">
        <f t="shared" si="3"/>
        <v>0</v>
      </c>
      <c r="Q10" t="b">
        <f t="shared" si="4"/>
        <v>1</v>
      </c>
      <c r="R10" t="b">
        <f t="shared" si="5"/>
        <v>1</v>
      </c>
      <c r="S10" t="b">
        <f t="shared" si="6"/>
        <v>1</v>
      </c>
      <c r="T10" t="b">
        <f t="shared" si="7"/>
        <v>1</v>
      </c>
      <c r="U10" s="57" t="str">
        <f t="shared" si="8"/>
        <v>AccessControl Controller  Master Read Risk Trader</v>
      </c>
      <c r="V10" s="57"/>
      <c r="W10" s="45" t="s">
        <v>294</v>
      </c>
      <c r="X10" s="45" t="b">
        <v>1</v>
      </c>
      <c r="Y10" s="45" t="b">
        <v>0</v>
      </c>
      <c r="Z10" s="45" t="b">
        <v>0</v>
      </c>
      <c r="AA10" s="45" t="b">
        <v>0</v>
      </c>
      <c r="AB10" s="45" t="b">
        <v>0</v>
      </c>
      <c r="AC10" s="45" t="b">
        <v>1</v>
      </c>
      <c r="AD10" s="45" t="b">
        <v>0</v>
      </c>
      <c r="AE10" s="45" t="b">
        <v>0</v>
      </c>
      <c r="AF10" s="45" t="s">
        <v>115</v>
      </c>
      <c r="AG10" s="45" t="b">
        <v>1</v>
      </c>
      <c r="AH10" s="45" t="b">
        <v>0</v>
      </c>
      <c r="AK10" t="s">
        <v>326</v>
      </c>
      <c r="AL10" t="s">
        <v>543</v>
      </c>
    </row>
    <row r="11" spans="1:38" x14ac:dyDescent="0.25">
      <c r="A11" s="59">
        <v>45196</v>
      </c>
      <c r="B11" s="59" t="s">
        <v>270</v>
      </c>
      <c r="C11" s="3"/>
      <c r="D11" s="3"/>
      <c r="E11" s="3" t="s">
        <v>339</v>
      </c>
      <c r="F11" s="3"/>
      <c r="J11" t="s">
        <v>47</v>
      </c>
      <c r="K11" s="58" t="s">
        <v>327</v>
      </c>
      <c r="L11" s="58" t="s">
        <v>544</v>
      </c>
      <c r="M11" t="b">
        <f t="shared" si="0"/>
        <v>1</v>
      </c>
      <c r="N11" t="b">
        <f t="shared" si="1"/>
        <v>0</v>
      </c>
      <c r="O11" t="b">
        <f t="shared" si="2"/>
        <v>0</v>
      </c>
      <c r="P11" t="b">
        <f t="shared" si="3"/>
        <v>0</v>
      </c>
      <c r="Q11" t="b">
        <f t="shared" si="4"/>
        <v>0</v>
      </c>
      <c r="R11" t="b">
        <f t="shared" si="5"/>
        <v>0</v>
      </c>
      <c r="S11" t="b">
        <f t="shared" si="6"/>
        <v>0</v>
      </c>
      <c r="T11" t="b">
        <f t="shared" si="7"/>
        <v>1</v>
      </c>
      <c r="U11" s="57" t="str">
        <f t="shared" si="8"/>
        <v xml:space="preserve">      Trader</v>
      </c>
      <c r="W11" s="45" t="s">
        <v>296</v>
      </c>
      <c r="X11" s="45" t="b">
        <v>0</v>
      </c>
      <c r="Y11" s="45" t="b">
        <v>0</v>
      </c>
      <c r="Z11" s="45" t="b">
        <v>0</v>
      </c>
      <c r="AA11" s="45" t="b">
        <v>0</v>
      </c>
      <c r="AB11" s="45" t="b">
        <v>0</v>
      </c>
      <c r="AC11" s="45" t="b">
        <v>1</v>
      </c>
      <c r="AD11" s="45" t="b">
        <v>0</v>
      </c>
      <c r="AE11" s="45" t="b">
        <v>0</v>
      </c>
      <c r="AF11" s="45" t="s">
        <v>115</v>
      </c>
      <c r="AG11" s="45" t="b">
        <v>1</v>
      </c>
      <c r="AH11" s="45" t="b">
        <v>0</v>
      </c>
      <c r="AK11" t="s">
        <v>327</v>
      </c>
      <c r="AL11" t="s">
        <v>544</v>
      </c>
    </row>
    <row r="12" spans="1:38" x14ac:dyDescent="0.25">
      <c r="A12" s="59">
        <v>45196</v>
      </c>
      <c r="B12" s="59" t="s">
        <v>270</v>
      </c>
      <c r="C12" s="3"/>
      <c r="D12" s="3"/>
      <c r="E12" s="3" t="s">
        <v>181</v>
      </c>
      <c r="F12" s="3" t="s">
        <v>1258</v>
      </c>
      <c r="J12" t="s">
        <v>47</v>
      </c>
      <c r="K12" t="s">
        <v>546</v>
      </c>
      <c r="L12" t="s">
        <v>545</v>
      </c>
      <c r="M12" t="b">
        <f t="shared" si="0"/>
        <v>1</v>
      </c>
      <c r="N12" t="b">
        <f t="shared" si="1"/>
        <v>0</v>
      </c>
      <c r="O12" t="b">
        <f t="shared" si="2"/>
        <v>1</v>
      </c>
      <c r="P12" t="b">
        <f t="shared" si="3"/>
        <v>0</v>
      </c>
      <c r="Q12" t="b">
        <f t="shared" si="4"/>
        <v>1</v>
      </c>
      <c r="R12" t="b">
        <f t="shared" si="5"/>
        <v>1</v>
      </c>
      <c r="S12" t="b">
        <f t="shared" si="6"/>
        <v>1</v>
      </c>
      <c r="T12" t="b">
        <f t="shared" si="7"/>
        <v>0</v>
      </c>
      <c r="U12" s="57" t="str">
        <f t="shared" si="8"/>
        <v xml:space="preserve"> Controller  Master Read Risk </v>
      </c>
      <c r="W12" s="45" t="s">
        <v>294</v>
      </c>
      <c r="X12" s="45" t="b">
        <v>1</v>
      </c>
      <c r="Y12" s="45" t="b">
        <v>0</v>
      </c>
      <c r="Z12" s="45" t="b">
        <v>0</v>
      </c>
      <c r="AA12" s="45" t="b">
        <v>0</v>
      </c>
      <c r="AB12" s="45" t="b">
        <v>0</v>
      </c>
      <c r="AC12" s="45" t="b">
        <v>1</v>
      </c>
      <c r="AD12" s="45" t="b">
        <v>0</v>
      </c>
      <c r="AE12" s="45" t="b">
        <v>0</v>
      </c>
      <c r="AF12" s="45" t="s">
        <v>116</v>
      </c>
      <c r="AG12" s="45" t="b">
        <v>1</v>
      </c>
      <c r="AH12" s="45" t="b">
        <v>0</v>
      </c>
      <c r="AK12" t="s">
        <v>546</v>
      </c>
      <c r="AL12" t="s">
        <v>545</v>
      </c>
    </row>
    <row r="13" spans="1:38" x14ac:dyDescent="0.25">
      <c r="A13" s="59">
        <v>45196</v>
      </c>
      <c r="B13" s="59" t="s">
        <v>270</v>
      </c>
      <c r="C13" s="3"/>
      <c r="D13" s="3"/>
      <c r="E13" s="3" t="s">
        <v>177</v>
      </c>
      <c r="F13" s="3"/>
      <c r="J13" t="s">
        <v>374</v>
      </c>
      <c r="K13" t="s">
        <v>328</v>
      </c>
      <c r="L13" t="s">
        <v>547</v>
      </c>
      <c r="M13" t="b">
        <f t="shared" si="0"/>
        <v>0</v>
      </c>
      <c r="N13" t="str">
        <f t="shared" si="1"/>
        <v/>
      </c>
      <c r="O13" t="str">
        <f t="shared" si="2"/>
        <v/>
      </c>
      <c r="P13" t="str">
        <f t="shared" si="3"/>
        <v/>
      </c>
      <c r="Q13" t="str">
        <f t="shared" si="4"/>
        <v/>
      </c>
      <c r="R13" t="str">
        <f t="shared" si="5"/>
        <v/>
      </c>
      <c r="S13" t="str">
        <f t="shared" si="6"/>
        <v/>
      </c>
      <c r="T13" t="str">
        <f t="shared" si="7"/>
        <v/>
      </c>
      <c r="U13" s="57" t="str">
        <f t="shared" si="8"/>
        <v xml:space="preserve">      </v>
      </c>
      <c r="V13" s="57"/>
      <c r="W13" s="45" t="s">
        <v>296</v>
      </c>
      <c r="X13" s="45" t="b">
        <v>0</v>
      </c>
      <c r="Y13" s="45" t="b">
        <v>0</v>
      </c>
      <c r="Z13" s="45" t="b">
        <v>0</v>
      </c>
      <c r="AA13" s="45" t="b">
        <v>0</v>
      </c>
      <c r="AB13" s="45" t="b">
        <v>0</v>
      </c>
      <c r="AC13" s="45" t="b">
        <v>1</v>
      </c>
      <c r="AD13" s="45" t="b">
        <v>0</v>
      </c>
      <c r="AE13" s="45" t="b">
        <v>0</v>
      </c>
      <c r="AF13" s="45" t="s">
        <v>116</v>
      </c>
      <c r="AG13" s="45" t="b">
        <v>1</v>
      </c>
      <c r="AH13" s="45" t="b">
        <v>0</v>
      </c>
      <c r="AK13" t="s">
        <v>328</v>
      </c>
      <c r="AL13" t="s">
        <v>547</v>
      </c>
    </row>
    <row r="14" spans="1:38" x14ac:dyDescent="0.25">
      <c r="A14" s="59">
        <v>45196</v>
      </c>
      <c r="B14" s="59" t="s">
        <v>270</v>
      </c>
      <c r="C14" s="3"/>
      <c r="D14" s="3"/>
      <c r="E14" s="3" t="s">
        <v>182</v>
      </c>
      <c r="F14" s="3"/>
      <c r="J14" t="s">
        <v>47</v>
      </c>
      <c r="K14" t="s">
        <v>329</v>
      </c>
      <c r="L14" t="s">
        <v>548</v>
      </c>
      <c r="M14" t="b">
        <f t="shared" si="0"/>
        <v>1</v>
      </c>
      <c r="N14" t="b">
        <f t="shared" si="1"/>
        <v>1</v>
      </c>
      <c r="O14" t="b">
        <f t="shared" si="2"/>
        <v>1</v>
      </c>
      <c r="P14" t="b">
        <f t="shared" si="3"/>
        <v>0</v>
      </c>
      <c r="Q14" t="b">
        <f t="shared" si="4"/>
        <v>1</v>
      </c>
      <c r="R14" t="b">
        <f t="shared" si="5"/>
        <v>1</v>
      </c>
      <c r="S14" t="b">
        <f t="shared" si="6"/>
        <v>1</v>
      </c>
      <c r="T14" t="b">
        <f t="shared" si="7"/>
        <v>1</v>
      </c>
      <c r="U14" s="57" t="str">
        <f t="shared" si="8"/>
        <v>AccessControl Controller  Master Read Risk Trader</v>
      </c>
      <c r="V14" s="57"/>
      <c r="W14" s="45" t="s">
        <v>294</v>
      </c>
      <c r="X14" s="45" t="b">
        <v>1</v>
      </c>
      <c r="Y14" s="45" t="b">
        <v>0</v>
      </c>
      <c r="Z14" s="45" t="b">
        <v>0</v>
      </c>
      <c r="AA14" s="45" t="b">
        <v>0</v>
      </c>
      <c r="AB14" s="45" t="b">
        <v>0</v>
      </c>
      <c r="AC14" s="45" t="b">
        <v>1</v>
      </c>
      <c r="AD14" s="45" t="b">
        <v>0</v>
      </c>
      <c r="AE14" s="45" t="b">
        <v>0</v>
      </c>
      <c r="AF14" s="45" t="s">
        <v>298</v>
      </c>
      <c r="AG14" s="45" t="b">
        <v>1</v>
      </c>
      <c r="AH14" s="45" t="b">
        <v>0</v>
      </c>
      <c r="AK14" t="s">
        <v>329</v>
      </c>
      <c r="AL14" t="s">
        <v>548</v>
      </c>
    </row>
    <row r="15" spans="1:38" x14ac:dyDescent="0.25">
      <c r="A15" s="59">
        <v>45196</v>
      </c>
      <c r="B15" s="59" t="s">
        <v>279</v>
      </c>
      <c r="C15" s="3"/>
      <c r="D15" s="3"/>
      <c r="E15" s="3" t="s">
        <v>339</v>
      </c>
      <c r="F15" s="3"/>
      <c r="J15" t="s">
        <v>47</v>
      </c>
      <c r="K15" t="s">
        <v>330</v>
      </c>
      <c r="L15" t="s">
        <v>549</v>
      </c>
      <c r="M15" t="b">
        <f t="shared" si="0"/>
        <v>1</v>
      </c>
      <c r="N15" t="b">
        <f t="shared" si="1"/>
        <v>0</v>
      </c>
      <c r="O15" t="b">
        <f t="shared" si="2"/>
        <v>0</v>
      </c>
      <c r="P15" t="b">
        <f t="shared" si="3"/>
        <v>0</v>
      </c>
      <c r="Q15" t="b">
        <f t="shared" si="4"/>
        <v>0</v>
      </c>
      <c r="R15" t="b">
        <f t="shared" si="5"/>
        <v>1</v>
      </c>
      <c r="S15" t="b">
        <f t="shared" si="6"/>
        <v>0</v>
      </c>
      <c r="T15" t="b">
        <f t="shared" si="7"/>
        <v>0</v>
      </c>
      <c r="U15" s="57" t="str">
        <f t="shared" si="8"/>
        <v xml:space="preserve">    Read  </v>
      </c>
      <c r="V15" s="57"/>
      <c r="W15" s="45" t="s">
        <v>296</v>
      </c>
      <c r="X15" s="45" t="b">
        <v>0</v>
      </c>
      <c r="Y15" s="45" t="b">
        <v>0</v>
      </c>
      <c r="Z15" s="45" t="b">
        <v>0</v>
      </c>
      <c r="AA15" s="45" t="b">
        <v>0</v>
      </c>
      <c r="AB15" s="45" t="b">
        <v>0</v>
      </c>
      <c r="AC15" s="45" t="b">
        <v>1</v>
      </c>
      <c r="AD15" s="45" t="b">
        <v>0</v>
      </c>
      <c r="AE15" s="45" t="b">
        <v>0</v>
      </c>
      <c r="AF15" s="45" t="s">
        <v>298</v>
      </c>
      <c r="AG15" s="45" t="b">
        <v>1</v>
      </c>
      <c r="AH15" s="45" t="b">
        <v>0</v>
      </c>
      <c r="AK15" t="s">
        <v>330</v>
      </c>
      <c r="AL15" t="s">
        <v>549</v>
      </c>
    </row>
    <row r="16" spans="1:38" x14ac:dyDescent="0.25">
      <c r="A16" s="59">
        <v>45196</v>
      </c>
      <c r="B16" s="59" t="s">
        <v>279</v>
      </c>
      <c r="C16" s="3"/>
      <c r="D16" s="3"/>
      <c r="E16" s="3" t="s">
        <v>181</v>
      </c>
      <c r="F16" s="3" t="s">
        <v>1258</v>
      </c>
      <c r="J16" t="s">
        <v>47</v>
      </c>
      <c r="K16" t="s">
        <v>331</v>
      </c>
      <c r="L16" t="s">
        <v>550</v>
      </c>
      <c r="M16" t="b">
        <f t="shared" si="0"/>
        <v>1</v>
      </c>
      <c r="N16" t="b">
        <f t="shared" si="1"/>
        <v>0</v>
      </c>
      <c r="O16" t="b">
        <f t="shared" si="2"/>
        <v>0</v>
      </c>
      <c r="P16" t="b">
        <f t="shared" si="3"/>
        <v>0</v>
      </c>
      <c r="Q16" t="b">
        <f t="shared" si="4"/>
        <v>0</v>
      </c>
      <c r="R16" t="b">
        <f t="shared" si="5"/>
        <v>1</v>
      </c>
      <c r="S16" t="b">
        <f t="shared" si="6"/>
        <v>0</v>
      </c>
      <c r="T16" t="b">
        <f t="shared" si="7"/>
        <v>0</v>
      </c>
      <c r="U16" s="57" t="str">
        <f t="shared" si="8"/>
        <v xml:space="preserve">    Read  </v>
      </c>
      <c r="V16" s="57"/>
      <c r="W16" s="45" t="s">
        <v>294</v>
      </c>
      <c r="X16" s="45" t="b">
        <v>1</v>
      </c>
      <c r="Y16" s="45" t="b">
        <v>0</v>
      </c>
      <c r="Z16" s="45" t="b">
        <v>0</v>
      </c>
      <c r="AA16" s="45" t="b">
        <v>0</v>
      </c>
      <c r="AB16" s="45" t="b">
        <v>0</v>
      </c>
      <c r="AC16" s="45" t="b">
        <v>1</v>
      </c>
      <c r="AD16" s="45" t="b">
        <v>0</v>
      </c>
      <c r="AE16" s="45" t="b">
        <v>0</v>
      </c>
      <c r="AF16" s="45" t="s">
        <v>299</v>
      </c>
      <c r="AG16" s="45" t="b">
        <v>1</v>
      </c>
      <c r="AH16" s="45" t="b">
        <v>0</v>
      </c>
      <c r="AK16" t="s">
        <v>331</v>
      </c>
      <c r="AL16" t="s">
        <v>550</v>
      </c>
    </row>
    <row r="17" spans="1:38" x14ac:dyDescent="0.25">
      <c r="A17" s="59">
        <v>45196</v>
      </c>
      <c r="B17" s="59" t="s">
        <v>279</v>
      </c>
      <c r="C17" s="3"/>
      <c r="D17" s="3"/>
      <c r="E17" s="3" t="s">
        <v>177</v>
      </c>
      <c r="F17" s="3"/>
      <c r="J17" t="s">
        <v>47</v>
      </c>
      <c r="K17" t="s">
        <v>551</v>
      </c>
      <c r="L17" t="s">
        <v>185</v>
      </c>
      <c r="M17" t="b">
        <f t="shared" si="0"/>
        <v>1</v>
      </c>
      <c r="N17" t="b">
        <f t="shared" si="1"/>
        <v>0</v>
      </c>
      <c r="O17" t="b">
        <f t="shared" si="2"/>
        <v>0</v>
      </c>
      <c r="P17" t="b">
        <f t="shared" si="3"/>
        <v>0</v>
      </c>
      <c r="Q17" t="b">
        <f t="shared" si="4"/>
        <v>0</v>
      </c>
      <c r="R17" t="b">
        <f t="shared" si="5"/>
        <v>1</v>
      </c>
      <c r="S17" t="b">
        <f t="shared" si="6"/>
        <v>0</v>
      </c>
      <c r="T17" t="b">
        <f t="shared" si="7"/>
        <v>0</v>
      </c>
      <c r="U17" s="57" t="str">
        <f t="shared" si="8"/>
        <v xml:space="preserve">    Read  </v>
      </c>
      <c r="W17" s="45" t="s">
        <v>296</v>
      </c>
      <c r="X17" s="45" t="b">
        <v>0</v>
      </c>
      <c r="Y17" s="45" t="b">
        <v>0</v>
      </c>
      <c r="Z17" s="45" t="b">
        <v>0</v>
      </c>
      <c r="AA17" s="45" t="b">
        <v>0</v>
      </c>
      <c r="AB17" s="45" t="b">
        <v>0</v>
      </c>
      <c r="AC17" s="45" t="b">
        <v>1</v>
      </c>
      <c r="AD17" s="45" t="b">
        <v>0</v>
      </c>
      <c r="AE17" s="45" t="b">
        <v>0</v>
      </c>
      <c r="AF17" s="45" t="s">
        <v>299</v>
      </c>
      <c r="AG17" s="45" t="b">
        <v>1</v>
      </c>
      <c r="AH17" s="45" t="b">
        <v>0</v>
      </c>
      <c r="AK17" t="s">
        <v>551</v>
      </c>
      <c r="AL17" t="s">
        <v>185</v>
      </c>
    </row>
    <row r="18" spans="1:38" x14ac:dyDescent="0.25">
      <c r="A18" s="59">
        <v>45196</v>
      </c>
      <c r="B18" s="59" t="s">
        <v>280</v>
      </c>
      <c r="C18" s="3"/>
      <c r="D18" s="3"/>
      <c r="E18" s="3" t="s">
        <v>339</v>
      </c>
      <c r="F18" s="3"/>
      <c r="J18" t="s">
        <v>47</v>
      </c>
      <c r="K18" t="s">
        <v>332</v>
      </c>
      <c r="L18" t="s">
        <v>552</v>
      </c>
      <c r="M18" t="b">
        <f t="shared" si="0"/>
        <v>1</v>
      </c>
      <c r="N18" t="b">
        <f t="shared" si="1"/>
        <v>1</v>
      </c>
      <c r="O18" t="b">
        <f t="shared" si="2"/>
        <v>1</v>
      </c>
      <c r="P18" t="b">
        <f t="shared" si="3"/>
        <v>0</v>
      </c>
      <c r="Q18" t="b">
        <f t="shared" si="4"/>
        <v>0</v>
      </c>
      <c r="R18" t="b">
        <f t="shared" si="5"/>
        <v>1</v>
      </c>
      <c r="S18" t="b">
        <f t="shared" si="6"/>
        <v>0</v>
      </c>
      <c r="T18" t="b">
        <f t="shared" si="7"/>
        <v>1</v>
      </c>
      <c r="U18" s="57" t="str">
        <f t="shared" si="8"/>
        <v>AccessControl Controller   Read  Trader</v>
      </c>
      <c r="V18" s="57"/>
      <c r="W18" s="45" t="s">
        <v>294</v>
      </c>
      <c r="X18" s="45" t="b">
        <v>1</v>
      </c>
      <c r="Y18" s="45" t="b">
        <v>0</v>
      </c>
      <c r="Z18" s="45" t="b">
        <v>0</v>
      </c>
      <c r="AA18" s="45" t="b">
        <v>0</v>
      </c>
      <c r="AB18" s="45" t="b">
        <v>0</v>
      </c>
      <c r="AC18" s="45" t="b">
        <v>1</v>
      </c>
      <c r="AD18" s="45" t="b">
        <v>0</v>
      </c>
      <c r="AE18" s="45" t="b">
        <v>0</v>
      </c>
      <c r="AF18" s="45" t="s">
        <v>414</v>
      </c>
      <c r="AG18" s="45" t="b">
        <v>1</v>
      </c>
      <c r="AH18" s="45" t="b">
        <v>0</v>
      </c>
      <c r="AK18" t="s">
        <v>332</v>
      </c>
      <c r="AL18" t="s">
        <v>552</v>
      </c>
    </row>
    <row r="19" spans="1:38" x14ac:dyDescent="0.25">
      <c r="A19" s="59">
        <v>45196</v>
      </c>
      <c r="B19" s="59" t="s">
        <v>280</v>
      </c>
      <c r="C19" s="3"/>
      <c r="D19" s="3"/>
      <c r="E19" s="3" t="s">
        <v>181</v>
      </c>
      <c r="F19" s="3" t="s">
        <v>1258</v>
      </c>
      <c r="J19" t="s">
        <v>374</v>
      </c>
      <c r="K19" t="s">
        <v>333</v>
      </c>
      <c r="L19" t="s">
        <v>553</v>
      </c>
      <c r="M19" t="b">
        <f t="shared" si="0"/>
        <v>0</v>
      </c>
      <c r="N19" t="str">
        <f t="shared" si="1"/>
        <v/>
      </c>
      <c r="O19" t="str">
        <f t="shared" si="2"/>
        <v/>
      </c>
      <c r="P19" t="str">
        <f t="shared" si="3"/>
        <v/>
      </c>
      <c r="Q19" t="str">
        <f t="shared" si="4"/>
        <v/>
      </c>
      <c r="R19" t="str">
        <f t="shared" si="5"/>
        <v/>
      </c>
      <c r="S19" t="str">
        <f t="shared" si="6"/>
        <v/>
      </c>
      <c r="T19" t="str">
        <f t="shared" si="7"/>
        <v/>
      </c>
      <c r="U19" s="57" t="str">
        <f t="shared" si="8"/>
        <v xml:space="preserve">      </v>
      </c>
      <c r="V19" s="57"/>
      <c r="W19" s="45" t="s">
        <v>296</v>
      </c>
      <c r="X19" s="45" t="b">
        <v>0</v>
      </c>
      <c r="Y19" s="45" t="b">
        <v>0</v>
      </c>
      <c r="Z19" s="45" t="b">
        <v>0</v>
      </c>
      <c r="AA19" s="45" t="b">
        <v>0</v>
      </c>
      <c r="AB19" s="45" t="b">
        <v>0</v>
      </c>
      <c r="AC19" s="45" t="b">
        <v>1</v>
      </c>
      <c r="AD19" s="45" t="b">
        <v>0</v>
      </c>
      <c r="AE19" s="45" t="b">
        <v>0</v>
      </c>
      <c r="AF19" s="45" t="s">
        <v>414</v>
      </c>
      <c r="AG19" s="45" t="b">
        <v>1</v>
      </c>
      <c r="AH19" s="45" t="b">
        <v>0</v>
      </c>
      <c r="AK19" t="s">
        <v>333</v>
      </c>
      <c r="AL19" t="s">
        <v>553</v>
      </c>
    </row>
    <row r="20" spans="1:38" x14ac:dyDescent="0.25">
      <c r="A20" s="59">
        <v>45196</v>
      </c>
      <c r="B20" s="59" t="s">
        <v>280</v>
      </c>
      <c r="C20" s="3"/>
      <c r="D20" s="3"/>
      <c r="E20" s="3" t="s">
        <v>177</v>
      </c>
      <c r="F20" s="3"/>
      <c r="J20" t="s">
        <v>47</v>
      </c>
      <c r="K20" t="s">
        <v>335</v>
      </c>
      <c r="L20" t="s">
        <v>334</v>
      </c>
      <c r="M20" t="b">
        <f t="shared" si="0"/>
        <v>1</v>
      </c>
      <c r="N20" t="b">
        <f t="shared" si="1"/>
        <v>1</v>
      </c>
      <c r="O20" t="b">
        <f t="shared" si="2"/>
        <v>1</v>
      </c>
      <c r="P20" t="b">
        <f t="shared" si="3"/>
        <v>0</v>
      </c>
      <c r="Q20" t="b">
        <f t="shared" si="4"/>
        <v>1</v>
      </c>
      <c r="R20" t="b">
        <f t="shared" si="5"/>
        <v>1</v>
      </c>
      <c r="S20" t="b">
        <f t="shared" si="6"/>
        <v>1</v>
      </c>
      <c r="T20" t="b">
        <f t="shared" si="7"/>
        <v>1</v>
      </c>
      <c r="U20" s="57" t="str">
        <f t="shared" si="8"/>
        <v>AccessControl Controller  Master Read Risk Trader</v>
      </c>
      <c r="W20" s="45" t="s">
        <v>294</v>
      </c>
      <c r="X20" s="45" t="b">
        <v>1</v>
      </c>
      <c r="Y20" s="45" t="b">
        <v>0</v>
      </c>
      <c r="Z20" s="45" t="b">
        <v>0</v>
      </c>
      <c r="AA20" s="45" t="b">
        <v>0</v>
      </c>
      <c r="AB20" s="45" t="b">
        <v>0</v>
      </c>
      <c r="AC20" s="45" t="b">
        <v>1</v>
      </c>
      <c r="AD20" s="45" t="b">
        <v>0</v>
      </c>
      <c r="AE20" s="45" t="b">
        <v>0</v>
      </c>
      <c r="AF20" s="45" t="s">
        <v>118</v>
      </c>
      <c r="AG20" s="45" t="b">
        <v>1</v>
      </c>
      <c r="AH20" s="45" t="b">
        <v>0</v>
      </c>
      <c r="AK20" t="s">
        <v>335</v>
      </c>
      <c r="AL20" t="s">
        <v>334</v>
      </c>
    </row>
    <row r="21" spans="1:38" x14ac:dyDescent="0.25">
      <c r="A21" s="59">
        <v>45196</v>
      </c>
      <c r="B21" s="59" t="s">
        <v>280</v>
      </c>
      <c r="C21" s="3"/>
      <c r="D21" s="3"/>
      <c r="E21" s="3" t="s">
        <v>182</v>
      </c>
      <c r="F21" s="3"/>
      <c r="J21" t="s">
        <v>47</v>
      </c>
      <c r="K21" t="s">
        <v>337</v>
      </c>
      <c r="L21" t="s">
        <v>336</v>
      </c>
      <c r="M21" t="b">
        <f t="shared" si="0"/>
        <v>1</v>
      </c>
      <c r="N21" t="b">
        <f t="shared" si="1"/>
        <v>1</v>
      </c>
      <c r="O21" t="b">
        <f t="shared" si="2"/>
        <v>1</v>
      </c>
      <c r="P21" t="b">
        <f t="shared" si="3"/>
        <v>0</v>
      </c>
      <c r="Q21" t="b">
        <f t="shared" si="4"/>
        <v>0</v>
      </c>
      <c r="R21" t="b">
        <f t="shared" si="5"/>
        <v>1</v>
      </c>
      <c r="S21" t="b">
        <f t="shared" si="6"/>
        <v>0</v>
      </c>
      <c r="T21" t="b">
        <f t="shared" si="7"/>
        <v>1</v>
      </c>
      <c r="U21" s="57" t="str">
        <f t="shared" si="8"/>
        <v>AccessControl Controller   Read  Trader</v>
      </c>
      <c r="V21" s="57"/>
      <c r="W21" s="45" t="s">
        <v>296</v>
      </c>
      <c r="X21" s="45" t="b">
        <v>0</v>
      </c>
      <c r="Y21" s="45" t="b">
        <v>0</v>
      </c>
      <c r="Z21" s="45" t="b">
        <v>0</v>
      </c>
      <c r="AA21" s="45" t="b">
        <v>0</v>
      </c>
      <c r="AB21" s="45" t="b">
        <v>0</v>
      </c>
      <c r="AC21" s="45" t="b">
        <v>1</v>
      </c>
      <c r="AD21" s="45" t="b">
        <v>0</v>
      </c>
      <c r="AE21" s="45" t="b">
        <v>0</v>
      </c>
      <c r="AF21" s="45" t="s">
        <v>118</v>
      </c>
      <c r="AG21" s="45" t="b">
        <v>1</v>
      </c>
      <c r="AH21" s="45" t="b">
        <v>0</v>
      </c>
      <c r="AK21" t="s">
        <v>337</v>
      </c>
      <c r="AL21" t="s">
        <v>336</v>
      </c>
    </row>
    <row r="22" spans="1:38" x14ac:dyDescent="0.25">
      <c r="A22" s="59">
        <v>45196</v>
      </c>
      <c r="B22" s="59" t="s">
        <v>281</v>
      </c>
      <c r="C22" s="3"/>
      <c r="D22" s="3"/>
      <c r="E22" s="3" t="s">
        <v>177</v>
      </c>
      <c r="F22" s="3"/>
      <c r="J22" t="s">
        <v>374</v>
      </c>
      <c r="K22" t="s">
        <v>338</v>
      </c>
      <c r="L22" t="s">
        <v>554</v>
      </c>
      <c r="M22" t="b">
        <f t="shared" si="0"/>
        <v>0</v>
      </c>
      <c r="N22" t="str">
        <f t="shared" si="1"/>
        <v/>
      </c>
      <c r="O22" t="str">
        <f t="shared" si="2"/>
        <v/>
      </c>
      <c r="P22" t="str">
        <f t="shared" si="3"/>
        <v/>
      </c>
      <c r="Q22" t="str">
        <f t="shared" si="4"/>
        <v/>
      </c>
      <c r="R22" t="str">
        <f t="shared" si="5"/>
        <v/>
      </c>
      <c r="S22" t="str">
        <f t="shared" si="6"/>
        <v/>
      </c>
      <c r="T22" t="str">
        <f t="shared" si="7"/>
        <v/>
      </c>
      <c r="U22" s="57" t="str">
        <f t="shared" si="8"/>
        <v xml:space="preserve">      </v>
      </c>
      <c r="V22" s="57"/>
      <c r="W22" s="45" t="s">
        <v>294</v>
      </c>
      <c r="X22" s="45" t="b">
        <v>1</v>
      </c>
      <c r="Y22" s="45" t="b">
        <v>0</v>
      </c>
      <c r="Z22" s="45" t="b">
        <v>0</v>
      </c>
      <c r="AA22" s="45" t="b">
        <v>0</v>
      </c>
      <c r="AB22" s="45" t="b">
        <v>0</v>
      </c>
      <c r="AC22" s="45" t="b">
        <v>1</v>
      </c>
      <c r="AD22" s="45" t="b">
        <v>0</v>
      </c>
      <c r="AE22" s="45" t="b">
        <v>0</v>
      </c>
      <c r="AF22" s="45" t="s">
        <v>119</v>
      </c>
      <c r="AG22" s="45" t="b">
        <v>1</v>
      </c>
      <c r="AH22" s="45" t="b">
        <v>0</v>
      </c>
      <c r="AK22" t="s">
        <v>338</v>
      </c>
      <c r="AL22" t="s">
        <v>554</v>
      </c>
    </row>
    <row r="23" spans="1:38" x14ac:dyDescent="0.25">
      <c r="A23" s="59">
        <v>45196</v>
      </c>
      <c r="B23" s="59" t="s">
        <v>272</v>
      </c>
      <c r="C23" s="3"/>
      <c r="D23" s="3"/>
      <c r="E23" s="3" t="s">
        <v>339</v>
      </c>
      <c r="F23" s="3"/>
      <c r="J23" t="s">
        <v>47</v>
      </c>
      <c r="K23" s="58" t="s">
        <v>340</v>
      </c>
      <c r="L23" s="58" t="s">
        <v>339</v>
      </c>
      <c r="M23" t="b">
        <f t="shared" si="0"/>
        <v>1</v>
      </c>
      <c r="N23" t="b">
        <f t="shared" si="1"/>
        <v>0</v>
      </c>
      <c r="O23" t="b">
        <f t="shared" si="2"/>
        <v>1</v>
      </c>
      <c r="P23" t="b">
        <f t="shared" si="3"/>
        <v>0</v>
      </c>
      <c r="Q23" t="b">
        <f t="shared" si="4"/>
        <v>1</v>
      </c>
      <c r="R23" t="b">
        <f t="shared" si="5"/>
        <v>1</v>
      </c>
      <c r="S23" t="b">
        <f t="shared" si="6"/>
        <v>1</v>
      </c>
      <c r="T23" t="b">
        <f t="shared" si="7"/>
        <v>1</v>
      </c>
      <c r="U23" s="57" t="str">
        <f t="shared" si="8"/>
        <v xml:space="preserve"> Controller  Master Read Risk Trader</v>
      </c>
      <c r="W23" s="45" t="s">
        <v>296</v>
      </c>
      <c r="X23" s="45" t="b">
        <v>0</v>
      </c>
      <c r="Y23" s="45" t="b">
        <v>0</v>
      </c>
      <c r="Z23" s="45" t="b">
        <v>0</v>
      </c>
      <c r="AA23" s="45" t="b">
        <v>0</v>
      </c>
      <c r="AB23" s="45" t="b">
        <v>0</v>
      </c>
      <c r="AC23" s="45" t="b">
        <v>1</v>
      </c>
      <c r="AD23" s="45" t="b">
        <v>0</v>
      </c>
      <c r="AE23" s="45" t="b">
        <v>0</v>
      </c>
      <c r="AF23" s="45" t="s">
        <v>119</v>
      </c>
      <c r="AG23" s="45" t="b">
        <v>1</v>
      </c>
      <c r="AH23" s="45" t="b">
        <v>0</v>
      </c>
      <c r="AK23" t="s">
        <v>340</v>
      </c>
      <c r="AL23" t="s">
        <v>339</v>
      </c>
    </row>
    <row r="24" spans="1:38" x14ac:dyDescent="0.25">
      <c r="A24" s="59">
        <v>45196</v>
      </c>
      <c r="B24" s="59" t="s">
        <v>272</v>
      </c>
      <c r="C24" s="3"/>
      <c r="D24" s="3"/>
      <c r="E24" s="3" t="s">
        <v>181</v>
      </c>
      <c r="F24" s="3" t="s">
        <v>1258</v>
      </c>
      <c r="J24" t="s">
        <v>47</v>
      </c>
      <c r="K24" t="s">
        <v>341</v>
      </c>
      <c r="L24" t="s">
        <v>179</v>
      </c>
      <c r="M24" t="b">
        <f t="shared" si="0"/>
        <v>1</v>
      </c>
      <c r="N24" t="b">
        <f t="shared" si="1"/>
        <v>0</v>
      </c>
      <c r="O24" t="b">
        <f t="shared" si="2"/>
        <v>1</v>
      </c>
      <c r="P24" t="b">
        <f t="shared" si="3"/>
        <v>0</v>
      </c>
      <c r="Q24" t="b">
        <f t="shared" si="4"/>
        <v>1</v>
      </c>
      <c r="R24" t="b">
        <f t="shared" si="5"/>
        <v>1</v>
      </c>
      <c r="S24" t="b">
        <f t="shared" si="6"/>
        <v>1</v>
      </c>
      <c r="T24" t="b">
        <f t="shared" si="7"/>
        <v>1</v>
      </c>
      <c r="U24" s="57" t="str">
        <f t="shared" si="8"/>
        <v xml:space="preserve"> Controller  Master Read Risk Trader</v>
      </c>
      <c r="W24" s="45" t="s">
        <v>294</v>
      </c>
      <c r="X24" s="45" t="b">
        <v>1</v>
      </c>
      <c r="Y24" s="45" t="b">
        <v>0</v>
      </c>
      <c r="Z24" s="45" t="b">
        <v>0</v>
      </c>
      <c r="AA24" s="45" t="b">
        <v>0</v>
      </c>
      <c r="AB24" s="45" t="b">
        <v>0</v>
      </c>
      <c r="AC24" s="45" t="b">
        <v>1</v>
      </c>
      <c r="AD24" s="45" t="b">
        <v>0</v>
      </c>
      <c r="AE24" s="45" t="b">
        <v>0</v>
      </c>
      <c r="AF24" s="45" t="s">
        <v>300</v>
      </c>
      <c r="AG24" s="45" t="b">
        <v>1</v>
      </c>
      <c r="AH24" s="45" t="b">
        <v>0</v>
      </c>
      <c r="AK24" t="s">
        <v>341</v>
      </c>
      <c r="AL24" t="s">
        <v>179</v>
      </c>
    </row>
    <row r="25" spans="1:38" x14ac:dyDescent="0.25">
      <c r="A25" s="59">
        <v>45196</v>
      </c>
      <c r="B25" s="59" t="s">
        <v>272</v>
      </c>
      <c r="C25" s="3"/>
      <c r="D25" s="3"/>
      <c r="E25" s="3" t="s">
        <v>177</v>
      </c>
      <c r="F25" s="3"/>
      <c r="J25" s="58" t="s">
        <v>374</v>
      </c>
      <c r="K25" s="58" t="s">
        <v>342</v>
      </c>
      <c r="L25" s="58" t="s">
        <v>555</v>
      </c>
      <c r="M25" t="b">
        <f t="shared" si="0"/>
        <v>0</v>
      </c>
      <c r="N25" t="str">
        <f t="shared" si="1"/>
        <v/>
      </c>
      <c r="O25" t="str">
        <f t="shared" si="2"/>
        <v/>
      </c>
      <c r="P25" t="str">
        <f t="shared" si="3"/>
        <v/>
      </c>
      <c r="Q25" t="str">
        <f t="shared" si="4"/>
        <v/>
      </c>
      <c r="R25" t="str">
        <f t="shared" si="5"/>
        <v/>
      </c>
      <c r="S25" t="str">
        <f t="shared" si="6"/>
        <v/>
      </c>
      <c r="T25" t="str">
        <f t="shared" si="7"/>
        <v/>
      </c>
      <c r="U25" s="57" t="str">
        <f t="shared" si="8"/>
        <v xml:space="preserve">      </v>
      </c>
      <c r="W25" s="45" t="s">
        <v>296</v>
      </c>
      <c r="X25" s="45" t="b">
        <v>0</v>
      </c>
      <c r="Y25" s="45" t="b">
        <v>0</v>
      </c>
      <c r="Z25" s="45" t="b">
        <v>0</v>
      </c>
      <c r="AA25" s="45" t="b">
        <v>0</v>
      </c>
      <c r="AB25" s="45" t="b">
        <v>0</v>
      </c>
      <c r="AC25" s="45" t="b">
        <v>1</v>
      </c>
      <c r="AD25" s="45" t="b">
        <v>0</v>
      </c>
      <c r="AE25" s="45" t="b">
        <v>0</v>
      </c>
      <c r="AF25" s="45" t="s">
        <v>300</v>
      </c>
      <c r="AG25" s="45" t="b">
        <v>1</v>
      </c>
      <c r="AH25" s="45" t="b">
        <v>0</v>
      </c>
      <c r="AK25" t="s">
        <v>342</v>
      </c>
      <c r="AL25" t="s">
        <v>555</v>
      </c>
    </row>
    <row r="26" spans="1:38" x14ac:dyDescent="0.25">
      <c r="A26" s="59">
        <v>45196</v>
      </c>
      <c r="B26" s="59" t="s">
        <v>272</v>
      </c>
      <c r="C26" s="3"/>
      <c r="D26" s="3"/>
      <c r="E26" s="3" t="s">
        <v>182</v>
      </c>
      <c r="F26" s="3"/>
      <c r="J26" t="s">
        <v>374</v>
      </c>
      <c r="K26" t="s">
        <v>343</v>
      </c>
      <c r="L26" t="s">
        <v>556</v>
      </c>
      <c r="M26" t="b">
        <f t="shared" si="0"/>
        <v>0</v>
      </c>
      <c r="N26" t="str">
        <f t="shared" si="1"/>
        <v/>
      </c>
      <c r="O26" t="str">
        <f t="shared" si="2"/>
        <v/>
      </c>
      <c r="P26" t="str">
        <f t="shared" si="3"/>
        <v/>
      </c>
      <c r="Q26" t="str">
        <f t="shared" si="4"/>
        <v/>
      </c>
      <c r="R26" t="str">
        <f t="shared" si="5"/>
        <v/>
      </c>
      <c r="S26" t="str">
        <f t="shared" si="6"/>
        <v/>
      </c>
      <c r="T26" t="str">
        <f t="shared" si="7"/>
        <v/>
      </c>
      <c r="U26" s="57" t="str">
        <f t="shared" si="8"/>
        <v xml:space="preserve">      </v>
      </c>
      <c r="W26" s="45" t="s">
        <v>294</v>
      </c>
      <c r="X26" s="45" t="b">
        <v>1</v>
      </c>
      <c r="Y26" s="45" t="b">
        <v>0</v>
      </c>
      <c r="Z26" s="45" t="b">
        <v>0</v>
      </c>
      <c r="AA26" s="45" t="b">
        <v>0</v>
      </c>
      <c r="AB26" s="45" t="b">
        <v>0</v>
      </c>
      <c r="AC26" s="45" t="b">
        <v>1</v>
      </c>
      <c r="AD26" s="45" t="b">
        <v>0</v>
      </c>
      <c r="AE26" s="45" t="b">
        <v>0</v>
      </c>
      <c r="AF26" s="45" t="s">
        <v>301</v>
      </c>
      <c r="AG26" s="45" t="b">
        <v>1</v>
      </c>
      <c r="AH26" s="45" t="b">
        <v>0</v>
      </c>
      <c r="AK26" t="s">
        <v>343</v>
      </c>
      <c r="AL26" t="s">
        <v>556</v>
      </c>
    </row>
    <row r="27" spans="1:38" x14ac:dyDescent="0.25">
      <c r="A27" s="59">
        <v>45196</v>
      </c>
      <c r="B27" s="59" t="s">
        <v>277</v>
      </c>
      <c r="C27" s="3"/>
      <c r="D27" s="3"/>
      <c r="E27" s="3" t="s">
        <v>177</v>
      </c>
      <c r="F27" s="3"/>
      <c r="J27" t="s">
        <v>374</v>
      </c>
      <c r="K27" t="s">
        <v>344</v>
      </c>
      <c r="L27" t="s">
        <v>557</v>
      </c>
      <c r="M27" t="b">
        <f t="shared" si="0"/>
        <v>0</v>
      </c>
      <c r="N27" t="str">
        <f t="shared" si="1"/>
        <v/>
      </c>
      <c r="O27" t="str">
        <f t="shared" si="2"/>
        <v/>
      </c>
      <c r="P27" t="str">
        <f t="shared" si="3"/>
        <v/>
      </c>
      <c r="Q27" t="str">
        <f t="shared" si="4"/>
        <v/>
      </c>
      <c r="R27" t="str">
        <f t="shared" si="5"/>
        <v/>
      </c>
      <c r="S27" t="str">
        <f t="shared" si="6"/>
        <v/>
      </c>
      <c r="T27" t="str">
        <f t="shared" si="7"/>
        <v/>
      </c>
      <c r="U27" s="57" t="str">
        <f t="shared" si="8"/>
        <v xml:space="preserve">      </v>
      </c>
      <c r="W27" s="45" t="s">
        <v>296</v>
      </c>
      <c r="X27" s="45" t="b">
        <v>0</v>
      </c>
      <c r="Y27" s="45" t="b">
        <v>0</v>
      </c>
      <c r="Z27" s="45" t="b">
        <v>0</v>
      </c>
      <c r="AA27" s="45" t="b">
        <v>0</v>
      </c>
      <c r="AB27" s="45" t="b">
        <v>0</v>
      </c>
      <c r="AC27" s="45" t="b">
        <v>1</v>
      </c>
      <c r="AD27" s="45" t="b">
        <v>0</v>
      </c>
      <c r="AE27" s="45" t="b">
        <v>0</v>
      </c>
      <c r="AF27" s="45" t="s">
        <v>301</v>
      </c>
      <c r="AG27" s="45" t="b">
        <v>0</v>
      </c>
      <c r="AH27" s="45" t="b">
        <v>0</v>
      </c>
      <c r="AK27" t="s">
        <v>344</v>
      </c>
      <c r="AL27" t="s">
        <v>557</v>
      </c>
    </row>
    <row r="28" spans="1:38" x14ac:dyDescent="0.25">
      <c r="A28" s="59">
        <v>45196</v>
      </c>
      <c r="B28" s="59" t="s">
        <v>276</v>
      </c>
      <c r="C28" s="3"/>
      <c r="D28" s="3"/>
      <c r="E28" s="3" t="s">
        <v>339</v>
      </c>
      <c r="F28" s="3"/>
      <c r="J28" t="s">
        <v>374</v>
      </c>
      <c r="K28" t="s">
        <v>345</v>
      </c>
      <c r="L28" t="s">
        <v>558</v>
      </c>
      <c r="M28" t="b">
        <f t="shared" si="0"/>
        <v>0</v>
      </c>
      <c r="N28" t="str">
        <f t="shared" si="1"/>
        <v/>
      </c>
      <c r="O28" t="str">
        <f t="shared" si="2"/>
        <v/>
      </c>
      <c r="P28" t="str">
        <f t="shared" si="3"/>
        <v/>
      </c>
      <c r="Q28" t="str">
        <f t="shared" si="4"/>
        <v/>
      </c>
      <c r="R28" t="str">
        <f t="shared" si="5"/>
        <v/>
      </c>
      <c r="S28" t="str">
        <f t="shared" si="6"/>
        <v/>
      </c>
      <c r="T28" t="str">
        <f t="shared" si="7"/>
        <v/>
      </c>
      <c r="U28" s="57" t="str">
        <f t="shared" si="8"/>
        <v xml:space="preserve">      </v>
      </c>
      <c r="V28" s="57"/>
      <c r="W28" s="45" t="s">
        <v>294</v>
      </c>
      <c r="X28" s="45" t="b">
        <v>1</v>
      </c>
      <c r="Y28" s="45" t="b">
        <v>0</v>
      </c>
      <c r="Z28" s="45" t="b">
        <v>0</v>
      </c>
      <c r="AA28" s="45" t="b">
        <v>0</v>
      </c>
      <c r="AB28" s="45" t="b">
        <v>0</v>
      </c>
      <c r="AC28" s="45" t="b">
        <v>1</v>
      </c>
      <c r="AD28" s="45" t="b">
        <v>0</v>
      </c>
      <c r="AE28" s="45" t="b">
        <v>0</v>
      </c>
      <c r="AF28" s="45" t="s">
        <v>120</v>
      </c>
      <c r="AG28" s="45" t="b">
        <v>1</v>
      </c>
      <c r="AH28" s="45" t="b">
        <v>0</v>
      </c>
      <c r="AK28" t="s">
        <v>345</v>
      </c>
      <c r="AL28" t="s">
        <v>558</v>
      </c>
    </row>
    <row r="29" spans="1:38" x14ac:dyDescent="0.25">
      <c r="A29" s="59">
        <v>45196</v>
      </c>
      <c r="B29" s="59" t="s">
        <v>276</v>
      </c>
      <c r="C29" s="3"/>
      <c r="D29" s="3"/>
      <c r="E29" s="3" t="s">
        <v>181</v>
      </c>
      <c r="F29" s="3" t="s">
        <v>1258</v>
      </c>
      <c r="J29" t="s">
        <v>374</v>
      </c>
      <c r="K29" t="s">
        <v>346</v>
      </c>
      <c r="L29" t="s">
        <v>559</v>
      </c>
      <c r="M29" t="b">
        <f t="shared" si="0"/>
        <v>0</v>
      </c>
      <c r="N29" t="str">
        <f t="shared" si="1"/>
        <v/>
      </c>
      <c r="O29" t="str">
        <f t="shared" si="2"/>
        <v/>
      </c>
      <c r="P29" t="str">
        <f t="shared" si="3"/>
        <v/>
      </c>
      <c r="Q29" t="str">
        <f t="shared" si="4"/>
        <v/>
      </c>
      <c r="R29" t="str">
        <f t="shared" si="5"/>
        <v/>
      </c>
      <c r="S29" t="str">
        <f t="shared" si="6"/>
        <v/>
      </c>
      <c r="T29" t="str">
        <f t="shared" si="7"/>
        <v/>
      </c>
      <c r="U29" s="57" t="str">
        <f t="shared" si="8"/>
        <v xml:space="preserve">      </v>
      </c>
      <c r="W29" s="45" t="s">
        <v>296</v>
      </c>
      <c r="X29" s="45" t="b">
        <v>0</v>
      </c>
      <c r="Y29" s="45" t="b">
        <v>0</v>
      </c>
      <c r="Z29" s="45" t="b">
        <v>0</v>
      </c>
      <c r="AA29" s="45" t="b">
        <v>0</v>
      </c>
      <c r="AB29" s="45" t="b">
        <v>0</v>
      </c>
      <c r="AC29" s="45" t="b">
        <v>1</v>
      </c>
      <c r="AD29" s="45" t="b">
        <v>0</v>
      </c>
      <c r="AE29" s="45" t="b">
        <v>0</v>
      </c>
      <c r="AF29" s="45" t="s">
        <v>120</v>
      </c>
      <c r="AG29" s="45" t="b">
        <v>1</v>
      </c>
      <c r="AH29" s="45" t="b">
        <v>0</v>
      </c>
      <c r="AK29" t="s">
        <v>346</v>
      </c>
      <c r="AL29" t="s">
        <v>559</v>
      </c>
    </row>
    <row r="30" spans="1:38" x14ac:dyDescent="0.25">
      <c r="A30" s="59">
        <v>45196</v>
      </c>
      <c r="B30" s="59" t="s">
        <v>276</v>
      </c>
      <c r="C30" s="3"/>
      <c r="D30" s="3"/>
      <c r="E30" s="3" t="s">
        <v>177</v>
      </c>
      <c r="F30" s="3"/>
      <c r="J30" t="s">
        <v>47</v>
      </c>
      <c r="K30" t="s">
        <v>347</v>
      </c>
      <c r="L30" t="s">
        <v>180</v>
      </c>
      <c r="M30" t="b">
        <f t="shared" si="0"/>
        <v>1</v>
      </c>
      <c r="N30" t="b">
        <f t="shared" si="1"/>
        <v>0</v>
      </c>
      <c r="O30" t="b">
        <f t="shared" si="2"/>
        <v>0</v>
      </c>
      <c r="P30" t="b">
        <f t="shared" si="3"/>
        <v>0</v>
      </c>
      <c r="Q30" t="b">
        <f t="shared" si="4"/>
        <v>0</v>
      </c>
      <c r="R30" t="b">
        <f t="shared" si="5"/>
        <v>1</v>
      </c>
      <c r="S30" t="b">
        <f t="shared" si="6"/>
        <v>0</v>
      </c>
      <c r="T30" t="b">
        <f t="shared" si="7"/>
        <v>0</v>
      </c>
      <c r="U30" s="57" t="str">
        <f t="shared" si="8"/>
        <v xml:space="preserve">    Read  </v>
      </c>
      <c r="W30" s="45" t="s">
        <v>294</v>
      </c>
      <c r="X30" s="45" t="b">
        <v>1</v>
      </c>
      <c r="Y30" s="45" t="b">
        <v>0</v>
      </c>
      <c r="Z30" s="45" t="b">
        <v>0</v>
      </c>
      <c r="AA30" s="45" t="b">
        <v>0</v>
      </c>
      <c r="AB30" s="45" t="b">
        <v>0</v>
      </c>
      <c r="AC30" s="45" t="b">
        <v>1</v>
      </c>
      <c r="AD30" s="45" t="b">
        <v>0</v>
      </c>
      <c r="AE30" s="45" t="b">
        <v>0</v>
      </c>
      <c r="AF30" s="45" t="s">
        <v>302</v>
      </c>
      <c r="AG30" s="45" t="b">
        <v>1</v>
      </c>
      <c r="AH30" s="45" t="b">
        <v>0</v>
      </c>
      <c r="AK30" t="s">
        <v>347</v>
      </c>
      <c r="AL30" t="s">
        <v>180</v>
      </c>
    </row>
    <row r="31" spans="1:38" x14ac:dyDescent="0.25">
      <c r="A31" s="59">
        <v>45196</v>
      </c>
      <c r="B31" s="59" t="s">
        <v>276</v>
      </c>
      <c r="C31" s="3"/>
      <c r="D31" s="3"/>
      <c r="E31" s="3" t="s">
        <v>182</v>
      </c>
      <c r="F31" s="3"/>
      <c r="J31" t="s">
        <v>47</v>
      </c>
      <c r="K31" t="s">
        <v>560</v>
      </c>
      <c r="L31" t="s">
        <v>398</v>
      </c>
      <c r="M31" t="b">
        <f t="shared" si="0"/>
        <v>1</v>
      </c>
      <c r="N31" t="b">
        <f t="shared" si="1"/>
        <v>0</v>
      </c>
      <c r="O31" t="b">
        <f t="shared" si="2"/>
        <v>0</v>
      </c>
      <c r="P31" t="b">
        <f t="shared" si="3"/>
        <v>0</v>
      </c>
      <c r="Q31" t="b">
        <f t="shared" si="4"/>
        <v>0</v>
      </c>
      <c r="R31" t="b">
        <f t="shared" si="5"/>
        <v>1</v>
      </c>
      <c r="S31" t="b">
        <f t="shared" si="6"/>
        <v>0</v>
      </c>
      <c r="T31" t="b">
        <f t="shared" si="7"/>
        <v>0</v>
      </c>
      <c r="U31" s="57" t="str">
        <f t="shared" si="8"/>
        <v xml:space="preserve">    Read  </v>
      </c>
      <c r="W31" s="45" t="s">
        <v>296</v>
      </c>
      <c r="X31" s="45" t="b">
        <v>0</v>
      </c>
      <c r="Y31" s="45" t="b">
        <v>0</v>
      </c>
      <c r="Z31" s="45" t="b">
        <v>0</v>
      </c>
      <c r="AA31" s="45" t="b">
        <v>0</v>
      </c>
      <c r="AB31" s="45" t="b">
        <v>0</v>
      </c>
      <c r="AC31" s="45" t="b">
        <v>1</v>
      </c>
      <c r="AD31" s="45" t="b">
        <v>0</v>
      </c>
      <c r="AE31" s="45" t="b">
        <v>0</v>
      </c>
      <c r="AF31" s="45" t="s">
        <v>302</v>
      </c>
      <c r="AG31" s="45" t="b">
        <v>0</v>
      </c>
      <c r="AH31" s="45" t="b">
        <v>0</v>
      </c>
      <c r="AK31" t="s">
        <v>560</v>
      </c>
      <c r="AL31" t="s">
        <v>398</v>
      </c>
    </row>
    <row r="32" spans="1:38" x14ac:dyDescent="0.25">
      <c r="A32" s="59">
        <v>45196</v>
      </c>
      <c r="B32" s="59" t="s">
        <v>368</v>
      </c>
      <c r="C32" s="3"/>
      <c r="D32" s="3"/>
      <c r="E32" s="3" t="s">
        <v>177</v>
      </c>
      <c r="F32" s="3"/>
      <c r="J32" t="s">
        <v>374</v>
      </c>
      <c r="K32" t="s">
        <v>348</v>
      </c>
      <c r="L32" t="s">
        <v>561</v>
      </c>
      <c r="M32" t="b">
        <f t="shared" si="0"/>
        <v>0</v>
      </c>
      <c r="N32" t="str">
        <f t="shared" si="1"/>
        <v/>
      </c>
      <c r="O32" t="str">
        <f t="shared" si="2"/>
        <v/>
      </c>
      <c r="P32" t="str">
        <f t="shared" si="3"/>
        <v/>
      </c>
      <c r="Q32" t="str">
        <f t="shared" si="4"/>
        <v/>
      </c>
      <c r="R32" t="str">
        <f t="shared" si="5"/>
        <v/>
      </c>
      <c r="S32" t="str">
        <f t="shared" si="6"/>
        <v/>
      </c>
      <c r="T32" t="str">
        <f t="shared" si="7"/>
        <v/>
      </c>
      <c r="U32" s="57" t="str">
        <f t="shared" si="8"/>
        <v xml:space="preserve">      </v>
      </c>
      <c r="V32" s="57"/>
      <c r="W32" s="45" t="s">
        <v>294</v>
      </c>
      <c r="X32" s="45" t="b">
        <v>1</v>
      </c>
      <c r="Y32" s="45" t="b">
        <v>0</v>
      </c>
      <c r="Z32" s="45" t="b">
        <v>0</v>
      </c>
      <c r="AA32" s="45" t="b">
        <v>0</v>
      </c>
      <c r="AB32" s="45" t="b">
        <v>0</v>
      </c>
      <c r="AC32" s="45" t="b">
        <v>1</v>
      </c>
      <c r="AD32" s="45" t="b">
        <v>0</v>
      </c>
      <c r="AE32" s="45" t="b">
        <v>0</v>
      </c>
      <c r="AF32" s="45" t="s">
        <v>303</v>
      </c>
      <c r="AG32" s="45" t="b">
        <v>1</v>
      </c>
      <c r="AH32" s="45" t="b">
        <v>0</v>
      </c>
      <c r="AK32" t="s">
        <v>348</v>
      </c>
      <c r="AL32" t="s">
        <v>561</v>
      </c>
    </row>
    <row r="33" spans="1:38" x14ac:dyDescent="0.25">
      <c r="A33" s="59">
        <v>45196</v>
      </c>
      <c r="B33" s="59" t="s">
        <v>278</v>
      </c>
      <c r="C33" s="3" t="s">
        <v>378</v>
      </c>
      <c r="D33" s="3"/>
      <c r="E33" s="3" t="s">
        <v>55</v>
      </c>
      <c r="F33" s="3" t="s">
        <v>538</v>
      </c>
      <c r="J33" t="s">
        <v>374</v>
      </c>
      <c r="K33" t="s">
        <v>350</v>
      </c>
      <c r="L33" t="s">
        <v>563</v>
      </c>
      <c r="M33" t="b">
        <f t="shared" si="0"/>
        <v>0</v>
      </c>
      <c r="N33" t="str">
        <f t="shared" si="1"/>
        <v/>
      </c>
      <c r="O33" t="str">
        <f t="shared" si="2"/>
        <v/>
      </c>
      <c r="P33" t="str">
        <f t="shared" si="3"/>
        <v/>
      </c>
      <c r="Q33" t="str">
        <f t="shared" si="4"/>
        <v/>
      </c>
      <c r="R33" t="str">
        <f t="shared" si="5"/>
        <v/>
      </c>
      <c r="S33" t="str">
        <f t="shared" si="6"/>
        <v/>
      </c>
      <c r="T33" t="str">
        <f t="shared" si="7"/>
        <v/>
      </c>
      <c r="U33" s="57" t="str">
        <f t="shared" si="8"/>
        <v xml:space="preserve">      </v>
      </c>
      <c r="V33" s="57"/>
      <c r="W33" s="45" t="s">
        <v>294</v>
      </c>
      <c r="X33" s="45" t="b">
        <v>1</v>
      </c>
      <c r="Y33" s="45" t="b">
        <v>0</v>
      </c>
      <c r="Z33" s="45" t="b">
        <v>0</v>
      </c>
      <c r="AA33" s="45" t="b">
        <v>0</v>
      </c>
      <c r="AB33" s="45" t="b">
        <v>0</v>
      </c>
      <c r="AC33" s="45" t="b">
        <v>1</v>
      </c>
      <c r="AD33" s="45" t="b">
        <v>0</v>
      </c>
      <c r="AE33" s="45" t="b">
        <v>0</v>
      </c>
      <c r="AF33" s="45" t="s">
        <v>304</v>
      </c>
      <c r="AG33" s="45" t="b">
        <v>1</v>
      </c>
      <c r="AH33" s="45" t="b">
        <v>0</v>
      </c>
      <c r="AK33" t="s">
        <v>350</v>
      </c>
      <c r="AL33" t="s">
        <v>563</v>
      </c>
    </row>
    <row r="34" spans="1:38" x14ac:dyDescent="0.25">
      <c r="A34" s="59">
        <v>45196</v>
      </c>
      <c r="B34" s="59" t="s">
        <v>278</v>
      </c>
      <c r="C34" s="3" t="s">
        <v>379</v>
      </c>
      <c r="D34" s="3"/>
      <c r="E34" s="3" t="s">
        <v>177</v>
      </c>
      <c r="F34" s="3" t="s">
        <v>177</v>
      </c>
      <c r="J34" t="s">
        <v>47</v>
      </c>
      <c r="K34" t="s">
        <v>351</v>
      </c>
      <c r="L34" t="s">
        <v>181</v>
      </c>
      <c r="M34" t="b">
        <f t="shared" si="0"/>
        <v>1</v>
      </c>
      <c r="N34" t="b">
        <f t="shared" si="1"/>
        <v>0</v>
      </c>
      <c r="O34" t="b">
        <f t="shared" si="2"/>
        <v>1</v>
      </c>
      <c r="P34" t="b">
        <f t="shared" si="3"/>
        <v>0</v>
      </c>
      <c r="Q34" t="b">
        <f t="shared" si="4"/>
        <v>1</v>
      </c>
      <c r="R34" t="b">
        <f t="shared" si="5"/>
        <v>1</v>
      </c>
      <c r="S34" t="b">
        <f t="shared" si="6"/>
        <v>0</v>
      </c>
      <c r="T34" t="b">
        <f t="shared" si="7"/>
        <v>1</v>
      </c>
      <c r="U34" s="57" t="str">
        <f t="shared" si="8"/>
        <v xml:space="preserve"> Controller  Master Read  Trader</v>
      </c>
      <c r="V34" s="57"/>
      <c r="W34" s="45" t="s">
        <v>296</v>
      </c>
      <c r="X34" s="45" t="b">
        <v>0</v>
      </c>
      <c r="Y34" s="45" t="b">
        <v>0</v>
      </c>
      <c r="Z34" s="45" t="b">
        <v>0</v>
      </c>
      <c r="AA34" s="45" t="b">
        <v>0</v>
      </c>
      <c r="AB34" s="45" t="b">
        <v>0</v>
      </c>
      <c r="AC34" s="45" t="b">
        <v>1</v>
      </c>
      <c r="AD34" s="45" t="b">
        <v>0</v>
      </c>
      <c r="AE34" s="45" t="b">
        <v>0</v>
      </c>
      <c r="AF34" s="45" t="s">
        <v>304</v>
      </c>
      <c r="AG34" s="45" t="b">
        <v>1</v>
      </c>
      <c r="AH34" s="45" t="b">
        <v>0</v>
      </c>
      <c r="AK34" t="s">
        <v>351</v>
      </c>
      <c r="AL34" t="s">
        <v>181</v>
      </c>
    </row>
    <row r="35" spans="1:38" x14ac:dyDescent="0.25">
      <c r="A35" s="59">
        <v>45196</v>
      </c>
      <c r="B35" s="59" t="s">
        <v>278</v>
      </c>
      <c r="C35" s="3" t="s">
        <v>379</v>
      </c>
      <c r="D35" s="3"/>
      <c r="E35" s="3" t="s">
        <v>177</v>
      </c>
      <c r="F35" s="3" t="s">
        <v>543</v>
      </c>
      <c r="J35" t="s">
        <v>374</v>
      </c>
      <c r="K35" t="s">
        <v>352</v>
      </c>
      <c r="L35" t="s">
        <v>564</v>
      </c>
      <c r="M35" t="b">
        <f t="shared" si="0"/>
        <v>0</v>
      </c>
      <c r="N35" t="str">
        <f t="shared" si="1"/>
        <v/>
      </c>
      <c r="O35" t="str">
        <f t="shared" si="2"/>
        <v/>
      </c>
      <c r="P35" t="str">
        <f t="shared" si="3"/>
        <v/>
      </c>
      <c r="Q35" t="str">
        <f t="shared" si="4"/>
        <v/>
      </c>
      <c r="R35" t="str">
        <f t="shared" si="5"/>
        <v/>
      </c>
      <c r="S35" t="str">
        <f t="shared" si="6"/>
        <v/>
      </c>
      <c r="T35" t="str">
        <f t="shared" si="7"/>
        <v/>
      </c>
      <c r="U35" s="57" t="str">
        <f t="shared" si="8"/>
        <v xml:space="preserve">      </v>
      </c>
      <c r="W35" s="45" t="s">
        <v>294</v>
      </c>
      <c r="X35" s="45" t="b">
        <v>1</v>
      </c>
      <c r="Y35" s="45" t="b">
        <v>0</v>
      </c>
      <c r="Z35" s="45" t="b">
        <v>0</v>
      </c>
      <c r="AA35" s="45" t="b">
        <v>0</v>
      </c>
      <c r="AB35" s="45" t="b">
        <v>0</v>
      </c>
      <c r="AC35" s="45" t="b">
        <v>1</v>
      </c>
      <c r="AD35" s="45" t="b">
        <v>0</v>
      </c>
      <c r="AE35" s="45" t="b">
        <v>0</v>
      </c>
      <c r="AF35" s="45" t="s">
        <v>305</v>
      </c>
      <c r="AG35" s="45" t="b">
        <v>0</v>
      </c>
      <c r="AH35" s="45" t="b">
        <v>0</v>
      </c>
      <c r="AK35" t="s">
        <v>352</v>
      </c>
      <c r="AL35" t="s">
        <v>564</v>
      </c>
    </row>
    <row r="36" spans="1:38" x14ac:dyDescent="0.25">
      <c r="A36" s="59">
        <v>45196</v>
      </c>
      <c r="B36" s="59" t="s">
        <v>278</v>
      </c>
      <c r="C36" s="3" t="s">
        <v>579</v>
      </c>
      <c r="D36" s="3"/>
      <c r="E36" s="3" t="s">
        <v>544</v>
      </c>
      <c r="F36" s="3" t="s">
        <v>544</v>
      </c>
      <c r="J36" t="s">
        <v>47</v>
      </c>
      <c r="K36" s="58" t="s">
        <v>353</v>
      </c>
      <c r="L36" s="58" t="s">
        <v>565</v>
      </c>
      <c r="M36" t="b">
        <f t="shared" si="0"/>
        <v>1</v>
      </c>
      <c r="N36" t="b">
        <f t="shared" si="1"/>
        <v>1</v>
      </c>
      <c r="O36" t="b">
        <f t="shared" si="2"/>
        <v>1</v>
      </c>
      <c r="P36" t="b">
        <f t="shared" si="3"/>
        <v>0</v>
      </c>
      <c r="Q36" t="b">
        <f t="shared" si="4"/>
        <v>0</v>
      </c>
      <c r="R36" t="b">
        <f t="shared" si="5"/>
        <v>1</v>
      </c>
      <c r="S36" t="b">
        <f t="shared" si="6"/>
        <v>0</v>
      </c>
      <c r="T36" t="b">
        <f t="shared" si="7"/>
        <v>1</v>
      </c>
      <c r="U36" s="57" t="str">
        <f t="shared" si="8"/>
        <v>AccessControl Controller   Read  Trader</v>
      </c>
      <c r="W36" s="45" t="s">
        <v>296</v>
      </c>
      <c r="X36" s="45" t="b">
        <v>0</v>
      </c>
      <c r="Y36" s="45" t="b">
        <v>0</v>
      </c>
      <c r="Z36" s="45" t="b">
        <v>0</v>
      </c>
      <c r="AA36" s="45" t="b">
        <v>0</v>
      </c>
      <c r="AB36" s="45" t="b">
        <v>0</v>
      </c>
      <c r="AC36" s="45" t="b">
        <v>1</v>
      </c>
      <c r="AD36" s="45" t="b">
        <v>0</v>
      </c>
      <c r="AE36" s="45" t="b">
        <v>0</v>
      </c>
      <c r="AF36" s="45" t="s">
        <v>305</v>
      </c>
      <c r="AG36" s="45" t="b">
        <v>0</v>
      </c>
      <c r="AH36" s="45" t="b">
        <v>0</v>
      </c>
      <c r="AK36" t="s">
        <v>353</v>
      </c>
      <c r="AL36" t="s">
        <v>565</v>
      </c>
    </row>
    <row r="37" spans="1:38" x14ac:dyDescent="0.25">
      <c r="A37" s="59">
        <v>45196</v>
      </c>
      <c r="B37" s="59" t="s">
        <v>278</v>
      </c>
      <c r="C37" s="3" t="s">
        <v>580</v>
      </c>
      <c r="D37" s="3"/>
      <c r="E37" s="3" t="s">
        <v>545</v>
      </c>
      <c r="F37" s="3" t="s">
        <v>545</v>
      </c>
      <c r="J37" t="s">
        <v>47</v>
      </c>
      <c r="K37" t="s">
        <v>354</v>
      </c>
      <c r="L37" t="s">
        <v>566</v>
      </c>
      <c r="M37" t="b">
        <f t="shared" si="0"/>
        <v>1</v>
      </c>
      <c r="N37" t="b">
        <f t="shared" si="1"/>
        <v>1</v>
      </c>
      <c r="O37" t="b">
        <f t="shared" si="2"/>
        <v>1</v>
      </c>
      <c r="P37" t="b">
        <f t="shared" si="3"/>
        <v>0</v>
      </c>
      <c r="Q37" t="b">
        <f t="shared" si="4"/>
        <v>0</v>
      </c>
      <c r="R37" t="b">
        <f t="shared" si="5"/>
        <v>1</v>
      </c>
      <c r="S37" t="b">
        <f t="shared" si="6"/>
        <v>0</v>
      </c>
      <c r="T37" t="b">
        <f t="shared" si="7"/>
        <v>1</v>
      </c>
      <c r="U37" s="57" t="str">
        <f t="shared" si="8"/>
        <v>AccessControl Controller   Read  Trader</v>
      </c>
      <c r="W37" s="45" t="s">
        <v>296</v>
      </c>
      <c r="X37" s="45" t="b">
        <v>0</v>
      </c>
      <c r="Y37" s="45" t="b">
        <v>0</v>
      </c>
      <c r="Z37" s="45" t="b">
        <v>0</v>
      </c>
      <c r="AA37" s="45" t="b">
        <v>0</v>
      </c>
      <c r="AB37" s="45" t="b">
        <v>0</v>
      </c>
      <c r="AC37" s="45" t="b">
        <v>1</v>
      </c>
      <c r="AD37" s="45" t="b">
        <v>0</v>
      </c>
      <c r="AE37" s="45" t="b">
        <v>0</v>
      </c>
      <c r="AF37" s="45" t="s">
        <v>306</v>
      </c>
      <c r="AG37" s="45" t="b">
        <v>0</v>
      </c>
      <c r="AH37" s="45" t="b">
        <v>0</v>
      </c>
      <c r="AK37" t="s">
        <v>354</v>
      </c>
      <c r="AL37" t="s">
        <v>566</v>
      </c>
    </row>
    <row r="38" spans="1:38" x14ac:dyDescent="0.25">
      <c r="A38" s="59">
        <v>45196</v>
      </c>
      <c r="B38" s="59" t="s">
        <v>278</v>
      </c>
      <c r="C38" s="3" t="s">
        <v>379</v>
      </c>
      <c r="D38" s="3"/>
      <c r="E38" s="3" t="s">
        <v>548</v>
      </c>
      <c r="F38" s="3" t="s">
        <v>548</v>
      </c>
      <c r="J38" t="s">
        <v>374</v>
      </c>
      <c r="K38" t="s">
        <v>355</v>
      </c>
      <c r="L38" t="s">
        <v>567</v>
      </c>
      <c r="M38" t="b">
        <f t="shared" si="0"/>
        <v>0</v>
      </c>
      <c r="N38" t="str">
        <f t="shared" si="1"/>
        <v/>
      </c>
      <c r="O38" t="str">
        <f t="shared" si="2"/>
        <v/>
      </c>
      <c r="P38" t="str">
        <f t="shared" si="3"/>
        <v/>
      </c>
      <c r="Q38" t="str">
        <f t="shared" si="4"/>
        <v/>
      </c>
      <c r="R38" t="str">
        <f t="shared" si="5"/>
        <v/>
      </c>
      <c r="S38" t="str">
        <f t="shared" si="6"/>
        <v/>
      </c>
      <c r="T38" t="str">
        <f t="shared" si="7"/>
        <v/>
      </c>
      <c r="U38" s="57" t="str">
        <f t="shared" si="8"/>
        <v xml:space="preserve">      </v>
      </c>
      <c r="W38" s="45" t="s">
        <v>294</v>
      </c>
      <c r="X38" s="45" t="b">
        <v>1</v>
      </c>
      <c r="Y38" s="45" t="b">
        <v>0</v>
      </c>
      <c r="Z38" s="45" t="b">
        <v>0</v>
      </c>
      <c r="AA38" s="45" t="b">
        <v>0</v>
      </c>
      <c r="AB38" s="45" t="b">
        <v>0</v>
      </c>
      <c r="AC38" s="45" t="b">
        <v>1</v>
      </c>
      <c r="AD38" s="45" t="b">
        <v>0</v>
      </c>
      <c r="AE38" s="45" t="b">
        <v>0</v>
      </c>
      <c r="AF38" s="45" t="s">
        <v>306</v>
      </c>
      <c r="AG38" s="45" t="b">
        <v>0</v>
      </c>
      <c r="AH38" s="45" t="b">
        <v>0</v>
      </c>
      <c r="AK38" t="s">
        <v>355</v>
      </c>
      <c r="AL38" t="s">
        <v>567</v>
      </c>
    </row>
    <row r="39" spans="1:38" x14ac:dyDescent="0.25">
      <c r="A39" s="59">
        <v>45196</v>
      </c>
      <c r="B39" s="59" t="s">
        <v>278</v>
      </c>
      <c r="C39" s="3" t="s">
        <v>378</v>
      </c>
      <c r="D39" s="3"/>
      <c r="E39" s="3" t="s">
        <v>549</v>
      </c>
      <c r="F39" s="3" t="s">
        <v>549</v>
      </c>
      <c r="J39" t="s">
        <v>374</v>
      </c>
      <c r="K39" t="s">
        <v>356</v>
      </c>
      <c r="L39" t="s">
        <v>568</v>
      </c>
      <c r="M39" t="b">
        <f t="shared" si="0"/>
        <v>0</v>
      </c>
      <c r="N39" t="str">
        <f t="shared" si="1"/>
        <v/>
      </c>
      <c r="O39" t="str">
        <f t="shared" si="2"/>
        <v/>
      </c>
      <c r="P39" t="str">
        <f t="shared" si="3"/>
        <v/>
      </c>
      <c r="Q39" t="str">
        <f t="shared" si="4"/>
        <v/>
      </c>
      <c r="R39" t="str">
        <f t="shared" si="5"/>
        <v/>
      </c>
      <c r="S39" t="str">
        <f t="shared" si="6"/>
        <v/>
      </c>
      <c r="T39" t="str">
        <f t="shared" si="7"/>
        <v/>
      </c>
      <c r="U39" s="57" t="str">
        <f t="shared" si="8"/>
        <v xml:space="preserve">      </v>
      </c>
      <c r="W39" s="45" t="s">
        <v>294</v>
      </c>
      <c r="X39" s="45" t="b">
        <v>1</v>
      </c>
      <c r="Y39" s="45" t="b">
        <v>0</v>
      </c>
      <c r="Z39" s="45" t="b">
        <v>0</v>
      </c>
      <c r="AA39" s="45" t="b">
        <v>0</v>
      </c>
      <c r="AB39" s="45" t="b">
        <v>0</v>
      </c>
      <c r="AC39" s="45" t="b">
        <v>1</v>
      </c>
      <c r="AD39" s="45" t="b">
        <v>0</v>
      </c>
      <c r="AE39" s="45" t="b">
        <v>0</v>
      </c>
      <c r="AF39" s="45" t="s">
        <v>307</v>
      </c>
      <c r="AG39" s="45" t="b">
        <v>0</v>
      </c>
      <c r="AH39" s="45" t="b">
        <v>0</v>
      </c>
      <c r="AK39" t="s">
        <v>356</v>
      </c>
      <c r="AL39" t="s">
        <v>568</v>
      </c>
    </row>
    <row r="40" spans="1:38" x14ac:dyDescent="0.25">
      <c r="A40" s="59">
        <v>45196</v>
      </c>
      <c r="B40" s="59" t="s">
        <v>278</v>
      </c>
      <c r="C40" s="3" t="s">
        <v>378</v>
      </c>
      <c r="D40" s="3"/>
      <c r="E40" s="3" t="s">
        <v>550</v>
      </c>
      <c r="F40" s="3" t="s">
        <v>550</v>
      </c>
      <c r="J40" t="s">
        <v>374</v>
      </c>
      <c r="K40" t="s">
        <v>357</v>
      </c>
      <c r="L40" t="s">
        <v>569</v>
      </c>
      <c r="M40" t="b">
        <f t="shared" si="0"/>
        <v>0</v>
      </c>
      <c r="N40" t="str">
        <f t="shared" si="1"/>
        <v/>
      </c>
      <c r="O40" t="str">
        <f t="shared" si="2"/>
        <v/>
      </c>
      <c r="P40" t="str">
        <f t="shared" si="3"/>
        <v/>
      </c>
      <c r="Q40" t="str">
        <f t="shared" si="4"/>
        <v/>
      </c>
      <c r="R40" t="str">
        <f t="shared" si="5"/>
        <v/>
      </c>
      <c r="S40" t="str">
        <f t="shared" si="6"/>
        <v/>
      </c>
      <c r="T40" t="str">
        <f t="shared" si="7"/>
        <v/>
      </c>
      <c r="U40" s="57" t="str">
        <f t="shared" si="8"/>
        <v xml:space="preserve">      </v>
      </c>
      <c r="V40" s="57"/>
      <c r="W40" s="45" t="s">
        <v>296</v>
      </c>
      <c r="X40" s="45" t="b">
        <v>0</v>
      </c>
      <c r="Y40" s="45" t="b">
        <v>0</v>
      </c>
      <c r="Z40" s="45" t="b">
        <v>0</v>
      </c>
      <c r="AA40" s="45" t="b">
        <v>0</v>
      </c>
      <c r="AB40" s="45" t="b">
        <v>0</v>
      </c>
      <c r="AC40" s="45" t="b">
        <v>1</v>
      </c>
      <c r="AD40" s="45" t="b">
        <v>0</v>
      </c>
      <c r="AE40" s="45" t="b">
        <v>0</v>
      </c>
      <c r="AF40" s="45" t="s">
        <v>307</v>
      </c>
      <c r="AG40" s="45" t="b">
        <v>0</v>
      </c>
      <c r="AH40" s="45" t="b">
        <v>0</v>
      </c>
      <c r="AK40" t="s">
        <v>357</v>
      </c>
      <c r="AL40" t="s">
        <v>569</v>
      </c>
    </row>
    <row r="41" spans="1:38" x14ac:dyDescent="0.25">
      <c r="A41" s="59">
        <v>45196</v>
      </c>
      <c r="B41" s="59" t="s">
        <v>278</v>
      </c>
      <c r="C41" s="3" t="s">
        <v>378</v>
      </c>
      <c r="D41" s="3"/>
      <c r="E41" s="3" t="s">
        <v>185</v>
      </c>
      <c r="F41" s="3" t="s">
        <v>185</v>
      </c>
      <c r="J41" t="s">
        <v>374</v>
      </c>
      <c r="K41" t="s">
        <v>358</v>
      </c>
      <c r="L41" t="s">
        <v>570</v>
      </c>
      <c r="M41" t="b">
        <f t="shared" si="0"/>
        <v>0</v>
      </c>
      <c r="N41" t="str">
        <f t="shared" si="1"/>
        <v/>
      </c>
      <c r="O41" t="str">
        <f t="shared" si="2"/>
        <v/>
      </c>
      <c r="P41" t="str">
        <f t="shared" si="3"/>
        <v/>
      </c>
      <c r="Q41" t="str">
        <f t="shared" si="4"/>
        <v/>
      </c>
      <c r="R41" t="str">
        <f t="shared" si="5"/>
        <v/>
      </c>
      <c r="S41" t="str">
        <f t="shared" si="6"/>
        <v/>
      </c>
      <c r="T41" t="str">
        <f t="shared" si="7"/>
        <v/>
      </c>
      <c r="U41" s="57" t="str">
        <f t="shared" si="8"/>
        <v xml:space="preserve">      </v>
      </c>
      <c r="V41" s="57"/>
      <c r="W41" s="45" t="s">
        <v>294</v>
      </c>
      <c r="X41" s="45" t="b">
        <v>1</v>
      </c>
      <c r="Y41" s="45" t="b">
        <v>0</v>
      </c>
      <c r="Z41" s="45" t="b">
        <v>0</v>
      </c>
      <c r="AA41" s="45" t="b">
        <v>0</v>
      </c>
      <c r="AB41" s="45" t="b">
        <v>0</v>
      </c>
      <c r="AC41" s="45" t="b">
        <v>1</v>
      </c>
      <c r="AD41" s="45" t="b">
        <v>0</v>
      </c>
      <c r="AE41" s="45" t="b">
        <v>0</v>
      </c>
      <c r="AF41" s="45" t="s">
        <v>308</v>
      </c>
      <c r="AG41" s="45" t="b">
        <v>0</v>
      </c>
      <c r="AH41" s="45" t="b">
        <v>0</v>
      </c>
      <c r="AK41" t="s">
        <v>358</v>
      </c>
      <c r="AL41" t="s">
        <v>570</v>
      </c>
    </row>
    <row r="42" spans="1:38" x14ac:dyDescent="0.25">
      <c r="A42" s="59">
        <v>45196</v>
      </c>
      <c r="B42" s="59" t="s">
        <v>278</v>
      </c>
      <c r="C42" s="3" t="s">
        <v>380</v>
      </c>
      <c r="D42" s="3"/>
      <c r="E42" s="3" t="s">
        <v>186</v>
      </c>
      <c r="F42" s="3" t="s">
        <v>552</v>
      </c>
      <c r="J42" t="s">
        <v>374</v>
      </c>
      <c r="K42" t="s">
        <v>359</v>
      </c>
      <c r="L42" t="s">
        <v>571</v>
      </c>
      <c r="M42" t="b">
        <f t="shared" si="0"/>
        <v>0</v>
      </c>
      <c r="N42" t="str">
        <f t="shared" si="1"/>
        <v/>
      </c>
      <c r="O42" t="str">
        <f t="shared" si="2"/>
        <v/>
      </c>
      <c r="P42" t="str">
        <f t="shared" si="3"/>
        <v/>
      </c>
      <c r="Q42" t="str">
        <f t="shared" si="4"/>
        <v/>
      </c>
      <c r="R42" t="str">
        <f t="shared" si="5"/>
        <v/>
      </c>
      <c r="S42" t="str">
        <f t="shared" si="6"/>
        <v/>
      </c>
      <c r="T42" t="str">
        <f t="shared" si="7"/>
        <v/>
      </c>
      <c r="U42" s="57" t="str">
        <f t="shared" si="8"/>
        <v xml:space="preserve">      </v>
      </c>
      <c r="W42" s="45" t="s">
        <v>296</v>
      </c>
      <c r="X42" s="45" t="b">
        <v>0</v>
      </c>
      <c r="Y42" s="45" t="b">
        <v>0</v>
      </c>
      <c r="Z42" s="45" t="b">
        <v>0</v>
      </c>
      <c r="AA42" s="45" t="b">
        <v>0</v>
      </c>
      <c r="AB42" s="45" t="b">
        <v>0</v>
      </c>
      <c r="AC42" s="45" t="b">
        <v>1</v>
      </c>
      <c r="AD42" s="45" t="b">
        <v>0</v>
      </c>
      <c r="AE42" s="45" t="b">
        <v>0</v>
      </c>
      <c r="AF42" s="45" t="s">
        <v>308</v>
      </c>
      <c r="AG42" s="45" t="b">
        <v>0</v>
      </c>
      <c r="AH42" s="45" t="b">
        <v>0</v>
      </c>
      <c r="AK42" t="s">
        <v>359</v>
      </c>
      <c r="AL42" t="s">
        <v>571</v>
      </c>
    </row>
    <row r="43" spans="1:38" x14ac:dyDescent="0.25">
      <c r="A43" s="59">
        <v>45196</v>
      </c>
      <c r="B43" s="59" t="s">
        <v>278</v>
      </c>
      <c r="C43" s="3" t="s">
        <v>379</v>
      </c>
      <c r="D43" s="3"/>
      <c r="E43" s="3" t="s">
        <v>190</v>
      </c>
      <c r="F43" s="3" t="s">
        <v>1258</v>
      </c>
      <c r="J43" t="s">
        <v>47</v>
      </c>
      <c r="K43" t="s">
        <v>361</v>
      </c>
      <c r="L43" t="s">
        <v>360</v>
      </c>
      <c r="M43" t="b">
        <f t="shared" si="0"/>
        <v>1</v>
      </c>
      <c r="N43" t="b">
        <f t="shared" si="1"/>
        <v>0</v>
      </c>
      <c r="O43" t="b">
        <f t="shared" si="2"/>
        <v>1</v>
      </c>
      <c r="P43" t="b">
        <f t="shared" si="3"/>
        <v>0</v>
      </c>
      <c r="Q43" t="b">
        <f t="shared" si="4"/>
        <v>0</v>
      </c>
      <c r="R43" t="b">
        <f t="shared" si="5"/>
        <v>1</v>
      </c>
      <c r="S43" t="b">
        <f t="shared" si="6"/>
        <v>0</v>
      </c>
      <c r="T43" t="b">
        <f t="shared" si="7"/>
        <v>1</v>
      </c>
      <c r="U43" s="57" t="str">
        <f t="shared" si="8"/>
        <v xml:space="preserve"> Controller   Read  Trader</v>
      </c>
      <c r="W43" s="45" t="s">
        <v>294</v>
      </c>
      <c r="X43" s="45" t="b">
        <v>1</v>
      </c>
      <c r="Y43" s="45" t="b">
        <v>0</v>
      </c>
      <c r="Z43" s="45" t="b">
        <v>0</v>
      </c>
      <c r="AA43" s="45" t="b">
        <v>0</v>
      </c>
      <c r="AB43" s="45" t="b">
        <v>0</v>
      </c>
      <c r="AC43" s="45" t="b">
        <v>1</v>
      </c>
      <c r="AD43" s="45" t="b">
        <v>0</v>
      </c>
      <c r="AE43" s="45" t="b">
        <v>0</v>
      </c>
      <c r="AF43" s="45" t="s">
        <v>309</v>
      </c>
      <c r="AG43" s="45" t="b">
        <v>0</v>
      </c>
      <c r="AH43" s="45" t="b">
        <v>0</v>
      </c>
      <c r="AK43" t="s">
        <v>361</v>
      </c>
      <c r="AL43" t="s">
        <v>360</v>
      </c>
    </row>
    <row r="44" spans="1:38" x14ac:dyDescent="0.25">
      <c r="A44" s="59">
        <v>45196</v>
      </c>
      <c r="B44" s="59" t="s">
        <v>278</v>
      </c>
      <c r="C44" s="3" t="s">
        <v>380</v>
      </c>
      <c r="D44" s="3"/>
      <c r="E44" s="3" t="s">
        <v>186</v>
      </c>
      <c r="F44" s="3" t="s">
        <v>336</v>
      </c>
      <c r="J44" t="s">
        <v>47</v>
      </c>
      <c r="K44" t="s">
        <v>362</v>
      </c>
      <c r="L44" t="s">
        <v>184</v>
      </c>
      <c r="M44" t="b">
        <f t="shared" si="0"/>
        <v>1</v>
      </c>
      <c r="N44" t="b">
        <f t="shared" si="1"/>
        <v>0</v>
      </c>
      <c r="O44" t="b">
        <f t="shared" si="2"/>
        <v>1</v>
      </c>
      <c r="P44" t="b">
        <f t="shared" si="3"/>
        <v>0</v>
      </c>
      <c r="Q44" t="b">
        <f t="shared" si="4"/>
        <v>1</v>
      </c>
      <c r="R44" t="b">
        <f t="shared" si="5"/>
        <v>1</v>
      </c>
      <c r="S44" t="b">
        <f t="shared" si="6"/>
        <v>0</v>
      </c>
      <c r="T44" t="b">
        <f t="shared" si="7"/>
        <v>1</v>
      </c>
      <c r="U44" s="57" t="str">
        <f t="shared" si="8"/>
        <v xml:space="preserve"> Controller  Master Read  Trader</v>
      </c>
      <c r="V44" s="57"/>
      <c r="W44" s="45" t="s">
        <v>296</v>
      </c>
      <c r="X44" s="45" t="b">
        <v>0</v>
      </c>
      <c r="Y44" s="45" t="b">
        <v>0</v>
      </c>
      <c r="Z44" s="45" t="b">
        <v>0</v>
      </c>
      <c r="AA44" s="45" t="b">
        <v>0</v>
      </c>
      <c r="AB44" s="45" t="b">
        <v>0</v>
      </c>
      <c r="AC44" s="45" t="b">
        <v>1</v>
      </c>
      <c r="AD44" s="45" t="b">
        <v>0</v>
      </c>
      <c r="AE44" s="45" t="b">
        <v>0</v>
      </c>
      <c r="AF44" s="45" t="s">
        <v>309</v>
      </c>
      <c r="AG44" s="45" t="b">
        <v>0</v>
      </c>
      <c r="AH44" s="45" t="b">
        <v>0</v>
      </c>
      <c r="AK44" t="s">
        <v>362</v>
      </c>
      <c r="AL44" t="s">
        <v>184</v>
      </c>
    </row>
    <row r="45" spans="1:38" x14ac:dyDescent="0.25">
      <c r="A45" s="59">
        <v>45196</v>
      </c>
      <c r="B45" s="59" t="s">
        <v>278</v>
      </c>
      <c r="C45" s="3" t="s">
        <v>381</v>
      </c>
      <c r="D45" s="3"/>
      <c r="E45" s="3" t="s">
        <v>339</v>
      </c>
      <c r="F45" s="3" t="s">
        <v>339</v>
      </c>
      <c r="J45" t="s">
        <v>374</v>
      </c>
      <c r="K45" t="s">
        <v>363</v>
      </c>
      <c r="L45" t="s">
        <v>572</v>
      </c>
      <c r="M45" t="b">
        <f t="shared" si="0"/>
        <v>0</v>
      </c>
      <c r="N45" t="str">
        <f t="shared" si="1"/>
        <v/>
      </c>
      <c r="O45" t="str">
        <f t="shared" si="2"/>
        <v/>
      </c>
      <c r="P45" t="str">
        <f t="shared" si="3"/>
        <v/>
      </c>
      <c r="Q45" t="str">
        <f t="shared" si="4"/>
        <v/>
      </c>
      <c r="R45" t="str">
        <f t="shared" si="5"/>
        <v/>
      </c>
      <c r="S45" t="str">
        <f t="shared" si="6"/>
        <v/>
      </c>
      <c r="T45" t="str">
        <f t="shared" si="7"/>
        <v/>
      </c>
      <c r="U45" s="57" t="str">
        <f t="shared" si="8"/>
        <v xml:space="preserve">      </v>
      </c>
      <c r="V45" s="57"/>
      <c r="W45" s="45" t="s">
        <v>294</v>
      </c>
      <c r="X45" s="45" t="b">
        <v>1</v>
      </c>
      <c r="Y45" s="45" t="b">
        <v>0</v>
      </c>
      <c r="Z45" s="45" t="b">
        <v>0</v>
      </c>
      <c r="AA45" s="45" t="b">
        <v>0</v>
      </c>
      <c r="AB45" s="45" t="b">
        <v>0</v>
      </c>
      <c r="AC45" s="45" t="b">
        <v>1</v>
      </c>
      <c r="AD45" s="45" t="b">
        <v>0</v>
      </c>
      <c r="AE45" s="45" t="b">
        <v>0</v>
      </c>
      <c r="AF45" s="45" t="s">
        <v>310</v>
      </c>
      <c r="AG45" s="45" t="b">
        <v>0</v>
      </c>
      <c r="AH45" s="45" t="b">
        <v>0</v>
      </c>
      <c r="AK45" t="s">
        <v>363</v>
      </c>
      <c r="AL45" t="s">
        <v>572</v>
      </c>
    </row>
    <row r="46" spans="1:38" x14ac:dyDescent="0.25">
      <c r="A46" s="59">
        <v>45196</v>
      </c>
      <c r="B46" s="59" t="s">
        <v>278</v>
      </c>
      <c r="C46" s="3" t="s">
        <v>381</v>
      </c>
      <c r="D46" s="3"/>
      <c r="E46" s="3" t="s">
        <v>179</v>
      </c>
      <c r="F46" s="3" t="s">
        <v>179</v>
      </c>
      <c r="J46" t="s">
        <v>374</v>
      </c>
      <c r="K46" t="s">
        <v>364</v>
      </c>
      <c r="L46" t="s">
        <v>573</v>
      </c>
      <c r="M46" t="b">
        <f t="shared" si="0"/>
        <v>0</v>
      </c>
      <c r="N46" t="str">
        <f t="shared" si="1"/>
        <v/>
      </c>
      <c r="O46" t="str">
        <f t="shared" si="2"/>
        <v/>
      </c>
      <c r="P46" t="str">
        <f t="shared" si="3"/>
        <v/>
      </c>
      <c r="Q46" t="str">
        <f t="shared" si="4"/>
        <v/>
      </c>
      <c r="R46" t="str">
        <f t="shared" si="5"/>
        <v/>
      </c>
      <c r="S46" t="str">
        <f t="shared" si="6"/>
        <v/>
      </c>
      <c r="T46" t="str">
        <f t="shared" si="7"/>
        <v/>
      </c>
      <c r="U46" s="57" t="str">
        <f t="shared" si="8"/>
        <v xml:space="preserve">      </v>
      </c>
      <c r="W46" s="45" t="s">
        <v>296</v>
      </c>
      <c r="X46" s="45" t="b">
        <v>0</v>
      </c>
      <c r="Y46" s="45" t="b">
        <v>0</v>
      </c>
      <c r="Z46" s="45" t="b">
        <v>0</v>
      </c>
      <c r="AA46" s="45" t="b">
        <v>0</v>
      </c>
      <c r="AB46" s="45" t="b">
        <v>0</v>
      </c>
      <c r="AC46" s="45" t="b">
        <v>1</v>
      </c>
      <c r="AD46" s="45" t="b">
        <v>0</v>
      </c>
      <c r="AE46" s="45" t="b">
        <v>0</v>
      </c>
      <c r="AF46" s="45" t="s">
        <v>310</v>
      </c>
      <c r="AG46" s="45" t="b">
        <v>0</v>
      </c>
      <c r="AH46" s="45" t="b">
        <v>0</v>
      </c>
      <c r="AK46" t="s">
        <v>364</v>
      </c>
      <c r="AL46" t="s">
        <v>573</v>
      </c>
    </row>
    <row r="47" spans="1:38" x14ac:dyDescent="0.25">
      <c r="A47" s="59">
        <v>45196</v>
      </c>
      <c r="B47" s="59" t="s">
        <v>278</v>
      </c>
      <c r="C47" s="3" t="s">
        <v>378</v>
      </c>
      <c r="D47" s="3"/>
      <c r="E47" s="3" t="s">
        <v>180</v>
      </c>
      <c r="F47" s="3" t="s">
        <v>180</v>
      </c>
      <c r="J47" t="s">
        <v>47</v>
      </c>
      <c r="K47" t="s">
        <v>366</v>
      </c>
      <c r="L47" t="s">
        <v>365</v>
      </c>
      <c r="M47" t="b">
        <f t="shared" si="0"/>
        <v>1</v>
      </c>
      <c r="N47" t="b">
        <f t="shared" si="1"/>
        <v>1</v>
      </c>
      <c r="O47" t="b">
        <f t="shared" si="2"/>
        <v>1</v>
      </c>
      <c r="P47" t="b">
        <f t="shared" si="3"/>
        <v>0</v>
      </c>
      <c r="Q47" t="b">
        <f t="shared" si="4"/>
        <v>0</v>
      </c>
      <c r="R47" t="b">
        <f t="shared" si="5"/>
        <v>1</v>
      </c>
      <c r="S47" t="b">
        <f t="shared" si="6"/>
        <v>0</v>
      </c>
      <c r="T47" t="b">
        <f t="shared" si="7"/>
        <v>1</v>
      </c>
      <c r="U47" s="57" t="str">
        <f t="shared" si="8"/>
        <v>AccessControl Controller   Read  Trader</v>
      </c>
      <c r="W47" s="45" t="s">
        <v>294</v>
      </c>
      <c r="X47" s="45" t="b">
        <v>1</v>
      </c>
      <c r="Y47" s="45" t="b">
        <v>0</v>
      </c>
      <c r="Z47" s="45" t="b">
        <v>0</v>
      </c>
      <c r="AA47" s="45" t="b">
        <v>0</v>
      </c>
      <c r="AB47" s="45" t="b">
        <v>0</v>
      </c>
      <c r="AC47" s="45" t="b">
        <v>1</v>
      </c>
      <c r="AD47" s="45" t="b">
        <v>0</v>
      </c>
      <c r="AE47" s="45" t="b">
        <v>0</v>
      </c>
      <c r="AF47" s="45" t="s">
        <v>311</v>
      </c>
      <c r="AG47" s="45" t="b">
        <v>0</v>
      </c>
      <c r="AH47" s="45" t="b">
        <v>0</v>
      </c>
      <c r="AK47" t="s">
        <v>366</v>
      </c>
      <c r="AL47" t="s">
        <v>365</v>
      </c>
    </row>
    <row r="48" spans="1:38" x14ac:dyDescent="0.25">
      <c r="A48" s="59">
        <v>45196</v>
      </c>
      <c r="B48" s="59" t="s">
        <v>278</v>
      </c>
      <c r="C48" s="3" t="s">
        <v>378</v>
      </c>
      <c r="D48" s="3"/>
      <c r="E48" s="3" t="s">
        <v>398</v>
      </c>
      <c r="F48" s="3" t="s">
        <v>398</v>
      </c>
      <c r="J48" t="s">
        <v>47</v>
      </c>
      <c r="K48" t="s">
        <v>367</v>
      </c>
      <c r="L48" t="s">
        <v>574</v>
      </c>
      <c r="M48" t="b">
        <f t="shared" si="0"/>
        <v>1</v>
      </c>
      <c r="N48" t="b">
        <f t="shared" si="1"/>
        <v>1</v>
      </c>
      <c r="O48" t="b">
        <f t="shared" si="2"/>
        <v>1</v>
      </c>
      <c r="P48" t="b">
        <f t="shared" si="3"/>
        <v>0</v>
      </c>
      <c r="Q48" t="b">
        <f t="shared" si="4"/>
        <v>0</v>
      </c>
      <c r="R48" t="b">
        <f t="shared" si="5"/>
        <v>1</v>
      </c>
      <c r="S48" t="b">
        <f t="shared" si="6"/>
        <v>0</v>
      </c>
      <c r="T48" t="b">
        <f t="shared" si="7"/>
        <v>1</v>
      </c>
      <c r="U48" s="57" t="str">
        <f t="shared" si="8"/>
        <v>AccessControl Controller   Read  Trader</v>
      </c>
      <c r="W48" s="45" t="s">
        <v>296</v>
      </c>
      <c r="X48" s="45" t="b">
        <v>0</v>
      </c>
      <c r="Y48" s="45" t="b">
        <v>0</v>
      </c>
      <c r="Z48" s="45" t="b">
        <v>0</v>
      </c>
      <c r="AA48" s="45" t="b">
        <v>0</v>
      </c>
      <c r="AB48" s="45" t="b">
        <v>0</v>
      </c>
      <c r="AC48" s="45" t="b">
        <v>1</v>
      </c>
      <c r="AD48" s="45" t="b">
        <v>0</v>
      </c>
      <c r="AE48" s="45" t="b">
        <v>0</v>
      </c>
      <c r="AF48" s="45" t="s">
        <v>311</v>
      </c>
      <c r="AG48" s="45" t="b">
        <v>0</v>
      </c>
      <c r="AH48" s="45" t="b">
        <v>0</v>
      </c>
      <c r="AK48" t="s">
        <v>367</v>
      </c>
      <c r="AL48" t="s">
        <v>574</v>
      </c>
    </row>
    <row r="49" spans="1:38" x14ac:dyDescent="0.25">
      <c r="A49" s="59">
        <v>45196</v>
      </c>
      <c r="B49" s="59" t="s">
        <v>278</v>
      </c>
      <c r="C49" s="3" t="s">
        <v>382</v>
      </c>
      <c r="D49" s="3"/>
      <c r="E49" s="3" t="s">
        <v>181</v>
      </c>
      <c r="F49" s="3" t="s">
        <v>1258</v>
      </c>
      <c r="J49" t="s">
        <v>47</v>
      </c>
      <c r="K49" t="s">
        <v>576</v>
      </c>
      <c r="L49" t="s">
        <v>575</v>
      </c>
      <c r="M49" t="b">
        <f t="shared" si="0"/>
        <v>1</v>
      </c>
      <c r="N49" t="b">
        <f t="shared" si="1"/>
        <v>0</v>
      </c>
      <c r="O49" t="b">
        <f t="shared" si="2"/>
        <v>1</v>
      </c>
      <c r="P49" t="b">
        <f t="shared" si="3"/>
        <v>0</v>
      </c>
      <c r="Q49" t="b">
        <f t="shared" si="4"/>
        <v>1</v>
      </c>
      <c r="R49" t="b">
        <f t="shared" si="5"/>
        <v>1</v>
      </c>
      <c r="S49" t="b">
        <f t="shared" si="6"/>
        <v>0</v>
      </c>
      <c r="T49" t="b">
        <f t="shared" si="7"/>
        <v>1</v>
      </c>
      <c r="U49" s="57" t="str">
        <f t="shared" si="8"/>
        <v xml:space="preserve"> Controller  Master Read  Trader</v>
      </c>
      <c r="W49" s="45" t="s">
        <v>294</v>
      </c>
      <c r="X49" s="45" t="b">
        <v>1</v>
      </c>
      <c r="Y49" s="45" t="b">
        <v>0</v>
      </c>
      <c r="Z49" s="45" t="b">
        <v>0</v>
      </c>
      <c r="AA49" s="45" t="b">
        <v>0</v>
      </c>
      <c r="AB49" s="45" t="b">
        <v>0</v>
      </c>
      <c r="AC49" s="45" t="b">
        <v>1</v>
      </c>
      <c r="AD49" s="45" t="b">
        <v>0</v>
      </c>
      <c r="AE49" s="45" t="b">
        <v>0</v>
      </c>
      <c r="AF49" s="45" t="s">
        <v>312</v>
      </c>
      <c r="AG49" s="45" t="b">
        <v>0</v>
      </c>
      <c r="AH49" s="45" t="b">
        <v>0</v>
      </c>
      <c r="AK49" t="s">
        <v>576</v>
      </c>
      <c r="AL49" t="s">
        <v>575</v>
      </c>
    </row>
    <row r="50" spans="1:38" x14ac:dyDescent="0.25">
      <c r="A50" s="59">
        <v>45196</v>
      </c>
      <c r="B50" s="59" t="s">
        <v>278</v>
      </c>
      <c r="C50" s="3" t="s">
        <v>380</v>
      </c>
      <c r="D50" s="3"/>
      <c r="E50" s="3" t="s">
        <v>186</v>
      </c>
      <c r="F50" s="3" t="s">
        <v>565</v>
      </c>
      <c r="W50" s="45" t="s">
        <v>296</v>
      </c>
      <c r="X50" s="45" t="b">
        <v>0</v>
      </c>
      <c r="Y50" s="45" t="b">
        <v>0</v>
      </c>
      <c r="Z50" s="45" t="b">
        <v>0</v>
      </c>
      <c r="AA50" s="45" t="b">
        <v>0</v>
      </c>
      <c r="AB50" s="45" t="b">
        <v>0</v>
      </c>
      <c r="AC50" s="45" t="b">
        <v>1</v>
      </c>
      <c r="AD50" s="45" t="b">
        <v>0</v>
      </c>
      <c r="AE50" s="45" t="b">
        <v>0</v>
      </c>
      <c r="AF50" s="45" t="s">
        <v>312</v>
      </c>
      <c r="AG50" s="45" t="b">
        <v>0</v>
      </c>
      <c r="AH50" s="45" t="b">
        <v>0</v>
      </c>
    </row>
    <row r="51" spans="1:38" x14ac:dyDescent="0.25">
      <c r="A51" s="59">
        <v>45196</v>
      </c>
      <c r="B51" s="59" t="s">
        <v>278</v>
      </c>
      <c r="C51" s="3" t="s">
        <v>380</v>
      </c>
      <c r="D51" s="3"/>
      <c r="E51" s="3" t="s">
        <v>189</v>
      </c>
      <c r="F51" s="3" t="s">
        <v>566</v>
      </c>
      <c r="W51" s="45" t="s">
        <v>294</v>
      </c>
      <c r="X51" s="45" t="b">
        <v>1</v>
      </c>
      <c r="Y51" s="45" t="b">
        <v>0</v>
      </c>
      <c r="Z51" s="45" t="b">
        <v>0</v>
      </c>
      <c r="AA51" s="45" t="b">
        <v>0</v>
      </c>
      <c r="AB51" s="45" t="b">
        <v>0</v>
      </c>
      <c r="AC51" s="45" t="b">
        <v>1</v>
      </c>
      <c r="AD51" s="45" t="b">
        <v>0</v>
      </c>
      <c r="AE51" s="45" t="b">
        <v>0</v>
      </c>
      <c r="AF51" s="45" t="s">
        <v>313</v>
      </c>
      <c r="AG51" s="45" t="b">
        <v>0</v>
      </c>
      <c r="AH51" s="45" t="b">
        <v>0</v>
      </c>
    </row>
    <row r="52" spans="1:38" x14ac:dyDescent="0.25">
      <c r="A52" s="59">
        <v>45196</v>
      </c>
      <c r="B52" s="59" t="s">
        <v>278</v>
      </c>
      <c r="C52" s="3" t="s">
        <v>382</v>
      </c>
      <c r="D52" s="3"/>
      <c r="E52" s="3" t="s">
        <v>184</v>
      </c>
      <c r="F52" s="3" t="s">
        <v>184</v>
      </c>
      <c r="W52" s="45" t="s">
        <v>296</v>
      </c>
      <c r="X52" s="45" t="b">
        <v>0</v>
      </c>
      <c r="Y52" s="45" t="b">
        <v>0</v>
      </c>
      <c r="Z52" s="45" t="b">
        <v>0</v>
      </c>
      <c r="AA52" s="45" t="b">
        <v>0</v>
      </c>
      <c r="AB52" s="45" t="b">
        <v>0</v>
      </c>
      <c r="AC52" s="45" t="b">
        <v>1</v>
      </c>
      <c r="AD52" s="45" t="b">
        <v>0</v>
      </c>
      <c r="AE52" s="45" t="b">
        <v>0</v>
      </c>
      <c r="AF52" s="45" t="s">
        <v>313</v>
      </c>
      <c r="AG52" s="45" t="b">
        <v>0</v>
      </c>
      <c r="AH52" s="45" t="b">
        <v>0</v>
      </c>
    </row>
    <row r="53" spans="1:38" x14ac:dyDescent="0.25">
      <c r="A53" s="59">
        <v>45196</v>
      </c>
      <c r="B53" s="59" t="s">
        <v>278</v>
      </c>
      <c r="C53" s="3" t="s">
        <v>380</v>
      </c>
      <c r="D53" s="3"/>
      <c r="E53" s="3" t="s">
        <v>189</v>
      </c>
      <c r="F53" s="3" t="s">
        <v>365</v>
      </c>
      <c r="W53" s="45" t="s">
        <v>294</v>
      </c>
      <c r="X53" s="45" t="b">
        <v>1</v>
      </c>
      <c r="Y53" s="45" t="b">
        <v>0</v>
      </c>
      <c r="Z53" s="45" t="b">
        <v>0</v>
      </c>
      <c r="AA53" s="45" t="b">
        <v>0</v>
      </c>
      <c r="AB53" s="45" t="b">
        <v>0</v>
      </c>
      <c r="AC53" s="45" t="b">
        <v>1</v>
      </c>
      <c r="AD53" s="45" t="b">
        <v>0</v>
      </c>
      <c r="AE53" s="45" t="b">
        <v>0</v>
      </c>
      <c r="AF53" s="45" t="s">
        <v>314</v>
      </c>
      <c r="AG53" s="45" t="b">
        <v>0</v>
      </c>
      <c r="AH53" s="45" t="b">
        <v>0</v>
      </c>
    </row>
    <row r="54" spans="1:38" x14ac:dyDescent="0.25">
      <c r="A54" s="59">
        <v>45196</v>
      </c>
      <c r="B54" s="59" t="s">
        <v>278</v>
      </c>
      <c r="C54" s="3" t="s">
        <v>380</v>
      </c>
      <c r="D54" s="3"/>
      <c r="E54" s="3" t="s">
        <v>189</v>
      </c>
      <c r="F54" s="3" t="s">
        <v>574</v>
      </c>
      <c r="W54" s="45" t="s">
        <v>296</v>
      </c>
      <c r="X54" s="45" t="b">
        <v>0</v>
      </c>
      <c r="Y54" s="45" t="b">
        <v>0</v>
      </c>
      <c r="Z54" s="45" t="b">
        <v>0</v>
      </c>
      <c r="AA54" s="45" t="b">
        <v>0</v>
      </c>
      <c r="AB54" s="45" t="b">
        <v>0</v>
      </c>
      <c r="AC54" s="45" t="b">
        <v>1</v>
      </c>
      <c r="AD54" s="45" t="b">
        <v>0</v>
      </c>
      <c r="AE54" s="45" t="b">
        <v>0</v>
      </c>
      <c r="AF54" s="45" t="s">
        <v>314</v>
      </c>
      <c r="AG54" s="45" t="b">
        <v>0</v>
      </c>
      <c r="AH54" s="45" t="b">
        <v>0</v>
      </c>
    </row>
    <row r="55" spans="1:38" x14ac:dyDescent="0.25">
      <c r="A55" s="59">
        <v>45196</v>
      </c>
      <c r="B55" s="59" t="s">
        <v>278</v>
      </c>
      <c r="C55" s="3" t="s">
        <v>382</v>
      </c>
      <c r="D55" s="3"/>
      <c r="E55" s="3" t="s">
        <v>581</v>
      </c>
      <c r="F55" s="3" t="s">
        <v>575</v>
      </c>
      <c r="W55" s="45" t="s">
        <v>294</v>
      </c>
      <c r="X55" s="45" t="b">
        <v>1</v>
      </c>
      <c r="Y55" s="45" t="b">
        <v>0</v>
      </c>
      <c r="Z55" s="45" t="b">
        <v>0</v>
      </c>
      <c r="AA55" s="45" t="b">
        <v>0</v>
      </c>
      <c r="AB55" s="45" t="b">
        <v>0</v>
      </c>
      <c r="AC55" s="45" t="b">
        <v>1</v>
      </c>
      <c r="AD55" s="45" t="b">
        <v>0</v>
      </c>
      <c r="AE55" s="45" t="b">
        <v>0</v>
      </c>
      <c r="AF55" s="45" t="s">
        <v>315</v>
      </c>
      <c r="AG55" s="45" t="b">
        <v>0</v>
      </c>
      <c r="AH55" s="45" t="b">
        <v>0</v>
      </c>
    </row>
    <row r="56" spans="1:38" x14ac:dyDescent="0.25">
      <c r="A56" s="59">
        <v>45173</v>
      </c>
      <c r="B56" s="59" t="s">
        <v>270</v>
      </c>
      <c r="C56" s="3"/>
      <c r="D56" s="3"/>
      <c r="E56" s="3" t="s">
        <v>1704</v>
      </c>
      <c r="F56" s="3"/>
      <c r="W56" s="45" t="s">
        <v>296</v>
      </c>
      <c r="X56" s="45" t="b">
        <v>0</v>
      </c>
      <c r="Y56" s="45" t="b">
        <v>0</v>
      </c>
      <c r="Z56" s="45" t="b">
        <v>0</v>
      </c>
      <c r="AA56" s="45" t="b">
        <v>0</v>
      </c>
      <c r="AB56" s="45" t="b">
        <v>0</v>
      </c>
      <c r="AC56" s="45" t="b">
        <v>1</v>
      </c>
      <c r="AD56" s="45" t="b">
        <v>0</v>
      </c>
      <c r="AE56" s="45" t="b">
        <v>0</v>
      </c>
      <c r="AF56" s="45" t="s">
        <v>315</v>
      </c>
      <c r="AG56" s="45" t="b">
        <v>0</v>
      </c>
      <c r="AH56" s="45" t="b">
        <v>0</v>
      </c>
    </row>
    <row r="57" spans="1:38" x14ac:dyDescent="0.25">
      <c r="A57" s="59">
        <v>45173</v>
      </c>
      <c r="B57" s="59" t="s">
        <v>272</v>
      </c>
      <c r="C57" s="3"/>
      <c r="D57" s="3"/>
      <c r="E57" s="3" t="s">
        <v>1704</v>
      </c>
      <c r="F57" s="3"/>
      <c r="W57" s="45"/>
      <c r="X57" s="45"/>
      <c r="Y57" s="45"/>
      <c r="Z57" s="45"/>
      <c r="AA57" s="45"/>
      <c r="AB57" s="45"/>
      <c r="AC57" s="45"/>
      <c r="AD57" s="45"/>
      <c r="AE57" s="45"/>
      <c r="AF57" s="45"/>
      <c r="AG57" s="45"/>
      <c r="AH57" s="45"/>
    </row>
    <row r="58" spans="1:38" x14ac:dyDescent="0.25">
      <c r="A58" s="59">
        <v>45173</v>
      </c>
      <c r="B58" s="59" t="s">
        <v>368</v>
      </c>
      <c r="C58" s="3"/>
      <c r="D58" s="3"/>
      <c r="E58" s="3" t="s">
        <v>1704</v>
      </c>
      <c r="F58" s="3"/>
      <c r="W58" s="45"/>
      <c r="X58" s="45"/>
      <c r="Y58" s="45"/>
      <c r="Z58" s="45"/>
      <c r="AA58" s="45"/>
      <c r="AB58" s="45"/>
      <c r="AC58" s="45"/>
      <c r="AD58" s="45"/>
      <c r="AE58" s="45"/>
      <c r="AF58" s="45"/>
      <c r="AG58" s="45"/>
      <c r="AH58" s="45"/>
    </row>
    <row r="59" spans="1:38" x14ac:dyDescent="0.25">
      <c r="A59" s="59">
        <v>45173</v>
      </c>
      <c r="B59" s="59" t="s">
        <v>280</v>
      </c>
      <c r="C59" s="3"/>
      <c r="D59" s="3"/>
      <c r="E59" s="3" t="s">
        <v>1704</v>
      </c>
      <c r="F59" s="3"/>
      <c r="W59" s="45"/>
      <c r="X59" s="45"/>
      <c r="Y59" s="45"/>
      <c r="Z59" s="45"/>
      <c r="AA59" s="45"/>
      <c r="AB59" s="45"/>
      <c r="AC59" s="45"/>
      <c r="AD59" s="45"/>
      <c r="AE59" s="45"/>
      <c r="AF59" s="45"/>
      <c r="AG59" s="45"/>
      <c r="AH59" s="45"/>
    </row>
    <row r="60" spans="1:38" x14ac:dyDescent="0.25">
      <c r="A60" s="59">
        <v>45173</v>
      </c>
      <c r="B60" s="59" t="s">
        <v>278</v>
      </c>
      <c r="C60" s="3" t="s">
        <v>380</v>
      </c>
      <c r="D60" s="3"/>
      <c r="E60" s="3" t="s">
        <v>1704</v>
      </c>
      <c r="F60" s="3"/>
      <c r="W60" s="45"/>
      <c r="X60" s="45"/>
      <c r="Y60" s="45"/>
      <c r="Z60" s="45"/>
      <c r="AA60" s="45"/>
      <c r="AB60" s="45"/>
      <c r="AC60" s="45"/>
      <c r="AD60" s="45"/>
      <c r="AE60" s="45"/>
      <c r="AF60" s="45"/>
      <c r="AG60" s="45"/>
      <c r="AH60" s="45"/>
    </row>
    <row r="61" spans="1:38" x14ac:dyDescent="0.25">
      <c r="A61" s="59">
        <v>45196</v>
      </c>
      <c r="B61" s="59" t="s">
        <v>281</v>
      </c>
      <c r="C61" s="3"/>
      <c r="D61" s="3"/>
      <c r="E61" s="3" t="s">
        <v>1704</v>
      </c>
      <c r="F61" s="3"/>
      <c r="W61" s="45"/>
      <c r="X61" s="45"/>
      <c r="Y61" s="45"/>
      <c r="Z61" s="45"/>
      <c r="AA61" s="45"/>
      <c r="AB61" s="45"/>
      <c r="AC61" s="45"/>
      <c r="AD61" s="45"/>
      <c r="AE61" s="45"/>
      <c r="AF61" s="45"/>
      <c r="AG61" s="45"/>
      <c r="AH61" s="45"/>
    </row>
    <row r="62" spans="1:38" x14ac:dyDescent="0.25">
      <c r="B62"/>
      <c r="C62"/>
      <c r="D62"/>
      <c r="E62"/>
      <c r="F62"/>
      <c r="W62" s="45" t="s">
        <v>294</v>
      </c>
      <c r="X62" s="45" t="b">
        <v>1</v>
      </c>
      <c r="Y62" s="45" t="b">
        <v>0</v>
      </c>
      <c r="Z62" s="45" t="b">
        <v>0</v>
      </c>
      <c r="AA62" s="45" t="b">
        <v>0</v>
      </c>
      <c r="AB62" s="45" t="b">
        <v>0</v>
      </c>
      <c r="AC62" s="45" t="b">
        <v>1</v>
      </c>
      <c r="AD62" s="45" t="b">
        <v>0</v>
      </c>
      <c r="AE62" s="45" t="b">
        <v>0</v>
      </c>
      <c r="AF62" s="45" t="s">
        <v>316</v>
      </c>
      <c r="AG62" s="45" t="b">
        <v>0</v>
      </c>
      <c r="AH62" s="45" t="b">
        <v>0</v>
      </c>
    </row>
    <row r="63" spans="1:38" x14ac:dyDescent="0.25">
      <c r="B63"/>
      <c r="C63"/>
      <c r="D63"/>
      <c r="E63"/>
      <c r="F63"/>
      <c r="W63" s="45" t="s">
        <v>296</v>
      </c>
      <c r="X63" s="45" t="b">
        <v>0</v>
      </c>
      <c r="Y63" s="45" t="b">
        <v>0</v>
      </c>
      <c r="Z63" s="45" t="b">
        <v>0</v>
      </c>
      <c r="AA63" s="45" t="b">
        <v>0</v>
      </c>
      <c r="AB63" s="45" t="b">
        <v>0</v>
      </c>
      <c r="AC63" s="45" t="b">
        <v>1</v>
      </c>
      <c r="AD63" s="45" t="b">
        <v>0</v>
      </c>
      <c r="AE63" s="45" t="b">
        <v>0</v>
      </c>
      <c r="AF63" s="45" t="s">
        <v>316</v>
      </c>
      <c r="AG63" s="45" t="b">
        <v>0</v>
      </c>
      <c r="AH63" s="45" t="b">
        <v>0</v>
      </c>
    </row>
    <row r="64" spans="1:38" x14ac:dyDescent="0.25">
      <c r="B64"/>
      <c r="C64"/>
      <c r="D64"/>
      <c r="E64"/>
      <c r="F64"/>
      <c r="K64" s="45"/>
      <c r="W64" s="45" t="s">
        <v>294</v>
      </c>
      <c r="X64" s="45" t="b">
        <v>1</v>
      </c>
      <c r="Y64" s="45" t="b">
        <v>0</v>
      </c>
      <c r="Z64" s="45" t="b">
        <v>0</v>
      </c>
      <c r="AA64" s="45" t="b">
        <v>0</v>
      </c>
      <c r="AB64" s="45" t="b">
        <v>0</v>
      </c>
      <c r="AC64" s="45" t="b">
        <v>1</v>
      </c>
      <c r="AD64" s="45" t="b">
        <v>0</v>
      </c>
      <c r="AE64" s="45" t="b">
        <v>0</v>
      </c>
      <c r="AF64" s="45" t="s">
        <v>317</v>
      </c>
      <c r="AG64" s="45" t="b">
        <v>0</v>
      </c>
      <c r="AH64" s="45" t="b">
        <v>0</v>
      </c>
    </row>
    <row r="65" spans="2:34" x14ac:dyDescent="0.25">
      <c r="B65"/>
      <c r="C65"/>
      <c r="D65"/>
      <c r="E65"/>
      <c r="F65"/>
      <c r="K65" s="45"/>
      <c r="W65" s="45" t="s">
        <v>296</v>
      </c>
      <c r="X65" s="45" t="b">
        <v>0</v>
      </c>
      <c r="Y65" s="45" t="b">
        <v>0</v>
      </c>
      <c r="Z65" s="45" t="b">
        <v>0</v>
      </c>
      <c r="AA65" s="45" t="b">
        <v>0</v>
      </c>
      <c r="AB65" s="45" t="b">
        <v>0</v>
      </c>
      <c r="AC65" s="45" t="b">
        <v>1</v>
      </c>
      <c r="AD65" s="45" t="b">
        <v>0</v>
      </c>
      <c r="AE65" s="45" t="b">
        <v>0</v>
      </c>
      <c r="AF65" s="45" t="s">
        <v>317</v>
      </c>
      <c r="AG65" s="45" t="b">
        <v>0</v>
      </c>
      <c r="AH65" s="45" t="b">
        <v>0</v>
      </c>
    </row>
    <row r="66" spans="2:34" x14ac:dyDescent="0.25">
      <c r="B66"/>
      <c r="C66"/>
      <c r="D66"/>
      <c r="E66"/>
      <c r="F66"/>
      <c r="K66" s="45"/>
      <c r="W66" s="45" t="s">
        <v>294</v>
      </c>
      <c r="X66" s="45" t="b">
        <v>1</v>
      </c>
      <c r="Y66" s="45" t="b">
        <v>0</v>
      </c>
      <c r="Z66" s="45" t="b">
        <v>0</v>
      </c>
      <c r="AA66" s="45" t="b">
        <v>0</v>
      </c>
      <c r="AB66" s="45" t="b">
        <v>0</v>
      </c>
      <c r="AC66" s="45" t="b">
        <v>1</v>
      </c>
      <c r="AD66" s="45" t="b">
        <v>0</v>
      </c>
      <c r="AE66" s="45" t="b">
        <v>0</v>
      </c>
      <c r="AF66" s="45" t="s">
        <v>318</v>
      </c>
      <c r="AG66" s="45" t="b">
        <v>0</v>
      </c>
      <c r="AH66" s="45" t="b">
        <v>0</v>
      </c>
    </row>
    <row r="67" spans="2:34" x14ac:dyDescent="0.25">
      <c r="B67"/>
      <c r="C67"/>
      <c r="D67"/>
      <c r="E67"/>
      <c r="F67"/>
      <c r="K67" s="45"/>
      <c r="W67" s="45" t="s">
        <v>296</v>
      </c>
      <c r="X67" s="45" t="b">
        <v>0</v>
      </c>
      <c r="Y67" s="45" t="b">
        <v>0</v>
      </c>
      <c r="Z67" s="45" t="b">
        <v>0</v>
      </c>
      <c r="AA67" s="45" t="b">
        <v>0</v>
      </c>
      <c r="AB67" s="45" t="b">
        <v>0</v>
      </c>
      <c r="AC67" s="45" t="b">
        <v>1</v>
      </c>
      <c r="AD67" s="45" t="b">
        <v>0</v>
      </c>
      <c r="AE67" s="45" t="b">
        <v>0</v>
      </c>
      <c r="AF67" s="45" t="s">
        <v>318</v>
      </c>
      <c r="AG67" s="45" t="b">
        <v>0</v>
      </c>
      <c r="AH67" s="45" t="b">
        <v>0</v>
      </c>
    </row>
    <row r="68" spans="2:34" x14ac:dyDescent="0.25">
      <c r="B68"/>
      <c r="C68"/>
      <c r="D68"/>
      <c r="E68"/>
      <c r="F68"/>
      <c r="K68" s="45"/>
      <c r="W68" s="45" t="s">
        <v>294</v>
      </c>
      <c r="X68" s="45" t="b">
        <v>1</v>
      </c>
      <c r="Y68" s="45" t="b">
        <v>0</v>
      </c>
      <c r="Z68" s="45" t="b">
        <v>0</v>
      </c>
      <c r="AA68" s="45" t="b">
        <v>0</v>
      </c>
      <c r="AB68" s="45" t="b">
        <v>0</v>
      </c>
      <c r="AC68" s="45" t="b">
        <v>1</v>
      </c>
      <c r="AD68" s="45" t="b">
        <v>0</v>
      </c>
      <c r="AE68" s="45" t="b">
        <v>0</v>
      </c>
      <c r="AF68" s="45" t="s">
        <v>319</v>
      </c>
      <c r="AG68" s="45" t="b">
        <v>0</v>
      </c>
      <c r="AH68" s="45" t="b">
        <v>0</v>
      </c>
    </row>
    <row r="69" spans="2:34" x14ac:dyDescent="0.25">
      <c r="B69"/>
      <c r="C69"/>
      <c r="D69"/>
      <c r="E69"/>
      <c r="F69"/>
      <c r="K69" s="45"/>
      <c r="W69" s="45" t="s">
        <v>296</v>
      </c>
      <c r="X69" s="45" t="b">
        <v>0</v>
      </c>
      <c r="Y69" s="45" t="b">
        <v>0</v>
      </c>
      <c r="Z69" s="45" t="b">
        <v>0</v>
      </c>
      <c r="AA69" s="45" t="b">
        <v>0</v>
      </c>
      <c r="AB69" s="45" t="b">
        <v>0</v>
      </c>
      <c r="AC69" s="45" t="b">
        <v>1</v>
      </c>
      <c r="AD69" s="45" t="b">
        <v>0</v>
      </c>
      <c r="AE69" s="45" t="b">
        <v>0</v>
      </c>
      <c r="AF69" s="45" t="s">
        <v>319</v>
      </c>
      <c r="AG69" s="45" t="b">
        <v>0</v>
      </c>
      <c r="AH69" s="45" t="b">
        <v>0</v>
      </c>
    </row>
    <row r="70" spans="2:34" x14ac:dyDescent="0.25">
      <c r="B70"/>
      <c r="C70"/>
      <c r="D70"/>
      <c r="E70"/>
      <c r="F70"/>
      <c r="K70" s="45"/>
      <c r="V70" t="s">
        <v>538</v>
      </c>
      <c r="W70" s="45" t="s">
        <v>320</v>
      </c>
      <c r="X70" s="45" t="b">
        <v>1</v>
      </c>
      <c r="Y70" s="45" t="b">
        <v>0</v>
      </c>
      <c r="Z70" s="45" t="b">
        <v>0</v>
      </c>
      <c r="AA70" s="45" t="b">
        <v>0</v>
      </c>
      <c r="AB70" s="45" t="b">
        <v>0</v>
      </c>
      <c r="AC70" s="45" t="b">
        <v>1</v>
      </c>
      <c r="AD70" s="45" t="b">
        <v>0</v>
      </c>
      <c r="AE70" s="45" t="b">
        <v>0</v>
      </c>
      <c r="AF70" s="45" t="s">
        <v>295</v>
      </c>
      <c r="AG70" s="45" t="b">
        <v>0</v>
      </c>
      <c r="AH70" s="45" t="b">
        <v>0</v>
      </c>
    </row>
    <row r="71" spans="2:34" x14ac:dyDescent="0.25">
      <c r="B71"/>
      <c r="C71"/>
      <c r="D71"/>
      <c r="E71"/>
      <c r="F71"/>
      <c r="K71" s="45"/>
      <c r="V71" t="s">
        <v>538</v>
      </c>
      <c r="W71" s="45" t="s">
        <v>320</v>
      </c>
      <c r="X71" s="45" t="b">
        <v>1</v>
      </c>
      <c r="Y71" s="45" t="b">
        <v>0</v>
      </c>
      <c r="Z71" s="45" t="b">
        <v>0</v>
      </c>
      <c r="AA71" s="45" t="b">
        <v>0</v>
      </c>
      <c r="AB71" s="45" t="b">
        <v>0</v>
      </c>
      <c r="AC71" s="45" t="b">
        <v>1</v>
      </c>
      <c r="AD71" s="45" t="b">
        <v>0</v>
      </c>
      <c r="AE71" s="45" t="b">
        <v>0</v>
      </c>
      <c r="AF71" s="45" t="s">
        <v>297</v>
      </c>
      <c r="AG71" s="45" t="b">
        <v>0</v>
      </c>
      <c r="AH71" s="45" t="b">
        <v>0</v>
      </c>
    </row>
    <row r="72" spans="2:34" x14ac:dyDescent="0.25">
      <c r="B72"/>
      <c r="C72"/>
      <c r="D72"/>
      <c r="E72"/>
      <c r="F72"/>
      <c r="K72" s="45"/>
      <c r="V72" t="s">
        <v>538</v>
      </c>
      <c r="W72" s="45" t="s">
        <v>320</v>
      </c>
      <c r="X72" s="45" t="b">
        <v>1</v>
      </c>
      <c r="Y72" s="45" t="b">
        <v>0</v>
      </c>
      <c r="Z72" s="45" t="b">
        <v>0</v>
      </c>
      <c r="AA72" s="45" t="b">
        <v>0</v>
      </c>
      <c r="AB72" s="45" t="b">
        <v>0</v>
      </c>
      <c r="AC72" s="45" t="b">
        <v>1</v>
      </c>
      <c r="AD72" s="45" t="b">
        <v>0</v>
      </c>
      <c r="AE72" s="45" t="b">
        <v>0</v>
      </c>
      <c r="AF72" s="45" t="s">
        <v>112</v>
      </c>
      <c r="AG72" s="45" t="b">
        <v>1</v>
      </c>
      <c r="AH72" s="45" t="b">
        <v>0</v>
      </c>
    </row>
    <row r="73" spans="2:34" x14ac:dyDescent="0.25">
      <c r="B73"/>
      <c r="C73"/>
      <c r="D73"/>
      <c r="E73"/>
      <c r="F73"/>
      <c r="K73" s="45"/>
      <c r="V73" t="s">
        <v>538</v>
      </c>
      <c r="W73" s="45" t="s">
        <v>320</v>
      </c>
      <c r="X73" s="45" t="b">
        <v>1</v>
      </c>
      <c r="Y73" s="45" t="b">
        <v>0</v>
      </c>
      <c r="Z73" s="45" t="b">
        <v>0</v>
      </c>
      <c r="AA73" s="45" t="b">
        <v>0</v>
      </c>
      <c r="AB73" s="45" t="b">
        <v>0</v>
      </c>
      <c r="AC73" s="45" t="b">
        <v>1</v>
      </c>
      <c r="AD73" s="45" t="b">
        <v>0</v>
      </c>
      <c r="AE73" s="45" t="b">
        <v>0</v>
      </c>
      <c r="AF73" s="45" t="s">
        <v>114</v>
      </c>
      <c r="AG73" s="45" t="b">
        <v>1</v>
      </c>
      <c r="AH73" s="45" t="b">
        <v>0</v>
      </c>
    </row>
    <row r="74" spans="2:34" x14ac:dyDescent="0.25">
      <c r="B74"/>
      <c r="C74"/>
      <c r="D74"/>
      <c r="E74"/>
      <c r="F74"/>
      <c r="K74" s="45"/>
      <c r="V74" t="s">
        <v>538</v>
      </c>
      <c r="W74" s="45" t="s">
        <v>320</v>
      </c>
      <c r="X74" s="45" t="b">
        <v>1</v>
      </c>
      <c r="Y74" s="45" t="b">
        <v>0</v>
      </c>
      <c r="Z74" s="45" t="b">
        <v>0</v>
      </c>
      <c r="AA74" s="45" t="b">
        <v>0</v>
      </c>
      <c r="AB74" s="45" t="b">
        <v>0</v>
      </c>
      <c r="AC74" s="45" t="b">
        <v>1</v>
      </c>
      <c r="AD74" s="45" t="b">
        <v>0</v>
      </c>
      <c r="AE74" s="45" t="b">
        <v>0</v>
      </c>
      <c r="AF74" s="45" t="s">
        <v>115</v>
      </c>
      <c r="AG74" s="45" t="b">
        <v>1</v>
      </c>
      <c r="AH74" s="45" t="b">
        <v>0</v>
      </c>
    </row>
    <row r="75" spans="2:34" x14ac:dyDescent="0.25">
      <c r="B75"/>
      <c r="C75"/>
      <c r="D75"/>
      <c r="E75"/>
      <c r="F75"/>
      <c r="K75" s="45"/>
      <c r="V75" t="s">
        <v>538</v>
      </c>
      <c r="W75" s="45" t="s">
        <v>320</v>
      </c>
      <c r="X75" s="45" t="b">
        <v>1</v>
      </c>
      <c r="Y75" s="45" t="b">
        <v>0</v>
      </c>
      <c r="Z75" s="45" t="b">
        <v>0</v>
      </c>
      <c r="AA75" s="45" t="b">
        <v>0</v>
      </c>
      <c r="AB75" s="45" t="b">
        <v>0</v>
      </c>
      <c r="AC75" s="45" t="b">
        <v>1</v>
      </c>
      <c r="AD75" s="45" t="b">
        <v>0</v>
      </c>
      <c r="AE75" s="45" t="b">
        <v>0</v>
      </c>
      <c r="AF75" s="45" t="s">
        <v>116</v>
      </c>
      <c r="AG75" s="45" t="b">
        <v>1</v>
      </c>
      <c r="AH75" s="45" t="b">
        <v>0</v>
      </c>
    </row>
    <row r="76" spans="2:34" x14ac:dyDescent="0.25">
      <c r="B76"/>
      <c r="C76"/>
      <c r="D76"/>
      <c r="E76"/>
      <c r="F76"/>
      <c r="K76" s="45"/>
      <c r="V76" t="s">
        <v>538</v>
      </c>
      <c r="W76" s="45" t="s">
        <v>320</v>
      </c>
      <c r="X76" s="45" t="b">
        <v>1</v>
      </c>
      <c r="Y76" s="45" t="b">
        <v>0</v>
      </c>
      <c r="Z76" s="45" t="b">
        <v>0</v>
      </c>
      <c r="AA76" s="45" t="b">
        <v>0</v>
      </c>
      <c r="AB76" s="45" t="b">
        <v>0</v>
      </c>
      <c r="AC76" s="45" t="b">
        <v>1</v>
      </c>
      <c r="AD76" s="45" t="b">
        <v>0</v>
      </c>
      <c r="AE76" s="45" t="b">
        <v>0</v>
      </c>
      <c r="AF76" s="45" t="s">
        <v>298</v>
      </c>
      <c r="AG76" s="45" t="b">
        <v>1</v>
      </c>
      <c r="AH76" s="45" t="b">
        <v>0</v>
      </c>
    </row>
    <row r="77" spans="2:34" x14ac:dyDescent="0.25">
      <c r="B77"/>
      <c r="C77"/>
      <c r="D77"/>
      <c r="E77"/>
      <c r="F77"/>
      <c r="K77" s="45"/>
      <c r="V77" t="s">
        <v>538</v>
      </c>
      <c r="W77" s="45" t="s">
        <v>320</v>
      </c>
      <c r="X77" s="45" t="b">
        <v>1</v>
      </c>
      <c r="Y77" s="45" t="b">
        <v>0</v>
      </c>
      <c r="Z77" s="45" t="b">
        <v>0</v>
      </c>
      <c r="AA77" s="45" t="b">
        <v>0</v>
      </c>
      <c r="AB77" s="45" t="b">
        <v>0</v>
      </c>
      <c r="AC77" s="45" t="b">
        <v>1</v>
      </c>
      <c r="AD77" s="45" t="b">
        <v>0</v>
      </c>
      <c r="AE77" s="45" t="b">
        <v>0</v>
      </c>
      <c r="AF77" s="45" t="s">
        <v>299</v>
      </c>
      <c r="AG77" s="45" t="b">
        <v>1</v>
      </c>
      <c r="AH77" s="45" t="b">
        <v>0</v>
      </c>
    </row>
    <row r="78" spans="2:34" x14ac:dyDescent="0.25">
      <c r="B78"/>
      <c r="C78"/>
      <c r="D78"/>
      <c r="E78"/>
      <c r="F78"/>
      <c r="K78" s="45"/>
      <c r="V78" t="s">
        <v>538</v>
      </c>
      <c r="W78" s="45" t="s">
        <v>320</v>
      </c>
      <c r="X78" s="45" t="b">
        <v>1</v>
      </c>
      <c r="Y78" s="45" t="b">
        <v>0</v>
      </c>
      <c r="Z78" s="45" t="b">
        <v>0</v>
      </c>
      <c r="AA78" s="45" t="b">
        <v>0</v>
      </c>
      <c r="AB78" s="45" t="b">
        <v>0</v>
      </c>
      <c r="AC78" s="45" t="b">
        <v>1</v>
      </c>
      <c r="AD78" s="45" t="b">
        <v>0</v>
      </c>
      <c r="AE78" s="45" t="b">
        <v>0</v>
      </c>
      <c r="AF78" s="45" t="s">
        <v>414</v>
      </c>
      <c r="AG78" s="45" t="b">
        <v>1</v>
      </c>
      <c r="AH78" s="45" t="b">
        <v>0</v>
      </c>
    </row>
    <row r="79" spans="2:34" x14ac:dyDescent="0.25">
      <c r="B79"/>
      <c r="C79"/>
      <c r="D79"/>
      <c r="E79"/>
      <c r="F79"/>
      <c r="K79" s="45"/>
      <c r="V79" t="s">
        <v>538</v>
      </c>
      <c r="W79" s="45" t="s">
        <v>320</v>
      </c>
      <c r="X79" s="45" t="b">
        <v>1</v>
      </c>
      <c r="Y79" s="45" t="b">
        <v>0</v>
      </c>
      <c r="Z79" s="45" t="b">
        <v>0</v>
      </c>
      <c r="AA79" s="45" t="b">
        <v>0</v>
      </c>
      <c r="AB79" s="45" t="b">
        <v>0</v>
      </c>
      <c r="AC79" s="45" t="b">
        <v>1</v>
      </c>
      <c r="AD79" s="45" t="b">
        <v>0</v>
      </c>
      <c r="AE79" s="45" t="b">
        <v>0</v>
      </c>
      <c r="AF79" s="45" t="s">
        <v>118</v>
      </c>
      <c r="AG79" s="45" t="b">
        <v>1</v>
      </c>
      <c r="AH79" s="45" t="b">
        <v>0</v>
      </c>
    </row>
    <row r="80" spans="2:34" x14ac:dyDescent="0.25">
      <c r="B80"/>
      <c r="C80"/>
      <c r="D80"/>
      <c r="E80"/>
      <c r="F80"/>
      <c r="K80" s="45"/>
      <c r="V80" t="s">
        <v>538</v>
      </c>
      <c r="W80" s="45" t="s">
        <v>320</v>
      </c>
      <c r="X80" s="45" t="b">
        <v>1</v>
      </c>
      <c r="Y80" s="45" t="b">
        <v>0</v>
      </c>
      <c r="Z80" s="45" t="b">
        <v>0</v>
      </c>
      <c r="AA80" s="45" t="b">
        <v>0</v>
      </c>
      <c r="AB80" s="45" t="b">
        <v>0</v>
      </c>
      <c r="AC80" s="45" t="b">
        <v>1</v>
      </c>
      <c r="AD80" s="45" t="b">
        <v>0</v>
      </c>
      <c r="AE80" s="45" t="b">
        <v>0</v>
      </c>
      <c r="AF80" s="45" t="s">
        <v>119</v>
      </c>
      <c r="AG80" s="45" t="b">
        <v>1</v>
      </c>
      <c r="AH80" s="45" t="b">
        <v>0</v>
      </c>
    </row>
    <row r="81" spans="2:34" x14ac:dyDescent="0.25">
      <c r="B81"/>
      <c r="C81"/>
      <c r="D81"/>
      <c r="E81"/>
      <c r="F81"/>
      <c r="K81" s="45"/>
      <c r="V81" t="s">
        <v>538</v>
      </c>
      <c r="W81" s="45" t="s">
        <v>320</v>
      </c>
      <c r="X81" s="45" t="b">
        <v>1</v>
      </c>
      <c r="Y81" s="45" t="b">
        <v>0</v>
      </c>
      <c r="Z81" s="45" t="b">
        <v>0</v>
      </c>
      <c r="AA81" s="45" t="b">
        <v>0</v>
      </c>
      <c r="AB81" s="45" t="b">
        <v>0</v>
      </c>
      <c r="AC81" s="45" t="b">
        <v>1</v>
      </c>
      <c r="AD81" s="45" t="b">
        <v>0</v>
      </c>
      <c r="AE81" s="45" t="b">
        <v>0</v>
      </c>
      <c r="AF81" s="45" t="s">
        <v>300</v>
      </c>
      <c r="AG81" s="45" t="b">
        <v>1</v>
      </c>
      <c r="AH81" s="45" t="b">
        <v>0</v>
      </c>
    </row>
    <row r="82" spans="2:34" x14ac:dyDescent="0.25">
      <c r="B82"/>
      <c r="C82"/>
      <c r="D82"/>
      <c r="E82"/>
      <c r="F82"/>
      <c r="K82" s="45"/>
      <c r="V82" t="s">
        <v>538</v>
      </c>
      <c r="W82" s="45" t="s">
        <v>320</v>
      </c>
      <c r="X82" s="45" t="b">
        <v>1</v>
      </c>
      <c r="Y82" s="45" t="b">
        <v>0</v>
      </c>
      <c r="Z82" s="45" t="b">
        <v>0</v>
      </c>
      <c r="AA82" s="45" t="b">
        <v>0</v>
      </c>
      <c r="AB82" s="45" t="b">
        <v>0</v>
      </c>
      <c r="AC82" s="45" t="b">
        <v>1</v>
      </c>
      <c r="AD82" s="45" t="b">
        <v>0</v>
      </c>
      <c r="AE82" s="45" t="b">
        <v>0</v>
      </c>
      <c r="AF82" s="45" t="s">
        <v>301</v>
      </c>
      <c r="AG82" s="45" t="b">
        <v>1</v>
      </c>
      <c r="AH82" s="45" t="b">
        <v>0</v>
      </c>
    </row>
    <row r="83" spans="2:34" x14ac:dyDescent="0.25">
      <c r="B83"/>
      <c r="C83"/>
      <c r="D83"/>
      <c r="E83"/>
      <c r="F83"/>
      <c r="K83" s="45"/>
      <c r="V83" t="s">
        <v>538</v>
      </c>
      <c r="W83" s="45" t="s">
        <v>320</v>
      </c>
      <c r="X83" s="45" t="b">
        <v>1</v>
      </c>
      <c r="Y83" s="45" t="b">
        <v>0</v>
      </c>
      <c r="Z83" s="45" t="b">
        <v>0</v>
      </c>
      <c r="AA83" s="45" t="b">
        <v>0</v>
      </c>
      <c r="AB83" s="45" t="b">
        <v>0</v>
      </c>
      <c r="AC83" s="45" t="b">
        <v>1</v>
      </c>
      <c r="AD83" s="45" t="b">
        <v>0</v>
      </c>
      <c r="AE83" s="45" t="b">
        <v>0</v>
      </c>
      <c r="AF83" s="45" t="s">
        <v>120</v>
      </c>
      <c r="AG83" s="45" t="b">
        <v>1</v>
      </c>
      <c r="AH83" s="45" t="b">
        <v>0</v>
      </c>
    </row>
    <row r="84" spans="2:34" x14ac:dyDescent="0.25">
      <c r="B84"/>
      <c r="C84"/>
      <c r="D84"/>
      <c r="E84"/>
      <c r="F84"/>
      <c r="K84" s="45"/>
      <c r="V84" t="s">
        <v>538</v>
      </c>
      <c r="W84" s="45" t="s">
        <v>320</v>
      </c>
      <c r="X84" s="45" t="b">
        <v>1</v>
      </c>
      <c r="Y84" s="45" t="b">
        <v>0</v>
      </c>
      <c r="Z84" s="45" t="b">
        <v>0</v>
      </c>
      <c r="AA84" s="45" t="b">
        <v>0</v>
      </c>
      <c r="AB84" s="45" t="b">
        <v>0</v>
      </c>
      <c r="AC84" s="45" t="b">
        <v>1</v>
      </c>
      <c r="AD84" s="45" t="b">
        <v>0</v>
      </c>
      <c r="AE84" s="45" t="b">
        <v>0</v>
      </c>
      <c r="AF84" s="45" t="s">
        <v>302</v>
      </c>
      <c r="AG84" s="45" t="b">
        <v>1</v>
      </c>
      <c r="AH84" s="45" t="b">
        <v>0</v>
      </c>
    </row>
    <row r="85" spans="2:34" x14ac:dyDescent="0.25">
      <c r="B85"/>
      <c r="C85"/>
      <c r="D85"/>
      <c r="E85"/>
      <c r="F85"/>
      <c r="K85" s="45"/>
      <c r="V85" t="s">
        <v>538</v>
      </c>
      <c r="W85" s="45" t="s">
        <v>320</v>
      </c>
      <c r="X85" s="45" t="b">
        <v>1</v>
      </c>
      <c r="Y85" s="45" t="b">
        <v>0</v>
      </c>
      <c r="Z85" s="45" t="b">
        <v>0</v>
      </c>
      <c r="AA85" s="45" t="b">
        <v>0</v>
      </c>
      <c r="AB85" s="45" t="b">
        <v>0</v>
      </c>
      <c r="AC85" s="45" t="b">
        <v>1</v>
      </c>
      <c r="AD85" s="45" t="b">
        <v>0</v>
      </c>
      <c r="AE85" s="45" t="b">
        <v>0</v>
      </c>
      <c r="AF85" s="45" t="s">
        <v>303</v>
      </c>
      <c r="AG85" s="45" t="b">
        <v>1</v>
      </c>
      <c r="AH85" s="45" t="b">
        <v>0</v>
      </c>
    </row>
    <row r="86" spans="2:34" x14ac:dyDescent="0.25">
      <c r="B86"/>
      <c r="C86"/>
      <c r="D86"/>
      <c r="E86"/>
      <c r="F86"/>
      <c r="K86" s="45"/>
      <c r="V86" t="s">
        <v>538</v>
      </c>
      <c r="W86" s="45" t="s">
        <v>320</v>
      </c>
      <c r="X86" s="45" t="b">
        <v>1</v>
      </c>
      <c r="Y86" s="45" t="b">
        <v>0</v>
      </c>
      <c r="Z86" s="45" t="b">
        <v>0</v>
      </c>
      <c r="AA86" s="45" t="b">
        <v>0</v>
      </c>
      <c r="AB86" s="45" t="b">
        <v>0</v>
      </c>
      <c r="AC86" s="45" t="b">
        <v>1</v>
      </c>
      <c r="AD86" s="45" t="b">
        <v>0</v>
      </c>
      <c r="AE86" s="45" t="b">
        <v>0</v>
      </c>
      <c r="AF86" s="45" t="s">
        <v>304</v>
      </c>
      <c r="AG86" s="45" t="b">
        <v>1</v>
      </c>
      <c r="AH86" s="45" t="b">
        <v>0</v>
      </c>
    </row>
    <row r="87" spans="2:34" x14ac:dyDescent="0.25">
      <c r="B87"/>
      <c r="C87"/>
      <c r="D87"/>
      <c r="E87"/>
      <c r="F87"/>
      <c r="K87" s="45"/>
      <c r="V87" t="s">
        <v>538</v>
      </c>
      <c r="W87" s="45" t="s">
        <v>320</v>
      </c>
      <c r="X87" s="45" t="b">
        <v>1</v>
      </c>
      <c r="Y87" s="45" t="b">
        <v>0</v>
      </c>
      <c r="Z87" s="45" t="b">
        <v>0</v>
      </c>
      <c r="AA87" s="45" t="b">
        <v>0</v>
      </c>
      <c r="AB87" s="45" t="b">
        <v>0</v>
      </c>
      <c r="AC87" s="45" t="b">
        <v>1</v>
      </c>
      <c r="AD87" s="45" t="b">
        <v>0</v>
      </c>
      <c r="AE87" s="45" t="b">
        <v>0</v>
      </c>
      <c r="AF87" s="45" t="s">
        <v>305</v>
      </c>
      <c r="AG87" s="45" t="b">
        <v>0</v>
      </c>
      <c r="AH87" s="45" t="b">
        <v>0</v>
      </c>
    </row>
    <row r="88" spans="2:34" x14ac:dyDescent="0.25">
      <c r="B88"/>
      <c r="C88"/>
      <c r="D88"/>
      <c r="E88"/>
      <c r="F88"/>
      <c r="K88" s="45"/>
      <c r="V88" t="s">
        <v>538</v>
      </c>
      <c r="W88" s="45" t="s">
        <v>320</v>
      </c>
      <c r="X88" s="45" t="b">
        <v>1</v>
      </c>
      <c r="Y88" s="45" t="b">
        <v>0</v>
      </c>
      <c r="Z88" s="45" t="b">
        <v>0</v>
      </c>
      <c r="AA88" s="45" t="b">
        <v>0</v>
      </c>
      <c r="AB88" s="45" t="b">
        <v>0</v>
      </c>
      <c r="AC88" s="45" t="b">
        <v>1</v>
      </c>
      <c r="AD88" s="45" t="b">
        <v>0</v>
      </c>
      <c r="AE88" s="45" t="b">
        <v>0</v>
      </c>
      <c r="AF88" s="45" t="s">
        <v>306</v>
      </c>
      <c r="AG88" s="45" t="b">
        <v>0</v>
      </c>
      <c r="AH88" s="45" t="b">
        <v>0</v>
      </c>
    </row>
    <row r="89" spans="2:34" x14ac:dyDescent="0.25">
      <c r="B89"/>
      <c r="C89"/>
      <c r="D89"/>
      <c r="E89"/>
      <c r="F89"/>
      <c r="K89" s="45"/>
      <c r="V89" t="s">
        <v>538</v>
      </c>
      <c r="W89" s="45" t="s">
        <v>320</v>
      </c>
      <c r="X89" s="45" t="b">
        <v>1</v>
      </c>
      <c r="Y89" s="45" t="b">
        <v>0</v>
      </c>
      <c r="Z89" s="45" t="b">
        <v>0</v>
      </c>
      <c r="AA89" s="45" t="b">
        <v>0</v>
      </c>
      <c r="AB89" s="45" t="b">
        <v>0</v>
      </c>
      <c r="AC89" s="45" t="b">
        <v>1</v>
      </c>
      <c r="AD89" s="45" t="b">
        <v>0</v>
      </c>
      <c r="AE89" s="45" t="b">
        <v>0</v>
      </c>
      <c r="AF89" s="45" t="s">
        <v>307</v>
      </c>
      <c r="AG89" s="45" t="b">
        <v>0</v>
      </c>
      <c r="AH89" s="45" t="b">
        <v>0</v>
      </c>
    </row>
    <row r="90" spans="2:34" x14ac:dyDescent="0.25">
      <c r="B90"/>
      <c r="C90"/>
      <c r="D90"/>
      <c r="E90"/>
      <c r="F90"/>
      <c r="K90" s="45"/>
      <c r="V90" t="s">
        <v>538</v>
      </c>
      <c r="W90" s="45" t="s">
        <v>320</v>
      </c>
      <c r="X90" s="45" t="b">
        <v>1</v>
      </c>
      <c r="Y90" s="45" t="b">
        <v>0</v>
      </c>
      <c r="Z90" s="45" t="b">
        <v>0</v>
      </c>
      <c r="AA90" s="45" t="b">
        <v>0</v>
      </c>
      <c r="AB90" s="45" t="b">
        <v>0</v>
      </c>
      <c r="AC90" s="45" t="b">
        <v>1</v>
      </c>
      <c r="AD90" s="45" t="b">
        <v>0</v>
      </c>
      <c r="AE90" s="45" t="b">
        <v>0</v>
      </c>
      <c r="AF90" s="45" t="s">
        <v>308</v>
      </c>
      <c r="AG90" s="45" t="b">
        <v>0</v>
      </c>
      <c r="AH90" s="45" t="b">
        <v>0</v>
      </c>
    </row>
    <row r="91" spans="2:34" x14ac:dyDescent="0.25">
      <c r="B91"/>
      <c r="C91"/>
      <c r="D91"/>
      <c r="E91"/>
      <c r="F91"/>
      <c r="K91" s="45"/>
      <c r="V91" t="s">
        <v>538</v>
      </c>
      <c r="W91" s="45" t="s">
        <v>320</v>
      </c>
      <c r="X91" s="45" t="b">
        <v>1</v>
      </c>
      <c r="Y91" s="45" t="b">
        <v>0</v>
      </c>
      <c r="Z91" s="45" t="b">
        <v>0</v>
      </c>
      <c r="AA91" s="45" t="b">
        <v>0</v>
      </c>
      <c r="AB91" s="45" t="b">
        <v>0</v>
      </c>
      <c r="AC91" s="45" t="b">
        <v>1</v>
      </c>
      <c r="AD91" s="45" t="b">
        <v>0</v>
      </c>
      <c r="AE91" s="45" t="b">
        <v>0</v>
      </c>
      <c r="AF91" s="45" t="s">
        <v>309</v>
      </c>
      <c r="AG91" s="45" t="b">
        <v>0</v>
      </c>
      <c r="AH91" s="45" t="b">
        <v>0</v>
      </c>
    </row>
    <row r="92" spans="2:34" x14ac:dyDescent="0.25">
      <c r="B92"/>
      <c r="C92"/>
      <c r="D92"/>
      <c r="E92"/>
      <c r="F92"/>
      <c r="K92" s="45"/>
      <c r="V92" t="s">
        <v>538</v>
      </c>
      <c r="W92" s="45" t="s">
        <v>320</v>
      </c>
      <c r="X92" s="45" t="b">
        <v>1</v>
      </c>
      <c r="Y92" s="45" t="b">
        <v>0</v>
      </c>
      <c r="Z92" s="45" t="b">
        <v>0</v>
      </c>
      <c r="AA92" s="45" t="b">
        <v>0</v>
      </c>
      <c r="AB92" s="45" t="b">
        <v>0</v>
      </c>
      <c r="AC92" s="45" t="b">
        <v>1</v>
      </c>
      <c r="AD92" s="45" t="b">
        <v>0</v>
      </c>
      <c r="AE92" s="45" t="b">
        <v>0</v>
      </c>
      <c r="AF92" s="45" t="s">
        <v>310</v>
      </c>
      <c r="AG92" s="45" t="b">
        <v>0</v>
      </c>
      <c r="AH92" s="45" t="b">
        <v>0</v>
      </c>
    </row>
    <row r="93" spans="2:34" x14ac:dyDescent="0.25">
      <c r="B93"/>
      <c r="C93"/>
      <c r="D93"/>
      <c r="E93"/>
      <c r="F93"/>
      <c r="K93" s="45"/>
      <c r="V93" t="s">
        <v>538</v>
      </c>
      <c r="W93" s="45" t="s">
        <v>320</v>
      </c>
      <c r="X93" s="45" t="b">
        <v>1</v>
      </c>
      <c r="Y93" s="45" t="b">
        <v>0</v>
      </c>
      <c r="Z93" s="45" t="b">
        <v>0</v>
      </c>
      <c r="AA93" s="45" t="b">
        <v>0</v>
      </c>
      <c r="AB93" s="45" t="b">
        <v>0</v>
      </c>
      <c r="AC93" s="45" t="b">
        <v>1</v>
      </c>
      <c r="AD93" s="45" t="b">
        <v>0</v>
      </c>
      <c r="AE93" s="45" t="b">
        <v>0</v>
      </c>
      <c r="AF93" s="45" t="s">
        <v>311</v>
      </c>
      <c r="AG93" s="45" t="b">
        <v>0</v>
      </c>
      <c r="AH93" s="45" t="b">
        <v>0</v>
      </c>
    </row>
    <row r="94" spans="2:34" x14ac:dyDescent="0.25">
      <c r="B94"/>
      <c r="C94"/>
      <c r="D94"/>
      <c r="E94"/>
      <c r="F94"/>
      <c r="K94" s="45"/>
      <c r="V94" t="s">
        <v>538</v>
      </c>
      <c r="W94" s="45" t="s">
        <v>320</v>
      </c>
      <c r="X94" s="45" t="b">
        <v>1</v>
      </c>
      <c r="Y94" s="45" t="b">
        <v>0</v>
      </c>
      <c r="Z94" s="45" t="b">
        <v>0</v>
      </c>
      <c r="AA94" s="45" t="b">
        <v>0</v>
      </c>
      <c r="AB94" s="45" t="b">
        <v>0</v>
      </c>
      <c r="AC94" s="45" t="b">
        <v>1</v>
      </c>
      <c r="AD94" s="45" t="b">
        <v>0</v>
      </c>
      <c r="AE94" s="45" t="b">
        <v>0</v>
      </c>
      <c r="AF94" s="45" t="s">
        <v>312</v>
      </c>
      <c r="AG94" s="45" t="b">
        <v>0</v>
      </c>
      <c r="AH94" s="45" t="b">
        <v>0</v>
      </c>
    </row>
    <row r="95" spans="2:34" x14ac:dyDescent="0.25">
      <c r="B95"/>
      <c r="C95"/>
      <c r="D95"/>
      <c r="E95"/>
      <c r="F95"/>
      <c r="K95" s="45"/>
      <c r="V95" t="s">
        <v>538</v>
      </c>
      <c r="W95" s="45" t="s">
        <v>320</v>
      </c>
      <c r="X95" s="45" t="b">
        <v>1</v>
      </c>
      <c r="Y95" s="45" t="b">
        <v>0</v>
      </c>
      <c r="Z95" s="45" t="b">
        <v>0</v>
      </c>
      <c r="AA95" s="45" t="b">
        <v>0</v>
      </c>
      <c r="AB95" s="45" t="b">
        <v>0</v>
      </c>
      <c r="AC95" s="45" t="b">
        <v>1</v>
      </c>
      <c r="AD95" s="45" t="b">
        <v>0</v>
      </c>
      <c r="AE95" s="45" t="b">
        <v>0</v>
      </c>
      <c r="AF95" s="45" t="s">
        <v>313</v>
      </c>
      <c r="AG95" s="45" t="b">
        <v>0</v>
      </c>
      <c r="AH95" s="45" t="b">
        <v>0</v>
      </c>
    </row>
    <row r="96" spans="2:34" x14ac:dyDescent="0.25">
      <c r="B96"/>
      <c r="C96"/>
      <c r="D96"/>
      <c r="E96"/>
      <c r="F96"/>
      <c r="K96" s="45"/>
      <c r="V96" t="s">
        <v>538</v>
      </c>
      <c r="W96" s="45" t="s">
        <v>320</v>
      </c>
      <c r="X96" s="45" t="b">
        <v>1</v>
      </c>
      <c r="Y96" s="45" t="b">
        <v>0</v>
      </c>
      <c r="Z96" s="45" t="b">
        <v>0</v>
      </c>
      <c r="AA96" s="45" t="b">
        <v>0</v>
      </c>
      <c r="AB96" s="45" t="b">
        <v>0</v>
      </c>
      <c r="AC96" s="45" t="b">
        <v>1</v>
      </c>
      <c r="AD96" s="45" t="b">
        <v>0</v>
      </c>
      <c r="AE96" s="45" t="b">
        <v>0</v>
      </c>
      <c r="AF96" s="45" t="s">
        <v>314</v>
      </c>
      <c r="AG96" s="45" t="b">
        <v>0</v>
      </c>
      <c r="AH96" s="45" t="b">
        <v>0</v>
      </c>
    </row>
    <row r="97" spans="2:34" x14ac:dyDescent="0.25">
      <c r="B97"/>
      <c r="C97"/>
      <c r="D97"/>
      <c r="E97"/>
      <c r="F97"/>
      <c r="K97" s="45"/>
      <c r="V97" t="s">
        <v>538</v>
      </c>
      <c r="W97" s="45" t="s">
        <v>320</v>
      </c>
      <c r="X97" s="45" t="b">
        <v>1</v>
      </c>
      <c r="Y97" s="45" t="b">
        <v>0</v>
      </c>
      <c r="Z97" s="45" t="b">
        <v>0</v>
      </c>
      <c r="AA97" s="45" t="b">
        <v>0</v>
      </c>
      <c r="AB97" s="45" t="b">
        <v>0</v>
      </c>
      <c r="AC97" s="45" t="b">
        <v>1</v>
      </c>
      <c r="AD97" s="45" t="b">
        <v>0</v>
      </c>
      <c r="AE97" s="45" t="b">
        <v>0</v>
      </c>
      <c r="AF97" s="45" t="s">
        <v>315</v>
      </c>
      <c r="AG97" s="45" t="b">
        <v>0</v>
      </c>
      <c r="AH97" s="45" t="b">
        <v>0</v>
      </c>
    </row>
    <row r="98" spans="2:34" x14ac:dyDescent="0.25">
      <c r="B98"/>
      <c r="C98"/>
      <c r="D98"/>
      <c r="E98"/>
      <c r="F98"/>
      <c r="K98" s="45"/>
      <c r="V98" t="s">
        <v>538</v>
      </c>
      <c r="W98" s="45" t="s">
        <v>320</v>
      </c>
      <c r="X98" s="45" t="b">
        <v>1</v>
      </c>
      <c r="Y98" s="45" t="b">
        <v>0</v>
      </c>
      <c r="Z98" s="45" t="b">
        <v>0</v>
      </c>
      <c r="AA98" s="45" t="b">
        <v>0</v>
      </c>
      <c r="AB98" s="45" t="b">
        <v>0</v>
      </c>
      <c r="AC98" s="45" t="b">
        <v>1</v>
      </c>
      <c r="AD98" s="45" t="b">
        <v>0</v>
      </c>
      <c r="AE98" s="45" t="b">
        <v>0</v>
      </c>
      <c r="AF98" s="45" t="s">
        <v>316</v>
      </c>
      <c r="AG98" s="45" t="b">
        <v>0</v>
      </c>
      <c r="AH98" s="45" t="b">
        <v>0</v>
      </c>
    </row>
    <row r="99" spans="2:34" x14ac:dyDescent="0.25">
      <c r="B99"/>
      <c r="C99"/>
      <c r="D99"/>
      <c r="E99"/>
      <c r="F99"/>
      <c r="K99" s="45"/>
      <c r="V99" t="s">
        <v>538</v>
      </c>
      <c r="W99" s="45" t="s">
        <v>320</v>
      </c>
      <c r="X99" s="45" t="b">
        <v>1</v>
      </c>
      <c r="Y99" s="45" t="b">
        <v>0</v>
      </c>
      <c r="Z99" s="45" t="b">
        <v>0</v>
      </c>
      <c r="AA99" s="45" t="b">
        <v>0</v>
      </c>
      <c r="AB99" s="45" t="b">
        <v>0</v>
      </c>
      <c r="AC99" s="45" t="b">
        <v>1</v>
      </c>
      <c r="AD99" s="45" t="b">
        <v>0</v>
      </c>
      <c r="AE99" s="45" t="b">
        <v>0</v>
      </c>
      <c r="AF99" s="45" t="s">
        <v>317</v>
      </c>
      <c r="AG99" s="45" t="b">
        <v>0</v>
      </c>
      <c r="AH99" s="45" t="b">
        <v>0</v>
      </c>
    </row>
    <row r="100" spans="2:34" x14ac:dyDescent="0.25">
      <c r="B100"/>
      <c r="C100"/>
      <c r="D100"/>
      <c r="E100"/>
      <c r="F100"/>
      <c r="K100" s="45"/>
      <c r="V100" t="s">
        <v>538</v>
      </c>
      <c r="W100" s="45" t="s">
        <v>320</v>
      </c>
      <c r="X100" s="45" t="b">
        <v>1</v>
      </c>
      <c r="Y100" s="45" t="b">
        <v>0</v>
      </c>
      <c r="Z100" s="45" t="b">
        <v>0</v>
      </c>
      <c r="AA100" s="45" t="b">
        <v>0</v>
      </c>
      <c r="AB100" s="45" t="b">
        <v>0</v>
      </c>
      <c r="AC100" s="45" t="b">
        <v>1</v>
      </c>
      <c r="AD100" s="45" t="b">
        <v>0</v>
      </c>
      <c r="AE100" s="45" t="b">
        <v>0</v>
      </c>
      <c r="AF100" s="45" t="s">
        <v>318</v>
      </c>
      <c r="AG100" s="45" t="b">
        <v>0</v>
      </c>
      <c r="AH100" s="45" t="b">
        <v>0</v>
      </c>
    </row>
    <row r="101" spans="2:34" x14ac:dyDescent="0.25">
      <c r="B101"/>
      <c r="C101"/>
      <c r="D101"/>
      <c r="E101"/>
      <c r="F101"/>
      <c r="K101" s="45"/>
      <c r="V101" t="s">
        <v>538</v>
      </c>
      <c r="W101" s="45" t="s">
        <v>320</v>
      </c>
      <c r="X101" s="45" t="b">
        <v>1</v>
      </c>
      <c r="Y101" s="45" t="b">
        <v>0</v>
      </c>
      <c r="Z101" s="45" t="b">
        <v>0</v>
      </c>
      <c r="AA101" s="45" t="b">
        <v>0</v>
      </c>
      <c r="AB101" s="45" t="b">
        <v>0</v>
      </c>
      <c r="AC101" s="45" t="b">
        <v>1</v>
      </c>
      <c r="AD101" s="45" t="b">
        <v>0</v>
      </c>
      <c r="AE101" s="45" t="b">
        <v>0</v>
      </c>
      <c r="AF101" s="45" t="s">
        <v>319</v>
      </c>
      <c r="AG101" s="45" t="b">
        <v>0</v>
      </c>
      <c r="AH101" s="45" t="b">
        <v>0</v>
      </c>
    </row>
    <row r="102" spans="2:34" x14ac:dyDescent="0.25">
      <c r="B102"/>
      <c r="C102"/>
      <c r="D102"/>
      <c r="E102"/>
      <c r="F102"/>
      <c r="K102" s="45"/>
      <c r="V102" t="s">
        <v>539</v>
      </c>
      <c r="W102" s="45" t="s">
        <v>321</v>
      </c>
      <c r="X102" s="45" t="b">
        <v>0</v>
      </c>
      <c r="Y102" s="45" t="b">
        <v>1</v>
      </c>
      <c r="Z102" s="45" t="b">
        <v>1</v>
      </c>
      <c r="AA102" s="45" t="b">
        <v>0</v>
      </c>
      <c r="AB102" s="45" t="b">
        <v>0</v>
      </c>
      <c r="AC102" s="45" t="b">
        <v>1</v>
      </c>
      <c r="AD102" s="45" t="b">
        <v>0</v>
      </c>
      <c r="AE102" s="45" t="b">
        <v>1</v>
      </c>
      <c r="AF102" s="45" t="s">
        <v>295</v>
      </c>
      <c r="AG102" s="45" t="b">
        <v>1</v>
      </c>
      <c r="AH102" s="45" t="b">
        <v>1</v>
      </c>
    </row>
    <row r="103" spans="2:34" x14ac:dyDescent="0.25">
      <c r="B103"/>
      <c r="C103"/>
      <c r="D103"/>
      <c r="E103"/>
      <c r="F103"/>
      <c r="K103" s="45"/>
      <c r="V103" t="s">
        <v>539</v>
      </c>
      <c r="W103" s="45" t="s">
        <v>321</v>
      </c>
      <c r="X103" s="45" t="b">
        <v>0</v>
      </c>
      <c r="Y103" s="45" t="b">
        <v>1</v>
      </c>
      <c r="Z103" s="45" t="b">
        <v>1</v>
      </c>
      <c r="AA103" s="45" t="b">
        <v>0</v>
      </c>
      <c r="AB103" s="45" t="b">
        <v>0</v>
      </c>
      <c r="AC103" s="45" t="b">
        <v>1</v>
      </c>
      <c r="AD103" s="45" t="b">
        <v>0</v>
      </c>
      <c r="AE103" s="45" t="b">
        <v>1</v>
      </c>
      <c r="AF103" s="45" t="s">
        <v>297</v>
      </c>
      <c r="AG103" s="45" t="b">
        <v>1</v>
      </c>
      <c r="AH103" s="45" t="b">
        <v>1</v>
      </c>
    </row>
    <row r="104" spans="2:34" x14ac:dyDescent="0.25">
      <c r="B104"/>
      <c r="C104"/>
      <c r="D104"/>
      <c r="E104"/>
      <c r="F104"/>
      <c r="K104" s="45"/>
      <c r="V104" t="s">
        <v>539</v>
      </c>
      <c r="W104" s="45" t="s">
        <v>321</v>
      </c>
      <c r="X104" s="45" t="b">
        <v>0</v>
      </c>
      <c r="Y104" s="45" t="b">
        <v>1</v>
      </c>
      <c r="Z104" s="45" t="b">
        <v>1</v>
      </c>
      <c r="AA104" s="45" t="b">
        <v>0</v>
      </c>
      <c r="AB104" s="45" t="b">
        <v>0</v>
      </c>
      <c r="AC104" s="45" t="b">
        <v>1</v>
      </c>
      <c r="AD104" s="45" t="b">
        <v>0</v>
      </c>
      <c r="AE104" s="45" t="b">
        <v>1</v>
      </c>
      <c r="AF104" s="45" t="s">
        <v>112</v>
      </c>
      <c r="AG104" s="45" t="b">
        <v>1</v>
      </c>
      <c r="AH104" s="45" t="b">
        <v>1</v>
      </c>
    </row>
    <row r="105" spans="2:34" x14ac:dyDescent="0.25">
      <c r="B105"/>
      <c r="C105"/>
      <c r="D105"/>
      <c r="E105"/>
      <c r="F105"/>
      <c r="K105" s="45"/>
      <c r="V105" t="s">
        <v>539</v>
      </c>
      <c r="W105" s="45" t="s">
        <v>321</v>
      </c>
      <c r="X105" s="45" t="b">
        <v>0</v>
      </c>
      <c r="Y105" s="45" t="b">
        <v>1</v>
      </c>
      <c r="Z105" s="45" t="b">
        <v>1</v>
      </c>
      <c r="AA105" s="45" t="b">
        <v>0</v>
      </c>
      <c r="AB105" s="45" t="b">
        <v>0</v>
      </c>
      <c r="AC105" s="45" t="b">
        <v>1</v>
      </c>
      <c r="AD105" s="45" t="b">
        <v>0</v>
      </c>
      <c r="AE105" s="45" t="b">
        <v>1</v>
      </c>
      <c r="AF105" s="45" t="s">
        <v>114</v>
      </c>
      <c r="AG105" s="45" t="b">
        <v>1</v>
      </c>
      <c r="AH105" s="45" t="b">
        <v>1</v>
      </c>
    </row>
    <row r="106" spans="2:34" x14ac:dyDescent="0.25">
      <c r="B106"/>
      <c r="C106"/>
      <c r="D106"/>
      <c r="E106"/>
      <c r="F106"/>
      <c r="K106" s="45"/>
      <c r="V106" t="s">
        <v>539</v>
      </c>
      <c r="W106" s="45" t="s">
        <v>321</v>
      </c>
      <c r="X106" s="45" t="b">
        <v>0</v>
      </c>
      <c r="Y106" s="45" t="b">
        <v>1</v>
      </c>
      <c r="Z106" s="45" t="b">
        <v>1</v>
      </c>
      <c r="AA106" s="45" t="b">
        <v>0</v>
      </c>
      <c r="AB106" s="45" t="b">
        <v>0</v>
      </c>
      <c r="AC106" s="45" t="b">
        <v>1</v>
      </c>
      <c r="AD106" s="45" t="b">
        <v>0</v>
      </c>
      <c r="AE106" s="45" t="b">
        <v>1</v>
      </c>
      <c r="AF106" s="45" t="s">
        <v>115</v>
      </c>
      <c r="AG106" s="45" t="b">
        <v>1</v>
      </c>
      <c r="AH106" s="45" t="b">
        <v>1</v>
      </c>
    </row>
    <row r="107" spans="2:34" x14ac:dyDescent="0.25">
      <c r="B107"/>
      <c r="C107"/>
      <c r="D107"/>
      <c r="E107"/>
      <c r="F107"/>
      <c r="K107" s="45"/>
      <c r="V107" t="s">
        <v>539</v>
      </c>
      <c r="W107" s="45" t="s">
        <v>321</v>
      </c>
      <c r="X107" s="45" t="b">
        <v>0</v>
      </c>
      <c r="Y107" s="45" t="b">
        <v>1</v>
      </c>
      <c r="Z107" s="45" t="b">
        <v>1</v>
      </c>
      <c r="AA107" s="45" t="b">
        <v>0</v>
      </c>
      <c r="AB107" s="45" t="b">
        <v>0</v>
      </c>
      <c r="AC107" s="45" t="b">
        <v>1</v>
      </c>
      <c r="AD107" s="45" t="b">
        <v>0</v>
      </c>
      <c r="AE107" s="45" t="b">
        <v>1</v>
      </c>
      <c r="AF107" s="45" t="s">
        <v>116</v>
      </c>
      <c r="AG107" s="45" t="b">
        <v>1</v>
      </c>
      <c r="AH107" s="45" t="b">
        <v>1</v>
      </c>
    </row>
    <row r="108" spans="2:34" x14ac:dyDescent="0.25">
      <c r="B108"/>
      <c r="C108"/>
      <c r="D108"/>
      <c r="E108"/>
      <c r="F108"/>
      <c r="K108" s="45"/>
      <c r="V108" t="s">
        <v>539</v>
      </c>
      <c r="W108" s="45" t="s">
        <v>321</v>
      </c>
      <c r="X108" s="45" t="b">
        <v>0</v>
      </c>
      <c r="Y108" s="45" t="b">
        <v>1</v>
      </c>
      <c r="Z108" s="45" t="b">
        <v>1</v>
      </c>
      <c r="AA108" s="45" t="b">
        <v>0</v>
      </c>
      <c r="AB108" s="45" t="b">
        <v>0</v>
      </c>
      <c r="AC108" s="45" t="b">
        <v>1</v>
      </c>
      <c r="AD108" s="45" t="b">
        <v>0</v>
      </c>
      <c r="AE108" s="45" t="b">
        <v>1</v>
      </c>
      <c r="AF108" s="45" t="s">
        <v>298</v>
      </c>
      <c r="AG108" s="45" t="b">
        <v>1</v>
      </c>
      <c r="AH108" s="45" t="b">
        <v>1</v>
      </c>
    </row>
    <row r="109" spans="2:34" x14ac:dyDescent="0.25">
      <c r="B109"/>
      <c r="C109"/>
      <c r="D109"/>
      <c r="E109"/>
      <c r="F109"/>
      <c r="V109" t="s">
        <v>539</v>
      </c>
      <c r="W109" s="45" t="s">
        <v>321</v>
      </c>
      <c r="X109" s="45" t="b">
        <v>0</v>
      </c>
      <c r="Y109" s="45" t="b">
        <v>1</v>
      </c>
      <c r="Z109" s="45" t="b">
        <v>1</v>
      </c>
      <c r="AA109" s="45" t="b">
        <v>0</v>
      </c>
      <c r="AB109" s="45" t="b">
        <v>0</v>
      </c>
      <c r="AC109" s="45" t="b">
        <v>1</v>
      </c>
      <c r="AD109" s="45" t="b">
        <v>0</v>
      </c>
      <c r="AE109" s="45" t="b">
        <v>1</v>
      </c>
      <c r="AF109" s="45" t="s">
        <v>299</v>
      </c>
      <c r="AG109" s="45" t="b">
        <v>1</v>
      </c>
      <c r="AH109" s="45" t="b">
        <v>1</v>
      </c>
    </row>
    <row r="110" spans="2:34" x14ac:dyDescent="0.25">
      <c r="B110"/>
      <c r="C110"/>
      <c r="D110"/>
      <c r="E110"/>
      <c r="F110"/>
      <c r="V110" t="s">
        <v>539</v>
      </c>
      <c r="W110" s="45" t="s">
        <v>321</v>
      </c>
      <c r="X110" s="45" t="b">
        <v>0</v>
      </c>
      <c r="Y110" s="45" t="b">
        <v>1</v>
      </c>
      <c r="Z110" s="45" t="b">
        <v>1</v>
      </c>
      <c r="AA110" s="45" t="b">
        <v>0</v>
      </c>
      <c r="AB110" s="45" t="b">
        <v>0</v>
      </c>
      <c r="AC110" s="45" t="b">
        <v>1</v>
      </c>
      <c r="AD110" s="45" t="b">
        <v>0</v>
      </c>
      <c r="AE110" s="45" t="b">
        <v>1</v>
      </c>
      <c r="AF110" s="45" t="s">
        <v>414</v>
      </c>
      <c r="AG110" s="45" t="b">
        <v>1</v>
      </c>
      <c r="AH110" s="45" t="b">
        <v>1</v>
      </c>
    </row>
    <row r="111" spans="2:34" x14ac:dyDescent="0.25">
      <c r="B111"/>
      <c r="C111"/>
      <c r="D111"/>
      <c r="E111"/>
      <c r="F111"/>
      <c r="V111" t="s">
        <v>539</v>
      </c>
      <c r="W111" s="45" t="s">
        <v>321</v>
      </c>
      <c r="X111" s="45" t="b">
        <v>0</v>
      </c>
      <c r="Y111" s="45" t="b">
        <v>1</v>
      </c>
      <c r="Z111" s="45" t="b">
        <v>1</v>
      </c>
      <c r="AA111" s="45" t="b">
        <v>0</v>
      </c>
      <c r="AB111" s="45" t="b">
        <v>0</v>
      </c>
      <c r="AC111" s="45" t="b">
        <v>1</v>
      </c>
      <c r="AD111" s="45" t="b">
        <v>0</v>
      </c>
      <c r="AE111" s="45" t="b">
        <v>1</v>
      </c>
      <c r="AF111" s="45" t="s">
        <v>118</v>
      </c>
      <c r="AG111" s="45" t="b">
        <v>1</v>
      </c>
      <c r="AH111" s="45" t="b">
        <v>1</v>
      </c>
    </row>
    <row r="112" spans="2:34" x14ac:dyDescent="0.25">
      <c r="B112"/>
      <c r="C112"/>
      <c r="D112"/>
      <c r="E112"/>
      <c r="F112"/>
      <c r="V112" t="s">
        <v>539</v>
      </c>
      <c r="W112" s="45" t="s">
        <v>321</v>
      </c>
      <c r="X112" s="45" t="b">
        <v>0</v>
      </c>
      <c r="Y112" s="45" t="b">
        <v>1</v>
      </c>
      <c r="Z112" s="45" t="b">
        <v>1</v>
      </c>
      <c r="AA112" s="45" t="b">
        <v>0</v>
      </c>
      <c r="AB112" s="45" t="b">
        <v>0</v>
      </c>
      <c r="AC112" s="45" t="b">
        <v>1</v>
      </c>
      <c r="AD112" s="45" t="b">
        <v>0</v>
      </c>
      <c r="AE112" s="45" t="b">
        <v>1</v>
      </c>
      <c r="AF112" s="45" t="s">
        <v>119</v>
      </c>
      <c r="AG112" s="45" t="b">
        <v>1</v>
      </c>
      <c r="AH112" s="45" t="b">
        <v>1</v>
      </c>
    </row>
    <row r="113" spans="2:34" x14ac:dyDescent="0.25">
      <c r="B113"/>
      <c r="C113"/>
      <c r="D113"/>
      <c r="E113"/>
      <c r="F113"/>
      <c r="V113" t="s">
        <v>539</v>
      </c>
      <c r="W113" s="45" t="s">
        <v>321</v>
      </c>
      <c r="X113" s="45" t="b">
        <v>0</v>
      </c>
      <c r="Y113" s="45" t="b">
        <v>1</v>
      </c>
      <c r="Z113" s="45" t="b">
        <v>1</v>
      </c>
      <c r="AA113" s="45" t="b">
        <v>0</v>
      </c>
      <c r="AB113" s="45" t="b">
        <v>0</v>
      </c>
      <c r="AC113" s="45" t="b">
        <v>1</v>
      </c>
      <c r="AD113" s="45" t="b">
        <v>0</v>
      </c>
      <c r="AE113" s="45" t="b">
        <v>1</v>
      </c>
      <c r="AF113" s="45" t="s">
        <v>300</v>
      </c>
      <c r="AG113" s="45" t="b">
        <v>1</v>
      </c>
      <c r="AH113" s="45" t="b">
        <v>1</v>
      </c>
    </row>
    <row r="114" spans="2:34" x14ac:dyDescent="0.25">
      <c r="B114"/>
      <c r="C114"/>
      <c r="D114"/>
      <c r="E114"/>
      <c r="F114"/>
      <c r="V114" t="s">
        <v>539</v>
      </c>
      <c r="W114" s="45" t="s">
        <v>321</v>
      </c>
      <c r="X114" s="45" t="b">
        <v>0</v>
      </c>
      <c r="Y114" s="45" t="b">
        <v>1</v>
      </c>
      <c r="Z114" s="45" t="b">
        <v>1</v>
      </c>
      <c r="AA114" s="45" t="b">
        <v>0</v>
      </c>
      <c r="AB114" s="45" t="b">
        <v>0</v>
      </c>
      <c r="AC114" s="45" t="b">
        <v>1</v>
      </c>
      <c r="AD114" s="45" t="b">
        <v>0</v>
      </c>
      <c r="AE114" s="45" t="b">
        <v>1</v>
      </c>
      <c r="AF114" s="45" t="s">
        <v>301</v>
      </c>
      <c r="AG114" s="45" t="b">
        <v>1</v>
      </c>
      <c r="AH114" s="45" t="b">
        <v>1</v>
      </c>
    </row>
    <row r="115" spans="2:34" x14ac:dyDescent="0.25">
      <c r="B115"/>
      <c r="C115"/>
      <c r="D115"/>
      <c r="E115"/>
      <c r="F115"/>
      <c r="V115" t="s">
        <v>539</v>
      </c>
      <c r="W115" s="45" t="s">
        <v>321</v>
      </c>
      <c r="X115" s="45" t="b">
        <v>0</v>
      </c>
      <c r="Y115" s="45" t="b">
        <v>1</v>
      </c>
      <c r="Z115" s="45" t="b">
        <v>1</v>
      </c>
      <c r="AA115" s="45" t="b">
        <v>0</v>
      </c>
      <c r="AB115" s="45" t="b">
        <v>0</v>
      </c>
      <c r="AC115" s="45" t="b">
        <v>1</v>
      </c>
      <c r="AD115" s="45" t="b">
        <v>0</v>
      </c>
      <c r="AE115" s="45" t="b">
        <v>1</v>
      </c>
      <c r="AF115" s="45" t="s">
        <v>120</v>
      </c>
      <c r="AG115" s="45" t="b">
        <v>1</v>
      </c>
      <c r="AH115" s="45" t="b">
        <v>1</v>
      </c>
    </row>
    <row r="116" spans="2:34" x14ac:dyDescent="0.25">
      <c r="B116"/>
      <c r="C116"/>
      <c r="D116"/>
      <c r="E116"/>
      <c r="F116"/>
      <c r="V116" t="s">
        <v>539</v>
      </c>
      <c r="W116" s="45" t="s">
        <v>321</v>
      </c>
      <c r="X116" s="45" t="b">
        <v>0</v>
      </c>
      <c r="Y116" s="45" t="b">
        <v>1</v>
      </c>
      <c r="Z116" s="45" t="b">
        <v>1</v>
      </c>
      <c r="AA116" s="45" t="b">
        <v>0</v>
      </c>
      <c r="AB116" s="45" t="b">
        <v>0</v>
      </c>
      <c r="AC116" s="45" t="b">
        <v>1</v>
      </c>
      <c r="AD116" s="45" t="b">
        <v>0</v>
      </c>
      <c r="AE116" s="45" t="b">
        <v>1</v>
      </c>
      <c r="AF116" s="45" t="s">
        <v>302</v>
      </c>
      <c r="AG116" s="45" t="b">
        <v>1</v>
      </c>
      <c r="AH116" s="45" t="b">
        <v>1</v>
      </c>
    </row>
    <row r="117" spans="2:34" x14ac:dyDescent="0.25">
      <c r="B117"/>
      <c r="C117"/>
      <c r="D117"/>
      <c r="E117"/>
      <c r="F117"/>
      <c r="V117" t="s">
        <v>539</v>
      </c>
      <c r="W117" s="45" t="s">
        <v>321</v>
      </c>
      <c r="X117" s="45" t="b">
        <v>0</v>
      </c>
      <c r="Y117" s="45" t="b">
        <v>1</v>
      </c>
      <c r="Z117" s="45" t="b">
        <v>1</v>
      </c>
      <c r="AA117" s="45" t="b">
        <v>0</v>
      </c>
      <c r="AB117" s="45" t="b">
        <v>0</v>
      </c>
      <c r="AC117" s="45" t="b">
        <v>1</v>
      </c>
      <c r="AD117" s="45" t="b">
        <v>0</v>
      </c>
      <c r="AE117" s="45" t="b">
        <v>1</v>
      </c>
      <c r="AF117" s="45" t="s">
        <v>303</v>
      </c>
      <c r="AG117" s="45" t="b">
        <v>1</v>
      </c>
      <c r="AH117" s="45" t="b">
        <v>1</v>
      </c>
    </row>
    <row r="118" spans="2:34" x14ac:dyDescent="0.25">
      <c r="B118"/>
      <c r="C118"/>
      <c r="D118"/>
      <c r="E118"/>
      <c r="F118"/>
      <c r="V118" t="s">
        <v>539</v>
      </c>
      <c r="W118" s="45" t="s">
        <v>321</v>
      </c>
      <c r="X118" s="45" t="b">
        <v>0</v>
      </c>
      <c r="Y118" s="45" t="b">
        <v>1</v>
      </c>
      <c r="Z118" s="45" t="b">
        <v>1</v>
      </c>
      <c r="AA118" s="45" t="b">
        <v>0</v>
      </c>
      <c r="AB118" s="45" t="b">
        <v>0</v>
      </c>
      <c r="AC118" s="45" t="b">
        <v>1</v>
      </c>
      <c r="AD118" s="45" t="b">
        <v>0</v>
      </c>
      <c r="AE118" s="45" t="b">
        <v>1</v>
      </c>
      <c r="AF118" s="45" t="s">
        <v>304</v>
      </c>
      <c r="AG118" s="45" t="b">
        <v>1</v>
      </c>
      <c r="AH118" s="45" t="b">
        <v>1</v>
      </c>
    </row>
    <row r="119" spans="2:34" x14ac:dyDescent="0.25">
      <c r="B119"/>
      <c r="C119"/>
      <c r="D119"/>
      <c r="E119"/>
      <c r="F119"/>
      <c r="V119" t="s">
        <v>539</v>
      </c>
      <c r="W119" s="45" t="s">
        <v>321</v>
      </c>
      <c r="X119" s="45" t="b">
        <v>0</v>
      </c>
      <c r="Y119" s="45" t="b">
        <v>1</v>
      </c>
      <c r="Z119" s="45" t="b">
        <v>1</v>
      </c>
      <c r="AA119" s="45" t="b">
        <v>0</v>
      </c>
      <c r="AB119" s="45" t="b">
        <v>0</v>
      </c>
      <c r="AC119" s="45" t="b">
        <v>1</v>
      </c>
      <c r="AD119" s="45" t="b">
        <v>0</v>
      </c>
      <c r="AE119" s="45" t="b">
        <v>1</v>
      </c>
      <c r="AF119" s="45" t="s">
        <v>305</v>
      </c>
      <c r="AG119" s="45" t="b">
        <v>1</v>
      </c>
      <c r="AH119" s="45" t="b">
        <v>1</v>
      </c>
    </row>
    <row r="120" spans="2:34" x14ac:dyDescent="0.25">
      <c r="B120"/>
      <c r="C120"/>
      <c r="D120"/>
      <c r="E120"/>
      <c r="F120"/>
      <c r="V120" t="s">
        <v>539</v>
      </c>
      <c r="W120" s="45" t="s">
        <v>321</v>
      </c>
      <c r="X120" s="45" t="b">
        <v>0</v>
      </c>
      <c r="Y120" s="45" t="b">
        <v>1</v>
      </c>
      <c r="Z120" s="45" t="b">
        <v>1</v>
      </c>
      <c r="AA120" s="45" t="b">
        <v>0</v>
      </c>
      <c r="AB120" s="45" t="b">
        <v>0</v>
      </c>
      <c r="AC120" s="45" t="b">
        <v>1</v>
      </c>
      <c r="AD120" s="45" t="b">
        <v>0</v>
      </c>
      <c r="AE120" s="45" t="b">
        <v>1</v>
      </c>
      <c r="AF120" s="45" t="s">
        <v>306</v>
      </c>
      <c r="AG120" s="45" t="b">
        <v>1</v>
      </c>
      <c r="AH120" s="45" t="b">
        <v>1</v>
      </c>
    </row>
    <row r="121" spans="2:34" x14ac:dyDescent="0.25">
      <c r="B121"/>
      <c r="C121"/>
      <c r="D121"/>
      <c r="E121"/>
      <c r="F121"/>
      <c r="V121" t="s">
        <v>539</v>
      </c>
      <c r="W121" s="45" t="s">
        <v>321</v>
      </c>
      <c r="X121" s="45" t="b">
        <v>0</v>
      </c>
      <c r="Y121" s="45" t="b">
        <v>1</v>
      </c>
      <c r="Z121" s="45" t="b">
        <v>1</v>
      </c>
      <c r="AA121" s="45" t="b">
        <v>0</v>
      </c>
      <c r="AB121" s="45" t="b">
        <v>0</v>
      </c>
      <c r="AC121" s="45" t="b">
        <v>1</v>
      </c>
      <c r="AD121" s="45" t="b">
        <v>0</v>
      </c>
      <c r="AE121" s="45" t="b">
        <v>1</v>
      </c>
      <c r="AF121" s="45" t="s">
        <v>307</v>
      </c>
      <c r="AG121" s="45" t="b">
        <v>1</v>
      </c>
      <c r="AH121" s="45" t="b">
        <v>1</v>
      </c>
    </row>
    <row r="122" spans="2:34" x14ac:dyDescent="0.25">
      <c r="B122"/>
      <c r="C122"/>
      <c r="D122"/>
      <c r="E122"/>
      <c r="F122"/>
      <c r="V122" t="s">
        <v>577</v>
      </c>
      <c r="W122" s="45" t="s">
        <v>321</v>
      </c>
      <c r="X122" s="45" t="b">
        <v>0</v>
      </c>
      <c r="Y122" s="45" t="b">
        <v>1</v>
      </c>
      <c r="Z122" s="45" t="b">
        <v>1</v>
      </c>
      <c r="AA122" s="45" t="b">
        <v>0</v>
      </c>
      <c r="AB122" s="45" t="b">
        <v>0</v>
      </c>
      <c r="AC122" s="45" t="b">
        <v>1</v>
      </c>
      <c r="AD122" s="45" t="b">
        <v>0</v>
      </c>
      <c r="AE122" s="45" t="b">
        <v>1</v>
      </c>
      <c r="AF122" s="45" t="s">
        <v>308</v>
      </c>
      <c r="AG122" s="45" t="b">
        <v>1</v>
      </c>
      <c r="AH122" s="45" t="b">
        <v>1</v>
      </c>
    </row>
    <row r="123" spans="2:34" x14ac:dyDescent="0.25">
      <c r="B123"/>
      <c r="C123"/>
      <c r="D123"/>
      <c r="E123"/>
      <c r="F123"/>
      <c r="V123" t="s">
        <v>539</v>
      </c>
      <c r="W123" s="45" t="s">
        <v>321</v>
      </c>
      <c r="X123" s="45" t="b">
        <v>0</v>
      </c>
      <c r="Y123" s="45" t="b">
        <v>1</v>
      </c>
      <c r="Z123" s="45" t="b">
        <v>1</v>
      </c>
      <c r="AA123" s="45" t="b">
        <v>0</v>
      </c>
      <c r="AB123" s="45" t="b">
        <v>0</v>
      </c>
      <c r="AC123" s="45" t="b">
        <v>1</v>
      </c>
      <c r="AD123" s="45" t="b">
        <v>0</v>
      </c>
      <c r="AE123" s="45" t="b">
        <v>1</v>
      </c>
      <c r="AF123" s="45" t="s">
        <v>309</v>
      </c>
      <c r="AG123" s="45" t="b">
        <v>1</v>
      </c>
      <c r="AH123" s="45" t="b">
        <v>1</v>
      </c>
    </row>
    <row r="124" spans="2:34" x14ac:dyDescent="0.25">
      <c r="B124"/>
      <c r="C124"/>
      <c r="D124"/>
      <c r="E124"/>
      <c r="F124"/>
      <c r="V124" t="s">
        <v>539</v>
      </c>
      <c r="W124" s="45" t="s">
        <v>321</v>
      </c>
      <c r="X124" s="45" t="b">
        <v>0</v>
      </c>
      <c r="Y124" s="45" t="b">
        <v>1</v>
      </c>
      <c r="Z124" s="45" t="b">
        <v>1</v>
      </c>
      <c r="AA124" s="45" t="b">
        <v>0</v>
      </c>
      <c r="AB124" s="45" t="b">
        <v>0</v>
      </c>
      <c r="AC124" s="45" t="b">
        <v>1</v>
      </c>
      <c r="AD124" s="45" t="b">
        <v>0</v>
      </c>
      <c r="AE124" s="45" t="b">
        <v>1</v>
      </c>
      <c r="AF124" s="45" t="s">
        <v>310</v>
      </c>
      <c r="AG124" s="45" t="b">
        <v>1</v>
      </c>
      <c r="AH124" s="45" t="b">
        <v>1</v>
      </c>
    </row>
    <row r="125" spans="2:34" x14ac:dyDescent="0.25">
      <c r="B125"/>
      <c r="C125"/>
      <c r="D125"/>
      <c r="E125"/>
      <c r="F125"/>
      <c r="V125" t="s">
        <v>539</v>
      </c>
      <c r="W125" s="45" t="s">
        <v>321</v>
      </c>
      <c r="X125" s="45" t="b">
        <v>0</v>
      </c>
      <c r="Y125" s="45" t="b">
        <v>1</v>
      </c>
      <c r="Z125" s="45" t="b">
        <v>1</v>
      </c>
      <c r="AA125" s="45" t="b">
        <v>0</v>
      </c>
      <c r="AB125" s="45" t="b">
        <v>0</v>
      </c>
      <c r="AC125" s="45" t="b">
        <v>1</v>
      </c>
      <c r="AD125" s="45" t="b">
        <v>0</v>
      </c>
      <c r="AE125" s="45" t="b">
        <v>1</v>
      </c>
      <c r="AF125" s="45" t="s">
        <v>311</v>
      </c>
      <c r="AG125" s="45" t="b">
        <v>1</v>
      </c>
      <c r="AH125" s="45" t="b">
        <v>1</v>
      </c>
    </row>
    <row r="126" spans="2:34" x14ac:dyDescent="0.25">
      <c r="B126"/>
      <c r="C126"/>
      <c r="D126"/>
      <c r="E126"/>
      <c r="F126"/>
      <c r="V126" t="s">
        <v>539</v>
      </c>
      <c r="W126" s="45" t="s">
        <v>321</v>
      </c>
      <c r="X126" s="45" t="b">
        <v>0</v>
      </c>
      <c r="Y126" s="45" t="b">
        <v>1</v>
      </c>
      <c r="Z126" s="45" t="b">
        <v>1</v>
      </c>
      <c r="AA126" s="45" t="b">
        <v>0</v>
      </c>
      <c r="AB126" s="45" t="b">
        <v>0</v>
      </c>
      <c r="AC126" s="45" t="b">
        <v>1</v>
      </c>
      <c r="AD126" s="45" t="b">
        <v>0</v>
      </c>
      <c r="AE126" s="45" t="b">
        <v>1</v>
      </c>
      <c r="AF126" s="45" t="s">
        <v>312</v>
      </c>
      <c r="AG126" s="45" t="b">
        <v>1</v>
      </c>
      <c r="AH126" s="45" t="b">
        <v>1</v>
      </c>
    </row>
    <row r="127" spans="2:34" x14ac:dyDescent="0.25">
      <c r="B127"/>
      <c r="C127"/>
      <c r="D127"/>
      <c r="E127"/>
      <c r="F127"/>
      <c r="V127" t="s">
        <v>539</v>
      </c>
      <c r="W127" s="45" t="s">
        <v>321</v>
      </c>
      <c r="X127" s="45" t="b">
        <v>0</v>
      </c>
      <c r="Y127" s="45" t="b">
        <v>1</v>
      </c>
      <c r="Z127" s="45" t="b">
        <v>1</v>
      </c>
      <c r="AA127" s="45" t="b">
        <v>0</v>
      </c>
      <c r="AB127" s="45" t="b">
        <v>0</v>
      </c>
      <c r="AC127" s="45" t="b">
        <v>1</v>
      </c>
      <c r="AD127" s="45" t="b">
        <v>0</v>
      </c>
      <c r="AE127" s="45" t="b">
        <v>1</v>
      </c>
      <c r="AF127" s="45" t="s">
        <v>313</v>
      </c>
      <c r="AG127" s="45" t="b">
        <v>1</v>
      </c>
      <c r="AH127" s="45" t="b">
        <v>1</v>
      </c>
    </row>
    <row r="128" spans="2:34" x14ac:dyDescent="0.25">
      <c r="B128"/>
      <c r="C128"/>
      <c r="D128"/>
      <c r="E128"/>
      <c r="F128"/>
      <c r="V128" t="s">
        <v>539</v>
      </c>
      <c r="W128" s="45" t="s">
        <v>321</v>
      </c>
      <c r="X128" s="45" t="b">
        <v>0</v>
      </c>
      <c r="Y128" s="45" t="b">
        <v>1</v>
      </c>
      <c r="Z128" s="45" t="b">
        <v>1</v>
      </c>
      <c r="AA128" s="45" t="b">
        <v>0</v>
      </c>
      <c r="AB128" s="45" t="b">
        <v>0</v>
      </c>
      <c r="AC128" s="45" t="b">
        <v>1</v>
      </c>
      <c r="AD128" s="45" t="b">
        <v>0</v>
      </c>
      <c r="AE128" s="45" t="b">
        <v>1</v>
      </c>
      <c r="AF128" s="45" t="s">
        <v>314</v>
      </c>
      <c r="AG128" s="45" t="b">
        <v>1</v>
      </c>
      <c r="AH128" s="45" t="b">
        <v>1</v>
      </c>
    </row>
    <row r="129" spans="2:34" x14ac:dyDescent="0.25">
      <c r="B129"/>
      <c r="C129"/>
      <c r="D129"/>
      <c r="E129"/>
      <c r="F129"/>
      <c r="V129" t="s">
        <v>539</v>
      </c>
      <c r="W129" s="45" t="s">
        <v>321</v>
      </c>
      <c r="X129" s="45" t="b">
        <v>0</v>
      </c>
      <c r="Y129" s="45" t="b">
        <v>1</v>
      </c>
      <c r="Z129" s="45" t="b">
        <v>1</v>
      </c>
      <c r="AA129" s="45" t="b">
        <v>0</v>
      </c>
      <c r="AB129" s="45" t="b">
        <v>0</v>
      </c>
      <c r="AC129" s="45" t="b">
        <v>1</v>
      </c>
      <c r="AD129" s="45" t="b">
        <v>0</v>
      </c>
      <c r="AE129" s="45" t="b">
        <v>1</v>
      </c>
      <c r="AF129" s="45" t="s">
        <v>315</v>
      </c>
      <c r="AG129" s="45" t="b">
        <v>1</v>
      </c>
      <c r="AH129" s="45" t="b">
        <v>1</v>
      </c>
    </row>
    <row r="130" spans="2:34" x14ac:dyDescent="0.25">
      <c r="B130"/>
      <c r="C130"/>
      <c r="D130"/>
      <c r="E130"/>
      <c r="F130"/>
      <c r="V130" t="s">
        <v>539</v>
      </c>
      <c r="W130" s="45" t="s">
        <v>321</v>
      </c>
      <c r="X130" s="45" t="b">
        <v>0</v>
      </c>
      <c r="Y130" s="45" t="b">
        <v>1</v>
      </c>
      <c r="Z130" s="45" t="b">
        <v>1</v>
      </c>
      <c r="AA130" s="45" t="b">
        <v>0</v>
      </c>
      <c r="AB130" s="45" t="b">
        <v>0</v>
      </c>
      <c r="AC130" s="45" t="b">
        <v>1</v>
      </c>
      <c r="AD130" s="45" t="b">
        <v>0</v>
      </c>
      <c r="AE130" s="45" t="b">
        <v>1</v>
      </c>
      <c r="AF130" s="45" t="s">
        <v>316</v>
      </c>
      <c r="AG130" s="45" t="b">
        <v>1</v>
      </c>
      <c r="AH130" s="45" t="b">
        <v>1</v>
      </c>
    </row>
    <row r="131" spans="2:34" x14ac:dyDescent="0.25">
      <c r="B131"/>
      <c r="C131"/>
      <c r="D131"/>
      <c r="E131"/>
      <c r="F131"/>
      <c r="V131" t="s">
        <v>539</v>
      </c>
      <c r="W131" s="45" t="s">
        <v>321</v>
      </c>
      <c r="X131" s="45" t="b">
        <v>0</v>
      </c>
      <c r="Y131" s="45" t="b">
        <v>1</v>
      </c>
      <c r="Z131" s="45" t="b">
        <v>1</v>
      </c>
      <c r="AA131" s="45" t="b">
        <v>0</v>
      </c>
      <c r="AB131" s="45" t="b">
        <v>0</v>
      </c>
      <c r="AC131" s="45" t="b">
        <v>1</v>
      </c>
      <c r="AD131" s="45" t="b">
        <v>0</v>
      </c>
      <c r="AE131" s="45" t="b">
        <v>1</v>
      </c>
      <c r="AF131" s="45" t="s">
        <v>317</v>
      </c>
      <c r="AG131" s="45" t="b">
        <v>1</v>
      </c>
      <c r="AH131" s="45" t="b">
        <v>1</v>
      </c>
    </row>
    <row r="132" spans="2:34" x14ac:dyDescent="0.25">
      <c r="B132"/>
      <c r="C132"/>
      <c r="D132"/>
      <c r="E132"/>
      <c r="F132"/>
      <c r="V132" t="s">
        <v>539</v>
      </c>
      <c r="W132" s="45" t="s">
        <v>321</v>
      </c>
      <c r="X132" s="45" t="b">
        <v>0</v>
      </c>
      <c r="Y132" s="45" t="b">
        <v>1</v>
      </c>
      <c r="Z132" s="45" t="b">
        <v>1</v>
      </c>
      <c r="AA132" s="45" t="b">
        <v>0</v>
      </c>
      <c r="AB132" s="45" t="b">
        <v>0</v>
      </c>
      <c r="AC132" s="45" t="b">
        <v>1</v>
      </c>
      <c r="AD132" s="45" t="b">
        <v>0</v>
      </c>
      <c r="AE132" s="45" t="b">
        <v>1</v>
      </c>
      <c r="AF132" s="45" t="s">
        <v>318</v>
      </c>
      <c r="AG132" s="45" t="b">
        <v>1</v>
      </c>
      <c r="AH132" s="45" t="b">
        <v>1</v>
      </c>
    </row>
    <row r="133" spans="2:34" x14ac:dyDescent="0.25">
      <c r="B133"/>
      <c r="C133"/>
      <c r="D133"/>
      <c r="E133"/>
      <c r="F133"/>
      <c r="V133" t="s">
        <v>539</v>
      </c>
      <c r="W133" s="45" t="s">
        <v>321</v>
      </c>
      <c r="X133" s="45" t="b">
        <v>0</v>
      </c>
      <c r="Y133" s="45" t="b">
        <v>1</v>
      </c>
      <c r="Z133" s="45" t="b">
        <v>1</v>
      </c>
      <c r="AA133" s="45" t="b">
        <v>0</v>
      </c>
      <c r="AB133" s="45" t="b">
        <v>0</v>
      </c>
      <c r="AC133" s="45" t="b">
        <v>1</v>
      </c>
      <c r="AD133" s="45" t="b">
        <v>0</v>
      </c>
      <c r="AE133" s="45" t="b">
        <v>1</v>
      </c>
      <c r="AF133" s="45" t="s">
        <v>319</v>
      </c>
      <c r="AG133" s="45" t="b">
        <v>1</v>
      </c>
      <c r="AH133" s="45" t="b">
        <v>1</v>
      </c>
    </row>
    <row r="134" spans="2:34" x14ac:dyDescent="0.25">
      <c r="B134"/>
      <c r="C134"/>
      <c r="D134"/>
      <c r="E134"/>
      <c r="F134"/>
      <c r="V134" t="s">
        <v>540</v>
      </c>
      <c r="W134" s="45" t="s">
        <v>322</v>
      </c>
      <c r="X134" s="45" t="b">
        <v>0</v>
      </c>
      <c r="Y134" s="45" t="b">
        <v>1</v>
      </c>
      <c r="Z134" s="45" t="b">
        <v>1</v>
      </c>
      <c r="AA134" s="45" t="b">
        <v>0</v>
      </c>
      <c r="AB134" s="45" t="b">
        <v>0</v>
      </c>
      <c r="AC134" s="45" t="b">
        <v>1</v>
      </c>
      <c r="AD134" s="45" t="b">
        <v>0</v>
      </c>
      <c r="AE134" s="45" t="b">
        <v>1</v>
      </c>
      <c r="AF134" s="45" t="s">
        <v>295</v>
      </c>
      <c r="AG134" s="45" t="b">
        <v>1</v>
      </c>
      <c r="AH134" s="45" t="b">
        <v>0</v>
      </c>
    </row>
    <row r="135" spans="2:34" x14ac:dyDescent="0.25">
      <c r="B135"/>
      <c r="C135"/>
      <c r="D135"/>
      <c r="E135"/>
      <c r="F135"/>
      <c r="V135" t="s">
        <v>540</v>
      </c>
      <c r="W135" s="45" t="s">
        <v>322</v>
      </c>
      <c r="X135" s="45" t="b">
        <v>0</v>
      </c>
      <c r="Y135" s="45" t="b">
        <v>1</v>
      </c>
      <c r="Z135" s="45" t="b">
        <v>1</v>
      </c>
      <c r="AA135" s="45" t="b">
        <v>0</v>
      </c>
      <c r="AB135" s="45" t="b">
        <v>0</v>
      </c>
      <c r="AC135" s="45" t="b">
        <v>1</v>
      </c>
      <c r="AD135" s="45" t="b">
        <v>0</v>
      </c>
      <c r="AE135" s="45" t="b">
        <v>1</v>
      </c>
      <c r="AF135" s="45" t="s">
        <v>297</v>
      </c>
      <c r="AG135" s="45" t="b">
        <v>1</v>
      </c>
      <c r="AH135" s="45" t="b">
        <v>0</v>
      </c>
    </row>
    <row r="136" spans="2:34" x14ac:dyDescent="0.25">
      <c r="B136"/>
      <c r="C136"/>
      <c r="D136"/>
      <c r="E136"/>
      <c r="F136"/>
      <c r="V136" t="s">
        <v>540</v>
      </c>
      <c r="W136" s="45" t="s">
        <v>322</v>
      </c>
      <c r="X136" s="45" t="b">
        <v>0</v>
      </c>
      <c r="Y136" s="45" t="b">
        <v>1</v>
      </c>
      <c r="Z136" s="45" t="b">
        <v>1</v>
      </c>
      <c r="AA136" s="45" t="b">
        <v>0</v>
      </c>
      <c r="AB136" s="45" t="b">
        <v>0</v>
      </c>
      <c r="AC136" s="45" t="b">
        <v>1</v>
      </c>
      <c r="AD136" s="45" t="b">
        <v>0</v>
      </c>
      <c r="AE136" s="45" t="b">
        <v>1</v>
      </c>
      <c r="AF136" s="45" t="s">
        <v>112</v>
      </c>
      <c r="AG136" s="45" t="b">
        <v>0</v>
      </c>
      <c r="AH136" s="45" t="b">
        <v>0</v>
      </c>
    </row>
    <row r="137" spans="2:34" x14ac:dyDescent="0.25">
      <c r="B137"/>
      <c r="C137"/>
      <c r="D137"/>
      <c r="E137"/>
      <c r="F137"/>
      <c r="V137" t="s">
        <v>540</v>
      </c>
      <c r="W137" s="45" t="s">
        <v>322</v>
      </c>
      <c r="X137" s="45" t="b">
        <v>0</v>
      </c>
      <c r="Y137" s="45" t="b">
        <v>1</v>
      </c>
      <c r="Z137" s="45" t="b">
        <v>1</v>
      </c>
      <c r="AA137" s="45" t="b">
        <v>0</v>
      </c>
      <c r="AB137" s="45" t="b">
        <v>0</v>
      </c>
      <c r="AC137" s="45" t="b">
        <v>1</v>
      </c>
      <c r="AD137" s="45" t="b">
        <v>0</v>
      </c>
      <c r="AE137" s="45" t="b">
        <v>1</v>
      </c>
      <c r="AF137" s="45" t="s">
        <v>114</v>
      </c>
      <c r="AG137" s="45" t="b">
        <v>0</v>
      </c>
      <c r="AH137" s="45" t="b">
        <v>0</v>
      </c>
    </row>
    <row r="138" spans="2:34" x14ac:dyDescent="0.25">
      <c r="B138"/>
      <c r="C138"/>
      <c r="D138"/>
      <c r="E138"/>
      <c r="F138"/>
      <c r="V138" t="s">
        <v>540</v>
      </c>
      <c r="W138" s="45" t="s">
        <v>322</v>
      </c>
      <c r="X138" s="45" t="b">
        <v>0</v>
      </c>
      <c r="Y138" s="45" t="b">
        <v>1</v>
      </c>
      <c r="Z138" s="45" t="b">
        <v>1</v>
      </c>
      <c r="AA138" s="45" t="b">
        <v>0</v>
      </c>
      <c r="AB138" s="45" t="b">
        <v>0</v>
      </c>
      <c r="AC138" s="45" t="b">
        <v>1</v>
      </c>
      <c r="AD138" s="45" t="b">
        <v>0</v>
      </c>
      <c r="AE138" s="45" t="b">
        <v>1</v>
      </c>
      <c r="AF138" s="45" t="s">
        <v>115</v>
      </c>
      <c r="AG138" s="45" t="b">
        <v>1</v>
      </c>
      <c r="AH138" s="45" t="b">
        <v>0</v>
      </c>
    </row>
    <row r="139" spans="2:34" x14ac:dyDescent="0.25">
      <c r="B139"/>
      <c r="C139"/>
      <c r="D139"/>
      <c r="E139"/>
      <c r="F139"/>
      <c r="V139" t="s">
        <v>540</v>
      </c>
      <c r="W139" s="45" t="s">
        <v>322</v>
      </c>
      <c r="X139" s="45" t="b">
        <v>0</v>
      </c>
      <c r="Y139" s="45" t="b">
        <v>1</v>
      </c>
      <c r="Z139" s="45" t="b">
        <v>1</v>
      </c>
      <c r="AA139" s="45" t="b">
        <v>0</v>
      </c>
      <c r="AB139" s="45" t="b">
        <v>0</v>
      </c>
      <c r="AC139" s="45" t="b">
        <v>1</v>
      </c>
      <c r="AD139" s="45" t="b">
        <v>0</v>
      </c>
      <c r="AE139" s="45" t="b">
        <v>1</v>
      </c>
      <c r="AF139" s="45" t="s">
        <v>116</v>
      </c>
      <c r="AG139" s="45" t="b">
        <v>1</v>
      </c>
      <c r="AH139" s="45" t="b">
        <v>0</v>
      </c>
    </row>
    <row r="140" spans="2:34" x14ac:dyDescent="0.25">
      <c r="B140"/>
      <c r="C140"/>
      <c r="D140"/>
      <c r="E140"/>
      <c r="F140"/>
      <c r="V140" t="s">
        <v>540</v>
      </c>
      <c r="W140" s="45" t="s">
        <v>322</v>
      </c>
      <c r="X140" s="45" t="b">
        <v>0</v>
      </c>
      <c r="Y140" s="45" t="b">
        <v>1</v>
      </c>
      <c r="Z140" s="45" t="b">
        <v>1</v>
      </c>
      <c r="AA140" s="45" t="b">
        <v>0</v>
      </c>
      <c r="AB140" s="45" t="b">
        <v>0</v>
      </c>
      <c r="AC140" s="45" t="b">
        <v>1</v>
      </c>
      <c r="AD140" s="45" t="b">
        <v>0</v>
      </c>
      <c r="AE140" s="45" t="b">
        <v>1</v>
      </c>
      <c r="AF140" s="45" t="s">
        <v>298</v>
      </c>
      <c r="AG140" s="45" t="b">
        <v>1</v>
      </c>
      <c r="AH140" s="45" t="b">
        <v>0</v>
      </c>
    </row>
    <row r="141" spans="2:34" x14ac:dyDescent="0.25">
      <c r="B141"/>
      <c r="C141"/>
      <c r="D141"/>
      <c r="E141"/>
      <c r="F141"/>
      <c r="V141" t="s">
        <v>540</v>
      </c>
      <c r="W141" s="45" t="s">
        <v>322</v>
      </c>
      <c r="X141" s="45" t="b">
        <v>0</v>
      </c>
      <c r="Y141" s="45" t="b">
        <v>1</v>
      </c>
      <c r="Z141" s="45" t="b">
        <v>1</v>
      </c>
      <c r="AA141" s="45" t="b">
        <v>0</v>
      </c>
      <c r="AB141" s="45" t="b">
        <v>0</v>
      </c>
      <c r="AC141" s="45" t="b">
        <v>1</v>
      </c>
      <c r="AD141" s="45" t="b">
        <v>0</v>
      </c>
      <c r="AE141" s="45" t="b">
        <v>1</v>
      </c>
      <c r="AF141" s="45" t="s">
        <v>299</v>
      </c>
      <c r="AG141" s="45" t="b">
        <v>1</v>
      </c>
      <c r="AH141" s="45" t="b">
        <v>0</v>
      </c>
    </row>
    <row r="142" spans="2:34" x14ac:dyDescent="0.25">
      <c r="B142"/>
      <c r="C142"/>
      <c r="D142"/>
      <c r="E142"/>
      <c r="F142"/>
      <c r="V142" t="s">
        <v>540</v>
      </c>
      <c r="W142" s="45" t="s">
        <v>322</v>
      </c>
      <c r="X142" s="45" t="b">
        <v>0</v>
      </c>
      <c r="Y142" s="45" t="b">
        <v>1</v>
      </c>
      <c r="Z142" s="45" t="b">
        <v>1</v>
      </c>
      <c r="AA142" s="45" t="b">
        <v>0</v>
      </c>
      <c r="AB142" s="45" t="b">
        <v>0</v>
      </c>
      <c r="AC142" s="45" t="b">
        <v>1</v>
      </c>
      <c r="AD142" s="45" t="b">
        <v>0</v>
      </c>
      <c r="AE142" s="45" t="b">
        <v>1</v>
      </c>
      <c r="AF142" s="45" t="s">
        <v>414</v>
      </c>
      <c r="AG142" s="45" t="b">
        <v>1</v>
      </c>
      <c r="AH142" s="45" t="b">
        <v>0</v>
      </c>
    </row>
    <row r="143" spans="2:34" x14ac:dyDescent="0.25">
      <c r="B143"/>
      <c r="C143"/>
      <c r="D143"/>
      <c r="E143"/>
      <c r="F143"/>
      <c r="V143" t="s">
        <v>540</v>
      </c>
      <c r="W143" s="45" t="s">
        <v>322</v>
      </c>
      <c r="X143" s="45" t="b">
        <v>0</v>
      </c>
      <c r="Y143" s="45" t="b">
        <v>1</v>
      </c>
      <c r="Z143" s="45" t="b">
        <v>1</v>
      </c>
      <c r="AA143" s="45" t="b">
        <v>0</v>
      </c>
      <c r="AB143" s="45" t="b">
        <v>0</v>
      </c>
      <c r="AC143" s="45" t="b">
        <v>1</v>
      </c>
      <c r="AD143" s="45" t="b">
        <v>0</v>
      </c>
      <c r="AE143" s="45" t="b">
        <v>1</v>
      </c>
      <c r="AF143" s="45" t="s">
        <v>118</v>
      </c>
      <c r="AG143" s="45" t="b">
        <v>1</v>
      </c>
      <c r="AH143" s="45" t="b">
        <v>0</v>
      </c>
    </row>
    <row r="144" spans="2:34" x14ac:dyDescent="0.25">
      <c r="B144"/>
      <c r="C144"/>
      <c r="D144"/>
      <c r="E144"/>
      <c r="F144"/>
      <c r="V144" t="s">
        <v>540</v>
      </c>
      <c r="W144" s="45" t="s">
        <v>322</v>
      </c>
      <c r="X144" s="45" t="b">
        <v>0</v>
      </c>
      <c r="Y144" s="45" t="b">
        <v>1</v>
      </c>
      <c r="Z144" s="45" t="b">
        <v>1</v>
      </c>
      <c r="AA144" s="45" t="b">
        <v>0</v>
      </c>
      <c r="AB144" s="45" t="b">
        <v>0</v>
      </c>
      <c r="AC144" s="45" t="b">
        <v>1</v>
      </c>
      <c r="AD144" s="45" t="b">
        <v>0</v>
      </c>
      <c r="AE144" s="45" t="b">
        <v>1</v>
      </c>
      <c r="AF144" s="45" t="s">
        <v>119</v>
      </c>
      <c r="AG144" s="45" t="b">
        <v>1</v>
      </c>
      <c r="AH144" s="45" t="b">
        <v>0</v>
      </c>
    </row>
    <row r="145" spans="2:34" x14ac:dyDescent="0.25">
      <c r="B145"/>
      <c r="C145"/>
      <c r="D145"/>
      <c r="E145"/>
      <c r="F145"/>
      <c r="V145" t="s">
        <v>540</v>
      </c>
      <c r="W145" s="45" t="s">
        <v>322</v>
      </c>
      <c r="X145" s="45" t="b">
        <v>0</v>
      </c>
      <c r="Y145" s="45" t="b">
        <v>1</v>
      </c>
      <c r="Z145" s="45" t="b">
        <v>1</v>
      </c>
      <c r="AA145" s="45" t="b">
        <v>0</v>
      </c>
      <c r="AB145" s="45" t="b">
        <v>0</v>
      </c>
      <c r="AC145" s="45" t="b">
        <v>1</v>
      </c>
      <c r="AD145" s="45" t="b">
        <v>0</v>
      </c>
      <c r="AE145" s="45" t="b">
        <v>1</v>
      </c>
      <c r="AF145" s="45" t="s">
        <v>300</v>
      </c>
      <c r="AG145" s="45" t="b">
        <v>1</v>
      </c>
      <c r="AH145" s="45" t="b">
        <v>0</v>
      </c>
    </row>
    <row r="146" spans="2:34" x14ac:dyDescent="0.25">
      <c r="B146"/>
      <c r="C146"/>
      <c r="D146"/>
      <c r="E146"/>
      <c r="F146"/>
      <c r="V146" t="s">
        <v>540</v>
      </c>
      <c r="W146" s="45" t="s">
        <v>322</v>
      </c>
      <c r="X146" s="45" t="b">
        <v>0</v>
      </c>
      <c r="Y146" s="45" t="b">
        <v>1</v>
      </c>
      <c r="Z146" s="45" t="b">
        <v>1</v>
      </c>
      <c r="AA146" s="45" t="b">
        <v>0</v>
      </c>
      <c r="AB146" s="45" t="b">
        <v>0</v>
      </c>
      <c r="AC146" s="45" t="b">
        <v>1</v>
      </c>
      <c r="AD146" s="45" t="b">
        <v>0</v>
      </c>
      <c r="AE146" s="45" t="b">
        <v>1</v>
      </c>
      <c r="AF146" s="45" t="s">
        <v>301</v>
      </c>
      <c r="AG146" s="45" t="b">
        <v>0</v>
      </c>
      <c r="AH146" s="45" t="b">
        <v>0</v>
      </c>
    </row>
    <row r="147" spans="2:34" x14ac:dyDescent="0.25">
      <c r="B147"/>
      <c r="C147"/>
      <c r="D147"/>
      <c r="E147"/>
      <c r="F147"/>
      <c r="V147" t="s">
        <v>540</v>
      </c>
      <c r="W147" s="45" t="s">
        <v>322</v>
      </c>
      <c r="X147" s="45" t="b">
        <v>0</v>
      </c>
      <c r="Y147" s="45" t="b">
        <v>1</v>
      </c>
      <c r="Z147" s="45" t="b">
        <v>1</v>
      </c>
      <c r="AA147" s="45" t="b">
        <v>0</v>
      </c>
      <c r="AB147" s="45" t="b">
        <v>0</v>
      </c>
      <c r="AC147" s="45" t="b">
        <v>1</v>
      </c>
      <c r="AD147" s="45" t="b">
        <v>0</v>
      </c>
      <c r="AE147" s="45" t="b">
        <v>1</v>
      </c>
      <c r="AF147" s="45" t="s">
        <v>120</v>
      </c>
      <c r="AG147" s="45" t="b">
        <v>1</v>
      </c>
      <c r="AH147" s="45" t="b">
        <v>0</v>
      </c>
    </row>
    <row r="148" spans="2:34" x14ac:dyDescent="0.25">
      <c r="B148"/>
      <c r="C148"/>
      <c r="D148"/>
      <c r="E148"/>
      <c r="F148"/>
      <c r="V148" t="s">
        <v>540</v>
      </c>
      <c r="W148" s="45" t="s">
        <v>322</v>
      </c>
      <c r="X148" s="45" t="b">
        <v>0</v>
      </c>
      <c r="Y148" s="45" t="b">
        <v>1</v>
      </c>
      <c r="Z148" s="45" t="b">
        <v>1</v>
      </c>
      <c r="AA148" s="45" t="b">
        <v>0</v>
      </c>
      <c r="AB148" s="45" t="b">
        <v>0</v>
      </c>
      <c r="AC148" s="45" t="b">
        <v>1</v>
      </c>
      <c r="AD148" s="45" t="b">
        <v>0</v>
      </c>
      <c r="AE148" s="45" t="b">
        <v>1</v>
      </c>
      <c r="AF148" s="45" t="s">
        <v>302</v>
      </c>
      <c r="AG148" s="45" t="b">
        <v>0</v>
      </c>
      <c r="AH148" s="45" t="b">
        <v>0</v>
      </c>
    </row>
    <row r="149" spans="2:34" x14ac:dyDescent="0.25">
      <c r="V149" t="s">
        <v>540</v>
      </c>
      <c r="W149" s="45" t="s">
        <v>322</v>
      </c>
      <c r="X149" s="45" t="b">
        <v>0</v>
      </c>
      <c r="Y149" s="45" t="b">
        <v>1</v>
      </c>
      <c r="Z149" s="45" t="b">
        <v>1</v>
      </c>
      <c r="AA149" s="45" t="b">
        <v>0</v>
      </c>
      <c r="AB149" s="45" t="b">
        <v>0</v>
      </c>
      <c r="AC149" s="45" t="b">
        <v>1</v>
      </c>
      <c r="AD149" s="45" t="b">
        <v>0</v>
      </c>
      <c r="AE149" s="45" t="b">
        <v>1</v>
      </c>
      <c r="AF149" s="45" t="s">
        <v>303</v>
      </c>
      <c r="AG149" s="45" t="b">
        <v>1</v>
      </c>
      <c r="AH149" s="45" t="b">
        <v>0</v>
      </c>
    </row>
    <row r="150" spans="2:34" x14ac:dyDescent="0.25">
      <c r="V150" t="s">
        <v>540</v>
      </c>
      <c r="W150" s="45" t="s">
        <v>322</v>
      </c>
      <c r="X150" s="45" t="b">
        <v>0</v>
      </c>
      <c r="Y150" s="45" t="b">
        <v>1</v>
      </c>
      <c r="Z150" s="45" t="b">
        <v>1</v>
      </c>
      <c r="AA150" s="45" t="b">
        <v>0</v>
      </c>
      <c r="AB150" s="45" t="b">
        <v>0</v>
      </c>
      <c r="AC150" s="45" t="b">
        <v>1</v>
      </c>
      <c r="AD150" s="45" t="b">
        <v>0</v>
      </c>
      <c r="AE150" s="45" t="b">
        <v>1</v>
      </c>
      <c r="AF150" s="45" t="s">
        <v>304</v>
      </c>
      <c r="AG150" s="45" t="b">
        <v>1</v>
      </c>
      <c r="AH150" s="45" t="b">
        <v>0</v>
      </c>
    </row>
    <row r="151" spans="2:34" x14ac:dyDescent="0.25">
      <c r="V151" t="s">
        <v>540</v>
      </c>
      <c r="W151" s="45" t="s">
        <v>322</v>
      </c>
      <c r="X151" s="45" t="b">
        <v>0</v>
      </c>
      <c r="Y151" s="45" t="b">
        <v>1</v>
      </c>
      <c r="Z151" s="45" t="b">
        <v>1</v>
      </c>
      <c r="AA151" s="45" t="b">
        <v>0</v>
      </c>
      <c r="AB151" s="45" t="b">
        <v>0</v>
      </c>
      <c r="AC151" s="45" t="b">
        <v>1</v>
      </c>
      <c r="AD151" s="45" t="b">
        <v>0</v>
      </c>
      <c r="AE151" s="45" t="b">
        <v>1</v>
      </c>
      <c r="AF151" s="45" t="s">
        <v>305</v>
      </c>
      <c r="AG151" s="45" t="b">
        <v>1</v>
      </c>
      <c r="AH151" s="45" t="b">
        <v>0</v>
      </c>
    </row>
    <row r="152" spans="2:34" x14ac:dyDescent="0.25">
      <c r="V152" t="s">
        <v>540</v>
      </c>
      <c r="W152" s="45" t="s">
        <v>322</v>
      </c>
      <c r="X152" s="45" t="b">
        <v>0</v>
      </c>
      <c r="Y152" s="45" t="b">
        <v>1</v>
      </c>
      <c r="Z152" s="45" t="b">
        <v>1</v>
      </c>
      <c r="AA152" s="45" t="b">
        <v>0</v>
      </c>
      <c r="AB152" s="45" t="b">
        <v>0</v>
      </c>
      <c r="AC152" s="45" t="b">
        <v>1</v>
      </c>
      <c r="AD152" s="45" t="b">
        <v>0</v>
      </c>
      <c r="AE152" s="45" t="b">
        <v>1</v>
      </c>
      <c r="AF152" s="45" t="s">
        <v>306</v>
      </c>
      <c r="AG152" s="45" t="b">
        <v>1</v>
      </c>
      <c r="AH152" s="45" t="b">
        <v>0</v>
      </c>
    </row>
    <row r="153" spans="2:34" x14ac:dyDescent="0.25">
      <c r="V153" t="s">
        <v>540</v>
      </c>
      <c r="W153" s="45" t="s">
        <v>322</v>
      </c>
      <c r="X153" s="45" t="b">
        <v>0</v>
      </c>
      <c r="Y153" s="45" t="b">
        <v>1</v>
      </c>
      <c r="Z153" s="45" t="b">
        <v>1</v>
      </c>
      <c r="AA153" s="45" t="b">
        <v>0</v>
      </c>
      <c r="AB153" s="45" t="b">
        <v>0</v>
      </c>
      <c r="AC153" s="45" t="b">
        <v>1</v>
      </c>
      <c r="AD153" s="45" t="b">
        <v>0</v>
      </c>
      <c r="AE153" s="45" t="b">
        <v>1</v>
      </c>
      <c r="AF153" s="45" t="s">
        <v>307</v>
      </c>
      <c r="AG153" s="45" t="b">
        <v>1</v>
      </c>
      <c r="AH153" s="45" t="b">
        <v>0</v>
      </c>
    </row>
    <row r="154" spans="2:34" x14ac:dyDescent="0.25">
      <c r="V154" t="s">
        <v>540</v>
      </c>
      <c r="W154" s="45" t="s">
        <v>322</v>
      </c>
      <c r="X154" s="45" t="b">
        <v>0</v>
      </c>
      <c r="Y154" s="45" t="b">
        <v>1</v>
      </c>
      <c r="Z154" s="45" t="b">
        <v>1</v>
      </c>
      <c r="AA154" s="45" t="b">
        <v>0</v>
      </c>
      <c r="AB154" s="45" t="b">
        <v>0</v>
      </c>
      <c r="AC154" s="45" t="b">
        <v>1</v>
      </c>
      <c r="AD154" s="45" t="b">
        <v>0</v>
      </c>
      <c r="AE154" s="45" t="b">
        <v>1</v>
      </c>
      <c r="AF154" s="45" t="s">
        <v>308</v>
      </c>
      <c r="AG154" s="45" t="b">
        <v>1</v>
      </c>
      <c r="AH154" s="45" t="b">
        <v>0</v>
      </c>
    </row>
    <row r="155" spans="2:34" x14ac:dyDescent="0.25">
      <c r="V155" t="s">
        <v>540</v>
      </c>
      <c r="W155" s="45" t="s">
        <v>322</v>
      </c>
      <c r="X155" s="45" t="b">
        <v>0</v>
      </c>
      <c r="Y155" s="45" t="b">
        <v>1</v>
      </c>
      <c r="Z155" s="45" t="b">
        <v>1</v>
      </c>
      <c r="AA155" s="45" t="b">
        <v>0</v>
      </c>
      <c r="AB155" s="45" t="b">
        <v>0</v>
      </c>
      <c r="AC155" s="45" t="b">
        <v>1</v>
      </c>
      <c r="AD155" s="45" t="b">
        <v>0</v>
      </c>
      <c r="AE155" s="45" t="b">
        <v>1</v>
      </c>
      <c r="AF155" s="45" t="s">
        <v>309</v>
      </c>
      <c r="AG155" s="45" t="b">
        <v>1</v>
      </c>
      <c r="AH155" s="45" t="b">
        <v>0</v>
      </c>
    </row>
    <row r="156" spans="2:34" x14ac:dyDescent="0.25">
      <c r="V156" t="s">
        <v>540</v>
      </c>
      <c r="W156" s="45" t="s">
        <v>322</v>
      </c>
      <c r="X156" s="45" t="b">
        <v>0</v>
      </c>
      <c r="Y156" s="45" t="b">
        <v>1</v>
      </c>
      <c r="Z156" s="45" t="b">
        <v>1</v>
      </c>
      <c r="AA156" s="45" t="b">
        <v>0</v>
      </c>
      <c r="AB156" s="45" t="b">
        <v>0</v>
      </c>
      <c r="AC156" s="45" t="b">
        <v>1</v>
      </c>
      <c r="AD156" s="45" t="b">
        <v>0</v>
      </c>
      <c r="AE156" s="45" t="b">
        <v>1</v>
      </c>
      <c r="AF156" s="45" t="s">
        <v>310</v>
      </c>
      <c r="AG156" s="45" t="b">
        <v>1</v>
      </c>
      <c r="AH156" s="45" t="b">
        <v>0</v>
      </c>
    </row>
    <row r="157" spans="2:34" x14ac:dyDescent="0.25">
      <c r="V157" t="s">
        <v>540</v>
      </c>
      <c r="W157" s="45" t="s">
        <v>322</v>
      </c>
      <c r="X157" s="45" t="b">
        <v>0</v>
      </c>
      <c r="Y157" s="45" t="b">
        <v>1</v>
      </c>
      <c r="Z157" s="45" t="b">
        <v>1</v>
      </c>
      <c r="AA157" s="45" t="b">
        <v>0</v>
      </c>
      <c r="AB157" s="45" t="b">
        <v>0</v>
      </c>
      <c r="AC157" s="45" t="b">
        <v>1</v>
      </c>
      <c r="AD157" s="45" t="b">
        <v>0</v>
      </c>
      <c r="AE157" s="45" t="b">
        <v>1</v>
      </c>
      <c r="AF157" s="45" t="s">
        <v>311</v>
      </c>
      <c r="AG157" s="45" t="b">
        <v>1</v>
      </c>
      <c r="AH157" s="45" t="b">
        <v>0</v>
      </c>
    </row>
    <row r="158" spans="2:34" x14ac:dyDescent="0.25">
      <c r="V158" t="s">
        <v>540</v>
      </c>
      <c r="W158" s="45" t="s">
        <v>322</v>
      </c>
      <c r="X158" s="45" t="b">
        <v>0</v>
      </c>
      <c r="Y158" s="45" t="b">
        <v>1</v>
      </c>
      <c r="Z158" s="45" t="b">
        <v>1</v>
      </c>
      <c r="AA158" s="45" t="b">
        <v>0</v>
      </c>
      <c r="AB158" s="45" t="b">
        <v>0</v>
      </c>
      <c r="AC158" s="45" t="b">
        <v>1</v>
      </c>
      <c r="AD158" s="45" t="b">
        <v>0</v>
      </c>
      <c r="AE158" s="45" t="b">
        <v>1</v>
      </c>
      <c r="AF158" s="45" t="s">
        <v>312</v>
      </c>
      <c r="AG158" s="45" t="b">
        <v>1</v>
      </c>
      <c r="AH158" s="45" t="b">
        <v>0</v>
      </c>
    </row>
    <row r="159" spans="2:34" x14ac:dyDescent="0.25">
      <c r="V159" t="s">
        <v>540</v>
      </c>
      <c r="W159" s="45" t="s">
        <v>322</v>
      </c>
      <c r="X159" s="45" t="b">
        <v>0</v>
      </c>
      <c r="Y159" s="45" t="b">
        <v>1</v>
      </c>
      <c r="Z159" s="45" t="b">
        <v>1</v>
      </c>
      <c r="AA159" s="45" t="b">
        <v>0</v>
      </c>
      <c r="AB159" s="45" t="b">
        <v>0</v>
      </c>
      <c r="AC159" s="45" t="b">
        <v>1</v>
      </c>
      <c r="AD159" s="45" t="b">
        <v>0</v>
      </c>
      <c r="AE159" s="45" t="b">
        <v>1</v>
      </c>
      <c r="AF159" s="45" t="s">
        <v>313</v>
      </c>
      <c r="AG159" s="45" t="b">
        <v>1</v>
      </c>
      <c r="AH159" s="45" t="b">
        <v>0</v>
      </c>
    </row>
    <row r="160" spans="2:34" x14ac:dyDescent="0.25">
      <c r="V160" t="s">
        <v>540</v>
      </c>
      <c r="W160" s="45" t="s">
        <v>322</v>
      </c>
      <c r="X160" s="45" t="b">
        <v>0</v>
      </c>
      <c r="Y160" s="45" t="b">
        <v>1</v>
      </c>
      <c r="Z160" s="45" t="b">
        <v>1</v>
      </c>
      <c r="AA160" s="45" t="b">
        <v>0</v>
      </c>
      <c r="AB160" s="45" t="b">
        <v>0</v>
      </c>
      <c r="AC160" s="45" t="b">
        <v>1</v>
      </c>
      <c r="AD160" s="45" t="b">
        <v>0</v>
      </c>
      <c r="AE160" s="45" t="b">
        <v>1</v>
      </c>
      <c r="AF160" s="45" t="s">
        <v>314</v>
      </c>
      <c r="AG160" s="45" t="b">
        <v>1</v>
      </c>
      <c r="AH160" s="45" t="b">
        <v>0</v>
      </c>
    </row>
    <row r="161" spans="22:34" x14ac:dyDescent="0.25">
      <c r="V161" t="s">
        <v>540</v>
      </c>
      <c r="W161" s="45" t="s">
        <v>322</v>
      </c>
      <c r="X161" s="45" t="b">
        <v>0</v>
      </c>
      <c r="Y161" s="45" t="b">
        <v>1</v>
      </c>
      <c r="Z161" s="45" t="b">
        <v>1</v>
      </c>
      <c r="AA161" s="45" t="b">
        <v>0</v>
      </c>
      <c r="AB161" s="45" t="b">
        <v>0</v>
      </c>
      <c r="AC161" s="45" t="b">
        <v>1</v>
      </c>
      <c r="AD161" s="45" t="b">
        <v>0</v>
      </c>
      <c r="AE161" s="45" t="b">
        <v>1</v>
      </c>
      <c r="AF161" s="45" t="s">
        <v>315</v>
      </c>
      <c r="AG161" s="45" t="b">
        <v>1</v>
      </c>
      <c r="AH161" s="45" t="b">
        <v>0</v>
      </c>
    </row>
    <row r="162" spans="22:34" x14ac:dyDescent="0.25">
      <c r="V162" t="s">
        <v>540</v>
      </c>
      <c r="W162" s="45" t="s">
        <v>322</v>
      </c>
      <c r="X162" s="45" t="b">
        <v>0</v>
      </c>
      <c r="Y162" s="45" t="b">
        <v>1</v>
      </c>
      <c r="Z162" s="45" t="b">
        <v>1</v>
      </c>
      <c r="AA162" s="45" t="b">
        <v>0</v>
      </c>
      <c r="AB162" s="45" t="b">
        <v>0</v>
      </c>
      <c r="AC162" s="45" t="b">
        <v>1</v>
      </c>
      <c r="AD162" s="45" t="b">
        <v>0</v>
      </c>
      <c r="AE162" s="45" t="b">
        <v>1</v>
      </c>
      <c r="AF162" s="45" t="s">
        <v>316</v>
      </c>
      <c r="AG162" s="45" t="b">
        <v>1</v>
      </c>
      <c r="AH162" s="45" t="b">
        <v>0</v>
      </c>
    </row>
    <row r="163" spans="22:34" x14ac:dyDescent="0.25">
      <c r="V163" t="s">
        <v>540</v>
      </c>
      <c r="W163" s="45" t="s">
        <v>322</v>
      </c>
      <c r="X163" s="45" t="b">
        <v>0</v>
      </c>
      <c r="Y163" s="45" t="b">
        <v>1</v>
      </c>
      <c r="Z163" s="45" t="b">
        <v>1</v>
      </c>
      <c r="AA163" s="45" t="b">
        <v>0</v>
      </c>
      <c r="AB163" s="45" t="b">
        <v>0</v>
      </c>
      <c r="AC163" s="45" t="b">
        <v>1</v>
      </c>
      <c r="AD163" s="45" t="b">
        <v>0</v>
      </c>
      <c r="AE163" s="45" t="b">
        <v>1</v>
      </c>
      <c r="AF163" s="45" t="s">
        <v>317</v>
      </c>
      <c r="AG163" s="45" t="b">
        <v>1</v>
      </c>
      <c r="AH163" s="45" t="b">
        <v>0</v>
      </c>
    </row>
    <row r="164" spans="22:34" x14ac:dyDescent="0.25">
      <c r="V164" t="s">
        <v>540</v>
      </c>
      <c r="W164" s="45" t="s">
        <v>322</v>
      </c>
      <c r="X164" s="45" t="b">
        <v>0</v>
      </c>
      <c r="Y164" s="45" t="b">
        <v>1</v>
      </c>
      <c r="Z164" s="45" t="b">
        <v>1</v>
      </c>
      <c r="AA164" s="45" t="b">
        <v>0</v>
      </c>
      <c r="AB164" s="45" t="b">
        <v>0</v>
      </c>
      <c r="AC164" s="45" t="b">
        <v>1</v>
      </c>
      <c r="AD164" s="45" t="b">
        <v>0</v>
      </c>
      <c r="AE164" s="45" t="b">
        <v>1</v>
      </c>
      <c r="AF164" s="45" t="s">
        <v>318</v>
      </c>
      <c r="AG164" s="45" t="b">
        <v>1</v>
      </c>
      <c r="AH164" s="45" t="b">
        <v>0</v>
      </c>
    </row>
    <row r="165" spans="22:34" x14ac:dyDescent="0.25">
      <c r="V165" t="s">
        <v>540</v>
      </c>
      <c r="W165" s="45" t="s">
        <v>322</v>
      </c>
      <c r="X165" s="45" t="b">
        <v>0</v>
      </c>
      <c r="Y165" s="45" t="b">
        <v>1</v>
      </c>
      <c r="Z165" s="45" t="b">
        <v>1</v>
      </c>
      <c r="AA165" s="45" t="b">
        <v>0</v>
      </c>
      <c r="AB165" s="45" t="b">
        <v>0</v>
      </c>
      <c r="AC165" s="45" t="b">
        <v>1</v>
      </c>
      <c r="AD165" s="45" t="b">
        <v>0</v>
      </c>
      <c r="AE165" s="45" t="b">
        <v>1</v>
      </c>
      <c r="AF165" s="45" t="s">
        <v>319</v>
      </c>
      <c r="AG165" s="45" t="b">
        <v>1</v>
      </c>
      <c r="AH165" s="45" t="b">
        <v>0</v>
      </c>
    </row>
    <row r="166" spans="22:34" x14ac:dyDescent="0.25">
      <c r="V166" t="s">
        <v>541</v>
      </c>
      <c r="W166" s="45" t="s">
        <v>323</v>
      </c>
      <c r="X166" s="45" t="b">
        <v>0</v>
      </c>
      <c r="Y166" s="45" t="b">
        <v>0</v>
      </c>
      <c r="Z166" s="45" t="b">
        <v>0</v>
      </c>
      <c r="AA166" s="45" t="b">
        <v>0</v>
      </c>
      <c r="AB166" s="45" t="b">
        <v>0</v>
      </c>
      <c r="AC166" s="45" t="b">
        <v>1</v>
      </c>
      <c r="AD166" s="45" t="b">
        <v>0</v>
      </c>
      <c r="AE166" s="45" t="b">
        <v>0</v>
      </c>
      <c r="AF166" s="45" t="s">
        <v>295</v>
      </c>
      <c r="AG166" s="45" t="b">
        <v>0</v>
      </c>
      <c r="AH166" s="45" t="b">
        <v>0</v>
      </c>
    </row>
    <row r="167" spans="22:34" x14ac:dyDescent="0.25">
      <c r="V167" t="s">
        <v>541</v>
      </c>
      <c r="W167" s="45" t="s">
        <v>323</v>
      </c>
      <c r="X167" s="45" t="b">
        <v>0</v>
      </c>
      <c r="Y167" s="45" t="b">
        <v>0</v>
      </c>
      <c r="Z167" s="45" t="b">
        <v>0</v>
      </c>
      <c r="AA167" s="45" t="b">
        <v>0</v>
      </c>
      <c r="AB167" s="45" t="b">
        <v>0</v>
      </c>
      <c r="AC167" s="45" t="b">
        <v>1</v>
      </c>
      <c r="AD167" s="45" t="b">
        <v>0</v>
      </c>
      <c r="AE167" s="45" t="b">
        <v>0</v>
      </c>
      <c r="AF167" s="45" t="s">
        <v>297</v>
      </c>
      <c r="AG167" s="45" t="b">
        <v>0</v>
      </c>
      <c r="AH167" s="45" t="b">
        <v>0</v>
      </c>
    </row>
    <row r="168" spans="22:34" x14ac:dyDescent="0.25">
      <c r="V168" t="s">
        <v>541</v>
      </c>
      <c r="W168" s="45" t="s">
        <v>323</v>
      </c>
      <c r="X168" s="45" t="b">
        <v>0</v>
      </c>
      <c r="Y168" s="45" t="b">
        <v>0</v>
      </c>
      <c r="Z168" s="45" t="b">
        <v>0</v>
      </c>
      <c r="AA168" s="45" t="b">
        <v>0</v>
      </c>
      <c r="AB168" s="45" t="b">
        <v>0</v>
      </c>
      <c r="AC168" s="45" t="b">
        <v>1</v>
      </c>
      <c r="AD168" s="45" t="b">
        <v>0</v>
      </c>
      <c r="AE168" s="45" t="b">
        <v>0</v>
      </c>
      <c r="AF168" s="45" t="s">
        <v>112</v>
      </c>
      <c r="AG168" s="45" t="b">
        <v>0</v>
      </c>
      <c r="AH168" s="45" t="b">
        <v>0</v>
      </c>
    </row>
    <row r="169" spans="22:34" x14ac:dyDescent="0.25">
      <c r="V169" t="s">
        <v>541</v>
      </c>
      <c r="W169" s="45" t="s">
        <v>323</v>
      </c>
      <c r="X169" s="45" t="b">
        <v>0</v>
      </c>
      <c r="Y169" s="45" t="b">
        <v>0</v>
      </c>
      <c r="Z169" s="45" t="b">
        <v>0</v>
      </c>
      <c r="AA169" s="45" t="b">
        <v>0</v>
      </c>
      <c r="AB169" s="45" t="b">
        <v>0</v>
      </c>
      <c r="AC169" s="45" t="b">
        <v>1</v>
      </c>
      <c r="AD169" s="45" t="b">
        <v>0</v>
      </c>
      <c r="AE169" s="45" t="b">
        <v>0</v>
      </c>
      <c r="AF169" s="45" t="s">
        <v>114</v>
      </c>
      <c r="AG169" s="45" t="b">
        <v>0</v>
      </c>
      <c r="AH169" s="45" t="b">
        <v>0</v>
      </c>
    </row>
    <row r="170" spans="22:34" x14ac:dyDescent="0.25">
      <c r="V170" t="s">
        <v>541</v>
      </c>
      <c r="W170" s="45" t="s">
        <v>323</v>
      </c>
      <c r="X170" s="45" t="b">
        <v>0</v>
      </c>
      <c r="Y170" s="45" t="b">
        <v>0</v>
      </c>
      <c r="Z170" s="45" t="b">
        <v>0</v>
      </c>
      <c r="AA170" s="45" t="b">
        <v>0</v>
      </c>
      <c r="AB170" s="45" t="b">
        <v>0</v>
      </c>
      <c r="AC170" s="45" t="b">
        <v>1</v>
      </c>
      <c r="AD170" s="45" t="b">
        <v>0</v>
      </c>
      <c r="AE170" s="45" t="b">
        <v>0</v>
      </c>
      <c r="AF170" s="45" t="s">
        <v>115</v>
      </c>
      <c r="AG170" s="45" t="b">
        <v>1</v>
      </c>
      <c r="AH170" s="45" t="b">
        <v>0</v>
      </c>
    </row>
    <row r="171" spans="22:34" x14ac:dyDescent="0.25">
      <c r="V171" t="s">
        <v>541</v>
      </c>
      <c r="W171" s="45" t="s">
        <v>323</v>
      </c>
      <c r="X171" s="45" t="b">
        <v>0</v>
      </c>
      <c r="Y171" s="45" t="b">
        <v>0</v>
      </c>
      <c r="Z171" s="45" t="b">
        <v>0</v>
      </c>
      <c r="AA171" s="45" t="b">
        <v>0</v>
      </c>
      <c r="AB171" s="45" t="b">
        <v>0</v>
      </c>
      <c r="AC171" s="45" t="b">
        <v>1</v>
      </c>
      <c r="AD171" s="45" t="b">
        <v>0</v>
      </c>
      <c r="AE171" s="45" t="b">
        <v>0</v>
      </c>
      <c r="AF171" s="45" t="s">
        <v>116</v>
      </c>
      <c r="AG171" s="45" t="b">
        <v>0</v>
      </c>
      <c r="AH171" s="45" t="b">
        <v>0</v>
      </c>
    </row>
    <row r="172" spans="22:34" x14ac:dyDescent="0.25">
      <c r="V172" t="s">
        <v>541</v>
      </c>
      <c r="W172" s="45" t="s">
        <v>323</v>
      </c>
      <c r="X172" s="45" t="b">
        <v>0</v>
      </c>
      <c r="Y172" s="45" t="b">
        <v>0</v>
      </c>
      <c r="Z172" s="45" t="b">
        <v>0</v>
      </c>
      <c r="AA172" s="45" t="b">
        <v>0</v>
      </c>
      <c r="AB172" s="45" t="b">
        <v>0</v>
      </c>
      <c r="AC172" s="45" t="b">
        <v>1</v>
      </c>
      <c r="AD172" s="45" t="b">
        <v>0</v>
      </c>
      <c r="AE172" s="45" t="b">
        <v>0</v>
      </c>
      <c r="AF172" s="45" t="s">
        <v>298</v>
      </c>
      <c r="AG172" s="45" t="b">
        <v>1</v>
      </c>
      <c r="AH172" s="45" t="b">
        <v>0</v>
      </c>
    </row>
    <row r="173" spans="22:34" x14ac:dyDescent="0.25">
      <c r="V173" t="s">
        <v>541</v>
      </c>
      <c r="W173" s="45" t="s">
        <v>323</v>
      </c>
      <c r="X173" s="45" t="b">
        <v>0</v>
      </c>
      <c r="Y173" s="45" t="b">
        <v>0</v>
      </c>
      <c r="Z173" s="45" t="b">
        <v>0</v>
      </c>
      <c r="AA173" s="45" t="b">
        <v>0</v>
      </c>
      <c r="AB173" s="45" t="b">
        <v>0</v>
      </c>
      <c r="AC173" s="45" t="b">
        <v>1</v>
      </c>
      <c r="AD173" s="45" t="b">
        <v>0</v>
      </c>
      <c r="AE173" s="45" t="b">
        <v>0</v>
      </c>
      <c r="AF173" s="45" t="s">
        <v>299</v>
      </c>
      <c r="AG173" s="45" t="b">
        <v>1</v>
      </c>
      <c r="AH173" s="45" t="b">
        <v>0</v>
      </c>
    </row>
    <row r="174" spans="22:34" x14ac:dyDescent="0.25">
      <c r="V174" t="s">
        <v>541</v>
      </c>
      <c r="W174" s="45" t="s">
        <v>323</v>
      </c>
      <c r="X174" s="45" t="b">
        <v>0</v>
      </c>
      <c r="Y174" s="45" t="b">
        <v>0</v>
      </c>
      <c r="Z174" s="45" t="b">
        <v>0</v>
      </c>
      <c r="AA174" s="45" t="b">
        <v>0</v>
      </c>
      <c r="AB174" s="45" t="b">
        <v>0</v>
      </c>
      <c r="AC174" s="45" t="b">
        <v>1</v>
      </c>
      <c r="AD174" s="45" t="b">
        <v>0</v>
      </c>
      <c r="AE174" s="45" t="b">
        <v>0</v>
      </c>
      <c r="AF174" s="45" t="s">
        <v>414</v>
      </c>
      <c r="AG174" s="45" t="b">
        <v>1</v>
      </c>
      <c r="AH174" s="45" t="b">
        <v>0</v>
      </c>
    </row>
    <row r="175" spans="22:34" x14ac:dyDescent="0.25">
      <c r="V175" t="s">
        <v>541</v>
      </c>
      <c r="W175" s="45" t="s">
        <v>323</v>
      </c>
      <c r="X175" s="45" t="b">
        <v>0</v>
      </c>
      <c r="Y175" s="45" t="b">
        <v>0</v>
      </c>
      <c r="Z175" s="45" t="b">
        <v>0</v>
      </c>
      <c r="AA175" s="45" t="b">
        <v>0</v>
      </c>
      <c r="AB175" s="45" t="b">
        <v>0</v>
      </c>
      <c r="AC175" s="45" t="b">
        <v>1</v>
      </c>
      <c r="AD175" s="45" t="b">
        <v>0</v>
      </c>
      <c r="AE175" s="45" t="b">
        <v>0</v>
      </c>
      <c r="AF175" s="45" t="s">
        <v>118</v>
      </c>
      <c r="AG175" s="45" t="b">
        <v>1</v>
      </c>
      <c r="AH175" s="45" t="b">
        <v>0</v>
      </c>
    </row>
    <row r="176" spans="22:34" x14ac:dyDescent="0.25">
      <c r="V176" t="s">
        <v>541</v>
      </c>
      <c r="W176" s="45" t="s">
        <v>323</v>
      </c>
      <c r="X176" s="45" t="b">
        <v>0</v>
      </c>
      <c r="Y176" s="45" t="b">
        <v>0</v>
      </c>
      <c r="Z176" s="45" t="b">
        <v>0</v>
      </c>
      <c r="AA176" s="45" t="b">
        <v>0</v>
      </c>
      <c r="AB176" s="45" t="b">
        <v>0</v>
      </c>
      <c r="AC176" s="45" t="b">
        <v>1</v>
      </c>
      <c r="AD176" s="45" t="b">
        <v>0</v>
      </c>
      <c r="AE176" s="45" t="b">
        <v>0</v>
      </c>
      <c r="AF176" s="45" t="s">
        <v>119</v>
      </c>
      <c r="AG176" s="45" t="b">
        <v>1</v>
      </c>
      <c r="AH176" s="45" t="b">
        <v>0</v>
      </c>
    </row>
    <row r="177" spans="22:34" x14ac:dyDescent="0.25">
      <c r="V177" t="s">
        <v>541</v>
      </c>
      <c r="W177" s="45" t="s">
        <v>323</v>
      </c>
      <c r="X177" s="45" t="b">
        <v>0</v>
      </c>
      <c r="Y177" s="45" t="b">
        <v>0</v>
      </c>
      <c r="Z177" s="45" t="b">
        <v>0</v>
      </c>
      <c r="AA177" s="45" t="b">
        <v>0</v>
      </c>
      <c r="AB177" s="45" t="b">
        <v>0</v>
      </c>
      <c r="AC177" s="45" t="b">
        <v>1</v>
      </c>
      <c r="AD177" s="45" t="b">
        <v>0</v>
      </c>
      <c r="AE177" s="45" t="b">
        <v>0</v>
      </c>
      <c r="AF177" s="45" t="s">
        <v>300</v>
      </c>
      <c r="AG177" s="45" t="b">
        <v>1</v>
      </c>
      <c r="AH177" s="45" t="b">
        <v>0</v>
      </c>
    </row>
    <row r="178" spans="22:34" x14ac:dyDescent="0.25">
      <c r="V178" t="s">
        <v>541</v>
      </c>
      <c r="W178" s="45" t="s">
        <v>323</v>
      </c>
      <c r="X178" s="45" t="b">
        <v>0</v>
      </c>
      <c r="Y178" s="45" t="b">
        <v>0</v>
      </c>
      <c r="Z178" s="45" t="b">
        <v>0</v>
      </c>
      <c r="AA178" s="45" t="b">
        <v>0</v>
      </c>
      <c r="AB178" s="45" t="b">
        <v>0</v>
      </c>
      <c r="AC178" s="45" t="b">
        <v>1</v>
      </c>
      <c r="AD178" s="45" t="b">
        <v>0</v>
      </c>
      <c r="AE178" s="45" t="b">
        <v>0</v>
      </c>
      <c r="AF178" s="45" t="s">
        <v>301</v>
      </c>
      <c r="AG178" s="45" t="b">
        <v>0</v>
      </c>
      <c r="AH178" s="45" t="b">
        <v>0</v>
      </c>
    </row>
    <row r="179" spans="22:34" x14ac:dyDescent="0.25">
      <c r="V179" t="s">
        <v>541</v>
      </c>
      <c r="W179" s="45" t="s">
        <v>323</v>
      </c>
      <c r="X179" s="45" t="b">
        <v>0</v>
      </c>
      <c r="Y179" s="45" t="b">
        <v>0</v>
      </c>
      <c r="Z179" s="45" t="b">
        <v>0</v>
      </c>
      <c r="AA179" s="45" t="b">
        <v>0</v>
      </c>
      <c r="AB179" s="45" t="b">
        <v>0</v>
      </c>
      <c r="AC179" s="45" t="b">
        <v>1</v>
      </c>
      <c r="AD179" s="45" t="b">
        <v>0</v>
      </c>
      <c r="AE179" s="45" t="b">
        <v>0</v>
      </c>
      <c r="AF179" s="45" t="s">
        <v>120</v>
      </c>
      <c r="AG179" s="45" t="b">
        <v>1</v>
      </c>
      <c r="AH179" s="45" t="b">
        <v>0</v>
      </c>
    </row>
    <row r="180" spans="22:34" x14ac:dyDescent="0.25">
      <c r="V180" t="s">
        <v>541</v>
      </c>
      <c r="W180" s="45" t="s">
        <v>323</v>
      </c>
      <c r="X180" s="45" t="b">
        <v>0</v>
      </c>
      <c r="Y180" s="45" t="b">
        <v>0</v>
      </c>
      <c r="Z180" s="45" t="b">
        <v>0</v>
      </c>
      <c r="AA180" s="45" t="b">
        <v>0</v>
      </c>
      <c r="AB180" s="45" t="b">
        <v>0</v>
      </c>
      <c r="AC180" s="45" t="b">
        <v>1</v>
      </c>
      <c r="AD180" s="45" t="b">
        <v>0</v>
      </c>
      <c r="AE180" s="45" t="b">
        <v>0</v>
      </c>
      <c r="AF180" s="45" t="s">
        <v>302</v>
      </c>
      <c r="AG180" s="45" t="b">
        <v>0</v>
      </c>
      <c r="AH180" s="45" t="b">
        <v>0</v>
      </c>
    </row>
    <row r="181" spans="22:34" x14ac:dyDescent="0.25">
      <c r="V181" t="s">
        <v>541</v>
      </c>
      <c r="W181" s="45" t="s">
        <v>323</v>
      </c>
      <c r="X181" s="45" t="b">
        <v>0</v>
      </c>
      <c r="Y181" s="45" t="b">
        <v>0</v>
      </c>
      <c r="Z181" s="45" t="b">
        <v>0</v>
      </c>
      <c r="AA181" s="45" t="b">
        <v>0</v>
      </c>
      <c r="AB181" s="45" t="b">
        <v>0</v>
      </c>
      <c r="AC181" s="45" t="b">
        <v>1</v>
      </c>
      <c r="AD181" s="45" t="b">
        <v>0</v>
      </c>
      <c r="AE181" s="45" t="b">
        <v>0</v>
      </c>
      <c r="AF181" s="45" t="s">
        <v>303</v>
      </c>
      <c r="AG181" s="45" t="b">
        <v>1</v>
      </c>
      <c r="AH181" s="45" t="b">
        <v>0</v>
      </c>
    </row>
    <row r="182" spans="22:34" x14ac:dyDescent="0.25">
      <c r="V182" t="s">
        <v>541</v>
      </c>
      <c r="W182" s="45" t="s">
        <v>323</v>
      </c>
      <c r="X182" s="45" t="b">
        <v>0</v>
      </c>
      <c r="Y182" s="45" t="b">
        <v>0</v>
      </c>
      <c r="Z182" s="45" t="b">
        <v>0</v>
      </c>
      <c r="AA182" s="45" t="b">
        <v>0</v>
      </c>
      <c r="AB182" s="45" t="b">
        <v>0</v>
      </c>
      <c r="AC182" s="45" t="b">
        <v>1</v>
      </c>
      <c r="AD182" s="45" t="b">
        <v>0</v>
      </c>
      <c r="AE182" s="45" t="b">
        <v>0</v>
      </c>
      <c r="AF182" s="45" t="s">
        <v>304</v>
      </c>
      <c r="AG182" s="45" t="b">
        <v>1</v>
      </c>
      <c r="AH182" s="45" t="b">
        <v>0</v>
      </c>
    </row>
    <row r="183" spans="22:34" x14ac:dyDescent="0.25">
      <c r="V183" t="s">
        <v>541</v>
      </c>
      <c r="W183" s="45" t="s">
        <v>323</v>
      </c>
      <c r="X183" s="45" t="b">
        <v>0</v>
      </c>
      <c r="Y183" s="45" t="b">
        <v>0</v>
      </c>
      <c r="Z183" s="45" t="b">
        <v>0</v>
      </c>
      <c r="AA183" s="45" t="b">
        <v>0</v>
      </c>
      <c r="AB183" s="45" t="b">
        <v>0</v>
      </c>
      <c r="AC183" s="45" t="b">
        <v>1</v>
      </c>
      <c r="AD183" s="45" t="b">
        <v>0</v>
      </c>
      <c r="AE183" s="45" t="b">
        <v>0</v>
      </c>
      <c r="AF183" s="45" t="s">
        <v>305</v>
      </c>
      <c r="AG183" s="45" t="b">
        <v>0</v>
      </c>
      <c r="AH183" s="45" t="b">
        <v>0</v>
      </c>
    </row>
    <row r="184" spans="22:34" x14ac:dyDescent="0.25">
      <c r="V184" t="s">
        <v>541</v>
      </c>
      <c r="W184" s="45" t="s">
        <v>323</v>
      </c>
      <c r="X184" s="45" t="b">
        <v>0</v>
      </c>
      <c r="Y184" s="45" t="b">
        <v>0</v>
      </c>
      <c r="Z184" s="45" t="b">
        <v>0</v>
      </c>
      <c r="AA184" s="45" t="b">
        <v>0</v>
      </c>
      <c r="AB184" s="45" t="b">
        <v>0</v>
      </c>
      <c r="AC184" s="45" t="b">
        <v>1</v>
      </c>
      <c r="AD184" s="45" t="b">
        <v>0</v>
      </c>
      <c r="AE184" s="45" t="b">
        <v>0</v>
      </c>
      <c r="AF184" s="45" t="s">
        <v>306</v>
      </c>
      <c r="AG184" s="45" t="b">
        <v>0</v>
      </c>
      <c r="AH184" s="45" t="b">
        <v>0</v>
      </c>
    </row>
    <row r="185" spans="22:34" x14ac:dyDescent="0.25">
      <c r="V185" t="s">
        <v>541</v>
      </c>
      <c r="W185" s="45" t="s">
        <v>323</v>
      </c>
      <c r="X185" s="45" t="b">
        <v>0</v>
      </c>
      <c r="Y185" s="45" t="b">
        <v>0</v>
      </c>
      <c r="Z185" s="45" t="b">
        <v>0</v>
      </c>
      <c r="AA185" s="45" t="b">
        <v>0</v>
      </c>
      <c r="AB185" s="45" t="b">
        <v>0</v>
      </c>
      <c r="AC185" s="45" t="b">
        <v>1</v>
      </c>
      <c r="AD185" s="45" t="b">
        <v>0</v>
      </c>
      <c r="AE185" s="45" t="b">
        <v>0</v>
      </c>
      <c r="AF185" s="45" t="s">
        <v>307</v>
      </c>
      <c r="AG185" s="45" t="b">
        <v>0</v>
      </c>
      <c r="AH185" s="45" t="b">
        <v>0</v>
      </c>
    </row>
    <row r="186" spans="22:34" x14ac:dyDescent="0.25">
      <c r="V186" t="s">
        <v>541</v>
      </c>
      <c r="W186" s="45" t="s">
        <v>323</v>
      </c>
      <c r="X186" s="45" t="b">
        <v>0</v>
      </c>
      <c r="Y186" s="45" t="b">
        <v>0</v>
      </c>
      <c r="Z186" s="45" t="b">
        <v>0</v>
      </c>
      <c r="AA186" s="45" t="b">
        <v>0</v>
      </c>
      <c r="AB186" s="45" t="b">
        <v>0</v>
      </c>
      <c r="AC186" s="45" t="b">
        <v>1</v>
      </c>
      <c r="AD186" s="45" t="b">
        <v>0</v>
      </c>
      <c r="AE186" s="45" t="b">
        <v>0</v>
      </c>
      <c r="AF186" s="45" t="s">
        <v>308</v>
      </c>
      <c r="AG186" s="45" t="b">
        <v>0</v>
      </c>
      <c r="AH186" s="45" t="b">
        <v>0</v>
      </c>
    </row>
    <row r="187" spans="22:34" x14ac:dyDescent="0.25">
      <c r="V187" t="s">
        <v>541</v>
      </c>
      <c r="W187" s="45" t="s">
        <v>323</v>
      </c>
      <c r="X187" s="45" t="b">
        <v>0</v>
      </c>
      <c r="Y187" s="45" t="b">
        <v>0</v>
      </c>
      <c r="Z187" s="45" t="b">
        <v>0</v>
      </c>
      <c r="AA187" s="45" t="b">
        <v>0</v>
      </c>
      <c r="AB187" s="45" t="b">
        <v>0</v>
      </c>
      <c r="AC187" s="45" t="b">
        <v>1</v>
      </c>
      <c r="AD187" s="45" t="b">
        <v>0</v>
      </c>
      <c r="AE187" s="45" t="b">
        <v>0</v>
      </c>
      <c r="AF187" s="45" t="s">
        <v>309</v>
      </c>
      <c r="AG187" s="45" t="b">
        <v>0</v>
      </c>
      <c r="AH187" s="45" t="b">
        <v>0</v>
      </c>
    </row>
    <row r="188" spans="22:34" x14ac:dyDescent="0.25">
      <c r="V188" t="s">
        <v>541</v>
      </c>
      <c r="W188" s="45" t="s">
        <v>323</v>
      </c>
      <c r="X188" s="45" t="b">
        <v>0</v>
      </c>
      <c r="Y188" s="45" t="b">
        <v>0</v>
      </c>
      <c r="Z188" s="45" t="b">
        <v>0</v>
      </c>
      <c r="AA188" s="45" t="b">
        <v>0</v>
      </c>
      <c r="AB188" s="45" t="b">
        <v>0</v>
      </c>
      <c r="AC188" s="45" t="b">
        <v>1</v>
      </c>
      <c r="AD188" s="45" t="b">
        <v>0</v>
      </c>
      <c r="AE188" s="45" t="b">
        <v>0</v>
      </c>
      <c r="AF188" s="45" t="s">
        <v>310</v>
      </c>
      <c r="AG188" s="45" t="b">
        <v>0</v>
      </c>
      <c r="AH188" s="45" t="b">
        <v>0</v>
      </c>
    </row>
    <row r="189" spans="22:34" x14ac:dyDescent="0.25">
      <c r="V189" t="s">
        <v>541</v>
      </c>
      <c r="W189" s="45" t="s">
        <v>323</v>
      </c>
      <c r="X189" s="45" t="b">
        <v>0</v>
      </c>
      <c r="Y189" s="45" t="b">
        <v>0</v>
      </c>
      <c r="Z189" s="45" t="b">
        <v>0</v>
      </c>
      <c r="AA189" s="45" t="b">
        <v>0</v>
      </c>
      <c r="AB189" s="45" t="b">
        <v>0</v>
      </c>
      <c r="AC189" s="45" t="b">
        <v>1</v>
      </c>
      <c r="AD189" s="45" t="b">
        <v>0</v>
      </c>
      <c r="AE189" s="45" t="b">
        <v>0</v>
      </c>
      <c r="AF189" s="45" t="s">
        <v>311</v>
      </c>
      <c r="AG189" s="45" t="b">
        <v>0</v>
      </c>
      <c r="AH189" s="45" t="b">
        <v>0</v>
      </c>
    </row>
    <row r="190" spans="22:34" x14ac:dyDescent="0.25">
      <c r="V190" t="s">
        <v>541</v>
      </c>
      <c r="W190" s="45" t="s">
        <v>323</v>
      </c>
      <c r="X190" s="45" t="b">
        <v>0</v>
      </c>
      <c r="Y190" s="45" t="b">
        <v>0</v>
      </c>
      <c r="Z190" s="45" t="b">
        <v>0</v>
      </c>
      <c r="AA190" s="45" t="b">
        <v>0</v>
      </c>
      <c r="AB190" s="45" t="b">
        <v>0</v>
      </c>
      <c r="AC190" s="45" t="b">
        <v>1</v>
      </c>
      <c r="AD190" s="45" t="b">
        <v>0</v>
      </c>
      <c r="AE190" s="45" t="b">
        <v>0</v>
      </c>
      <c r="AF190" s="45" t="s">
        <v>312</v>
      </c>
      <c r="AG190" s="45" t="b">
        <v>0</v>
      </c>
      <c r="AH190" s="45" t="b">
        <v>0</v>
      </c>
    </row>
    <row r="191" spans="22:34" x14ac:dyDescent="0.25">
      <c r="V191" t="s">
        <v>541</v>
      </c>
      <c r="W191" s="45" t="s">
        <v>323</v>
      </c>
      <c r="X191" s="45" t="b">
        <v>0</v>
      </c>
      <c r="Y191" s="45" t="b">
        <v>0</v>
      </c>
      <c r="Z191" s="45" t="b">
        <v>0</v>
      </c>
      <c r="AA191" s="45" t="b">
        <v>0</v>
      </c>
      <c r="AB191" s="45" t="b">
        <v>0</v>
      </c>
      <c r="AC191" s="45" t="b">
        <v>1</v>
      </c>
      <c r="AD191" s="45" t="b">
        <v>0</v>
      </c>
      <c r="AE191" s="45" t="b">
        <v>0</v>
      </c>
      <c r="AF191" s="45" t="s">
        <v>313</v>
      </c>
      <c r="AG191" s="45" t="b">
        <v>0</v>
      </c>
      <c r="AH191" s="45" t="b">
        <v>0</v>
      </c>
    </row>
    <row r="192" spans="22:34" x14ac:dyDescent="0.25">
      <c r="V192" t="s">
        <v>541</v>
      </c>
      <c r="W192" s="45" t="s">
        <v>323</v>
      </c>
      <c r="X192" s="45" t="b">
        <v>0</v>
      </c>
      <c r="Y192" s="45" t="b">
        <v>0</v>
      </c>
      <c r="Z192" s="45" t="b">
        <v>0</v>
      </c>
      <c r="AA192" s="45" t="b">
        <v>0</v>
      </c>
      <c r="AB192" s="45" t="b">
        <v>0</v>
      </c>
      <c r="AC192" s="45" t="b">
        <v>1</v>
      </c>
      <c r="AD192" s="45" t="b">
        <v>0</v>
      </c>
      <c r="AE192" s="45" t="b">
        <v>0</v>
      </c>
      <c r="AF192" s="45" t="s">
        <v>314</v>
      </c>
      <c r="AG192" s="45" t="b">
        <v>0</v>
      </c>
      <c r="AH192" s="45" t="b">
        <v>0</v>
      </c>
    </row>
    <row r="193" spans="22:34" x14ac:dyDescent="0.25">
      <c r="V193" t="s">
        <v>541</v>
      </c>
      <c r="W193" s="45" t="s">
        <v>323</v>
      </c>
      <c r="X193" s="45" t="b">
        <v>0</v>
      </c>
      <c r="Y193" s="45" t="b">
        <v>0</v>
      </c>
      <c r="Z193" s="45" t="b">
        <v>0</v>
      </c>
      <c r="AA193" s="45" t="b">
        <v>0</v>
      </c>
      <c r="AB193" s="45" t="b">
        <v>0</v>
      </c>
      <c r="AC193" s="45" t="b">
        <v>1</v>
      </c>
      <c r="AD193" s="45" t="b">
        <v>0</v>
      </c>
      <c r="AE193" s="45" t="b">
        <v>0</v>
      </c>
      <c r="AF193" s="45" t="s">
        <v>315</v>
      </c>
      <c r="AG193" s="45" t="b">
        <v>0</v>
      </c>
      <c r="AH193" s="45" t="b">
        <v>0</v>
      </c>
    </row>
    <row r="194" spans="22:34" x14ac:dyDescent="0.25">
      <c r="V194" t="s">
        <v>541</v>
      </c>
      <c r="W194" s="45" t="s">
        <v>323</v>
      </c>
      <c r="X194" s="45" t="b">
        <v>0</v>
      </c>
      <c r="Y194" s="45" t="b">
        <v>0</v>
      </c>
      <c r="Z194" s="45" t="b">
        <v>0</v>
      </c>
      <c r="AA194" s="45" t="b">
        <v>0</v>
      </c>
      <c r="AB194" s="45" t="b">
        <v>0</v>
      </c>
      <c r="AC194" s="45" t="b">
        <v>1</v>
      </c>
      <c r="AD194" s="45" t="b">
        <v>0</v>
      </c>
      <c r="AE194" s="45" t="b">
        <v>0</v>
      </c>
      <c r="AF194" s="45" t="s">
        <v>316</v>
      </c>
      <c r="AG194" s="45" t="b">
        <v>0</v>
      </c>
      <c r="AH194" s="45" t="b">
        <v>0</v>
      </c>
    </row>
    <row r="195" spans="22:34" x14ac:dyDescent="0.25">
      <c r="V195" t="s">
        <v>541</v>
      </c>
      <c r="W195" s="45" t="s">
        <v>323</v>
      </c>
      <c r="X195" s="45" t="b">
        <v>0</v>
      </c>
      <c r="Y195" s="45" t="b">
        <v>0</v>
      </c>
      <c r="Z195" s="45" t="b">
        <v>0</v>
      </c>
      <c r="AA195" s="45" t="b">
        <v>0</v>
      </c>
      <c r="AB195" s="45" t="b">
        <v>0</v>
      </c>
      <c r="AC195" s="45" t="b">
        <v>1</v>
      </c>
      <c r="AD195" s="45" t="b">
        <v>0</v>
      </c>
      <c r="AE195" s="45" t="b">
        <v>0</v>
      </c>
      <c r="AF195" s="45" t="s">
        <v>317</v>
      </c>
      <c r="AG195" s="45" t="b">
        <v>1</v>
      </c>
      <c r="AH195" s="45" t="b">
        <v>0</v>
      </c>
    </row>
    <row r="196" spans="22:34" x14ac:dyDescent="0.25">
      <c r="V196" t="s">
        <v>541</v>
      </c>
      <c r="W196" s="45" t="s">
        <v>323</v>
      </c>
      <c r="X196" s="45" t="b">
        <v>0</v>
      </c>
      <c r="Y196" s="45" t="b">
        <v>0</v>
      </c>
      <c r="Z196" s="45" t="b">
        <v>0</v>
      </c>
      <c r="AA196" s="45" t="b">
        <v>0</v>
      </c>
      <c r="AB196" s="45" t="b">
        <v>0</v>
      </c>
      <c r="AC196" s="45" t="b">
        <v>1</v>
      </c>
      <c r="AD196" s="45" t="b">
        <v>0</v>
      </c>
      <c r="AE196" s="45" t="b">
        <v>0</v>
      </c>
      <c r="AF196" s="45" t="s">
        <v>318</v>
      </c>
      <c r="AG196" s="45" t="b">
        <v>1</v>
      </c>
      <c r="AH196" s="45" t="b">
        <v>0</v>
      </c>
    </row>
    <row r="197" spans="22:34" x14ac:dyDescent="0.25">
      <c r="V197" t="s">
        <v>541</v>
      </c>
      <c r="W197" s="45" t="s">
        <v>323</v>
      </c>
      <c r="X197" s="45" t="b">
        <v>0</v>
      </c>
      <c r="Y197" s="45" t="b">
        <v>0</v>
      </c>
      <c r="Z197" s="45" t="b">
        <v>0</v>
      </c>
      <c r="AA197" s="45" t="b">
        <v>0</v>
      </c>
      <c r="AB197" s="45" t="b">
        <v>0</v>
      </c>
      <c r="AC197" s="45" t="b">
        <v>1</v>
      </c>
      <c r="AD197" s="45" t="b">
        <v>0</v>
      </c>
      <c r="AE197" s="45" t="b">
        <v>0</v>
      </c>
      <c r="AF197" s="45" t="s">
        <v>319</v>
      </c>
      <c r="AG197" s="45" t="b">
        <v>0</v>
      </c>
      <c r="AH197" s="45" t="b">
        <v>0</v>
      </c>
    </row>
    <row r="198" spans="22:34" x14ac:dyDescent="0.25">
      <c r="V198" t="s">
        <v>542</v>
      </c>
      <c r="W198" s="45" t="s">
        <v>324</v>
      </c>
      <c r="X198" s="45" t="b">
        <v>0</v>
      </c>
      <c r="Y198" s="45" t="b">
        <v>0</v>
      </c>
      <c r="Z198" s="45" t="b">
        <v>0</v>
      </c>
      <c r="AA198" s="45" t="b">
        <v>0</v>
      </c>
      <c r="AB198" s="45" t="b">
        <v>0</v>
      </c>
      <c r="AC198" s="45" t="b">
        <v>1</v>
      </c>
      <c r="AD198" s="45" t="b">
        <v>0</v>
      </c>
      <c r="AE198" s="45" t="b">
        <v>0</v>
      </c>
      <c r="AF198" s="45" t="s">
        <v>295</v>
      </c>
      <c r="AG198" s="45" t="b">
        <v>1</v>
      </c>
      <c r="AH198" s="45" t="b">
        <v>0</v>
      </c>
    </row>
    <row r="199" spans="22:34" x14ac:dyDescent="0.25">
      <c r="V199" t="s">
        <v>542</v>
      </c>
      <c r="W199" s="45" t="s">
        <v>324</v>
      </c>
      <c r="X199" s="45" t="b">
        <v>0</v>
      </c>
      <c r="Y199" s="45" t="b">
        <v>0</v>
      </c>
      <c r="Z199" s="45" t="b">
        <v>0</v>
      </c>
      <c r="AA199" s="45" t="b">
        <v>0</v>
      </c>
      <c r="AB199" s="45" t="b">
        <v>0</v>
      </c>
      <c r="AC199" s="45" t="b">
        <v>1</v>
      </c>
      <c r="AD199" s="45" t="b">
        <v>0</v>
      </c>
      <c r="AE199" s="45" t="b">
        <v>0</v>
      </c>
      <c r="AF199" s="45" t="s">
        <v>297</v>
      </c>
      <c r="AG199" s="45" t="b">
        <v>1</v>
      </c>
      <c r="AH199" s="45" t="b">
        <v>0</v>
      </c>
    </row>
    <row r="200" spans="22:34" x14ac:dyDescent="0.25">
      <c r="V200" t="s">
        <v>542</v>
      </c>
      <c r="W200" s="45" t="s">
        <v>324</v>
      </c>
      <c r="X200" s="45" t="b">
        <v>0</v>
      </c>
      <c r="Y200" s="45" t="b">
        <v>0</v>
      </c>
      <c r="Z200" s="45" t="b">
        <v>0</v>
      </c>
      <c r="AA200" s="45" t="b">
        <v>0</v>
      </c>
      <c r="AB200" s="45" t="b">
        <v>0</v>
      </c>
      <c r="AC200" s="45" t="b">
        <v>1</v>
      </c>
      <c r="AD200" s="45" t="b">
        <v>0</v>
      </c>
      <c r="AE200" s="45" t="b">
        <v>0</v>
      </c>
      <c r="AF200" s="45" t="s">
        <v>112</v>
      </c>
      <c r="AG200" s="45" t="b">
        <v>1</v>
      </c>
      <c r="AH200" s="45" t="b">
        <v>0</v>
      </c>
    </row>
    <row r="201" spans="22:34" x14ac:dyDescent="0.25">
      <c r="V201" t="s">
        <v>542</v>
      </c>
      <c r="W201" s="45" t="s">
        <v>324</v>
      </c>
      <c r="X201" s="45" t="b">
        <v>0</v>
      </c>
      <c r="Y201" s="45" t="b">
        <v>0</v>
      </c>
      <c r="Z201" s="45" t="b">
        <v>0</v>
      </c>
      <c r="AA201" s="45" t="b">
        <v>0</v>
      </c>
      <c r="AB201" s="45" t="b">
        <v>0</v>
      </c>
      <c r="AC201" s="45" t="b">
        <v>1</v>
      </c>
      <c r="AD201" s="45" t="b">
        <v>0</v>
      </c>
      <c r="AE201" s="45" t="b">
        <v>0</v>
      </c>
      <c r="AF201" s="45" t="s">
        <v>114</v>
      </c>
      <c r="AG201" s="45" t="b">
        <v>1</v>
      </c>
      <c r="AH201" s="45" t="b">
        <v>0</v>
      </c>
    </row>
    <row r="202" spans="22:34" x14ac:dyDescent="0.25">
      <c r="V202" t="s">
        <v>542</v>
      </c>
      <c r="W202" s="45" t="s">
        <v>324</v>
      </c>
      <c r="X202" s="45" t="b">
        <v>0</v>
      </c>
      <c r="Y202" s="45" t="b">
        <v>0</v>
      </c>
      <c r="Z202" s="45" t="b">
        <v>0</v>
      </c>
      <c r="AA202" s="45" t="b">
        <v>0</v>
      </c>
      <c r="AB202" s="45" t="b">
        <v>0</v>
      </c>
      <c r="AC202" s="45" t="b">
        <v>1</v>
      </c>
      <c r="AD202" s="45" t="b">
        <v>0</v>
      </c>
      <c r="AE202" s="45" t="b">
        <v>0</v>
      </c>
      <c r="AF202" s="45" t="s">
        <v>115</v>
      </c>
      <c r="AG202" s="45" t="b">
        <v>1</v>
      </c>
      <c r="AH202" s="45" t="b">
        <v>0</v>
      </c>
    </row>
    <row r="203" spans="22:34" x14ac:dyDescent="0.25">
      <c r="V203" t="s">
        <v>542</v>
      </c>
      <c r="W203" s="45" t="s">
        <v>324</v>
      </c>
      <c r="X203" s="45" t="b">
        <v>0</v>
      </c>
      <c r="Y203" s="45" t="b">
        <v>0</v>
      </c>
      <c r="Z203" s="45" t="b">
        <v>0</v>
      </c>
      <c r="AA203" s="45" t="b">
        <v>0</v>
      </c>
      <c r="AB203" s="45" t="b">
        <v>0</v>
      </c>
      <c r="AC203" s="45" t="b">
        <v>1</v>
      </c>
      <c r="AD203" s="45" t="b">
        <v>0</v>
      </c>
      <c r="AE203" s="45" t="b">
        <v>0</v>
      </c>
      <c r="AF203" s="45" t="s">
        <v>116</v>
      </c>
      <c r="AG203" s="45" t="b">
        <v>1</v>
      </c>
      <c r="AH203" s="45" t="b">
        <v>0</v>
      </c>
    </row>
    <row r="204" spans="22:34" x14ac:dyDescent="0.25">
      <c r="V204" t="s">
        <v>542</v>
      </c>
      <c r="W204" s="45" t="s">
        <v>324</v>
      </c>
      <c r="X204" s="45" t="b">
        <v>0</v>
      </c>
      <c r="Y204" s="45" t="b">
        <v>0</v>
      </c>
      <c r="Z204" s="45" t="b">
        <v>0</v>
      </c>
      <c r="AA204" s="45" t="b">
        <v>0</v>
      </c>
      <c r="AB204" s="45" t="b">
        <v>0</v>
      </c>
      <c r="AC204" s="45" t="b">
        <v>1</v>
      </c>
      <c r="AD204" s="45" t="b">
        <v>0</v>
      </c>
      <c r="AE204" s="45" t="b">
        <v>0</v>
      </c>
      <c r="AF204" s="45" t="s">
        <v>298</v>
      </c>
      <c r="AG204" s="45" t="b">
        <v>1</v>
      </c>
      <c r="AH204" s="45" t="b">
        <v>0</v>
      </c>
    </row>
    <row r="205" spans="22:34" x14ac:dyDescent="0.25">
      <c r="V205" t="s">
        <v>542</v>
      </c>
      <c r="W205" s="45" t="s">
        <v>324</v>
      </c>
      <c r="X205" s="45" t="b">
        <v>0</v>
      </c>
      <c r="Y205" s="45" t="b">
        <v>0</v>
      </c>
      <c r="Z205" s="45" t="b">
        <v>0</v>
      </c>
      <c r="AA205" s="45" t="b">
        <v>0</v>
      </c>
      <c r="AB205" s="45" t="b">
        <v>0</v>
      </c>
      <c r="AC205" s="45" t="b">
        <v>1</v>
      </c>
      <c r="AD205" s="45" t="b">
        <v>0</v>
      </c>
      <c r="AE205" s="45" t="b">
        <v>0</v>
      </c>
      <c r="AF205" s="45" t="s">
        <v>299</v>
      </c>
      <c r="AG205" s="45" t="b">
        <v>1</v>
      </c>
      <c r="AH205" s="45" t="b">
        <v>0</v>
      </c>
    </row>
    <row r="206" spans="22:34" x14ac:dyDescent="0.25">
      <c r="V206" t="s">
        <v>542</v>
      </c>
      <c r="W206" s="45" t="s">
        <v>324</v>
      </c>
      <c r="X206" s="45" t="b">
        <v>0</v>
      </c>
      <c r="Y206" s="45" t="b">
        <v>0</v>
      </c>
      <c r="Z206" s="45" t="b">
        <v>0</v>
      </c>
      <c r="AA206" s="45" t="b">
        <v>0</v>
      </c>
      <c r="AB206" s="45" t="b">
        <v>0</v>
      </c>
      <c r="AC206" s="45" t="b">
        <v>1</v>
      </c>
      <c r="AD206" s="45" t="b">
        <v>0</v>
      </c>
      <c r="AE206" s="45" t="b">
        <v>0</v>
      </c>
      <c r="AF206" s="45" t="s">
        <v>414</v>
      </c>
      <c r="AG206" s="45" t="b">
        <v>1</v>
      </c>
      <c r="AH206" s="45" t="b">
        <v>0</v>
      </c>
    </row>
    <row r="207" spans="22:34" x14ac:dyDescent="0.25">
      <c r="V207" t="s">
        <v>542</v>
      </c>
      <c r="W207" s="45" t="s">
        <v>324</v>
      </c>
      <c r="X207" s="45" t="b">
        <v>0</v>
      </c>
      <c r="Y207" s="45" t="b">
        <v>0</v>
      </c>
      <c r="Z207" s="45" t="b">
        <v>0</v>
      </c>
      <c r="AA207" s="45" t="b">
        <v>0</v>
      </c>
      <c r="AB207" s="45" t="b">
        <v>0</v>
      </c>
      <c r="AC207" s="45" t="b">
        <v>1</v>
      </c>
      <c r="AD207" s="45" t="b">
        <v>0</v>
      </c>
      <c r="AE207" s="45" t="b">
        <v>0</v>
      </c>
      <c r="AF207" s="45" t="s">
        <v>118</v>
      </c>
      <c r="AG207" s="45" t="b">
        <v>1</v>
      </c>
      <c r="AH207" s="45" t="b">
        <v>0</v>
      </c>
    </row>
    <row r="208" spans="22:34" x14ac:dyDescent="0.25">
      <c r="V208" t="s">
        <v>542</v>
      </c>
      <c r="W208" s="45" t="s">
        <v>324</v>
      </c>
      <c r="X208" s="45" t="b">
        <v>0</v>
      </c>
      <c r="Y208" s="45" t="b">
        <v>0</v>
      </c>
      <c r="Z208" s="45" t="b">
        <v>0</v>
      </c>
      <c r="AA208" s="45" t="b">
        <v>0</v>
      </c>
      <c r="AB208" s="45" t="b">
        <v>0</v>
      </c>
      <c r="AC208" s="45" t="b">
        <v>1</v>
      </c>
      <c r="AD208" s="45" t="b">
        <v>0</v>
      </c>
      <c r="AE208" s="45" t="b">
        <v>0</v>
      </c>
      <c r="AF208" s="45" t="s">
        <v>119</v>
      </c>
      <c r="AG208" s="45" t="b">
        <v>1</v>
      </c>
      <c r="AH208" s="45" t="b">
        <v>0</v>
      </c>
    </row>
    <row r="209" spans="22:34" x14ac:dyDescent="0.25">
      <c r="V209" t="s">
        <v>542</v>
      </c>
      <c r="W209" s="45" t="s">
        <v>324</v>
      </c>
      <c r="X209" s="45" t="b">
        <v>0</v>
      </c>
      <c r="Y209" s="45" t="b">
        <v>0</v>
      </c>
      <c r="Z209" s="45" t="b">
        <v>0</v>
      </c>
      <c r="AA209" s="45" t="b">
        <v>0</v>
      </c>
      <c r="AB209" s="45" t="b">
        <v>0</v>
      </c>
      <c r="AC209" s="45" t="b">
        <v>1</v>
      </c>
      <c r="AD209" s="45" t="b">
        <v>0</v>
      </c>
      <c r="AE209" s="45" t="b">
        <v>0</v>
      </c>
      <c r="AF209" s="45" t="s">
        <v>300</v>
      </c>
      <c r="AG209" s="45" t="b">
        <v>1</v>
      </c>
      <c r="AH209" s="45" t="b">
        <v>0</v>
      </c>
    </row>
    <row r="210" spans="22:34" x14ac:dyDescent="0.25">
      <c r="V210" t="s">
        <v>542</v>
      </c>
      <c r="W210" s="45" t="s">
        <v>324</v>
      </c>
      <c r="X210" s="45" t="b">
        <v>0</v>
      </c>
      <c r="Y210" s="45" t="b">
        <v>0</v>
      </c>
      <c r="Z210" s="45" t="b">
        <v>0</v>
      </c>
      <c r="AA210" s="45" t="b">
        <v>0</v>
      </c>
      <c r="AB210" s="45" t="b">
        <v>0</v>
      </c>
      <c r="AC210" s="45" t="b">
        <v>1</v>
      </c>
      <c r="AD210" s="45" t="b">
        <v>0</v>
      </c>
      <c r="AE210" s="45" t="b">
        <v>0</v>
      </c>
      <c r="AF210" s="45" t="s">
        <v>301</v>
      </c>
      <c r="AG210" s="45" t="b">
        <v>1</v>
      </c>
      <c r="AH210" s="45" t="b">
        <v>0</v>
      </c>
    </row>
    <row r="211" spans="22:34" x14ac:dyDescent="0.25">
      <c r="V211" t="s">
        <v>542</v>
      </c>
      <c r="W211" s="45" t="s">
        <v>324</v>
      </c>
      <c r="X211" s="45" t="b">
        <v>0</v>
      </c>
      <c r="Y211" s="45" t="b">
        <v>0</v>
      </c>
      <c r="Z211" s="45" t="b">
        <v>0</v>
      </c>
      <c r="AA211" s="45" t="b">
        <v>0</v>
      </c>
      <c r="AB211" s="45" t="b">
        <v>0</v>
      </c>
      <c r="AC211" s="45" t="b">
        <v>1</v>
      </c>
      <c r="AD211" s="45" t="b">
        <v>0</v>
      </c>
      <c r="AE211" s="45" t="b">
        <v>0</v>
      </c>
      <c r="AF211" s="45" t="s">
        <v>120</v>
      </c>
      <c r="AG211" s="45" t="b">
        <v>1</v>
      </c>
      <c r="AH211" s="45" t="b">
        <v>0</v>
      </c>
    </row>
    <row r="212" spans="22:34" x14ac:dyDescent="0.25">
      <c r="V212" t="s">
        <v>542</v>
      </c>
      <c r="W212" s="45" t="s">
        <v>324</v>
      </c>
      <c r="X212" s="45" t="b">
        <v>0</v>
      </c>
      <c r="Y212" s="45" t="b">
        <v>0</v>
      </c>
      <c r="Z212" s="45" t="b">
        <v>0</v>
      </c>
      <c r="AA212" s="45" t="b">
        <v>0</v>
      </c>
      <c r="AB212" s="45" t="b">
        <v>0</v>
      </c>
      <c r="AC212" s="45" t="b">
        <v>1</v>
      </c>
      <c r="AD212" s="45" t="b">
        <v>0</v>
      </c>
      <c r="AE212" s="45" t="b">
        <v>0</v>
      </c>
      <c r="AF212" s="45" t="s">
        <v>302</v>
      </c>
      <c r="AG212" s="45" t="b">
        <v>1</v>
      </c>
      <c r="AH212" s="45" t="b">
        <v>0</v>
      </c>
    </row>
    <row r="213" spans="22:34" x14ac:dyDescent="0.25">
      <c r="V213" t="s">
        <v>542</v>
      </c>
      <c r="W213" s="45" t="s">
        <v>324</v>
      </c>
      <c r="X213" s="45" t="b">
        <v>0</v>
      </c>
      <c r="Y213" s="45" t="b">
        <v>0</v>
      </c>
      <c r="Z213" s="45" t="b">
        <v>0</v>
      </c>
      <c r="AA213" s="45" t="b">
        <v>0</v>
      </c>
      <c r="AB213" s="45" t="b">
        <v>0</v>
      </c>
      <c r="AC213" s="45" t="b">
        <v>1</v>
      </c>
      <c r="AD213" s="45" t="b">
        <v>0</v>
      </c>
      <c r="AE213" s="45" t="b">
        <v>0</v>
      </c>
      <c r="AF213" s="45" t="s">
        <v>303</v>
      </c>
      <c r="AG213" s="45" t="b">
        <v>1</v>
      </c>
      <c r="AH213" s="45" t="b">
        <v>0</v>
      </c>
    </row>
    <row r="214" spans="22:34" x14ac:dyDescent="0.25">
      <c r="V214" t="s">
        <v>542</v>
      </c>
      <c r="W214" s="45" t="s">
        <v>324</v>
      </c>
      <c r="X214" s="45" t="b">
        <v>0</v>
      </c>
      <c r="Y214" s="45" t="b">
        <v>0</v>
      </c>
      <c r="Z214" s="45" t="b">
        <v>0</v>
      </c>
      <c r="AA214" s="45" t="b">
        <v>0</v>
      </c>
      <c r="AB214" s="45" t="b">
        <v>0</v>
      </c>
      <c r="AC214" s="45" t="b">
        <v>1</v>
      </c>
      <c r="AD214" s="45" t="b">
        <v>0</v>
      </c>
      <c r="AE214" s="45" t="b">
        <v>0</v>
      </c>
      <c r="AF214" s="45" t="s">
        <v>304</v>
      </c>
      <c r="AG214" s="45" t="b">
        <v>1</v>
      </c>
      <c r="AH214" s="45" t="b">
        <v>0</v>
      </c>
    </row>
    <row r="215" spans="22:34" x14ac:dyDescent="0.25">
      <c r="V215" t="s">
        <v>542</v>
      </c>
      <c r="W215" s="45" t="s">
        <v>324</v>
      </c>
      <c r="X215" s="45" t="b">
        <v>0</v>
      </c>
      <c r="Y215" s="45" t="b">
        <v>0</v>
      </c>
      <c r="Z215" s="45" t="b">
        <v>0</v>
      </c>
      <c r="AA215" s="45" t="b">
        <v>0</v>
      </c>
      <c r="AB215" s="45" t="b">
        <v>0</v>
      </c>
      <c r="AC215" s="45" t="b">
        <v>1</v>
      </c>
      <c r="AD215" s="45" t="b">
        <v>0</v>
      </c>
      <c r="AE215" s="45" t="b">
        <v>0</v>
      </c>
      <c r="AF215" s="45" t="s">
        <v>305</v>
      </c>
      <c r="AG215" s="45" t="b">
        <v>1</v>
      </c>
      <c r="AH215" s="45" t="b">
        <v>0</v>
      </c>
    </row>
    <row r="216" spans="22:34" x14ac:dyDescent="0.25">
      <c r="V216" t="s">
        <v>542</v>
      </c>
      <c r="W216" s="45" t="s">
        <v>324</v>
      </c>
      <c r="X216" s="45" t="b">
        <v>0</v>
      </c>
      <c r="Y216" s="45" t="b">
        <v>0</v>
      </c>
      <c r="Z216" s="45" t="b">
        <v>0</v>
      </c>
      <c r="AA216" s="45" t="b">
        <v>0</v>
      </c>
      <c r="AB216" s="45" t="b">
        <v>0</v>
      </c>
      <c r="AC216" s="45" t="b">
        <v>1</v>
      </c>
      <c r="AD216" s="45" t="b">
        <v>0</v>
      </c>
      <c r="AE216" s="45" t="b">
        <v>0</v>
      </c>
      <c r="AF216" s="45" t="s">
        <v>306</v>
      </c>
      <c r="AG216" s="45" t="b">
        <v>1</v>
      </c>
      <c r="AH216" s="45" t="b">
        <v>0</v>
      </c>
    </row>
    <row r="217" spans="22:34" x14ac:dyDescent="0.25">
      <c r="V217" t="s">
        <v>542</v>
      </c>
      <c r="W217" s="45" t="s">
        <v>324</v>
      </c>
      <c r="X217" s="45" t="b">
        <v>0</v>
      </c>
      <c r="Y217" s="45" t="b">
        <v>0</v>
      </c>
      <c r="Z217" s="45" t="b">
        <v>0</v>
      </c>
      <c r="AA217" s="45" t="b">
        <v>0</v>
      </c>
      <c r="AB217" s="45" t="b">
        <v>0</v>
      </c>
      <c r="AC217" s="45" t="b">
        <v>1</v>
      </c>
      <c r="AD217" s="45" t="b">
        <v>0</v>
      </c>
      <c r="AE217" s="45" t="b">
        <v>0</v>
      </c>
      <c r="AF217" s="45" t="s">
        <v>307</v>
      </c>
      <c r="AG217" s="45" t="b">
        <v>1</v>
      </c>
      <c r="AH217" s="45" t="b">
        <v>0</v>
      </c>
    </row>
    <row r="218" spans="22:34" x14ac:dyDescent="0.25">
      <c r="V218" t="s">
        <v>542</v>
      </c>
      <c r="W218" s="45" t="s">
        <v>324</v>
      </c>
      <c r="X218" s="45" t="b">
        <v>0</v>
      </c>
      <c r="Y218" s="45" t="b">
        <v>0</v>
      </c>
      <c r="Z218" s="45" t="b">
        <v>0</v>
      </c>
      <c r="AA218" s="45" t="b">
        <v>0</v>
      </c>
      <c r="AB218" s="45" t="b">
        <v>0</v>
      </c>
      <c r="AC218" s="45" t="b">
        <v>1</v>
      </c>
      <c r="AD218" s="45" t="b">
        <v>0</v>
      </c>
      <c r="AE218" s="45" t="b">
        <v>0</v>
      </c>
      <c r="AF218" s="45" t="s">
        <v>308</v>
      </c>
      <c r="AG218" s="45" t="b">
        <v>1</v>
      </c>
      <c r="AH218" s="45" t="b">
        <v>0</v>
      </c>
    </row>
    <row r="219" spans="22:34" x14ac:dyDescent="0.25">
      <c r="V219" t="s">
        <v>542</v>
      </c>
      <c r="W219" s="45" t="s">
        <v>324</v>
      </c>
      <c r="X219" s="45" t="b">
        <v>0</v>
      </c>
      <c r="Y219" s="45" t="b">
        <v>0</v>
      </c>
      <c r="Z219" s="45" t="b">
        <v>0</v>
      </c>
      <c r="AA219" s="45" t="b">
        <v>0</v>
      </c>
      <c r="AB219" s="45" t="b">
        <v>0</v>
      </c>
      <c r="AC219" s="45" t="b">
        <v>1</v>
      </c>
      <c r="AD219" s="45" t="b">
        <v>0</v>
      </c>
      <c r="AE219" s="45" t="b">
        <v>0</v>
      </c>
      <c r="AF219" s="45" t="s">
        <v>309</v>
      </c>
      <c r="AG219" s="45" t="b">
        <v>1</v>
      </c>
      <c r="AH219" s="45" t="b">
        <v>0</v>
      </c>
    </row>
    <row r="220" spans="22:34" x14ac:dyDescent="0.25">
      <c r="V220" t="s">
        <v>542</v>
      </c>
      <c r="W220" s="45" t="s">
        <v>324</v>
      </c>
      <c r="X220" s="45" t="b">
        <v>0</v>
      </c>
      <c r="Y220" s="45" t="b">
        <v>0</v>
      </c>
      <c r="Z220" s="45" t="b">
        <v>0</v>
      </c>
      <c r="AA220" s="45" t="b">
        <v>0</v>
      </c>
      <c r="AB220" s="45" t="b">
        <v>0</v>
      </c>
      <c r="AC220" s="45" t="b">
        <v>1</v>
      </c>
      <c r="AD220" s="45" t="b">
        <v>0</v>
      </c>
      <c r="AE220" s="45" t="b">
        <v>0</v>
      </c>
      <c r="AF220" s="45" t="s">
        <v>310</v>
      </c>
      <c r="AG220" s="45" t="b">
        <v>1</v>
      </c>
      <c r="AH220" s="45" t="b">
        <v>0</v>
      </c>
    </row>
    <row r="221" spans="22:34" x14ac:dyDescent="0.25">
      <c r="V221" t="s">
        <v>542</v>
      </c>
      <c r="W221" s="45" t="s">
        <v>324</v>
      </c>
      <c r="X221" s="45" t="b">
        <v>0</v>
      </c>
      <c r="Y221" s="45" t="b">
        <v>0</v>
      </c>
      <c r="Z221" s="45" t="b">
        <v>0</v>
      </c>
      <c r="AA221" s="45" t="b">
        <v>0</v>
      </c>
      <c r="AB221" s="45" t="b">
        <v>0</v>
      </c>
      <c r="AC221" s="45" t="b">
        <v>1</v>
      </c>
      <c r="AD221" s="45" t="b">
        <v>0</v>
      </c>
      <c r="AE221" s="45" t="b">
        <v>0</v>
      </c>
      <c r="AF221" s="45" t="s">
        <v>311</v>
      </c>
      <c r="AG221" s="45" t="b">
        <v>1</v>
      </c>
      <c r="AH221" s="45" t="b">
        <v>0</v>
      </c>
    </row>
    <row r="222" spans="22:34" x14ac:dyDescent="0.25">
      <c r="V222" t="s">
        <v>542</v>
      </c>
      <c r="W222" s="45" t="s">
        <v>324</v>
      </c>
      <c r="X222" s="45" t="b">
        <v>0</v>
      </c>
      <c r="Y222" s="45" t="b">
        <v>0</v>
      </c>
      <c r="Z222" s="45" t="b">
        <v>0</v>
      </c>
      <c r="AA222" s="45" t="b">
        <v>0</v>
      </c>
      <c r="AB222" s="45" t="b">
        <v>0</v>
      </c>
      <c r="AC222" s="45" t="b">
        <v>1</v>
      </c>
      <c r="AD222" s="45" t="b">
        <v>0</v>
      </c>
      <c r="AE222" s="45" t="b">
        <v>0</v>
      </c>
      <c r="AF222" s="45" t="s">
        <v>312</v>
      </c>
      <c r="AG222" s="45" t="b">
        <v>1</v>
      </c>
      <c r="AH222" s="45" t="b">
        <v>0</v>
      </c>
    </row>
    <row r="223" spans="22:34" x14ac:dyDescent="0.25">
      <c r="V223" t="s">
        <v>542</v>
      </c>
      <c r="W223" s="45" t="s">
        <v>324</v>
      </c>
      <c r="X223" s="45" t="b">
        <v>0</v>
      </c>
      <c r="Y223" s="45" t="b">
        <v>0</v>
      </c>
      <c r="Z223" s="45" t="b">
        <v>0</v>
      </c>
      <c r="AA223" s="45" t="b">
        <v>0</v>
      </c>
      <c r="AB223" s="45" t="b">
        <v>0</v>
      </c>
      <c r="AC223" s="45" t="b">
        <v>1</v>
      </c>
      <c r="AD223" s="45" t="b">
        <v>0</v>
      </c>
      <c r="AE223" s="45" t="b">
        <v>0</v>
      </c>
      <c r="AF223" s="45" t="s">
        <v>313</v>
      </c>
      <c r="AG223" s="45" t="b">
        <v>1</v>
      </c>
      <c r="AH223" s="45" t="b">
        <v>0</v>
      </c>
    </row>
    <row r="224" spans="22:34" x14ac:dyDescent="0.25">
      <c r="V224" t="s">
        <v>542</v>
      </c>
      <c r="W224" s="45" t="s">
        <v>324</v>
      </c>
      <c r="X224" s="45" t="b">
        <v>0</v>
      </c>
      <c r="Y224" s="45" t="b">
        <v>0</v>
      </c>
      <c r="Z224" s="45" t="b">
        <v>0</v>
      </c>
      <c r="AA224" s="45" t="b">
        <v>0</v>
      </c>
      <c r="AB224" s="45" t="b">
        <v>0</v>
      </c>
      <c r="AC224" s="45" t="b">
        <v>1</v>
      </c>
      <c r="AD224" s="45" t="b">
        <v>0</v>
      </c>
      <c r="AE224" s="45" t="b">
        <v>0</v>
      </c>
      <c r="AF224" s="45" t="s">
        <v>314</v>
      </c>
      <c r="AG224" s="45" t="b">
        <v>1</v>
      </c>
      <c r="AH224" s="45" t="b">
        <v>0</v>
      </c>
    </row>
    <row r="225" spans="22:34" x14ac:dyDescent="0.25">
      <c r="V225" t="s">
        <v>542</v>
      </c>
      <c r="W225" s="45" t="s">
        <v>324</v>
      </c>
      <c r="X225" s="45" t="b">
        <v>0</v>
      </c>
      <c r="Y225" s="45" t="b">
        <v>0</v>
      </c>
      <c r="Z225" s="45" t="b">
        <v>0</v>
      </c>
      <c r="AA225" s="45" t="b">
        <v>0</v>
      </c>
      <c r="AB225" s="45" t="b">
        <v>0</v>
      </c>
      <c r="AC225" s="45" t="b">
        <v>1</v>
      </c>
      <c r="AD225" s="45" t="b">
        <v>0</v>
      </c>
      <c r="AE225" s="45" t="b">
        <v>0</v>
      </c>
      <c r="AF225" s="45" t="s">
        <v>315</v>
      </c>
      <c r="AG225" s="45" t="b">
        <v>1</v>
      </c>
      <c r="AH225" s="45" t="b">
        <v>0</v>
      </c>
    </row>
    <row r="226" spans="22:34" x14ac:dyDescent="0.25">
      <c r="V226" t="s">
        <v>542</v>
      </c>
      <c r="W226" s="45" t="s">
        <v>324</v>
      </c>
      <c r="X226" s="45" t="b">
        <v>0</v>
      </c>
      <c r="Y226" s="45" t="b">
        <v>0</v>
      </c>
      <c r="Z226" s="45" t="b">
        <v>0</v>
      </c>
      <c r="AA226" s="45" t="b">
        <v>0</v>
      </c>
      <c r="AB226" s="45" t="b">
        <v>0</v>
      </c>
      <c r="AC226" s="45" t="b">
        <v>1</v>
      </c>
      <c r="AD226" s="45" t="b">
        <v>0</v>
      </c>
      <c r="AE226" s="45" t="b">
        <v>0</v>
      </c>
      <c r="AF226" s="45" t="s">
        <v>316</v>
      </c>
      <c r="AG226" s="45" t="b">
        <v>1</v>
      </c>
      <c r="AH226" s="45" t="b">
        <v>0</v>
      </c>
    </row>
    <row r="227" spans="22:34" x14ac:dyDescent="0.25">
      <c r="V227" t="s">
        <v>542</v>
      </c>
      <c r="W227" s="45" t="s">
        <v>324</v>
      </c>
      <c r="X227" s="45" t="b">
        <v>0</v>
      </c>
      <c r="Y227" s="45" t="b">
        <v>0</v>
      </c>
      <c r="Z227" s="45" t="b">
        <v>0</v>
      </c>
      <c r="AA227" s="45" t="b">
        <v>0</v>
      </c>
      <c r="AB227" s="45" t="b">
        <v>0</v>
      </c>
      <c r="AC227" s="45" t="b">
        <v>1</v>
      </c>
      <c r="AD227" s="45" t="b">
        <v>0</v>
      </c>
      <c r="AE227" s="45" t="b">
        <v>0</v>
      </c>
      <c r="AF227" s="45" t="s">
        <v>317</v>
      </c>
      <c r="AG227" s="45" t="b">
        <v>1</v>
      </c>
      <c r="AH227" s="45" t="b">
        <v>0</v>
      </c>
    </row>
    <row r="228" spans="22:34" x14ac:dyDescent="0.25">
      <c r="V228" t="s">
        <v>542</v>
      </c>
      <c r="W228" s="45" t="s">
        <v>324</v>
      </c>
      <c r="X228" s="45" t="b">
        <v>0</v>
      </c>
      <c r="Y228" s="45" t="b">
        <v>0</v>
      </c>
      <c r="Z228" s="45" t="b">
        <v>0</v>
      </c>
      <c r="AA228" s="45" t="b">
        <v>0</v>
      </c>
      <c r="AB228" s="45" t="b">
        <v>0</v>
      </c>
      <c r="AC228" s="45" t="b">
        <v>1</v>
      </c>
      <c r="AD228" s="45" t="b">
        <v>0</v>
      </c>
      <c r="AE228" s="45" t="b">
        <v>0</v>
      </c>
      <c r="AF228" s="45" t="s">
        <v>318</v>
      </c>
      <c r="AG228" s="45" t="b">
        <v>1</v>
      </c>
      <c r="AH228" s="45" t="b">
        <v>0</v>
      </c>
    </row>
    <row r="229" spans="22:34" x14ac:dyDescent="0.25">
      <c r="V229" t="s">
        <v>542</v>
      </c>
      <c r="W229" s="45" t="s">
        <v>324</v>
      </c>
      <c r="X229" s="45" t="b">
        <v>0</v>
      </c>
      <c r="Y229" s="45" t="b">
        <v>0</v>
      </c>
      <c r="Z229" s="45" t="b">
        <v>0</v>
      </c>
      <c r="AA229" s="45" t="b">
        <v>0</v>
      </c>
      <c r="AB229" s="45" t="b">
        <v>0</v>
      </c>
      <c r="AC229" s="45" t="b">
        <v>1</v>
      </c>
      <c r="AD229" s="45" t="b">
        <v>0</v>
      </c>
      <c r="AE229" s="45" t="b">
        <v>0</v>
      </c>
      <c r="AF229" s="45" t="s">
        <v>319</v>
      </c>
      <c r="AG229" s="45" t="b">
        <v>1</v>
      </c>
      <c r="AH229" s="45" t="b">
        <v>0</v>
      </c>
    </row>
    <row r="230" spans="22:34" x14ac:dyDescent="0.25">
      <c r="V230" t="s">
        <v>177</v>
      </c>
      <c r="W230" s="45" t="s">
        <v>325</v>
      </c>
      <c r="X230" s="45" t="b">
        <v>1</v>
      </c>
      <c r="Y230" s="45" t="b">
        <v>1</v>
      </c>
      <c r="Z230" s="45" t="b">
        <v>1</v>
      </c>
      <c r="AA230" s="45" t="b">
        <v>0</v>
      </c>
      <c r="AB230" s="45" t="b">
        <v>1</v>
      </c>
      <c r="AC230" s="45" t="b">
        <v>1</v>
      </c>
      <c r="AD230" s="45" t="b">
        <v>1</v>
      </c>
      <c r="AE230" s="45" t="b">
        <v>1</v>
      </c>
      <c r="AF230" s="45" t="s">
        <v>295</v>
      </c>
      <c r="AG230" s="45" t="b">
        <v>1</v>
      </c>
      <c r="AH230" s="45" t="b">
        <v>1</v>
      </c>
    </row>
    <row r="231" spans="22:34" x14ac:dyDescent="0.25">
      <c r="V231" t="s">
        <v>177</v>
      </c>
      <c r="W231" s="45" t="s">
        <v>325</v>
      </c>
      <c r="X231" s="45" t="b">
        <v>1</v>
      </c>
      <c r="Y231" s="45" t="b">
        <v>1</v>
      </c>
      <c r="Z231" s="45" t="b">
        <v>1</v>
      </c>
      <c r="AA231" s="45" t="b">
        <v>0</v>
      </c>
      <c r="AB231" s="45" t="b">
        <v>1</v>
      </c>
      <c r="AC231" s="45" t="b">
        <v>1</v>
      </c>
      <c r="AD231" s="45" t="b">
        <v>1</v>
      </c>
      <c r="AE231" s="45" t="b">
        <v>1</v>
      </c>
      <c r="AF231" s="45" t="s">
        <v>297</v>
      </c>
      <c r="AG231" s="45" t="b">
        <v>1</v>
      </c>
      <c r="AH231" s="45" t="b">
        <v>1</v>
      </c>
    </row>
    <row r="232" spans="22:34" x14ac:dyDescent="0.25">
      <c r="V232" t="s">
        <v>177</v>
      </c>
      <c r="W232" s="45" t="s">
        <v>325</v>
      </c>
      <c r="X232" s="45" t="b">
        <v>1</v>
      </c>
      <c r="Y232" s="45" t="b">
        <v>1</v>
      </c>
      <c r="Z232" s="45" t="b">
        <v>1</v>
      </c>
      <c r="AA232" s="45" t="b">
        <v>0</v>
      </c>
      <c r="AB232" s="45" t="b">
        <v>1</v>
      </c>
      <c r="AC232" s="45" t="b">
        <v>1</v>
      </c>
      <c r="AD232" s="45" t="b">
        <v>1</v>
      </c>
      <c r="AE232" s="45" t="b">
        <v>1</v>
      </c>
      <c r="AF232" s="45" t="s">
        <v>112</v>
      </c>
      <c r="AG232" s="45" t="b">
        <v>1</v>
      </c>
      <c r="AH232" s="45" t="b">
        <v>1</v>
      </c>
    </row>
    <row r="233" spans="22:34" x14ac:dyDescent="0.25">
      <c r="V233" t="s">
        <v>177</v>
      </c>
      <c r="W233" s="45" t="s">
        <v>325</v>
      </c>
      <c r="X233" s="45" t="b">
        <v>1</v>
      </c>
      <c r="Y233" s="45" t="b">
        <v>1</v>
      </c>
      <c r="Z233" s="45" t="b">
        <v>1</v>
      </c>
      <c r="AA233" s="45" t="b">
        <v>0</v>
      </c>
      <c r="AB233" s="45" t="b">
        <v>1</v>
      </c>
      <c r="AC233" s="45" t="b">
        <v>1</v>
      </c>
      <c r="AD233" s="45" t="b">
        <v>1</v>
      </c>
      <c r="AE233" s="45" t="b">
        <v>1</v>
      </c>
      <c r="AF233" s="45" t="s">
        <v>114</v>
      </c>
      <c r="AG233" s="45" t="b">
        <v>1</v>
      </c>
      <c r="AH233" s="45" t="b">
        <v>1</v>
      </c>
    </row>
    <row r="234" spans="22:34" x14ac:dyDescent="0.25">
      <c r="V234" t="s">
        <v>177</v>
      </c>
      <c r="W234" s="45" t="s">
        <v>325</v>
      </c>
      <c r="X234" s="45" t="b">
        <v>1</v>
      </c>
      <c r="Y234" s="45" t="b">
        <v>1</v>
      </c>
      <c r="Z234" s="45" t="b">
        <v>1</v>
      </c>
      <c r="AA234" s="45" t="b">
        <v>0</v>
      </c>
      <c r="AB234" s="45" t="b">
        <v>1</v>
      </c>
      <c r="AC234" s="45" t="b">
        <v>1</v>
      </c>
      <c r="AD234" s="45" t="b">
        <v>1</v>
      </c>
      <c r="AE234" s="45" t="b">
        <v>1</v>
      </c>
      <c r="AF234" s="45" t="s">
        <v>115</v>
      </c>
      <c r="AG234" s="45" t="b">
        <v>1</v>
      </c>
      <c r="AH234" s="45" t="b">
        <v>1</v>
      </c>
    </row>
    <row r="235" spans="22:34" x14ac:dyDescent="0.25">
      <c r="V235" t="s">
        <v>177</v>
      </c>
      <c r="W235" s="45" t="s">
        <v>325</v>
      </c>
      <c r="X235" s="45" t="b">
        <v>1</v>
      </c>
      <c r="Y235" s="45" t="b">
        <v>1</v>
      </c>
      <c r="Z235" s="45" t="b">
        <v>1</v>
      </c>
      <c r="AA235" s="45" t="b">
        <v>0</v>
      </c>
      <c r="AB235" s="45" t="b">
        <v>1</v>
      </c>
      <c r="AC235" s="45" t="b">
        <v>1</v>
      </c>
      <c r="AD235" s="45" t="b">
        <v>1</v>
      </c>
      <c r="AE235" s="45" t="b">
        <v>1</v>
      </c>
      <c r="AF235" s="45" t="s">
        <v>116</v>
      </c>
      <c r="AG235" s="45" t="b">
        <v>1</v>
      </c>
      <c r="AH235" s="45" t="b">
        <v>1</v>
      </c>
    </row>
    <row r="236" spans="22:34" x14ac:dyDescent="0.25">
      <c r="V236" t="s">
        <v>177</v>
      </c>
      <c r="W236" s="45" t="s">
        <v>325</v>
      </c>
      <c r="X236" s="45" t="b">
        <v>1</v>
      </c>
      <c r="Y236" s="45" t="b">
        <v>1</v>
      </c>
      <c r="Z236" s="45" t="b">
        <v>1</v>
      </c>
      <c r="AA236" s="45" t="b">
        <v>0</v>
      </c>
      <c r="AB236" s="45" t="b">
        <v>1</v>
      </c>
      <c r="AC236" s="45" t="b">
        <v>1</v>
      </c>
      <c r="AD236" s="45" t="b">
        <v>1</v>
      </c>
      <c r="AE236" s="45" t="b">
        <v>1</v>
      </c>
      <c r="AF236" s="45" t="s">
        <v>298</v>
      </c>
      <c r="AG236" s="45" t="b">
        <v>1</v>
      </c>
      <c r="AH236" s="45" t="b">
        <v>1</v>
      </c>
    </row>
    <row r="237" spans="22:34" x14ac:dyDescent="0.25">
      <c r="V237" t="s">
        <v>177</v>
      </c>
      <c r="W237" s="45" t="s">
        <v>325</v>
      </c>
      <c r="X237" s="45" t="b">
        <v>1</v>
      </c>
      <c r="Y237" s="45" t="b">
        <v>1</v>
      </c>
      <c r="Z237" s="45" t="b">
        <v>1</v>
      </c>
      <c r="AA237" s="45" t="b">
        <v>0</v>
      </c>
      <c r="AB237" s="45" t="b">
        <v>1</v>
      </c>
      <c r="AC237" s="45" t="b">
        <v>1</v>
      </c>
      <c r="AD237" s="45" t="b">
        <v>1</v>
      </c>
      <c r="AE237" s="45" t="b">
        <v>1</v>
      </c>
      <c r="AF237" s="45" t="s">
        <v>299</v>
      </c>
      <c r="AG237" s="45" t="b">
        <v>1</v>
      </c>
      <c r="AH237" s="45" t="b">
        <v>1</v>
      </c>
    </row>
    <row r="238" spans="22:34" x14ac:dyDescent="0.25">
      <c r="V238" t="s">
        <v>177</v>
      </c>
      <c r="W238" s="45" t="s">
        <v>325</v>
      </c>
      <c r="X238" s="45" t="b">
        <v>1</v>
      </c>
      <c r="Y238" s="45" t="b">
        <v>1</v>
      </c>
      <c r="Z238" s="45" t="b">
        <v>1</v>
      </c>
      <c r="AA238" s="45" t="b">
        <v>0</v>
      </c>
      <c r="AB238" s="45" t="b">
        <v>1</v>
      </c>
      <c r="AC238" s="45" t="b">
        <v>1</v>
      </c>
      <c r="AD238" s="45" t="b">
        <v>1</v>
      </c>
      <c r="AE238" s="45" t="b">
        <v>1</v>
      </c>
      <c r="AF238" s="45" t="s">
        <v>414</v>
      </c>
      <c r="AG238" s="45" t="b">
        <v>1</v>
      </c>
      <c r="AH238" s="45" t="b">
        <v>1</v>
      </c>
    </row>
    <row r="239" spans="22:34" x14ac:dyDescent="0.25">
      <c r="V239" t="s">
        <v>177</v>
      </c>
      <c r="W239" s="45" t="s">
        <v>325</v>
      </c>
      <c r="X239" s="45" t="b">
        <v>1</v>
      </c>
      <c r="Y239" s="45" t="b">
        <v>1</v>
      </c>
      <c r="Z239" s="45" t="b">
        <v>1</v>
      </c>
      <c r="AA239" s="45" t="b">
        <v>0</v>
      </c>
      <c r="AB239" s="45" t="b">
        <v>1</v>
      </c>
      <c r="AC239" s="45" t="b">
        <v>1</v>
      </c>
      <c r="AD239" s="45" t="b">
        <v>1</v>
      </c>
      <c r="AE239" s="45" t="b">
        <v>1</v>
      </c>
      <c r="AF239" s="45" t="s">
        <v>118</v>
      </c>
      <c r="AG239" s="45" t="b">
        <v>1</v>
      </c>
      <c r="AH239" s="45" t="b">
        <v>1</v>
      </c>
    </row>
    <row r="240" spans="22:34" x14ac:dyDescent="0.25">
      <c r="V240" t="s">
        <v>177</v>
      </c>
      <c r="W240" s="45" t="s">
        <v>325</v>
      </c>
      <c r="X240" s="45" t="b">
        <v>1</v>
      </c>
      <c r="Y240" s="45" t="b">
        <v>1</v>
      </c>
      <c r="Z240" s="45" t="b">
        <v>1</v>
      </c>
      <c r="AA240" s="45" t="b">
        <v>0</v>
      </c>
      <c r="AB240" s="45" t="b">
        <v>1</v>
      </c>
      <c r="AC240" s="45" t="b">
        <v>1</v>
      </c>
      <c r="AD240" s="45" t="b">
        <v>1</v>
      </c>
      <c r="AE240" s="45" t="b">
        <v>1</v>
      </c>
      <c r="AF240" s="45" t="s">
        <v>119</v>
      </c>
      <c r="AG240" s="45" t="b">
        <v>1</v>
      </c>
      <c r="AH240" s="45" t="b">
        <v>1</v>
      </c>
    </row>
    <row r="241" spans="22:34" x14ac:dyDescent="0.25">
      <c r="V241" t="s">
        <v>177</v>
      </c>
      <c r="W241" s="45" t="s">
        <v>325</v>
      </c>
      <c r="X241" s="45" t="b">
        <v>1</v>
      </c>
      <c r="Y241" s="45" t="b">
        <v>1</v>
      </c>
      <c r="Z241" s="45" t="b">
        <v>1</v>
      </c>
      <c r="AA241" s="45" t="b">
        <v>0</v>
      </c>
      <c r="AB241" s="45" t="b">
        <v>1</v>
      </c>
      <c r="AC241" s="45" t="b">
        <v>1</v>
      </c>
      <c r="AD241" s="45" t="b">
        <v>1</v>
      </c>
      <c r="AE241" s="45" t="b">
        <v>1</v>
      </c>
      <c r="AF241" s="45" t="s">
        <v>300</v>
      </c>
      <c r="AG241" s="45" t="b">
        <v>1</v>
      </c>
      <c r="AH241" s="45" t="b">
        <v>1</v>
      </c>
    </row>
    <row r="242" spans="22:34" x14ac:dyDescent="0.25">
      <c r="V242" t="s">
        <v>177</v>
      </c>
      <c r="W242" s="45" t="s">
        <v>325</v>
      </c>
      <c r="X242" s="45" t="b">
        <v>1</v>
      </c>
      <c r="Y242" s="45" t="b">
        <v>1</v>
      </c>
      <c r="Z242" s="45" t="b">
        <v>1</v>
      </c>
      <c r="AA242" s="45" t="b">
        <v>0</v>
      </c>
      <c r="AB242" s="45" t="b">
        <v>1</v>
      </c>
      <c r="AC242" s="45" t="b">
        <v>1</v>
      </c>
      <c r="AD242" s="45" t="b">
        <v>1</v>
      </c>
      <c r="AE242" s="45" t="b">
        <v>1</v>
      </c>
      <c r="AF242" s="45" t="s">
        <v>301</v>
      </c>
      <c r="AG242" s="45" t="b">
        <v>1</v>
      </c>
      <c r="AH242" s="45" t="b">
        <v>1</v>
      </c>
    </row>
    <row r="243" spans="22:34" x14ac:dyDescent="0.25">
      <c r="V243" t="s">
        <v>177</v>
      </c>
      <c r="W243" s="45" t="s">
        <v>325</v>
      </c>
      <c r="X243" s="45" t="b">
        <v>1</v>
      </c>
      <c r="Y243" s="45" t="b">
        <v>1</v>
      </c>
      <c r="Z243" s="45" t="b">
        <v>1</v>
      </c>
      <c r="AA243" s="45" t="b">
        <v>0</v>
      </c>
      <c r="AB243" s="45" t="b">
        <v>1</v>
      </c>
      <c r="AC243" s="45" t="b">
        <v>1</v>
      </c>
      <c r="AD243" s="45" t="b">
        <v>1</v>
      </c>
      <c r="AE243" s="45" t="b">
        <v>1</v>
      </c>
      <c r="AF243" s="45" t="s">
        <v>120</v>
      </c>
      <c r="AG243" s="45" t="b">
        <v>1</v>
      </c>
      <c r="AH243" s="45" t="b">
        <v>1</v>
      </c>
    </row>
    <row r="244" spans="22:34" x14ac:dyDescent="0.25">
      <c r="V244" t="s">
        <v>177</v>
      </c>
      <c r="W244" s="45" t="s">
        <v>325</v>
      </c>
      <c r="X244" s="45" t="b">
        <v>1</v>
      </c>
      <c r="Y244" s="45" t="b">
        <v>1</v>
      </c>
      <c r="Z244" s="45" t="b">
        <v>1</v>
      </c>
      <c r="AA244" s="45" t="b">
        <v>0</v>
      </c>
      <c r="AB244" s="45" t="b">
        <v>1</v>
      </c>
      <c r="AC244" s="45" t="b">
        <v>1</v>
      </c>
      <c r="AD244" s="45" t="b">
        <v>1</v>
      </c>
      <c r="AE244" s="45" t="b">
        <v>1</v>
      </c>
      <c r="AF244" s="45" t="s">
        <v>302</v>
      </c>
      <c r="AG244" s="45" t="b">
        <v>1</v>
      </c>
      <c r="AH244" s="45" t="b">
        <v>1</v>
      </c>
    </row>
    <row r="245" spans="22:34" x14ac:dyDescent="0.25">
      <c r="V245" t="s">
        <v>177</v>
      </c>
      <c r="W245" s="45" t="s">
        <v>325</v>
      </c>
      <c r="X245" s="45" t="b">
        <v>1</v>
      </c>
      <c r="Y245" s="45" t="b">
        <v>1</v>
      </c>
      <c r="Z245" s="45" t="b">
        <v>1</v>
      </c>
      <c r="AA245" s="45" t="b">
        <v>0</v>
      </c>
      <c r="AB245" s="45" t="b">
        <v>1</v>
      </c>
      <c r="AC245" s="45" t="b">
        <v>1</v>
      </c>
      <c r="AD245" s="45" t="b">
        <v>1</v>
      </c>
      <c r="AE245" s="45" t="b">
        <v>1</v>
      </c>
      <c r="AF245" s="45" t="s">
        <v>303</v>
      </c>
      <c r="AG245" s="45" t="b">
        <v>1</v>
      </c>
      <c r="AH245" s="45" t="b">
        <v>1</v>
      </c>
    </row>
    <row r="246" spans="22:34" x14ac:dyDescent="0.25">
      <c r="V246" t="s">
        <v>177</v>
      </c>
      <c r="W246" s="45" t="s">
        <v>325</v>
      </c>
      <c r="X246" s="45" t="b">
        <v>1</v>
      </c>
      <c r="Y246" s="45" t="b">
        <v>1</v>
      </c>
      <c r="Z246" s="45" t="b">
        <v>1</v>
      </c>
      <c r="AA246" s="45" t="b">
        <v>0</v>
      </c>
      <c r="AB246" s="45" t="b">
        <v>1</v>
      </c>
      <c r="AC246" s="45" t="b">
        <v>1</v>
      </c>
      <c r="AD246" s="45" t="b">
        <v>1</v>
      </c>
      <c r="AE246" s="45" t="b">
        <v>1</v>
      </c>
      <c r="AF246" s="45" t="s">
        <v>304</v>
      </c>
      <c r="AG246" s="45" t="b">
        <v>1</v>
      </c>
      <c r="AH246" s="45" t="b">
        <v>1</v>
      </c>
    </row>
    <row r="247" spans="22:34" x14ac:dyDescent="0.25">
      <c r="V247" t="s">
        <v>177</v>
      </c>
      <c r="W247" s="45" t="s">
        <v>325</v>
      </c>
      <c r="X247" s="45" t="b">
        <v>1</v>
      </c>
      <c r="Y247" s="45" t="b">
        <v>1</v>
      </c>
      <c r="Z247" s="45" t="b">
        <v>1</v>
      </c>
      <c r="AA247" s="45" t="b">
        <v>0</v>
      </c>
      <c r="AB247" s="45" t="b">
        <v>1</v>
      </c>
      <c r="AC247" s="45" t="b">
        <v>1</v>
      </c>
      <c r="AD247" s="45" t="b">
        <v>1</v>
      </c>
      <c r="AE247" s="45" t="b">
        <v>1</v>
      </c>
      <c r="AF247" s="45" t="s">
        <v>305</v>
      </c>
      <c r="AG247" s="45" t="b">
        <v>1</v>
      </c>
      <c r="AH247" s="45" t="b">
        <v>1</v>
      </c>
    </row>
    <row r="248" spans="22:34" x14ac:dyDescent="0.25">
      <c r="V248" t="s">
        <v>177</v>
      </c>
      <c r="W248" s="45" t="s">
        <v>325</v>
      </c>
      <c r="X248" s="45" t="b">
        <v>1</v>
      </c>
      <c r="Y248" s="45" t="b">
        <v>1</v>
      </c>
      <c r="Z248" s="45" t="b">
        <v>1</v>
      </c>
      <c r="AA248" s="45" t="b">
        <v>0</v>
      </c>
      <c r="AB248" s="45" t="b">
        <v>1</v>
      </c>
      <c r="AC248" s="45" t="b">
        <v>1</v>
      </c>
      <c r="AD248" s="45" t="b">
        <v>1</v>
      </c>
      <c r="AE248" s="45" t="b">
        <v>1</v>
      </c>
      <c r="AF248" s="45" t="s">
        <v>306</v>
      </c>
      <c r="AG248" s="45" t="b">
        <v>1</v>
      </c>
      <c r="AH248" s="45" t="b">
        <v>1</v>
      </c>
    </row>
    <row r="249" spans="22:34" x14ac:dyDescent="0.25">
      <c r="V249" t="s">
        <v>177</v>
      </c>
      <c r="W249" s="45" t="s">
        <v>325</v>
      </c>
      <c r="X249" s="45" t="b">
        <v>1</v>
      </c>
      <c r="Y249" s="45" t="b">
        <v>1</v>
      </c>
      <c r="Z249" s="45" t="b">
        <v>1</v>
      </c>
      <c r="AA249" s="45" t="b">
        <v>0</v>
      </c>
      <c r="AB249" s="45" t="b">
        <v>1</v>
      </c>
      <c r="AC249" s="45" t="b">
        <v>1</v>
      </c>
      <c r="AD249" s="45" t="b">
        <v>1</v>
      </c>
      <c r="AE249" s="45" t="b">
        <v>1</v>
      </c>
      <c r="AF249" s="45" t="s">
        <v>307</v>
      </c>
      <c r="AG249" s="45" t="b">
        <v>1</v>
      </c>
      <c r="AH249" s="45" t="b">
        <v>1</v>
      </c>
    </row>
    <row r="250" spans="22:34" x14ac:dyDescent="0.25">
      <c r="V250" t="s">
        <v>177</v>
      </c>
      <c r="W250" s="45" t="s">
        <v>325</v>
      </c>
      <c r="X250" s="45" t="b">
        <v>1</v>
      </c>
      <c r="Y250" s="45" t="b">
        <v>1</v>
      </c>
      <c r="Z250" s="45" t="b">
        <v>1</v>
      </c>
      <c r="AA250" s="45" t="b">
        <v>0</v>
      </c>
      <c r="AB250" s="45" t="b">
        <v>1</v>
      </c>
      <c r="AC250" s="45" t="b">
        <v>1</v>
      </c>
      <c r="AD250" s="45" t="b">
        <v>1</v>
      </c>
      <c r="AE250" s="45" t="b">
        <v>1</v>
      </c>
      <c r="AF250" s="45" t="s">
        <v>308</v>
      </c>
      <c r="AG250" s="45" t="b">
        <v>1</v>
      </c>
      <c r="AH250" s="45" t="b">
        <v>1</v>
      </c>
    </row>
    <row r="251" spans="22:34" x14ac:dyDescent="0.25">
      <c r="V251" t="s">
        <v>177</v>
      </c>
      <c r="W251" s="45" t="s">
        <v>325</v>
      </c>
      <c r="X251" s="45" t="b">
        <v>1</v>
      </c>
      <c r="Y251" s="45" t="b">
        <v>1</v>
      </c>
      <c r="Z251" s="45" t="b">
        <v>1</v>
      </c>
      <c r="AA251" s="45" t="b">
        <v>0</v>
      </c>
      <c r="AB251" s="45" t="b">
        <v>1</v>
      </c>
      <c r="AC251" s="45" t="b">
        <v>1</v>
      </c>
      <c r="AD251" s="45" t="b">
        <v>1</v>
      </c>
      <c r="AE251" s="45" t="b">
        <v>1</v>
      </c>
      <c r="AF251" s="45" t="s">
        <v>309</v>
      </c>
      <c r="AG251" s="45" t="b">
        <v>1</v>
      </c>
      <c r="AH251" s="45" t="b">
        <v>1</v>
      </c>
    </row>
    <row r="252" spans="22:34" x14ac:dyDescent="0.25">
      <c r="V252" t="s">
        <v>177</v>
      </c>
      <c r="W252" s="45" t="s">
        <v>325</v>
      </c>
      <c r="X252" s="45" t="b">
        <v>1</v>
      </c>
      <c r="Y252" s="45" t="b">
        <v>1</v>
      </c>
      <c r="Z252" s="45" t="b">
        <v>1</v>
      </c>
      <c r="AA252" s="45" t="b">
        <v>0</v>
      </c>
      <c r="AB252" s="45" t="b">
        <v>1</v>
      </c>
      <c r="AC252" s="45" t="b">
        <v>1</v>
      </c>
      <c r="AD252" s="45" t="b">
        <v>1</v>
      </c>
      <c r="AE252" s="45" t="b">
        <v>1</v>
      </c>
      <c r="AF252" s="45" t="s">
        <v>310</v>
      </c>
      <c r="AG252" s="45" t="b">
        <v>1</v>
      </c>
      <c r="AH252" s="45" t="b">
        <v>1</v>
      </c>
    </row>
    <row r="253" spans="22:34" x14ac:dyDescent="0.25">
      <c r="V253" t="s">
        <v>177</v>
      </c>
      <c r="W253" s="45" t="s">
        <v>325</v>
      </c>
      <c r="X253" s="45" t="b">
        <v>1</v>
      </c>
      <c r="Y253" s="45" t="b">
        <v>1</v>
      </c>
      <c r="Z253" s="45" t="b">
        <v>1</v>
      </c>
      <c r="AA253" s="45" t="b">
        <v>0</v>
      </c>
      <c r="AB253" s="45" t="b">
        <v>1</v>
      </c>
      <c r="AC253" s="45" t="b">
        <v>1</v>
      </c>
      <c r="AD253" s="45" t="b">
        <v>1</v>
      </c>
      <c r="AE253" s="45" t="b">
        <v>1</v>
      </c>
      <c r="AF253" s="45" t="s">
        <v>311</v>
      </c>
      <c r="AG253" s="45" t="b">
        <v>1</v>
      </c>
      <c r="AH253" s="45" t="b">
        <v>1</v>
      </c>
    </row>
    <row r="254" spans="22:34" x14ac:dyDescent="0.25">
      <c r="V254" t="s">
        <v>177</v>
      </c>
      <c r="W254" s="45" t="s">
        <v>325</v>
      </c>
      <c r="X254" s="45" t="b">
        <v>1</v>
      </c>
      <c r="Y254" s="45" t="b">
        <v>1</v>
      </c>
      <c r="Z254" s="45" t="b">
        <v>1</v>
      </c>
      <c r="AA254" s="45" t="b">
        <v>0</v>
      </c>
      <c r="AB254" s="45" t="b">
        <v>1</v>
      </c>
      <c r="AC254" s="45" t="b">
        <v>1</v>
      </c>
      <c r="AD254" s="45" t="b">
        <v>1</v>
      </c>
      <c r="AE254" s="45" t="b">
        <v>1</v>
      </c>
      <c r="AF254" s="45" t="s">
        <v>312</v>
      </c>
      <c r="AG254" s="45" t="b">
        <v>1</v>
      </c>
      <c r="AH254" s="45" t="b">
        <v>1</v>
      </c>
    </row>
    <row r="255" spans="22:34" x14ac:dyDescent="0.25">
      <c r="V255" t="s">
        <v>177</v>
      </c>
      <c r="W255" s="45" t="s">
        <v>325</v>
      </c>
      <c r="X255" s="45" t="b">
        <v>1</v>
      </c>
      <c r="Y255" s="45" t="b">
        <v>1</v>
      </c>
      <c r="Z255" s="45" t="b">
        <v>1</v>
      </c>
      <c r="AA255" s="45" t="b">
        <v>0</v>
      </c>
      <c r="AB255" s="45" t="b">
        <v>1</v>
      </c>
      <c r="AC255" s="45" t="b">
        <v>1</v>
      </c>
      <c r="AD255" s="45" t="b">
        <v>1</v>
      </c>
      <c r="AE255" s="45" t="b">
        <v>1</v>
      </c>
      <c r="AF255" s="45" t="s">
        <v>313</v>
      </c>
      <c r="AG255" s="45" t="b">
        <v>1</v>
      </c>
      <c r="AH255" s="45" t="b">
        <v>1</v>
      </c>
    </row>
    <row r="256" spans="22:34" x14ac:dyDescent="0.25">
      <c r="V256" t="s">
        <v>177</v>
      </c>
      <c r="W256" s="45" t="s">
        <v>325</v>
      </c>
      <c r="X256" s="45" t="b">
        <v>1</v>
      </c>
      <c r="Y256" s="45" t="b">
        <v>1</v>
      </c>
      <c r="Z256" s="45" t="b">
        <v>1</v>
      </c>
      <c r="AA256" s="45" t="b">
        <v>0</v>
      </c>
      <c r="AB256" s="45" t="b">
        <v>1</v>
      </c>
      <c r="AC256" s="45" t="b">
        <v>1</v>
      </c>
      <c r="AD256" s="45" t="b">
        <v>1</v>
      </c>
      <c r="AE256" s="45" t="b">
        <v>1</v>
      </c>
      <c r="AF256" s="45" t="s">
        <v>314</v>
      </c>
      <c r="AG256" s="45" t="b">
        <v>1</v>
      </c>
      <c r="AH256" s="45" t="b">
        <v>1</v>
      </c>
    </row>
    <row r="257" spans="22:34" x14ac:dyDescent="0.25">
      <c r="V257" t="s">
        <v>177</v>
      </c>
      <c r="W257" s="45" t="s">
        <v>325</v>
      </c>
      <c r="X257" s="45" t="b">
        <v>1</v>
      </c>
      <c r="Y257" s="45" t="b">
        <v>1</v>
      </c>
      <c r="Z257" s="45" t="b">
        <v>1</v>
      </c>
      <c r="AA257" s="45" t="b">
        <v>0</v>
      </c>
      <c r="AB257" s="45" t="b">
        <v>1</v>
      </c>
      <c r="AC257" s="45" t="b">
        <v>1</v>
      </c>
      <c r="AD257" s="45" t="b">
        <v>1</v>
      </c>
      <c r="AE257" s="45" t="b">
        <v>1</v>
      </c>
      <c r="AF257" s="45" t="s">
        <v>315</v>
      </c>
      <c r="AG257" s="45" t="b">
        <v>1</v>
      </c>
      <c r="AH257" s="45" t="b">
        <v>1</v>
      </c>
    </row>
    <row r="258" spans="22:34" x14ac:dyDescent="0.25">
      <c r="V258" t="s">
        <v>177</v>
      </c>
      <c r="W258" s="45" t="s">
        <v>325</v>
      </c>
      <c r="X258" s="45" t="b">
        <v>1</v>
      </c>
      <c r="Y258" s="45" t="b">
        <v>1</v>
      </c>
      <c r="Z258" s="45" t="b">
        <v>1</v>
      </c>
      <c r="AA258" s="45" t="b">
        <v>0</v>
      </c>
      <c r="AB258" s="45" t="b">
        <v>1</v>
      </c>
      <c r="AC258" s="45" t="b">
        <v>1</v>
      </c>
      <c r="AD258" s="45" t="b">
        <v>1</v>
      </c>
      <c r="AE258" s="45" t="b">
        <v>1</v>
      </c>
      <c r="AF258" s="45" t="s">
        <v>316</v>
      </c>
      <c r="AG258" s="45" t="b">
        <v>1</v>
      </c>
      <c r="AH258" s="45" t="b">
        <v>1</v>
      </c>
    </row>
    <row r="259" spans="22:34" x14ac:dyDescent="0.25">
      <c r="V259" t="s">
        <v>177</v>
      </c>
      <c r="W259" s="45" t="s">
        <v>325</v>
      </c>
      <c r="X259" s="45" t="b">
        <v>1</v>
      </c>
      <c r="Y259" s="45" t="b">
        <v>1</v>
      </c>
      <c r="Z259" s="45" t="b">
        <v>1</v>
      </c>
      <c r="AA259" s="45" t="b">
        <v>0</v>
      </c>
      <c r="AB259" s="45" t="b">
        <v>1</v>
      </c>
      <c r="AC259" s="45" t="b">
        <v>1</v>
      </c>
      <c r="AD259" s="45" t="b">
        <v>1</v>
      </c>
      <c r="AE259" s="45" t="b">
        <v>1</v>
      </c>
      <c r="AF259" s="45" t="s">
        <v>317</v>
      </c>
      <c r="AG259" s="45" t="b">
        <v>1</v>
      </c>
      <c r="AH259" s="45" t="b">
        <v>1</v>
      </c>
    </row>
    <row r="260" spans="22:34" x14ac:dyDescent="0.25">
      <c r="V260" t="s">
        <v>177</v>
      </c>
      <c r="W260" s="45" t="s">
        <v>325</v>
      </c>
      <c r="X260" s="45" t="b">
        <v>1</v>
      </c>
      <c r="Y260" s="45" t="b">
        <v>1</v>
      </c>
      <c r="Z260" s="45" t="b">
        <v>1</v>
      </c>
      <c r="AA260" s="45" t="b">
        <v>0</v>
      </c>
      <c r="AB260" s="45" t="b">
        <v>1</v>
      </c>
      <c r="AC260" s="45" t="b">
        <v>1</v>
      </c>
      <c r="AD260" s="45" t="b">
        <v>1</v>
      </c>
      <c r="AE260" s="45" t="b">
        <v>1</v>
      </c>
      <c r="AF260" s="45" t="s">
        <v>318</v>
      </c>
      <c r="AG260" s="45" t="b">
        <v>1</v>
      </c>
      <c r="AH260" s="45" t="b">
        <v>1</v>
      </c>
    </row>
    <row r="261" spans="22:34" x14ac:dyDescent="0.25">
      <c r="V261" t="s">
        <v>177</v>
      </c>
      <c r="W261" s="45" t="s">
        <v>325</v>
      </c>
      <c r="X261" s="45" t="b">
        <v>1</v>
      </c>
      <c r="Y261" s="45" t="b">
        <v>1</v>
      </c>
      <c r="Z261" s="45" t="b">
        <v>1</v>
      </c>
      <c r="AA261" s="45" t="b">
        <v>0</v>
      </c>
      <c r="AB261" s="45" t="b">
        <v>1</v>
      </c>
      <c r="AC261" s="45" t="b">
        <v>1</v>
      </c>
      <c r="AD261" s="45" t="b">
        <v>1</v>
      </c>
      <c r="AE261" s="45" t="b">
        <v>1</v>
      </c>
      <c r="AF261" s="45" t="s">
        <v>319</v>
      </c>
      <c r="AG261" s="45" t="b">
        <v>1</v>
      </c>
      <c r="AH261" s="45" t="b">
        <v>1</v>
      </c>
    </row>
    <row r="262" spans="22:34" x14ac:dyDescent="0.25">
      <c r="V262" t="s">
        <v>543</v>
      </c>
      <c r="W262" s="45" t="s">
        <v>326</v>
      </c>
      <c r="X262" s="45" t="b">
        <v>1</v>
      </c>
      <c r="Y262" s="45" t="b">
        <v>1</v>
      </c>
      <c r="Z262" s="45" t="b">
        <v>1</v>
      </c>
      <c r="AA262" s="45" t="b">
        <v>0</v>
      </c>
      <c r="AB262" s="45" t="b">
        <v>1</v>
      </c>
      <c r="AC262" s="45" t="b">
        <v>1</v>
      </c>
      <c r="AD262" s="45" t="b">
        <v>1</v>
      </c>
      <c r="AE262" s="45" t="b">
        <v>1</v>
      </c>
      <c r="AF262" s="45" t="s">
        <v>295</v>
      </c>
      <c r="AG262" s="45" t="b">
        <v>1</v>
      </c>
      <c r="AH262" s="45" t="b">
        <v>1</v>
      </c>
    </row>
    <row r="263" spans="22:34" x14ac:dyDescent="0.25">
      <c r="V263" t="s">
        <v>543</v>
      </c>
      <c r="W263" s="45" t="s">
        <v>326</v>
      </c>
      <c r="X263" s="45" t="b">
        <v>1</v>
      </c>
      <c r="Y263" s="45" t="b">
        <v>1</v>
      </c>
      <c r="Z263" s="45" t="b">
        <v>1</v>
      </c>
      <c r="AA263" s="45" t="b">
        <v>0</v>
      </c>
      <c r="AB263" s="45" t="b">
        <v>1</v>
      </c>
      <c r="AC263" s="45" t="b">
        <v>1</v>
      </c>
      <c r="AD263" s="45" t="b">
        <v>1</v>
      </c>
      <c r="AE263" s="45" t="b">
        <v>1</v>
      </c>
      <c r="AF263" s="45" t="s">
        <v>297</v>
      </c>
      <c r="AG263" s="45" t="b">
        <v>1</v>
      </c>
      <c r="AH263" s="45" t="b">
        <v>1</v>
      </c>
    </row>
    <row r="264" spans="22:34" x14ac:dyDescent="0.25">
      <c r="V264" t="s">
        <v>543</v>
      </c>
      <c r="W264" s="45" t="s">
        <v>326</v>
      </c>
      <c r="X264" s="45" t="b">
        <v>1</v>
      </c>
      <c r="Y264" s="45" t="b">
        <v>1</v>
      </c>
      <c r="Z264" s="45" t="b">
        <v>1</v>
      </c>
      <c r="AA264" s="45" t="b">
        <v>0</v>
      </c>
      <c r="AB264" s="45" t="b">
        <v>1</v>
      </c>
      <c r="AC264" s="45" t="b">
        <v>1</v>
      </c>
      <c r="AD264" s="45" t="b">
        <v>1</v>
      </c>
      <c r="AE264" s="45" t="b">
        <v>1</v>
      </c>
      <c r="AF264" s="45" t="s">
        <v>112</v>
      </c>
      <c r="AG264" s="45" t="b">
        <v>1</v>
      </c>
      <c r="AH264" s="45" t="b">
        <v>1</v>
      </c>
    </row>
    <row r="265" spans="22:34" x14ac:dyDescent="0.25">
      <c r="V265" t="s">
        <v>543</v>
      </c>
      <c r="W265" s="45" t="s">
        <v>326</v>
      </c>
      <c r="X265" s="45" t="b">
        <v>1</v>
      </c>
      <c r="Y265" s="45" t="b">
        <v>1</v>
      </c>
      <c r="Z265" s="45" t="b">
        <v>1</v>
      </c>
      <c r="AA265" s="45" t="b">
        <v>0</v>
      </c>
      <c r="AB265" s="45" t="b">
        <v>1</v>
      </c>
      <c r="AC265" s="45" t="b">
        <v>1</v>
      </c>
      <c r="AD265" s="45" t="b">
        <v>1</v>
      </c>
      <c r="AE265" s="45" t="b">
        <v>1</v>
      </c>
      <c r="AF265" s="45" t="s">
        <v>114</v>
      </c>
      <c r="AG265" s="45" t="b">
        <v>1</v>
      </c>
      <c r="AH265" s="45" t="b">
        <v>1</v>
      </c>
    </row>
    <row r="266" spans="22:34" x14ac:dyDescent="0.25">
      <c r="V266" t="s">
        <v>543</v>
      </c>
      <c r="W266" s="45" t="s">
        <v>326</v>
      </c>
      <c r="X266" s="45" t="b">
        <v>1</v>
      </c>
      <c r="Y266" s="45" t="b">
        <v>1</v>
      </c>
      <c r="Z266" s="45" t="b">
        <v>1</v>
      </c>
      <c r="AA266" s="45" t="b">
        <v>0</v>
      </c>
      <c r="AB266" s="45" t="b">
        <v>1</v>
      </c>
      <c r="AC266" s="45" t="b">
        <v>1</v>
      </c>
      <c r="AD266" s="45" t="b">
        <v>1</v>
      </c>
      <c r="AE266" s="45" t="b">
        <v>1</v>
      </c>
      <c r="AF266" s="45" t="s">
        <v>115</v>
      </c>
      <c r="AG266" s="45" t="b">
        <v>1</v>
      </c>
      <c r="AH266" s="45" t="b">
        <v>1</v>
      </c>
    </row>
    <row r="267" spans="22:34" x14ac:dyDescent="0.25">
      <c r="V267" t="s">
        <v>543</v>
      </c>
      <c r="W267" s="45" t="s">
        <v>326</v>
      </c>
      <c r="X267" s="45" t="b">
        <v>1</v>
      </c>
      <c r="Y267" s="45" t="b">
        <v>1</v>
      </c>
      <c r="Z267" s="45" t="b">
        <v>1</v>
      </c>
      <c r="AA267" s="45" t="b">
        <v>0</v>
      </c>
      <c r="AB267" s="45" t="b">
        <v>1</v>
      </c>
      <c r="AC267" s="45" t="b">
        <v>1</v>
      </c>
      <c r="AD267" s="45" t="b">
        <v>1</v>
      </c>
      <c r="AE267" s="45" t="b">
        <v>1</v>
      </c>
      <c r="AF267" s="45" t="s">
        <v>116</v>
      </c>
      <c r="AG267" s="45" t="b">
        <v>1</v>
      </c>
      <c r="AH267" s="45" t="b">
        <v>1</v>
      </c>
    </row>
    <row r="268" spans="22:34" x14ac:dyDescent="0.25">
      <c r="V268" t="s">
        <v>543</v>
      </c>
      <c r="W268" s="45" t="s">
        <v>326</v>
      </c>
      <c r="X268" s="45" t="b">
        <v>1</v>
      </c>
      <c r="Y268" s="45" t="b">
        <v>1</v>
      </c>
      <c r="Z268" s="45" t="b">
        <v>1</v>
      </c>
      <c r="AA268" s="45" t="b">
        <v>0</v>
      </c>
      <c r="AB268" s="45" t="b">
        <v>1</v>
      </c>
      <c r="AC268" s="45" t="b">
        <v>1</v>
      </c>
      <c r="AD268" s="45" t="b">
        <v>1</v>
      </c>
      <c r="AE268" s="45" t="b">
        <v>1</v>
      </c>
      <c r="AF268" s="45" t="s">
        <v>298</v>
      </c>
      <c r="AG268" s="45" t="b">
        <v>1</v>
      </c>
      <c r="AH268" s="45" t="b">
        <v>1</v>
      </c>
    </row>
    <row r="269" spans="22:34" x14ac:dyDescent="0.25">
      <c r="V269" t="s">
        <v>543</v>
      </c>
      <c r="W269" s="45" t="s">
        <v>326</v>
      </c>
      <c r="X269" s="45" t="b">
        <v>1</v>
      </c>
      <c r="Y269" s="45" t="b">
        <v>1</v>
      </c>
      <c r="Z269" s="45" t="b">
        <v>1</v>
      </c>
      <c r="AA269" s="45" t="b">
        <v>0</v>
      </c>
      <c r="AB269" s="45" t="b">
        <v>1</v>
      </c>
      <c r="AC269" s="45" t="b">
        <v>1</v>
      </c>
      <c r="AD269" s="45" t="b">
        <v>1</v>
      </c>
      <c r="AE269" s="45" t="b">
        <v>1</v>
      </c>
      <c r="AF269" s="45" t="s">
        <v>299</v>
      </c>
      <c r="AG269" s="45" t="b">
        <v>1</v>
      </c>
      <c r="AH269" s="45" t="b">
        <v>1</v>
      </c>
    </row>
    <row r="270" spans="22:34" x14ac:dyDescent="0.25">
      <c r="V270" t="s">
        <v>543</v>
      </c>
      <c r="W270" s="45" t="s">
        <v>326</v>
      </c>
      <c r="X270" s="45" t="b">
        <v>1</v>
      </c>
      <c r="Y270" s="45" t="b">
        <v>1</v>
      </c>
      <c r="Z270" s="45" t="b">
        <v>1</v>
      </c>
      <c r="AA270" s="45" t="b">
        <v>0</v>
      </c>
      <c r="AB270" s="45" t="b">
        <v>1</v>
      </c>
      <c r="AC270" s="45" t="b">
        <v>1</v>
      </c>
      <c r="AD270" s="45" t="b">
        <v>1</v>
      </c>
      <c r="AE270" s="45" t="b">
        <v>1</v>
      </c>
      <c r="AF270" s="45" t="s">
        <v>414</v>
      </c>
      <c r="AG270" s="45" t="b">
        <v>1</v>
      </c>
      <c r="AH270" s="45" t="b">
        <v>1</v>
      </c>
    </row>
    <row r="271" spans="22:34" x14ac:dyDescent="0.25">
      <c r="V271" t="s">
        <v>543</v>
      </c>
      <c r="W271" s="45" t="s">
        <v>326</v>
      </c>
      <c r="X271" s="45" t="b">
        <v>1</v>
      </c>
      <c r="Y271" s="45" t="b">
        <v>1</v>
      </c>
      <c r="Z271" s="45" t="b">
        <v>1</v>
      </c>
      <c r="AA271" s="45" t="b">
        <v>0</v>
      </c>
      <c r="AB271" s="45" t="b">
        <v>1</v>
      </c>
      <c r="AC271" s="45" t="b">
        <v>1</v>
      </c>
      <c r="AD271" s="45" t="b">
        <v>1</v>
      </c>
      <c r="AE271" s="45" t="b">
        <v>1</v>
      </c>
      <c r="AF271" s="45" t="s">
        <v>118</v>
      </c>
      <c r="AG271" s="45" t="b">
        <v>1</v>
      </c>
      <c r="AH271" s="45" t="b">
        <v>1</v>
      </c>
    </row>
    <row r="272" spans="22:34" x14ac:dyDescent="0.25">
      <c r="V272" t="s">
        <v>543</v>
      </c>
      <c r="W272" s="45" t="s">
        <v>326</v>
      </c>
      <c r="X272" s="45" t="b">
        <v>1</v>
      </c>
      <c r="Y272" s="45" t="b">
        <v>1</v>
      </c>
      <c r="Z272" s="45" t="b">
        <v>1</v>
      </c>
      <c r="AA272" s="45" t="b">
        <v>0</v>
      </c>
      <c r="AB272" s="45" t="b">
        <v>1</v>
      </c>
      <c r="AC272" s="45" t="b">
        <v>1</v>
      </c>
      <c r="AD272" s="45" t="b">
        <v>1</v>
      </c>
      <c r="AE272" s="45" t="b">
        <v>1</v>
      </c>
      <c r="AF272" s="45" t="s">
        <v>119</v>
      </c>
      <c r="AG272" s="45" t="b">
        <v>1</v>
      </c>
      <c r="AH272" s="45" t="b">
        <v>1</v>
      </c>
    </row>
    <row r="273" spans="22:34" x14ac:dyDescent="0.25">
      <c r="V273" t="s">
        <v>543</v>
      </c>
      <c r="W273" s="45" t="s">
        <v>326</v>
      </c>
      <c r="X273" s="45" t="b">
        <v>1</v>
      </c>
      <c r="Y273" s="45" t="b">
        <v>1</v>
      </c>
      <c r="Z273" s="45" t="b">
        <v>1</v>
      </c>
      <c r="AA273" s="45" t="b">
        <v>0</v>
      </c>
      <c r="AB273" s="45" t="b">
        <v>1</v>
      </c>
      <c r="AC273" s="45" t="b">
        <v>1</v>
      </c>
      <c r="AD273" s="45" t="b">
        <v>1</v>
      </c>
      <c r="AE273" s="45" t="b">
        <v>1</v>
      </c>
      <c r="AF273" s="45" t="s">
        <v>300</v>
      </c>
      <c r="AG273" s="45" t="b">
        <v>1</v>
      </c>
      <c r="AH273" s="45" t="b">
        <v>1</v>
      </c>
    </row>
    <row r="274" spans="22:34" x14ac:dyDescent="0.25">
      <c r="V274" t="s">
        <v>543</v>
      </c>
      <c r="W274" s="45" t="s">
        <v>326</v>
      </c>
      <c r="X274" s="45" t="b">
        <v>1</v>
      </c>
      <c r="Y274" s="45" t="b">
        <v>1</v>
      </c>
      <c r="Z274" s="45" t="b">
        <v>1</v>
      </c>
      <c r="AA274" s="45" t="b">
        <v>0</v>
      </c>
      <c r="AB274" s="45" t="b">
        <v>1</v>
      </c>
      <c r="AC274" s="45" t="b">
        <v>1</v>
      </c>
      <c r="AD274" s="45" t="b">
        <v>1</v>
      </c>
      <c r="AE274" s="45" t="b">
        <v>1</v>
      </c>
      <c r="AF274" s="45" t="s">
        <v>301</v>
      </c>
      <c r="AG274" s="45" t="b">
        <v>1</v>
      </c>
      <c r="AH274" s="45" t="b">
        <v>1</v>
      </c>
    </row>
    <row r="275" spans="22:34" x14ac:dyDescent="0.25">
      <c r="V275" t="s">
        <v>543</v>
      </c>
      <c r="W275" s="45" t="s">
        <v>326</v>
      </c>
      <c r="X275" s="45" t="b">
        <v>1</v>
      </c>
      <c r="Y275" s="45" t="b">
        <v>1</v>
      </c>
      <c r="Z275" s="45" t="b">
        <v>1</v>
      </c>
      <c r="AA275" s="45" t="b">
        <v>0</v>
      </c>
      <c r="AB275" s="45" t="b">
        <v>1</v>
      </c>
      <c r="AC275" s="45" t="b">
        <v>1</v>
      </c>
      <c r="AD275" s="45" t="b">
        <v>1</v>
      </c>
      <c r="AE275" s="45" t="b">
        <v>1</v>
      </c>
      <c r="AF275" s="45" t="s">
        <v>120</v>
      </c>
      <c r="AG275" s="45" t="b">
        <v>1</v>
      </c>
      <c r="AH275" s="45" t="b">
        <v>1</v>
      </c>
    </row>
    <row r="276" spans="22:34" x14ac:dyDescent="0.25">
      <c r="V276" t="s">
        <v>543</v>
      </c>
      <c r="W276" s="45" t="s">
        <v>326</v>
      </c>
      <c r="X276" s="45" t="b">
        <v>1</v>
      </c>
      <c r="Y276" s="45" t="b">
        <v>1</v>
      </c>
      <c r="Z276" s="45" t="b">
        <v>1</v>
      </c>
      <c r="AA276" s="45" t="b">
        <v>0</v>
      </c>
      <c r="AB276" s="45" t="b">
        <v>1</v>
      </c>
      <c r="AC276" s="45" t="b">
        <v>1</v>
      </c>
      <c r="AD276" s="45" t="b">
        <v>1</v>
      </c>
      <c r="AE276" s="45" t="b">
        <v>1</v>
      </c>
      <c r="AF276" s="45" t="s">
        <v>302</v>
      </c>
      <c r="AG276" s="45" t="b">
        <v>1</v>
      </c>
      <c r="AH276" s="45" t="b">
        <v>1</v>
      </c>
    </row>
    <row r="277" spans="22:34" x14ac:dyDescent="0.25">
      <c r="V277" t="s">
        <v>543</v>
      </c>
      <c r="W277" s="45" t="s">
        <v>326</v>
      </c>
      <c r="X277" s="45" t="b">
        <v>1</v>
      </c>
      <c r="Y277" s="45" t="b">
        <v>1</v>
      </c>
      <c r="Z277" s="45" t="b">
        <v>1</v>
      </c>
      <c r="AA277" s="45" t="b">
        <v>0</v>
      </c>
      <c r="AB277" s="45" t="b">
        <v>1</v>
      </c>
      <c r="AC277" s="45" t="b">
        <v>1</v>
      </c>
      <c r="AD277" s="45" t="b">
        <v>1</v>
      </c>
      <c r="AE277" s="45" t="b">
        <v>1</v>
      </c>
      <c r="AF277" s="45" t="s">
        <v>303</v>
      </c>
      <c r="AG277" s="45" t="b">
        <v>1</v>
      </c>
      <c r="AH277" s="45" t="b">
        <v>1</v>
      </c>
    </row>
    <row r="278" spans="22:34" x14ac:dyDescent="0.25">
      <c r="V278" t="s">
        <v>543</v>
      </c>
      <c r="W278" s="45" t="s">
        <v>326</v>
      </c>
      <c r="X278" s="45" t="b">
        <v>1</v>
      </c>
      <c r="Y278" s="45" t="b">
        <v>1</v>
      </c>
      <c r="Z278" s="45" t="b">
        <v>1</v>
      </c>
      <c r="AA278" s="45" t="b">
        <v>0</v>
      </c>
      <c r="AB278" s="45" t="b">
        <v>1</v>
      </c>
      <c r="AC278" s="45" t="b">
        <v>1</v>
      </c>
      <c r="AD278" s="45" t="b">
        <v>1</v>
      </c>
      <c r="AE278" s="45" t="b">
        <v>1</v>
      </c>
      <c r="AF278" s="45" t="s">
        <v>304</v>
      </c>
      <c r="AG278" s="45" t="b">
        <v>1</v>
      </c>
      <c r="AH278" s="45" t="b">
        <v>1</v>
      </c>
    </row>
    <row r="279" spans="22:34" x14ac:dyDescent="0.25">
      <c r="V279" t="s">
        <v>543</v>
      </c>
      <c r="W279" s="45" t="s">
        <v>326</v>
      </c>
      <c r="X279" s="45" t="b">
        <v>1</v>
      </c>
      <c r="Y279" s="45" t="b">
        <v>1</v>
      </c>
      <c r="Z279" s="45" t="b">
        <v>1</v>
      </c>
      <c r="AA279" s="45" t="b">
        <v>0</v>
      </c>
      <c r="AB279" s="45" t="b">
        <v>1</v>
      </c>
      <c r="AC279" s="45" t="b">
        <v>1</v>
      </c>
      <c r="AD279" s="45" t="b">
        <v>1</v>
      </c>
      <c r="AE279" s="45" t="b">
        <v>1</v>
      </c>
      <c r="AF279" s="45" t="s">
        <v>305</v>
      </c>
      <c r="AG279" s="45" t="b">
        <v>1</v>
      </c>
      <c r="AH279" s="45" t="b">
        <v>1</v>
      </c>
    </row>
    <row r="280" spans="22:34" x14ac:dyDescent="0.25">
      <c r="V280" t="s">
        <v>543</v>
      </c>
      <c r="W280" s="45" t="s">
        <v>326</v>
      </c>
      <c r="X280" s="45" t="b">
        <v>1</v>
      </c>
      <c r="Y280" s="45" t="b">
        <v>1</v>
      </c>
      <c r="Z280" s="45" t="b">
        <v>1</v>
      </c>
      <c r="AA280" s="45" t="b">
        <v>0</v>
      </c>
      <c r="AB280" s="45" t="b">
        <v>1</v>
      </c>
      <c r="AC280" s="45" t="b">
        <v>1</v>
      </c>
      <c r="AD280" s="45" t="b">
        <v>1</v>
      </c>
      <c r="AE280" s="45" t="b">
        <v>1</v>
      </c>
      <c r="AF280" s="45" t="s">
        <v>306</v>
      </c>
      <c r="AG280" s="45" t="b">
        <v>1</v>
      </c>
      <c r="AH280" s="45" t="b">
        <v>1</v>
      </c>
    </row>
    <row r="281" spans="22:34" x14ac:dyDescent="0.25">
      <c r="V281" t="s">
        <v>543</v>
      </c>
      <c r="W281" s="45" t="s">
        <v>326</v>
      </c>
      <c r="X281" s="45" t="b">
        <v>1</v>
      </c>
      <c r="Y281" s="45" t="b">
        <v>1</v>
      </c>
      <c r="Z281" s="45" t="b">
        <v>1</v>
      </c>
      <c r="AA281" s="45" t="b">
        <v>0</v>
      </c>
      <c r="AB281" s="45" t="b">
        <v>1</v>
      </c>
      <c r="AC281" s="45" t="b">
        <v>1</v>
      </c>
      <c r="AD281" s="45" t="b">
        <v>1</v>
      </c>
      <c r="AE281" s="45" t="b">
        <v>1</v>
      </c>
      <c r="AF281" s="45" t="s">
        <v>307</v>
      </c>
      <c r="AG281" s="45" t="b">
        <v>1</v>
      </c>
      <c r="AH281" s="45" t="b">
        <v>1</v>
      </c>
    </row>
    <row r="282" spans="22:34" x14ac:dyDescent="0.25">
      <c r="V282" t="s">
        <v>543</v>
      </c>
      <c r="W282" s="45" t="s">
        <v>326</v>
      </c>
      <c r="X282" s="45" t="b">
        <v>1</v>
      </c>
      <c r="Y282" s="45" t="b">
        <v>1</v>
      </c>
      <c r="Z282" s="45" t="b">
        <v>1</v>
      </c>
      <c r="AA282" s="45" t="b">
        <v>0</v>
      </c>
      <c r="AB282" s="45" t="b">
        <v>1</v>
      </c>
      <c r="AC282" s="45" t="b">
        <v>1</v>
      </c>
      <c r="AD282" s="45" t="b">
        <v>1</v>
      </c>
      <c r="AE282" s="45" t="b">
        <v>1</v>
      </c>
      <c r="AF282" s="45" t="s">
        <v>308</v>
      </c>
      <c r="AG282" s="45" t="b">
        <v>1</v>
      </c>
      <c r="AH282" s="45" t="b">
        <v>1</v>
      </c>
    </row>
    <row r="283" spans="22:34" x14ac:dyDescent="0.25">
      <c r="V283" t="s">
        <v>543</v>
      </c>
      <c r="W283" s="45" t="s">
        <v>326</v>
      </c>
      <c r="X283" s="45" t="b">
        <v>1</v>
      </c>
      <c r="Y283" s="45" t="b">
        <v>1</v>
      </c>
      <c r="Z283" s="45" t="b">
        <v>1</v>
      </c>
      <c r="AA283" s="45" t="b">
        <v>0</v>
      </c>
      <c r="AB283" s="45" t="b">
        <v>1</v>
      </c>
      <c r="AC283" s="45" t="b">
        <v>1</v>
      </c>
      <c r="AD283" s="45" t="b">
        <v>1</v>
      </c>
      <c r="AE283" s="45" t="b">
        <v>1</v>
      </c>
      <c r="AF283" s="45" t="s">
        <v>309</v>
      </c>
      <c r="AG283" s="45" t="b">
        <v>1</v>
      </c>
      <c r="AH283" s="45" t="b">
        <v>1</v>
      </c>
    </row>
    <row r="284" spans="22:34" x14ac:dyDescent="0.25">
      <c r="V284" t="s">
        <v>543</v>
      </c>
      <c r="W284" s="45" t="s">
        <v>326</v>
      </c>
      <c r="X284" s="45" t="b">
        <v>1</v>
      </c>
      <c r="Y284" s="45" t="b">
        <v>1</v>
      </c>
      <c r="Z284" s="45" t="b">
        <v>1</v>
      </c>
      <c r="AA284" s="45" t="b">
        <v>0</v>
      </c>
      <c r="AB284" s="45" t="b">
        <v>1</v>
      </c>
      <c r="AC284" s="45" t="b">
        <v>1</v>
      </c>
      <c r="AD284" s="45" t="b">
        <v>1</v>
      </c>
      <c r="AE284" s="45" t="b">
        <v>1</v>
      </c>
      <c r="AF284" s="45" t="s">
        <v>310</v>
      </c>
      <c r="AG284" s="45" t="b">
        <v>1</v>
      </c>
      <c r="AH284" s="45" t="b">
        <v>1</v>
      </c>
    </row>
    <row r="285" spans="22:34" x14ac:dyDescent="0.25">
      <c r="V285" t="s">
        <v>543</v>
      </c>
      <c r="W285" s="45" t="s">
        <v>326</v>
      </c>
      <c r="X285" s="45" t="b">
        <v>1</v>
      </c>
      <c r="Y285" s="45" t="b">
        <v>1</v>
      </c>
      <c r="Z285" s="45" t="b">
        <v>1</v>
      </c>
      <c r="AA285" s="45" t="b">
        <v>0</v>
      </c>
      <c r="AB285" s="45" t="b">
        <v>1</v>
      </c>
      <c r="AC285" s="45" t="b">
        <v>1</v>
      </c>
      <c r="AD285" s="45" t="b">
        <v>1</v>
      </c>
      <c r="AE285" s="45" t="b">
        <v>1</v>
      </c>
      <c r="AF285" s="45" t="s">
        <v>311</v>
      </c>
      <c r="AG285" s="45" t="b">
        <v>1</v>
      </c>
      <c r="AH285" s="45" t="b">
        <v>1</v>
      </c>
    </row>
    <row r="286" spans="22:34" x14ac:dyDescent="0.25">
      <c r="V286" t="s">
        <v>543</v>
      </c>
      <c r="W286" s="45" t="s">
        <v>326</v>
      </c>
      <c r="X286" s="45" t="b">
        <v>1</v>
      </c>
      <c r="Y286" s="45" t="b">
        <v>1</v>
      </c>
      <c r="Z286" s="45" t="b">
        <v>1</v>
      </c>
      <c r="AA286" s="45" t="b">
        <v>0</v>
      </c>
      <c r="AB286" s="45" t="b">
        <v>1</v>
      </c>
      <c r="AC286" s="45" t="b">
        <v>1</v>
      </c>
      <c r="AD286" s="45" t="b">
        <v>1</v>
      </c>
      <c r="AE286" s="45" t="b">
        <v>1</v>
      </c>
      <c r="AF286" s="45" t="s">
        <v>312</v>
      </c>
      <c r="AG286" s="45" t="b">
        <v>1</v>
      </c>
      <c r="AH286" s="45" t="b">
        <v>1</v>
      </c>
    </row>
    <row r="287" spans="22:34" x14ac:dyDescent="0.25">
      <c r="V287" t="s">
        <v>543</v>
      </c>
      <c r="W287" s="45" t="s">
        <v>326</v>
      </c>
      <c r="X287" s="45" t="b">
        <v>1</v>
      </c>
      <c r="Y287" s="45" t="b">
        <v>1</v>
      </c>
      <c r="Z287" s="45" t="b">
        <v>1</v>
      </c>
      <c r="AA287" s="45" t="b">
        <v>0</v>
      </c>
      <c r="AB287" s="45" t="b">
        <v>1</v>
      </c>
      <c r="AC287" s="45" t="b">
        <v>1</v>
      </c>
      <c r="AD287" s="45" t="b">
        <v>1</v>
      </c>
      <c r="AE287" s="45" t="b">
        <v>1</v>
      </c>
      <c r="AF287" s="45" t="s">
        <v>313</v>
      </c>
      <c r="AG287" s="45" t="b">
        <v>1</v>
      </c>
      <c r="AH287" s="45" t="b">
        <v>1</v>
      </c>
    </row>
    <row r="288" spans="22:34" x14ac:dyDescent="0.25">
      <c r="V288" t="s">
        <v>543</v>
      </c>
      <c r="W288" s="45" t="s">
        <v>326</v>
      </c>
      <c r="X288" s="45" t="b">
        <v>1</v>
      </c>
      <c r="Y288" s="45" t="b">
        <v>1</v>
      </c>
      <c r="Z288" s="45" t="b">
        <v>1</v>
      </c>
      <c r="AA288" s="45" t="b">
        <v>0</v>
      </c>
      <c r="AB288" s="45" t="b">
        <v>1</v>
      </c>
      <c r="AC288" s="45" t="b">
        <v>1</v>
      </c>
      <c r="AD288" s="45" t="b">
        <v>1</v>
      </c>
      <c r="AE288" s="45" t="b">
        <v>1</v>
      </c>
      <c r="AF288" s="45" t="s">
        <v>314</v>
      </c>
      <c r="AG288" s="45" t="b">
        <v>1</v>
      </c>
      <c r="AH288" s="45" t="b">
        <v>1</v>
      </c>
    </row>
    <row r="289" spans="22:34" x14ac:dyDescent="0.25">
      <c r="V289" t="s">
        <v>543</v>
      </c>
      <c r="W289" s="45" t="s">
        <v>326</v>
      </c>
      <c r="X289" s="45" t="b">
        <v>1</v>
      </c>
      <c r="Y289" s="45" t="b">
        <v>1</v>
      </c>
      <c r="Z289" s="45" t="b">
        <v>1</v>
      </c>
      <c r="AA289" s="45" t="b">
        <v>0</v>
      </c>
      <c r="AB289" s="45" t="b">
        <v>1</v>
      </c>
      <c r="AC289" s="45" t="b">
        <v>1</v>
      </c>
      <c r="AD289" s="45" t="b">
        <v>1</v>
      </c>
      <c r="AE289" s="45" t="b">
        <v>1</v>
      </c>
      <c r="AF289" s="45" t="s">
        <v>315</v>
      </c>
      <c r="AG289" s="45" t="b">
        <v>1</v>
      </c>
      <c r="AH289" s="45" t="b">
        <v>1</v>
      </c>
    </row>
    <row r="290" spans="22:34" x14ac:dyDescent="0.25">
      <c r="V290" t="s">
        <v>543</v>
      </c>
      <c r="W290" s="45" t="s">
        <v>326</v>
      </c>
      <c r="X290" s="45" t="b">
        <v>1</v>
      </c>
      <c r="Y290" s="45" t="b">
        <v>1</v>
      </c>
      <c r="Z290" s="45" t="b">
        <v>1</v>
      </c>
      <c r="AA290" s="45" t="b">
        <v>0</v>
      </c>
      <c r="AB290" s="45" t="b">
        <v>1</v>
      </c>
      <c r="AC290" s="45" t="b">
        <v>1</v>
      </c>
      <c r="AD290" s="45" t="b">
        <v>1</v>
      </c>
      <c r="AE290" s="45" t="b">
        <v>1</v>
      </c>
      <c r="AF290" s="45" t="s">
        <v>316</v>
      </c>
      <c r="AG290" s="45" t="b">
        <v>1</v>
      </c>
      <c r="AH290" s="45" t="b">
        <v>1</v>
      </c>
    </row>
    <row r="291" spans="22:34" x14ac:dyDescent="0.25">
      <c r="V291" t="s">
        <v>543</v>
      </c>
      <c r="W291" s="45" t="s">
        <v>326</v>
      </c>
      <c r="X291" s="45" t="b">
        <v>1</v>
      </c>
      <c r="Y291" s="45" t="b">
        <v>1</v>
      </c>
      <c r="Z291" s="45" t="b">
        <v>1</v>
      </c>
      <c r="AA291" s="45" t="b">
        <v>0</v>
      </c>
      <c r="AB291" s="45" t="b">
        <v>1</v>
      </c>
      <c r="AC291" s="45" t="b">
        <v>1</v>
      </c>
      <c r="AD291" s="45" t="b">
        <v>1</v>
      </c>
      <c r="AE291" s="45" t="b">
        <v>1</v>
      </c>
      <c r="AF291" s="45" t="s">
        <v>317</v>
      </c>
      <c r="AG291" s="45" t="b">
        <v>1</v>
      </c>
      <c r="AH291" s="45" t="b">
        <v>1</v>
      </c>
    </row>
    <row r="292" spans="22:34" x14ac:dyDescent="0.25">
      <c r="V292" t="s">
        <v>543</v>
      </c>
      <c r="W292" s="45" t="s">
        <v>326</v>
      </c>
      <c r="X292" s="45" t="b">
        <v>1</v>
      </c>
      <c r="Y292" s="45" t="b">
        <v>1</v>
      </c>
      <c r="Z292" s="45" t="b">
        <v>1</v>
      </c>
      <c r="AA292" s="45" t="b">
        <v>0</v>
      </c>
      <c r="AB292" s="45" t="b">
        <v>1</v>
      </c>
      <c r="AC292" s="45" t="b">
        <v>1</v>
      </c>
      <c r="AD292" s="45" t="b">
        <v>1</v>
      </c>
      <c r="AE292" s="45" t="b">
        <v>1</v>
      </c>
      <c r="AF292" s="45" t="s">
        <v>318</v>
      </c>
      <c r="AG292" s="45" t="b">
        <v>1</v>
      </c>
      <c r="AH292" s="45" t="b">
        <v>1</v>
      </c>
    </row>
    <row r="293" spans="22:34" x14ac:dyDescent="0.25">
      <c r="V293" t="s">
        <v>543</v>
      </c>
      <c r="W293" s="45" t="s">
        <v>326</v>
      </c>
      <c r="X293" s="45" t="b">
        <v>1</v>
      </c>
      <c r="Y293" s="45" t="b">
        <v>1</v>
      </c>
      <c r="Z293" s="45" t="b">
        <v>1</v>
      </c>
      <c r="AA293" s="45" t="b">
        <v>0</v>
      </c>
      <c r="AB293" s="45" t="b">
        <v>1</v>
      </c>
      <c r="AC293" s="45" t="b">
        <v>1</v>
      </c>
      <c r="AD293" s="45" t="b">
        <v>1</v>
      </c>
      <c r="AE293" s="45" t="b">
        <v>1</v>
      </c>
      <c r="AF293" s="45" t="s">
        <v>319</v>
      </c>
      <c r="AG293" s="45" t="b">
        <v>1</v>
      </c>
      <c r="AH293" s="45" t="b">
        <v>1</v>
      </c>
    </row>
    <row r="294" spans="22:34" x14ac:dyDescent="0.25">
      <c r="V294" t="s">
        <v>544</v>
      </c>
      <c r="W294" s="45" t="s">
        <v>327</v>
      </c>
      <c r="X294" s="45" t="b">
        <v>1</v>
      </c>
      <c r="Y294" s="45" t="b">
        <v>0</v>
      </c>
      <c r="Z294" s="45" t="b">
        <v>0</v>
      </c>
      <c r="AA294" s="45" t="b">
        <v>0</v>
      </c>
      <c r="AB294" s="45" t="b">
        <v>0</v>
      </c>
      <c r="AC294" s="45" t="b">
        <v>0</v>
      </c>
      <c r="AD294" s="45" t="b">
        <v>0</v>
      </c>
      <c r="AE294" s="45" t="b">
        <v>1</v>
      </c>
      <c r="AF294" s="45" t="s">
        <v>295</v>
      </c>
      <c r="AG294" s="45" t="b">
        <v>0</v>
      </c>
      <c r="AH294" s="45" t="b">
        <v>0</v>
      </c>
    </row>
    <row r="295" spans="22:34" x14ac:dyDescent="0.25">
      <c r="V295" t="s">
        <v>544</v>
      </c>
      <c r="W295" s="45" t="s">
        <v>327</v>
      </c>
      <c r="X295" s="45" t="b">
        <v>1</v>
      </c>
      <c r="Y295" s="45" t="b">
        <v>0</v>
      </c>
      <c r="Z295" s="45" t="b">
        <v>0</v>
      </c>
      <c r="AA295" s="45" t="b">
        <v>0</v>
      </c>
      <c r="AB295" s="45" t="b">
        <v>0</v>
      </c>
      <c r="AC295" s="45" t="b">
        <v>0</v>
      </c>
      <c r="AD295" s="45" t="b">
        <v>0</v>
      </c>
      <c r="AE295" s="45" t="b">
        <v>1</v>
      </c>
      <c r="AF295" s="45" t="s">
        <v>297</v>
      </c>
      <c r="AG295" s="45" t="b">
        <v>0</v>
      </c>
      <c r="AH295" s="45" t="b">
        <v>0</v>
      </c>
    </row>
    <row r="296" spans="22:34" x14ac:dyDescent="0.25">
      <c r="V296" t="s">
        <v>544</v>
      </c>
      <c r="W296" s="45" t="s">
        <v>327</v>
      </c>
      <c r="X296" s="45" t="b">
        <v>1</v>
      </c>
      <c r="Y296" s="45" t="b">
        <v>0</v>
      </c>
      <c r="Z296" s="45" t="b">
        <v>0</v>
      </c>
      <c r="AA296" s="45" t="b">
        <v>0</v>
      </c>
      <c r="AB296" s="45" t="b">
        <v>0</v>
      </c>
      <c r="AC296" s="45" t="b">
        <v>0</v>
      </c>
      <c r="AD296" s="45" t="b">
        <v>0</v>
      </c>
      <c r="AE296" s="45" t="b">
        <v>1</v>
      </c>
      <c r="AF296" s="45" t="s">
        <v>112</v>
      </c>
      <c r="AG296" s="45" t="b">
        <v>0</v>
      </c>
      <c r="AH296" s="45" t="b">
        <v>0</v>
      </c>
    </row>
    <row r="297" spans="22:34" x14ac:dyDescent="0.25">
      <c r="V297" t="s">
        <v>544</v>
      </c>
      <c r="W297" s="45" t="s">
        <v>327</v>
      </c>
      <c r="X297" s="45" t="b">
        <v>1</v>
      </c>
      <c r="Y297" s="45" t="b">
        <v>0</v>
      </c>
      <c r="Z297" s="45" t="b">
        <v>0</v>
      </c>
      <c r="AA297" s="45" t="b">
        <v>0</v>
      </c>
      <c r="AB297" s="45" t="b">
        <v>0</v>
      </c>
      <c r="AC297" s="45" t="b">
        <v>0</v>
      </c>
      <c r="AD297" s="45" t="b">
        <v>0</v>
      </c>
      <c r="AE297" s="45" t="b">
        <v>1</v>
      </c>
      <c r="AF297" s="45" t="s">
        <v>114</v>
      </c>
      <c r="AG297" s="45" t="b">
        <v>0</v>
      </c>
      <c r="AH297" s="45" t="b">
        <v>0</v>
      </c>
    </row>
    <row r="298" spans="22:34" x14ac:dyDescent="0.25">
      <c r="V298" t="s">
        <v>544</v>
      </c>
      <c r="W298" s="45" t="s">
        <v>327</v>
      </c>
      <c r="X298" s="45" t="b">
        <v>1</v>
      </c>
      <c r="Y298" s="45" t="b">
        <v>0</v>
      </c>
      <c r="Z298" s="45" t="b">
        <v>0</v>
      </c>
      <c r="AA298" s="45" t="b">
        <v>0</v>
      </c>
      <c r="AB298" s="45" t="b">
        <v>0</v>
      </c>
      <c r="AC298" s="45" t="b">
        <v>0</v>
      </c>
      <c r="AD298" s="45" t="b">
        <v>0</v>
      </c>
      <c r="AE298" s="45" t="b">
        <v>1</v>
      </c>
      <c r="AF298" s="45" t="s">
        <v>115</v>
      </c>
      <c r="AG298" s="45" t="b">
        <v>0</v>
      </c>
      <c r="AH298" s="45" t="b">
        <v>0</v>
      </c>
    </row>
    <row r="299" spans="22:34" x14ac:dyDescent="0.25">
      <c r="V299" t="s">
        <v>544</v>
      </c>
      <c r="W299" s="45" t="s">
        <v>327</v>
      </c>
      <c r="X299" s="45" t="b">
        <v>1</v>
      </c>
      <c r="Y299" s="45" t="b">
        <v>0</v>
      </c>
      <c r="Z299" s="45" t="b">
        <v>0</v>
      </c>
      <c r="AA299" s="45" t="b">
        <v>0</v>
      </c>
      <c r="AB299" s="45" t="b">
        <v>0</v>
      </c>
      <c r="AC299" s="45" t="b">
        <v>0</v>
      </c>
      <c r="AD299" s="45" t="b">
        <v>0</v>
      </c>
      <c r="AE299" s="45" t="b">
        <v>1</v>
      </c>
      <c r="AF299" s="45" t="s">
        <v>116</v>
      </c>
      <c r="AG299" s="45" t="b">
        <v>0</v>
      </c>
      <c r="AH299" s="45" t="b">
        <v>0</v>
      </c>
    </row>
    <row r="300" spans="22:34" x14ac:dyDescent="0.25">
      <c r="V300" t="s">
        <v>544</v>
      </c>
      <c r="W300" s="45" t="s">
        <v>327</v>
      </c>
      <c r="X300" s="45" t="b">
        <v>1</v>
      </c>
      <c r="Y300" s="45" t="b">
        <v>0</v>
      </c>
      <c r="Z300" s="45" t="b">
        <v>0</v>
      </c>
      <c r="AA300" s="45" t="b">
        <v>0</v>
      </c>
      <c r="AB300" s="45" t="b">
        <v>0</v>
      </c>
      <c r="AC300" s="45" t="b">
        <v>0</v>
      </c>
      <c r="AD300" s="45" t="b">
        <v>0</v>
      </c>
      <c r="AE300" s="45" t="b">
        <v>1</v>
      </c>
      <c r="AF300" s="45" t="s">
        <v>298</v>
      </c>
      <c r="AG300" s="45" t="b">
        <v>0</v>
      </c>
      <c r="AH300" s="45" t="b">
        <v>0</v>
      </c>
    </row>
    <row r="301" spans="22:34" x14ac:dyDescent="0.25">
      <c r="V301" t="s">
        <v>544</v>
      </c>
      <c r="W301" s="45" t="s">
        <v>327</v>
      </c>
      <c r="X301" s="45" t="b">
        <v>1</v>
      </c>
      <c r="Y301" s="45" t="b">
        <v>0</v>
      </c>
      <c r="Z301" s="45" t="b">
        <v>0</v>
      </c>
      <c r="AA301" s="45" t="b">
        <v>0</v>
      </c>
      <c r="AB301" s="45" t="b">
        <v>0</v>
      </c>
      <c r="AC301" s="45" t="b">
        <v>0</v>
      </c>
      <c r="AD301" s="45" t="b">
        <v>0</v>
      </c>
      <c r="AE301" s="45" t="b">
        <v>1</v>
      </c>
      <c r="AF301" s="45" t="s">
        <v>299</v>
      </c>
      <c r="AG301" s="45" t="b">
        <v>0</v>
      </c>
      <c r="AH301" s="45" t="b">
        <v>0</v>
      </c>
    </row>
    <row r="302" spans="22:34" x14ac:dyDescent="0.25">
      <c r="V302" t="s">
        <v>544</v>
      </c>
      <c r="W302" s="45" t="s">
        <v>327</v>
      </c>
      <c r="X302" s="45" t="b">
        <v>1</v>
      </c>
      <c r="Y302" s="45" t="b">
        <v>0</v>
      </c>
      <c r="Z302" s="45" t="b">
        <v>0</v>
      </c>
      <c r="AA302" s="45" t="b">
        <v>0</v>
      </c>
      <c r="AB302" s="45" t="b">
        <v>0</v>
      </c>
      <c r="AC302" s="45" t="b">
        <v>0</v>
      </c>
      <c r="AD302" s="45" t="b">
        <v>0</v>
      </c>
      <c r="AE302" s="45" t="b">
        <v>1</v>
      </c>
      <c r="AF302" s="45" t="s">
        <v>414</v>
      </c>
      <c r="AG302" s="45" t="b">
        <v>0</v>
      </c>
      <c r="AH302" s="45" t="b">
        <v>0</v>
      </c>
    </row>
    <row r="303" spans="22:34" x14ac:dyDescent="0.25">
      <c r="V303" t="s">
        <v>544</v>
      </c>
      <c r="W303" s="45" t="s">
        <v>327</v>
      </c>
      <c r="X303" s="45" t="b">
        <v>1</v>
      </c>
      <c r="Y303" s="45" t="b">
        <v>0</v>
      </c>
      <c r="Z303" s="45" t="b">
        <v>0</v>
      </c>
      <c r="AA303" s="45" t="b">
        <v>0</v>
      </c>
      <c r="AB303" s="45" t="b">
        <v>0</v>
      </c>
      <c r="AC303" s="45" t="b">
        <v>0</v>
      </c>
      <c r="AD303" s="45" t="b">
        <v>0</v>
      </c>
      <c r="AE303" s="45" t="b">
        <v>1</v>
      </c>
      <c r="AF303" s="45" t="s">
        <v>118</v>
      </c>
      <c r="AG303" s="45" t="b">
        <v>0</v>
      </c>
      <c r="AH303" s="45" t="b">
        <v>0</v>
      </c>
    </row>
    <row r="304" spans="22:34" x14ac:dyDescent="0.25">
      <c r="V304" t="s">
        <v>544</v>
      </c>
      <c r="W304" s="45" t="s">
        <v>327</v>
      </c>
      <c r="X304" s="45" t="b">
        <v>1</v>
      </c>
      <c r="Y304" s="45" t="b">
        <v>0</v>
      </c>
      <c r="Z304" s="45" t="b">
        <v>0</v>
      </c>
      <c r="AA304" s="45" t="b">
        <v>0</v>
      </c>
      <c r="AB304" s="45" t="b">
        <v>0</v>
      </c>
      <c r="AC304" s="45" t="b">
        <v>0</v>
      </c>
      <c r="AD304" s="45" t="b">
        <v>0</v>
      </c>
      <c r="AE304" s="45" t="b">
        <v>1</v>
      </c>
      <c r="AF304" s="45" t="s">
        <v>119</v>
      </c>
      <c r="AG304" s="45" t="b">
        <v>0</v>
      </c>
      <c r="AH304" s="45" t="b">
        <v>0</v>
      </c>
    </row>
    <row r="305" spans="22:34" x14ac:dyDescent="0.25">
      <c r="V305" t="s">
        <v>544</v>
      </c>
      <c r="W305" s="45" t="s">
        <v>327</v>
      </c>
      <c r="X305" s="45" t="b">
        <v>1</v>
      </c>
      <c r="Y305" s="45" t="b">
        <v>0</v>
      </c>
      <c r="Z305" s="45" t="b">
        <v>0</v>
      </c>
      <c r="AA305" s="45" t="b">
        <v>0</v>
      </c>
      <c r="AB305" s="45" t="b">
        <v>0</v>
      </c>
      <c r="AC305" s="45" t="b">
        <v>0</v>
      </c>
      <c r="AD305" s="45" t="b">
        <v>0</v>
      </c>
      <c r="AE305" s="45" t="b">
        <v>1</v>
      </c>
      <c r="AF305" s="45" t="s">
        <v>300</v>
      </c>
      <c r="AG305" s="45" t="b">
        <v>0</v>
      </c>
      <c r="AH305" s="45" t="b">
        <v>0</v>
      </c>
    </row>
    <row r="306" spans="22:34" x14ac:dyDescent="0.25">
      <c r="V306" t="s">
        <v>544</v>
      </c>
      <c r="W306" s="45" t="s">
        <v>327</v>
      </c>
      <c r="X306" s="45" t="b">
        <v>1</v>
      </c>
      <c r="Y306" s="45" t="b">
        <v>0</v>
      </c>
      <c r="Z306" s="45" t="b">
        <v>0</v>
      </c>
      <c r="AA306" s="45" t="b">
        <v>0</v>
      </c>
      <c r="AB306" s="45" t="b">
        <v>0</v>
      </c>
      <c r="AC306" s="45" t="b">
        <v>0</v>
      </c>
      <c r="AD306" s="45" t="b">
        <v>0</v>
      </c>
      <c r="AE306" s="45" t="b">
        <v>1</v>
      </c>
      <c r="AF306" s="45" t="s">
        <v>301</v>
      </c>
      <c r="AG306" s="45" t="b">
        <v>0</v>
      </c>
      <c r="AH306" s="45" t="b">
        <v>0</v>
      </c>
    </row>
    <row r="307" spans="22:34" x14ac:dyDescent="0.25">
      <c r="V307" t="s">
        <v>544</v>
      </c>
      <c r="W307" s="45" t="s">
        <v>327</v>
      </c>
      <c r="X307" s="45" t="b">
        <v>1</v>
      </c>
      <c r="Y307" s="45" t="b">
        <v>0</v>
      </c>
      <c r="Z307" s="45" t="b">
        <v>0</v>
      </c>
      <c r="AA307" s="45" t="b">
        <v>0</v>
      </c>
      <c r="AB307" s="45" t="b">
        <v>0</v>
      </c>
      <c r="AC307" s="45" t="b">
        <v>0</v>
      </c>
      <c r="AD307" s="45" t="b">
        <v>0</v>
      </c>
      <c r="AE307" s="45" t="b">
        <v>1</v>
      </c>
      <c r="AF307" s="45" t="s">
        <v>120</v>
      </c>
      <c r="AG307" s="45" t="b">
        <v>0</v>
      </c>
      <c r="AH307" s="45" t="b">
        <v>0</v>
      </c>
    </row>
    <row r="308" spans="22:34" x14ac:dyDescent="0.25">
      <c r="V308" t="s">
        <v>544</v>
      </c>
      <c r="W308" s="45" t="s">
        <v>327</v>
      </c>
      <c r="X308" s="45" t="b">
        <v>1</v>
      </c>
      <c r="Y308" s="45" t="b">
        <v>0</v>
      </c>
      <c r="Z308" s="45" t="b">
        <v>0</v>
      </c>
      <c r="AA308" s="45" t="b">
        <v>0</v>
      </c>
      <c r="AB308" s="45" t="b">
        <v>0</v>
      </c>
      <c r="AC308" s="45" t="b">
        <v>0</v>
      </c>
      <c r="AD308" s="45" t="b">
        <v>0</v>
      </c>
      <c r="AE308" s="45" t="b">
        <v>1</v>
      </c>
      <c r="AF308" s="45" t="s">
        <v>302</v>
      </c>
      <c r="AG308" s="45" t="b">
        <v>0</v>
      </c>
      <c r="AH308" s="45" t="b">
        <v>0</v>
      </c>
    </row>
    <row r="309" spans="22:34" x14ac:dyDescent="0.25">
      <c r="V309" t="s">
        <v>544</v>
      </c>
      <c r="W309" s="45" t="s">
        <v>327</v>
      </c>
      <c r="X309" s="45" t="b">
        <v>1</v>
      </c>
      <c r="Y309" s="45" t="b">
        <v>0</v>
      </c>
      <c r="Z309" s="45" t="b">
        <v>0</v>
      </c>
      <c r="AA309" s="45" t="b">
        <v>0</v>
      </c>
      <c r="AB309" s="45" t="b">
        <v>0</v>
      </c>
      <c r="AC309" s="45" t="b">
        <v>0</v>
      </c>
      <c r="AD309" s="45" t="b">
        <v>0</v>
      </c>
      <c r="AE309" s="45" t="b">
        <v>1</v>
      </c>
      <c r="AF309" s="45" t="s">
        <v>303</v>
      </c>
      <c r="AG309" s="45" t="b">
        <v>0</v>
      </c>
      <c r="AH309" s="45" t="b">
        <v>0</v>
      </c>
    </row>
    <row r="310" spans="22:34" x14ac:dyDescent="0.25">
      <c r="V310" t="s">
        <v>544</v>
      </c>
      <c r="W310" s="45" t="s">
        <v>327</v>
      </c>
      <c r="X310" s="45" t="b">
        <v>1</v>
      </c>
      <c r="Y310" s="45" t="b">
        <v>0</v>
      </c>
      <c r="Z310" s="45" t="b">
        <v>0</v>
      </c>
      <c r="AA310" s="45" t="b">
        <v>0</v>
      </c>
      <c r="AB310" s="45" t="b">
        <v>0</v>
      </c>
      <c r="AC310" s="45" t="b">
        <v>0</v>
      </c>
      <c r="AD310" s="45" t="b">
        <v>0</v>
      </c>
      <c r="AE310" s="45" t="b">
        <v>1</v>
      </c>
      <c r="AF310" s="45" t="s">
        <v>304</v>
      </c>
      <c r="AG310" s="45" t="b">
        <v>0</v>
      </c>
      <c r="AH310" s="45" t="b">
        <v>0</v>
      </c>
    </row>
    <row r="311" spans="22:34" x14ac:dyDescent="0.25">
      <c r="V311" t="s">
        <v>544</v>
      </c>
      <c r="W311" s="45" t="s">
        <v>327</v>
      </c>
      <c r="X311" s="45" t="b">
        <v>1</v>
      </c>
      <c r="Y311" s="45" t="b">
        <v>0</v>
      </c>
      <c r="Z311" s="45" t="b">
        <v>0</v>
      </c>
      <c r="AA311" s="45" t="b">
        <v>0</v>
      </c>
      <c r="AB311" s="45" t="b">
        <v>0</v>
      </c>
      <c r="AC311" s="45" t="b">
        <v>0</v>
      </c>
      <c r="AD311" s="45" t="b">
        <v>0</v>
      </c>
      <c r="AE311" s="45" t="b">
        <v>1</v>
      </c>
      <c r="AF311" s="45" t="s">
        <v>305</v>
      </c>
      <c r="AG311" s="45" t="b">
        <v>0</v>
      </c>
      <c r="AH311" s="45" t="b">
        <v>0</v>
      </c>
    </row>
    <row r="312" spans="22:34" x14ac:dyDescent="0.25">
      <c r="V312" t="s">
        <v>544</v>
      </c>
      <c r="W312" s="45" t="s">
        <v>327</v>
      </c>
      <c r="X312" s="45" t="b">
        <v>1</v>
      </c>
      <c r="Y312" s="45" t="b">
        <v>0</v>
      </c>
      <c r="Z312" s="45" t="b">
        <v>0</v>
      </c>
      <c r="AA312" s="45" t="b">
        <v>0</v>
      </c>
      <c r="AB312" s="45" t="b">
        <v>0</v>
      </c>
      <c r="AC312" s="45" t="b">
        <v>0</v>
      </c>
      <c r="AD312" s="45" t="b">
        <v>0</v>
      </c>
      <c r="AE312" s="45" t="b">
        <v>1</v>
      </c>
      <c r="AF312" s="45" t="s">
        <v>306</v>
      </c>
      <c r="AG312" s="45" t="b">
        <v>0</v>
      </c>
      <c r="AH312" s="45" t="b">
        <v>0</v>
      </c>
    </row>
    <row r="313" spans="22:34" x14ac:dyDescent="0.25">
      <c r="V313" t="s">
        <v>544</v>
      </c>
      <c r="W313" s="45" t="s">
        <v>327</v>
      </c>
      <c r="X313" s="45" t="b">
        <v>1</v>
      </c>
      <c r="Y313" s="45" t="b">
        <v>0</v>
      </c>
      <c r="Z313" s="45" t="b">
        <v>0</v>
      </c>
      <c r="AA313" s="45" t="b">
        <v>0</v>
      </c>
      <c r="AB313" s="45" t="b">
        <v>0</v>
      </c>
      <c r="AC313" s="45" t="b">
        <v>0</v>
      </c>
      <c r="AD313" s="45" t="b">
        <v>0</v>
      </c>
      <c r="AE313" s="45" t="b">
        <v>1</v>
      </c>
      <c r="AF313" s="45" t="s">
        <v>307</v>
      </c>
      <c r="AG313" s="45" t="b">
        <v>0</v>
      </c>
      <c r="AH313" s="45" t="b">
        <v>0</v>
      </c>
    </row>
    <row r="314" spans="22:34" x14ac:dyDescent="0.25">
      <c r="V314" t="s">
        <v>544</v>
      </c>
      <c r="W314" s="45" t="s">
        <v>327</v>
      </c>
      <c r="X314" s="45" t="b">
        <v>1</v>
      </c>
      <c r="Y314" s="45" t="b">
        <v>0</v>
      </c>
      <c r="Z314" s="45" t="b">
        <v>0</v>
      </c>
      <c r="AA314" s="45" t="b">
        <v>0</v>
      </c>
      <c r="AB314" s="45" t="b">
        <v>0</v>
      </c>
      <c r="AC314" s="45" t="b">
        <v>0</v>
      </c>
      <c r="AD314" s="45" t="b">
        <v>0</v>
      </c>
      <c r="AE314" s="45" t="b">
        <v>1</v>
      </c>
      <c r="AF314" s="45" t="s">
        <v>308</v>
      </c>
      <c r="AG314" s="45" t="b">
        <v>0</v>
      </c>
      <c r="AH314" s="45" t="b">
        <v>0</v>
      </c>
    </row>
    <row r="315" spans="22:34" x14ac:dyDescent="0.25">
      <c r="V315" t="s">
        <v>544</v>
      </c>
      <c r="W315" s="45" t="s">
        <v>327</v>
      </c>
      <c r="X315" s="45" t="b">
        <v>1</v>
      </c>
      <c r="Y315" s="45" t="b">
        <v>0</v>
      </c>
      <c r="Z315" s="45" t="b">
        <v>0</v>
      </c>
      <c r="AA315" s="45" t="b">
        <v>0</v>
      </c>
      <c r="AB315" s="45" t="b">
        <v>0</v>
      </c>
      <c r="AC315" s="45" t="b">
        <v>0</v>
      </c>
      <c r="AD315" s="45" t="b">
        <v>0</v>
      </c>
      <c r="AE315" s="45" t="b">
        <v>1</v>
      </c>
      <c r="AF315" s="45" t="s">
        <v>309</v>
      </c>
      <c r="AG315" s="45" t="b">
        <v>0</v>
      </c>
      <c r="AH315" s="45" t="b">
        <v>0</v>
      </c>
    </row>
    <row r="316" spans="22:34" x14ac:dyDescent="0.25">
      <c r="V316" t="s">
        <v>544</v>
      </c>
      <c r="W316" s="45" t="s">
        <v>327</v>
      </c>
      <c r="X316" s="45" t="b">
        <v>1</v>
      </c>
      <c r="Y316" s="45" t="b">
        <v>0</v>
      </c>
      <c r="Z316" s="45" t="b">
        <v>0</v>
      </c>
      <c r="AA316" s="45" t="b">
        <v>0</v>
      </c>
      <c r="AB316" s="45" t="b">
        <v>0</v>
      </c>
      <c r="AC316" s="45" t="b">
        <v>0</v>
      </c>
      <c r="AD316" s="45" t="b">
        <v>0</v>
      </c>
      <c r="AE316" s="45" t="b">
        <v>1</v>
      </c>
      <c r="AF316" s="45" t="s">
        <v>310</v>
      </c>
      <c r="AG316" s="45" t="b">
        <v>0</v>
      </c>
      <c r="AH316" s="45" t="b">
        <v>0</v>
      </c>
    </row>
    <row r="317" spans="22:34" x14ac:dyDescent="0.25">
      <c r="V317" t="s">
        <v>544</v>
      </c>
      <c r="W317" s="45" t="s">
        <v>327</v>
      </c>
      <c r="X317" s="45" t="b">
        <v>1</v>
      </c>
      <c r="Y317" s="45" t="b">
        <v>0</v>
      </c>
      <c r="Z317" s="45" t="b">
        <v>0</v>
      </c>
      <c r="AA317" s="45" t="b">
        <v>0</v>
      </c>
      <c r="AB317" s="45" t="b">
        <v>0</v>
      </c>
      <c r="AC317" s="45" t="b">
        <v>0</v>
      </c>
      <c r="AD317" s="45" t="b">
        <v>0</v>
      </c>
      <c r="AE317" s="45" t="b">
        <v>1</v>
      </c>
      <c r="AF317" s="45" t="s">
        <v>311</v>
      </c>
      <c r="AG317" s="45" t="b">
        <v>0</v>
      </c>
      <c r="AH317" s="45" t="b">
        <v>0</v>
      </c>
    </row>
    <row r="318" spans="22:34" x14ac:dyDescent="0.25">
      <c r="V318" t="s">
        <v>544</v>
      </c>
      <c r="W318" s="45" t="s">
        <v>327</v>
      </c>
      <c r="X318" s="45" t="b">
        <v>1</v>
      </c>
      <c r="Y318" s="45" t="b">
        <v>0</v>
      </c>
      <c r="Z318" s="45" t="b">
        <v>0</v>
      </c>
      <c r="AA318" s="45" t="b">
        <v>0</v>
      </c>
      <c r="AB318" s="45" t="b">
        <v>0</v>
      </c>
      <c r="AC318" s="45" t="b">
        <v>0</v>
      </c>
      <c r="AD318" s="45" t="b">
        <v>0</v>
      </c>
      <c r="AE318" s="45" t="b">
        <v>1</v>
      </c>
      <c r="AF318" s="45" t="s">
        <v>312</v>
      </c>
      <c r="AG318" s="45" t="b">
        <v>0</v>
      </c>
      <c r="AH318" s="45" t="b">
        <v>0</v>
      </c>
    </row>
    <row r="319" spans="22:34" x14ac:dyDescent="0.25">
      <c r="V319" t="s">
        <v>544</v>
      </c>
      <c r="W319" s="45" t="s">
        <v>327</v>
      </c>
      <c r="X319" s="45" t="b">
        <v>1</v>
      </c>
      <c r="Y319" s="45" t="b">
        <v>0</v>
      </c>
      <c r="Z319" s="45" t="b">
        <v>0</v>
      </c>
      <c r="AA319" s="45" t="b">
        <v>0</v>
      </c>
      <c r="AB319" s="45" t="b">
        <v>0</v>
      </c>
      <c r="AC319" s="45" t="b">
        <v>0</v>
      </c>
      <c r="AD319" s="45" t="b">
        <v>0</v>
      </c>
      <c r="AE319" s="45" t="b">
        <v>1</v>
      </c>
      <c r="AF319" s="45" t="s">
        <v>313</v>
      </c>
      <c r="AG319" s="45" t="b">
        <v>0</v>
      </c>
      <c r="AH319" s="45" t="b">
        <v>0</v>
      </c>
    </row>
    <row r="320" spans="22:34" x14ac:dyDescent="0.25">
      <c r="V320" t="s">
        <v>544</v>
      </c>
      <c r="W320" s="45" t="s">
        <v>327</v>
      </c>
      <c r="X320" s="45" t="b">
        <v>1</v>
      </c>
      <c r="Y320" s="45" t="b">
        <v>0</v>
      </c>
      <c r="Z320" s="45" t="b">
        <v>0</v>
      </c>
      <c r="AA320" s="45" t="b">
        <v>0</v>
      </c>
      <c r="AB320" s="45" t="b">
        <v>0</v>
      </c>
      <c r="AC320" s="45" t="b">
        <v>0</v>
      </c>
      <c r="AD320" s="45" t="b">
        <v>0</v>
      </c>
      <c r="AE320" s="45" t="b">
        <v>1</v>
      </c>
      <c r="AF320" s="45" t="s">
        <v>314</v>
      </c>
      <c r="AG320" s="45" t="b">
        <v>0</v>
      </c>
      <c r="AH320" s="45" t="b">
        <v>0</v>
      </c>
    </row>
    <row r="321" spans="22:34" x14ac:dyDescent="0.25">
      <c r="V321" t="s">
        <v>544</v>
      </c>
      <c r="W321" s="45" t="s">
        <v>327</v>
      </c>
      <c r="X321" s="45" t="b">
        <v>1</v>
      </c>
      <c r="Y321" s="45" t="b">
        <v>0</v>
      </c>
      <c r="Z321" s="45" t="b">
        <v>0</v>
      </c>
      <c r="AA321" s="45" t="b">
        <v>0</v>
      </c>
      <c r="AB321" s="45" t="b">
        <v>0</v>
      </c>
      <c r="AC321" s="45" t="b">
        <v>0</v>
      </c>
      <c r="AD321" s="45" t="b">
        <v>0</v>
      </c>
      <c r="AE321" s="45" t="b">
        <v>1</v>
      </c>
      <c r="AF321" s="45" t="s">
        <v>315</v>
      </c>
      <c r="AG321" s="45" t="b">
        <v>0</v>
      </c>
      <c r="AH321" s="45" t="b">
        <v>0</v>
      </c>
    </row>
    <row r="322" spans="22:34" x14ac:dyDescent="0.25">
      <c r="V322" t="s">
        <v>544</v>
      </c>
      <c r="W322" s="45" t="s">
        <v>327</v>
      </c>
      <c r="X322" s="45" t="b">
        <v>1</v>
      </c>
      <c r="Y322" s="45" t="b">
        <v>0</v>
      </c>
      <c r="Z322" s="45" t="b">
        <v>0</v>
      </c>
      <c r="AA322" s="45" t="b">
        <v>0</v>
      </c>
      <c r="AB322" s="45" t="b">
        <v>0</v>
      </c>
      <c r="AC322" s="45" t="b">
        <v>0</v>
      </c>
      <c r="AD322" s="45" t="b">
        <v>0</v>
      </c>
      <c r="AE322" s="45" t="b">
        <v>1</v>
      </c>
      <c r="AF322" s="45" t="s">
        <v>316</v>
      </c>
      <c r="AG322" s="45" t="b">
        <v>0</v>
      </c>
      <c r="AH322" s="45" t="b">
        <v>0</v>
      </c>
    </row>
    <row r="323" spans="22:34" x14ac:dyDescent="0.25">
      <c r="V323" t="s">
        <v>544</v>
      </c>
      <c r="W323" s="45" t="s">
        <v>327</v>
      </c>
      <c r="X323" s="45" t="b">
        <v>1</v>
      </c>
      <c r="Y323" s="45" t="b">
        <v>0</v>
      </c>
      <c r="Z323" s="45" t="b">
        <v>0</v>
      </c>
      <c r="AA323" s="45" t="b">
        <v>0</v>
      </c>
      <c r="AB323" s="45" t="b">
        <v>0</v>
      </c>
      <c r="AC323" s="45" t="b">
        <v>0</v>
      </c>
      <c r="AD323" s="45" t="b">
        <v>0</v>
      </c>
      <c r="AE323" s="45" t="b">
        <v>1</v>
      </c>
      <c r="AF323" s="45" t="s">
        <v>317</v>
      </c>
      <c r="AG323" s="45" t="b">
        <v>0</v>
      </c>
      <c r="AH323" s="45" t="b">
        <v>0</v>
      </c>
    </row>
    <row r="324" spans="22:34" x14ac:dyDescent="0.25">
      <c r="V324" t="s">
        <v>544</v>
      </c>
      <c r="W324" s="45" t="s">
        <v>327</v>
      </c>
      <c r="X324" s="45" t="b">
        <v>1</v>
      </c>
      <c r="Y324" s="45" t="b">
        <v>0</v>
      </c>
      <c r="Z324" s="45" t="b">
        <v>0</v>
      </c>
      <c r="AA324" s="45" t="b">
        <v>0</v>
      </c>
      <c r="AB324" s="45" t="b">
        <v>0</v>
      </c>
      <c r="AC324" s="45" t="b">
        <v>0</v>
      </c>
      <c r="AD324" s="45" t="b">
        <v>0</v>
      </c>
      <c r="AE324" s="45" t="b">
        <v>1</v>
      </c>
      <c r="AF324" s="45" t="s">
        <v>318</v>
      </c>
      <c r="AG324" s="45" t="b">
        <v>0</v>
      </c>
      <c r="AH324" s="45" t="b">
        <v>0</v>
      </c>
    </row>
    <row r="325" spans="22:34" x14ac:dyDescent="0.25">
      <c r="V325" t="s">
        <v>544</v>
      </c>
      <c r="W325" s="45" t="s">
        <v>327</v>
      </c>
      <c r="X325" s="45" t="b">
        <v>1</v>
      </c>
      <c r="Y325" s="45" t="b">
        <v>0</v>
      </c>
      <c r="Z325" s="45" t="b">
        <v>0</v>
      </c>
      <c r="AA325" s="45" t="b">
        <v>0</v>
      </c>
      <c r="AB325" s="45" t="b">
        <v>0</v>
      </c>
      <c r="AC325" s="45" t="b">
        <v>0</v>
      </c>
      <c r="AD325" s="45" t="b">
        <v>0</v>
      </c>
      <c r="AE325" s="45" t="b">
        <v>1</v>
      </c>
      <c r="AF325" s="45" t="s">
        <v>319</v>
      </c>
      <c r="AG325" s="45" t="b">
        <v>0</v>
      </c>
      <c r="AH325" s="45" t="b">
        <v>0</v>
      </c>
    </row>
    <row r="326" spans="22:34" x14ac:dyDescent="0.25">
      <c r="V326" t="s">
        <v>545</v>
      </c>
      <c r="W326" s="45" t="s">
        <v>546</v>
      </c>
      <c r="X326" s="45" t="b">
        <v>1</v>
      </c>
      <c r="Y326" s="45" t="b">
        <v>0</v>
      </c>
      <c r="Z326" s="45" t="b">
        <v>1</v>
      </c>
      <c r="AA326" s="45" t="b">
        <v>0</v>
      </c>
      <c r="AB326" s="45" t="b">
        <v>1</v>
      </c>
      <c r="AC326" s="45" t="b">
        <v>1</v>
      </c>
      <c r="AD326" s="45" t="b">
        <v>1</v>
      </c>
      <c r="AE326" s="45" t="b">
        <v>0</v>
      </c>
      <c r="AF326" s="45" t="s">
        <v>295</v>
      </c>
      <c r="AG326" s="45" t="b">
        <v>1</v>
      </c>
      <c r="AH326" s="45" t="b">
        <v>1</v>
      </c>
    </row>
    <row r="327" spans="22:34" x14ac:dyDescent="0.25">
      <c r="V327" t="s">
        <v>545</v>
      </c>
      <c r="W327" s="45" t="s">
        <v>546</v>
      </c>
      <c r="X327" s="45" t="b">
        <v>1</v>
      </c>
      <c r="Y327" s="45" t="b">
        <v>0</v>
      </c>
      <c r="Z327" s="45" t="b">
        <v>1</v>
      </c>
      <c r="AA327" s="45" t="b">
        <v>0</v>
      </c>
      <c r="AB327" s="45" t="b">
        <v>1</v>
      </c>
      <c r="AC327" s="45" t="b">
        <v>1</v>
      </c>
      <c r="AD327" s="45" t="b">
        <v>1</v>
      </c>
      <c r="AE327" s="45" t="b">
        <v>0</v>
      </c>
      <c r="AF327" s="45" t="s">
        <v>297</v>
      </c>
      <c r="AG327" s="45" t="b">
        <v>1</v>
      </c>
      <c r="AH327" s="45" t="b">
        <v>1</v>
      </c>
    </row>
    <row r="328" spans="22:34" x14ac:dyDescent="0.25">
      <c r="V328" t="s">
        <v>545</v>
      </c>
      <c r="W328" s="45" t="s">
        <v>546</v>
      </c>
      <c r="X328" s="45" t="b">
        <v>1</v>
      </c>
      <c r="Y328" s="45" t="b">
        <v>0</v>
      </c>
      <c r="Z328" s="45" t="b">
        <v>1</v>
      </c>
      <c r="AA328" s="45" t="b">
        <v>0</v>
      </c>
      <c r="AB328" s="45" t="b">
        <v>1</v>
      </c>
      <c r="AC328" s="45" t="b">
        <v>1</v>
      </c>
      <c r="AD328" s="45" t="b">
        <v>1</v>
      </c>
      <c r="AE328" s="45" t="b">
        <v>0</v>
      </c>
      <c r="AF328" s="45" t="s">
        <v>112</v>
      </c>
      <c r="AG328" s="45" t="b">
        <v>1</v>
      </c>
      <c r="AH328" s="45" t="b">
        <v>1</v>
      </c>
    </row>
    <row r="329" spans="22:34" x14ac:dyDescent="0.25">
      <c r="V329" t="s">
        <v>545</v>
      </c>
      <c r="W329" s="45" t="s">
        <v>546</v>
      </c>
      <c r="X329" s="45" t="b">
        <v>1</v>
      </c>
      <c r="Y329" s="45" t="b">
        <v>0</v>
      </c>
      <c r="Z329" s="45" t="b">
        <v>1</v>
      </c>
      <c r="AA329" s="45" t="b">
        <v>0</v>
      </c>
      <c r="AB329" s="45" t="b">
        <v>1</v>
      </c>
      <c r="AC329" s="45" t="b">
        <v>1</v>
      </c>
      <c r="AD329" s="45" t="b">
        <v>1</v>
      </c>
      <c r="AE329" s="45" t="b">
        <v>0</v>
      </c>
      <c r="AF329" s="45" t="s">
        <v>114</v>
      </c>
      <c r="AG329" s="45" t="b">
        <v>1</v>
      </c>
      <c r="AH329" s="45" t="b">
        <v>1</v>
      </c>
    </row>
    <row r="330" spans="22:34" x14ac:dyDescent="0.25">
      <c r="V330" t="s">
        <v>545</v>
      </c>
      <c r="W330" s="45" t="s">
        <v>546</v>
      </c>
      <c r="X330" s="45" t="b">
        <v>1</v>
      </c>
      <c r="Y330" s="45" t="b">
        <v>0</v>
      </c>
      <c r="Z330" s="45" t="b">
        <v>1</v>
      </c>
      <c r="AA330" s="45" t="b">
        <v>0</v>
      </c>
      <c r="AB330" s="45" t="b">
        <v>1</v>
      </c>
      <c r="AC330" s="45" t="b">
        <v>1</v>
      </c>
      <c r="AD330" s="45" t="b">
        <v>1</v>
      </c>
      <c r="AE330" s="45" t="b">
        <v>0</v>
      </c>
      <c r="AF330" s="45" t="s">
        <v>115</v>
      </c>
      <c r="AG330" s="45" t="b">
        <v>1</v>
      </c>
      <c r="AH330" s="45" t="b">
        <v>1</v>
      </c>
    </row>
    <row r="331" spans="22:34" x14ac:dyDescent="0.25">
      <c r="V331" t="s">
        <v>545</v>
      </c>
      <c r="W331" s="45" t="s">
        <v>546</v>
      </c>
      <c r="X331" s="45" t="b">
        <v>1</v>
      </c>
      <c r="Y331" s="45" t="b">
        <v>0</v>
      </c>
      <c r="Z331" s="45" t="b">
        <v>1</v>
      </c>
      <c r="AA331" s="45" t="b">
        <v>0</v>
      </c>
      <c r="AB331" s="45" t="b">
        <v>1</v>
      </c>
      <c r="AC331" s="45" t="b">
        <v>1</v>
      </c>
      <c r="AD331" s="45" t="b">
        <v>1</v>
      </c>
      <c r="AE331" s="45" t="b">
        <v>0</v>
      </c>
      <c r="AF331" s="45" t="s">
        <v>116</v>
      </c>
      <c r="AG331" s="45" t="b">
        <v>1</v>
      </c>
      <c r="AH331" s="45" t="b">
        <v>1</v>
      </c>
    </row>
    <row r="332" spans="22:34" x14ac:dyDescent="0.25">
      <c r="V332" t="s">
        <v>545</v>
      </c>
      <c r="W332" s="45" t="s">
        <v>546</v>
      </c>
      <c r="X332" s="45" t="b">
        <v>1</v>
      </c>
      <c r="Y332" s="45" t="b">
        <v>0</v>
      </c>
      <c r="Z332" s="45" t="b">
        <v>1</v>
      </c>
      <c r="AA332" s="45" t="b">
        <v>0</v>
      </c>
      <c r="AB332" s="45" t="b">
        <v>1</v>
      </c>
      <c r="AC332" s="45" t="b">
        <v>1</v>
      </c>
      <c r="AD332" s="45" t="b">
        <v>1</v>
      </c>
      <c r="AE332" s="45" t="b">
        <v>0</v>
      </c>
      <c r="AF332" s="45" t="s">
        <v>298</v>
      </c>
      <c r="AG332" s="45" t="b">
        <v>1</v>
      </c>
      <c r="AH332" s="45" t="b">
        <v>1</v>
      </c>
    </row>
    <row r="333" spans="22:34" x14ac:dyDescent="0.25">
      <c r="V333" t="s">
        <v>545</v>
      </c>
      <c r="W333" s="45" t="s">
        <v>546</v>
      </c>
      <c r="X333" s="45" t="b">
        <v>1</v>
      </c>
      <c r="Y333" s="45" t="b">
        <v>0</v>
      </c>
      <c r="Z333" s="45" t="b">
        <v>1</v>
      </c>
      <c r="AA333" s="45" t="b">
        <v>0</v>
      </c>
      <c r="AB333" s="45" t="b">
        <v>1</v>
      </c>
      <c r="AC333" s="45" t="b">
        <v>1</v>
      </c>
      <c r="AD333" s="45" t="b">
        <v>1</v>
      </c>
      <c r="AE333" s="45" t="b">
        <v>0</v>
      </c>
      <c r="AF333" s="45" t="s">
        <v>299</v>
      </c>
      <c r="AG333" s="45" t="b">
        <v>1</v>
      </c>
      <c r="AH333" s="45" t="b">
        <v>1</v>
      </c>
    </row>
    <row r="334" spans="22:34" x14ac:dyDescent="0.25">
      <c r="V334" t="s">
        <v>545</v>
      </c>
      <c r="W334" s="45" t="s">
        <v>546</v>
      </c>
      <c r="X334" s="45" t="b">
        <v>1</v>
      </c>
      <c r="Y334" s="45" t="b">
        <v>0</v>
      </c>
      <c r="Z334" s="45" t="b">
        <v>1</v>
      </c>
      <c r="AA334" s="45" t="b">
        <v>0</v>
      </c>
      <c r="AB334" s="45" t="b">
        <v>1</v>
      </c>
      <c r="AC334" s="45" t="b">
        <v>1</v>
      </c>
      <c r="AD334" s="45" t="b">
        <v>1</v>
      </c>
      <c r="AE334" s="45" t="b">
        <v>0</v>
      </c>
      <c r="AF334" s="45" t="s">
        <v>414</v>
      </c>
      <c r="AG334" s="45" t="b">
        <v>1</v>
      </c>
      <c r="AH334" s="45" t="b">
        <v>1</v>
      </c>
    </row>
    <row r="335" spans="22:34" x14ac:dyDescent="0.25">
      <c r="V335" t="s">
        <v>545</v>
      </c>
      <c r="W335" s="45" t="s">
        <v>546</v>
      </c>
      <c r="X335" s="45" t="b">
        <v>1</v>
      </c>
      <c r="Y335" s="45" t="b">
        <v>0</v>
      </c>
      <c r="Z335" s="45" t="b">
        <v>1</v>
      </c>
      <c r="AA335" s="45" t="b">
        <v>0</v>
      </c>
      <c r="AB335" s="45" t="b">
        <v>1</v>
      </c>
      <c r="AC335" s="45" t="b">
        <v>1</v>
      </c>
      <c r="AD335" s="45" t="b">
        <v>1</v>
      </c>
      <c r="AE335" s="45" t="b">
        <v>0</v>
      </c>
      <c r="AF335" s="45" t="s">
        <v>118</v>
      </c>
      <c r="AG335" s="45" t="b">
        <v>1</v>
      </c>
      <c r="AH335" s="45" t="b">
        <v>1</v>
      </c>
    </row>
    <row r="336" spans="22:34" x14ac:dyDescent="0.25">
      <c r="V336" t="s">
        <v>545</v>
      </c>
      <c r="W336" s="45" t="s">
        <v>546</v>
      </c>
      <c r="X336" s="45" t="b">
        <v>1</v>
      </c>
      <c r="Y336" s="45" t="b">
        <v>0</v>
      </c>
      <c r="Z336" s="45" t="b">
        <v>1</v>
      </c>
      <c r="AA336" s="45" t="b">
        <v>0</v>
      </c>
      <c r="AB336" s="45" t="b">
        <v>1</v>
      </c>
      <c r="AC336" s="45" t="b">
        <v>1</v>
      </c>
      <c r="AD336" s="45" t="b">
        <v>1</v>
      </c>
      <c r="AE336" s="45" t="b">
        <v>0</v>
      </c>
      <c r="AF336" s="45" t="s">
        <v>119</v>
      </c>
      <c r="AG336" s="45" t="b">
        <v>1</v>
      </c>
      <c r="AH336" s="45" t="b">
        <v>1</v>
      </c>
    </row>
    <row r="337" spans="22:34" x14ac:dyDescent="0.25">
      <c r="V337" t="s">
        <v>545</v>
      </c>
      <c r="W337" s="45" t="s">
        <v>546</v>
      </c>
      <c r="X337" s="45" t="b">
        <v>1</v>
      </c>
      <c r="Y337" s="45" t="b">
        <v>0</v>
      </c>
      <c r="Z337" s="45" t="b">
        <v>1</v>
      </c>
      <c r="AA337" s="45" t="b">
        <v>0</v>
      </c>
      <c r="AB337" s="45" t="b">
        <v>1</v>
      </c>
      <c r="AC337" s="45" t="b">
        <v>1</v>
      </c>
      <c r="AD337" s="45" t="b">
        <v>1</v>
      </c>
      <c r="AE337" s="45" t="b">
        <v>0</v>
      </c>
      <c r="AF337" s="45" t="s">
        <v>300</v>
      </c>
      <c r="AG337" s="45" t="b">
        <v>1</v>
      </c>
      <c r="AH337" s="45" t="b">
        <v>1</v>
      </c>
    </row>
    <row r="338" spans="22:34" x14ac:dyDescent="0.25">
      <c r="V338" t="s">
        <v>545</v>
      </c>
      <c r="W338" s="45" t="s">
        <v>546</v>
      </c>
      <c r="X338" s="45" t="b">
        <v>1</v>
      </c>
      <c r="Y338" s="45" t="b">
        <v>0</v>
      </c>
      <c r="Z338" s="45" t="b">
        <v>1</v>
      </c>
      <c r="AA338" s="45" t="b">
        <v>0</v>
      </c>
      <c r="AB338" s="45" t="b">
        <v>1</v>
      </c>
      <c r="AC338" s="45" t="b">
        <v>1</v>
      </c>
      <c r="AD338" s="45" t="b">
        <v>1</v>
      </c>
      <c r="AE338" s="45" t="b">
        <v>0</v>
      </c>
      <c r="AF338" s="45" t="s">
        <v>301</v>
      </c>
      <c r="AG338" s="45" t="b">
        <v>1</v>
      </c>
      <c r="AH338" s="45" t="b">
        <v>1</v>
      </c>
    </row>
    <row r="339" spans="22:34" x14ac:dyDescent="0.25">
      <c r="V339" t="s">
        <v>545</v>
      </c>
      <c r="W339" s="45" t="s">
        <v>546</v>
      </c>
      <c r="X339" s="45" t="b">
        <v>1</v>
      </c>
      <c r="Y339" s="45" t="b">
        <v>0</v>
      </c>
      <c r="Z339" s="45" t="b">
        <v>1</v>
      </c>
      <c r="AA339" s="45" t="b">
        <v>0</v>
      </c>
      <c r="AB339" s="45" t="b">
        <v>1</v>
      </c>
      <c r="AC339" s="45" t="b">
        <v>1</v>
      </c>
      <c r="AD339" s="45" t="b">
        <v>1</v>
      </c>
      <c r="AE339" s="45" t="b">
        <v>0</v>
      </c>
      <c r="AF339" s="45" t="s">
        <v>120</v>
      </c>
      <c r="AG339" s="45" t="b">
        <v>1</v>
      </c>
      <c r="AH339" s="45" t="b">
        <v>1</v>
      </c>
    </row>
    <row r="340" spans="22:34" x14ac:dyDescent="0.25">
      <c r="V340" t="s">
        <v>545</v>
      </c>
      <c r="W340" s="45" t="s">
        <v>546</v>
      </c>
      <c r="X340" s="45" t="b">
        <v>1</v>
      </c>
      <c r="Y340" s="45" t="b">
        <v>0</v>
      </c>
      <c r="Z340" s="45" t="b">
        <v>1</v>
      </c>
      <c r="AA340" s="45" t="b">
        <v>0</v>
      </c>
      <c r="AB340" s="45" t="b">
        <v>1</v>
      </c>
      <c r="AC340" s="45" t="b">
        <v>1</v>
      </c>
      <c r="AD340" s="45" t="b">
        <v>1</v>
      </c>
      <c r="AE340" s="45" t="b">
        <v>0</v>
      </c>
      <c r="AF340" s="45" t="s">
        <v>302</v>
      </c>
      <c r="AG340" s="45" t="b">
        <v>1</v>
      </c>
      <c r="AH340" s="45" t="b">
        <v>1</v>
      </c>
    </row>
    <row r="341" spans="22:34" x14ac:dyDescent="0.25">
      <c r="V341" t="s">
        <v>545</v>
      </c>
      <c r="W341" s="45" t="s">
        <v>546</v>
      </c>
      <c r="X341" s="45" t="b">
        <v>1</v>
      </c>
      <c r="Y341" s="45" t="b">
        <v>0</v>
      </c>
      <c r="Z341" s="45" t="b">
        <v>1</v>
      </c>
      <c r="AA341" s="45" t="b">
        <v>0</v>
      </c>
      <c r="AB341" s="45" t="b">
        <v>1</v>
      </c>
      <c r="AC341" s="45" t="b">
        <v>1</v>
      </c>
      <c r="AD341" s="45" t="b">
        <v>1</v>
      </c>
      <c r="AE341" s="45" t="b">
        <v>0</v>
      </c>
      <c r="AF341" s="45" t="s">
        <v>303</v>
      </c>
      <c r="AG341" s="45" t="b">
        <v>1</v>
      </c>
      <c r="AH341" s="45" t="b">
        <v>1</v>
      </c>
    </row>
    <row r="342" spans="22:34" x14ac:dyDescent="0.25">
      <c r="V342" t="s">
        <v>545</v>
      </c>
      <c r="W342" s="45" t="s">
        <v>546</v>
      </c>
      <c r="X342" s="45" t="b">
        <v>1</v>
      </c>
      <c r="Y342" s="45" t="b">
        <v>0</v>
      </c>
      <c r="Z342" s="45" t="b">
        <v>1</v>
      </c>
      <c r="AA342" s="45" t="b">
        <v>0</v>
      </c>
      <c r="AB342" s="45" t="b">
        <v>1</v>
      </c>
      <c r="AC342" s="45" t="b">
        <v>1</v>
      </c>
      <c r="AD342" s="45" t="b">
        <v>1</v>
      </c>
      <c r="AE342" s="45" t="b">
        <v>0</v>
      </c>
      <c r="AF342" s="45" t="s">
        <v>304</v>
      </c>
      <c r="AG342" s="45" t="b">
        <v>1</v>
      </c>
      <c r="AH342" s="45" t="b">
        <v>1</v>
      </c>
    </row>
    <row r="343" spans="22:34" x14ac:dyDescent="0.25">
      <c r="V343" t="s">
        <v>545</v>
      </c>
      <c r="W343" s="45" t="s">
        <v>546</v>
      </c>
      <c r="X343" s="45" t="b">
        <v>1</v>
      </c>
      <c r="Y343" s="45" t="b">
        <v>0</v>
      </c>
      <c r="Z343" s="45" t="b">
        <v>1</v>
      </c>
      <c r="AA343" s="45" t="b">
        <v>0</v>
      </c>
      <c r="AB343" s="45" t="b">
        <v>1</v>
      </c>
      <c r="AC343" s="45" t="b">
        <v>1</v>
      </c>
      <c r="AD343" s="45" t="b">
        <v>1</v>
      </c>
      <c r="AE343" s="45" t="b">
        <v>0</v>
      </c>
      <c r="AF343" s="45" t="s">
        <v>305</v>
      </c>
      <c r="AG343" s="45" t="b">
        <v>1</v>
      </c>
      <c r="AH343" s="45" t="b">
        <v>1</v>
      </c>
    </row>
    <row r="344" spans="22:34" x14ac:dyDescent="0.25">
      <c r="V344" t="s">
        <v>545</v>
      </c>
      <c r="W344" s="45" t="s">
        <v>546</v>
      </c>
      <c r="X344" s="45" t="b">
        <v>1</v>
      </c>
      <c r="Y344" s="45" t="b">
        <v>0</v>
      </c>
      <c r="Z344" s="45" t="b">
        <v>1</v>
      </c>
      <c r="AA344" s="45" t="b">
        <v>0</v>
      </c>
      <c r="AB344" s="45" t="b">
        <v>1</v>
      </c>
      <c r="AC344" s="45" t="b">
        <v>1</v>
      </c>
      <c r="AD344" s="45" t="b">
        <v>1</v>
      </c>
      <c r="AE344" s="45" t="b">
        <v>0</v>
      </c>
      <c r="AF344" s="45" t="s">
        <v>306</v>
      </c>
      <c r="AG344" s="45" t="b">
        <v>1</v>
      </c>
      <c r="AH344" s="45" t="b">
        <v>1</v>
      </c>
    </row>
    <row r="345" spans="22:34" x14ac:dyDescent="0.25">
      <c r="V345" t="s">
        <v>545</v>
      </c>
      <c r="W345" s="45" t="s">
        <v>546</v>
      </c>
      <c r="X345" s="45" t="b">
        <v>1</v>
      </c>
      <c r="Y345" s="45" t="b">
        <v>0</v>
      </c>
      <c r="Z345" s="45" t="b">
        <v>1</v>
      </c>
      <c r="AA345" s="45" t="b">
        <v>0</v>
      </c>
      <c r="AB345" s="45" t="b">
        <v>1</v>
      </c>
      <c r="AC345" s="45" t="b">
        <v>1</v>
      </c>
      <c r="AD345" s="45" t="b">
        <v>1</v>
      </c>
      <c r="AE345" s="45" t="b">
        <v>0</v>
      </c>
      <c r="AF345" s="45" t="s">
        <v>307</v>
      </c>
      <c r="AG345" s="45" t="b">
        <v>1</v>
      </c>
      <c r="AH345" s="45" t="b">
        <v>1</v>
      </c>
    </row>
    <row r="346" spans="22:34" x14ac:dyDescent="0.25">
      <c r="V346" t="s">
        <v>545</v>
      </c>
      <c r="W346" s="45" t="s">
        <v>546</v>
      </c>
      <c r="X346" s="45" t="b">
        <v>1</v>
      </c>
      <c r="Y346" s="45" t="b">
        <v>0</v>
      </c>
      <c r="Z346" s="45" t="b">
        <v>1</v>
      </c>
      <c r="AA346" s="45" t="b">
        <v>0</v>
      </c>
      <c r="AB346" s="45" t="b">
        <v>1</v>
      </c>
      <c r="AC346" s="45" t="b">
        <v>1</v>
      </c>
      <c r="AD346" s="45" t="b">
        <v>1</v>
      </c>
      <c r="AE346" s="45" t="b">
        <v>0</v>
      </c>
      <c r="AF346" s="45" t="s">
        <v>308</v>
      </c>
      <c r="AG346" s="45" t="b">
        <v>1</v>
      </c>
      <c r="AH346" s="45" t="b">
        <v>1</v>
      </c>
    </row>
    <row r="347" spans="22:34" x14ac:dyDescent="0.25">
      <c r="V347" t="s">
        <v>545</v>
      </c>
      <c r="W347" s="45" t="s">
        <v>546</v>
      </c>
      <c r="X347" s="45" t="b">
        <v>1</v>
      </c>
      <c r="Y347" s="45" t="b">
        <v>0</v>
      </c>
      <c r="Z347" s="45" t="b">
        <v>1</v>
      </c>
      <c r="AA347" s="45" t="b">
        <v>0</v>
      </c>
      <c r="AB347" s="45" t="b">
        <v>1</v>
      </c>
      <c r="AC347" s="45" t="b">
        <v>1</v>
      </c>
      <c r="AD347" s="45" t="b">
        <v>1</v>
      </c>
      <c r="AE347" s="45" t="b">
        <v>0</v>
      </c>
      <c r="AF347" s="45" t="s">
        <v>309</v>
      </c>
      <c r="AG347" s="45" t="b">
        <v>1</v>
      </c>
      <c r="AH347" s="45" t="b">
        <v>1</v>
      </c>
    </row>
    <row r="348" spans="22:34" x14ac:dyDescent="0.25">
      <c r="V348" t="s">
        <v>545</v>
      </c>
      <c r="W348" s="45" t="s">
        <v>546</v>
      </c>
      <c r="X348" s="45" t="b">
        <v>1</v>
      </c>
      <c r="Y348" s="45" t="b">
        <v>0</v>
      </c>
      <c r="Z348" s="45" t="b">
        <v>1</v>
      </c>
      <c r="AA348" s="45" t="b">
        <v>0</v>
      </c>
      <c r="AB348" s="45" t="b">
        <v>1</v>
      </c>
      <c r="AC348" s="45" t="b">
        <v>1</v>
      </c>
      <c r="AD348" s="45" t="b">
        <v>1</v>
      </c>
      <c r="AE348" s="45" t="b">
        <v>0</v>
      </c>
      <c r="AF348" s="45" t="s">
        <v>310</v>
      </c>
      <c r="AG348" s="45" t="b">
        <v>1</v>
      </c>
      <c r="AH348" s="45" t="b">
        <v>1</v>
      </c>
    </row>
    <row r="349" spans="22:34" x14ac:dyDescent="0.25">
      <c r="V349" t="s">
        <v>545</v>
      </c>
      <c r="W349" s="45" t="s">
        <v>546</v>
      </c>
      <c r="X349" s="45" t="b">
        <v>1</v>
      </c>
      <c r="Y349" s="45" t="b">
        <v>0</v>
      </c>
      <c r="Z349" s="45" t="b">
        <v>1</v>
      </c>
      <c r="AA349" s="45" t="b">
        <v>0</v>
      </c>
      <c r="AB349" s="45" t="b">
        <v>1</v>
      </c>
      <c r="AC349" s="45" t="b">
        <v>1</v>
      </c>
      <c r="AD349" s="45" t="b">
        <v>1</v>
      </c>
      <c r="AE349" s="45" t="b">
        <v>0</v>
      </c>
      <c r="AF349" s="45" t="s">
        <v>311</v>
      </c>
      <c r="AG349" s="45" t="b">
        <v>1</v>
      </c>
      <c r="AH349" s="45" t="b">
        <v>1</v>
      </c>
    </row>
    <row r="350" spans="22:34" x14ac:dyDescent="0.25">
      <c r="V350" t="s">
        <v>545</v>
      </c>
      <c r="W350" s="45" t="s">
        <v>546</v>
      </c>
      <c r="X350" s="45" t="b">
        <v>1</v>
      </c>
      <c r="Y350" s="45" t="b">
        <v>0</v>
      </c>
      <c r="Z350" s="45" t="b">
        <v>1</v>
      </c>
      <c r="AA350" s="45" t="b">
        <v>0</v>
      </c>
      <c r="AB350" s="45" t="b">
        <v>1</v>
      </c>
      <c r="AC350" s="45" t="b">
        <v>1</v>
      </c>
      <c r="AD350" s="45" t="b">
        <v>1</v>
      </c>
      <c r="AE350" s="45" t="b">
        <v>0</v>
      </c>
      <c r="AF350" s="45" t="s">
        <v>312</v>
      </c>
      <c r="AG350" s="45" t="b">
        <v>1</v>
      </c>
      <c r="AH350" s="45" t="b">
        <v>1</v>
      </c>
    </row>
    <row r="351" spans="22:34" x14ac:dyDescent="0.25">
      <c r="V351" t="s">
        <v>545</v>
      </c>
      <c r="W351" s="45" t="s">
        <v>546</v>
      </c>
      <c r="X351" s="45" t="b">
        <v>1</v>
      </c>
      <c r="Y351" s="45" t="b">
        <v>0</v>
      </c>
      <c r="Z351" s="45" t="b">
        <v>1</v>
      </c>
      <c r="AA351" s="45" t="b">
        <v>0</v>
      </c>
      <c r="AB351" s="45" t="b">
        <v>1</v>
      </c>
      <c r="AC351" s="45" t="b">
        <v>1</v>
      </c>
      <c r="AD351" s="45" t="b">
        <v>1</v>
      </c>
      <c r="AE351" s="45" t="b">
        <v>0</v>
      </c>
      <c r="AF351" s="45" t="s">
        <v>313</v>
      </c>
      <c r="AG351" s="45" t="b">
        <v>1</v>
      </c>
      <c r="AH351" s="45" t="b">
        <v>1</v>
      </c>
    </row>
    <row r="352" spans="22:34" x14ac:dyDescent="0.25">
      <c r="V352" t="s">
        <v>545</v>
      </c>
      <c r="W352" s="45" t="s">
        <v>546</v>
      </c>
      <c r="X352" s="45" t="b">
        <v>1</v>
      </c>
      <c r="Y352" s="45" t="b">
        <v>0</v>
      </c>
      <c r="Z352" s="45" t="b">
        <v>1</v>
      </c>
      <c r="AA352" s="45" t="b">
        <v>0</v>
      </c>
      <c r="AB352" s="45" t="b">
        <v>1</v>
      </c>
      <c r="AC352" s="45" t="b">
        <v>1</v>
      </c>
      <c r="AD352" s="45" t="b">
        <v>1</v>
      </c>
      <c r="AE352" s="45" t="b">
        <v>0</v>
      </c>
      <c r="AF352" s="45" t="s">
        <v>314</v>
      </c>
      <c r="AG352" s="45" t="b">
        <v>1</v>
      </c>
      <c r="AH352" s="45" t="b">
        <v>1</v>
      </c>
    </row>
    <row r="353" spans="22:34" x14ac:dyDescent="0.25">
      <c r="V353" t="s">
        <v>545</v>
      </c>
      <c r="W353" s="45" t="s">
        <v>546</v>
      </c>
      <c r="X353" s="45" t="b">
        <v>1</v>
      </c>
      <c r="Y353" s="45" t="b">
        <v>0</v>
      </c>
      <c r="Z353" s="45" t="b">
        <v>1</v>
      </c>
      <c r="AA353" s="45" t="b">
        <v>0</v>
      </c>
      <c r="AB353" s="45" t="b">
        <v>1</v>
      </c>
      <c r="AC353" s="45" t="b">
        <v>1</v>
      </c>
      <c r="AD353" s="45" t="b">
        <v>1</v>
      </c>
      <c r="AE353" s="45" t="b">
        <v>0</v>
      </c>
      <c r="AF353" s="45" t="s">
        <v>315</v>
      </c>
      <c r="AG353" s="45" t="b">
        <v>1</v>
      </c>
      <c r="AH353" s="45" t="b">
        <v>1</v>
      </c>
    </row>
    <row r="354" spans="22:34" x14ac:dyDescent="0.25">
      <c r="V354" t="s">
        <v>545</v>
      </c>
      <c r="W354" s="45" t="s">
        <v>546</v>
      </c>
      <c r="X354" s="45" t="b">
        <v>1</v>
      </c>
      <c r="Y354" s="45" t="b">
        <v>0</v>
      </c>
      <c r="Z354" s="45" t="b">
        <v>1</v>
      </c>
      <c r="AA354" s="45" t="b">
        <v>0</v>
      </c>
      <c r="AB354" s="45" t="b">
        <v>1</v>
      </c>
      <c r="AC354" s="45" t="b">
        <v>1</v>
      </c>
      <c r="AD354" s="45" t="b">
        <v>1</v>
      </c>
      <c r="AE354" s="45" t="b">
        <v>0</v>
      </c>
      <c r="AF354" s="45" t="s">
        <v>316</v>
      </c>
      <c r="AG354" s="45" t="b">
        <v>1</v>
      </c>
      <c r="AH354" s="45" t="b">
        <v>1</v>
      </c>
    </row>
    <row r="355" spans="22:34" x14ac:dyDescent="0.25">
      <c r="V355" t="s">
        <v>545</v>
      </c>
      <c r="W355" s="45" t="s">
        <v>546</v>
      </c>
      <c r="X355" s="45" t="b">
        <v>1</v>
      </c>
      <c r="Y355" s="45" t="b">
        <v>0</v>
      </c>
      <c r="Z355" s="45" t="b">
        <v>1</v>
      </c>
      <c r="AA355" s="45" t="b">
        <v>0</v>
      </c>
      <c r="AB355" s="45" t="b">
        <v>1</v>
      </c>
      <c r="AC355" s="45" t="b">
        <v>1</v>
      </c>
      <c r="AD355" s="45" t="b">
        <v>1</v>
      </c>
      <c r="AE355" s="45" t="b">
        <v>0</v>
      </c>
      <c r="AF355" s="45" t="s">
        <v>317</v>
      </c>
      <c r="AG355" s="45" t="b">
        <v>1</v>
      </c>
      <c r="AH355" s="45" t="b">
        <v>1</v>
      </c>
    </row>
    <row r="356" spans="22:34" x14ac:dyDescent="0.25">
      <c r="V356" t="s">
        <v>545</v>
      </c>
      <c r="W356" s="45" t="s">
        <v>546</v>
      </c>
      <c r="X356" s="45" t="b">
        <v>1</v>
      </c>
      <c r="Y356" s="45" t="b">
        <v>0</v>
      </c>
      <c r="Z356" s="45" t="b">
        <v>1</v>
      </c>
      <c r="AA356" s="45" t="b">
        <v>0</v>
      </c>
      <c r="AB356" s="45" t="b">
        <v>1</v>
      </c>
      <c r="AC356" s="45" t="b">
        <v>1</v>
      </c>
      <c r="AD356" s="45" t="b">
        <v>1</v>
      </c>
      <c r="AE356" s="45" t="b">
        <v>0</v>
      </c>
      <c r="AF356" s="45" t="s">
        <v>318</v>
      </c>
      <c r="AG356" s="45" t="b">
        <v>1</v>
      </c>
      <c r="AH356" s="45" t="b">
        <v>1</v>
      </c>
    </row>
    <row r="357" spans="22:34" x14ac:dyDescent="0.25">
      <c r="V357" t="s">
        <v>545</v>
      </c>
      <c r="W357" s="45" t="s">
        <v>546</v>
      </c>
      <c r="X357" s="45" t="b">
        <v>1</v>
      </c>
      <c r="Y357" s="45" t="b">
        <v>0</v>
      </c>
      <c r="Z357" s="45" t="b">
        <v>1</v>
      </c>
      <c r="AA357" s="45" t="b">
        <v>0</v>
      </c>
      <c r="AB357" s="45" t="b">
        <v>1</v>
      </c>
      <c r="AC357" s="45" t="b">
        <v>1</v>
      </c>
      <c r="AD357" s="45" t="b">
        <v>1</v>
      </c>
      <c r="AE357" s="45" t="b">
        <v>0</v>
      </c>
      <c r="AF357" s="45" t="s">
        <v>319</v>
      </c>
      <c r="AG357" s="45" t="b">
        <v>1</v>
      </c>
      <c r="AH357" s="45" t="b">
        <v>1</v>
      </c>
    </row>
    <row r="358" spans="22:34" x14ac:dyDescent="0.25">
      <c r="V358" t="s">
        <v>547</v>
      </c>
      <c r="W358" s="45" t="s">
        <v>328</v>
      </c>
      <c r="X358" s="45" t="b">
        <v>0</v>
      </c>
      <c r="Y358" s="45" t="b">
        <v>1</v>
      </c>
      <c r="Z358" s="45" t="b">
        <v>1</v>
      </c>
      <c r="AA358" s="45" t="b">
        <v>0</v>
      </c>
      <c r="AB358" s="45" t="b">
        <v>1</v>
      </c>
      <c r="AC358" s="45" t="b">
        <v>1</v>
      </c>
      <c r="AD358" s="45" t="b">
        <v>1</v>
      </c>
      <c r="AE358" s="45" t="b">
        <v>1</v>
      </c>
      <c r="AF358" s="45" t="s">
        <v>295</v>
      </c>
      <c r="AG358" s="45" t="b">
        <v>1</v>
      </c>
      <c r="AH358" s="45" t="b">
        <v>1</v>
      </c>
    </row>
    <row r="359" spans="22:34" x14ac:dyDescent="0.25">
      <c r="V359" t="s">
        <v>547</v>
      </c>
      <c r="W359" s="45" t="s">
        <v>328</v>
      </c>
      <c r="X359" s="45" t="b">
        <v>0</v>
      </c>
      <c r="Y359" s="45" t="b">
        <v>1</v>
      </c>
      <c r="Z359" s="45" t="b">
        <v>1</v>
      </c>
      <c r="AA359" s="45" t="b">
        <v>0</v>
      </c>
      <c r="AB359" s="45" t="b">
        <v>1</v>
      </c>
      <c r="AC359" s="45" t="b">
        <v>1</v>
      </c>
      <c r="AD359" s="45" t="b">
        <v>1</v>
      </c>
      <c r="AE359" s="45" t="b">
        <v>1</v>
      </c>
      <c r="AF359" s="45" t="s">
        <v>297</v>
      </c>
      <c r="AG359" s="45" t="b">
        <v>1</v>
      </c>
      <c r="AH359" s="45" t="b">
        <v>1</v>
      </c>
    </row>
    <row r="360" spans="22:34" x14ac:dyDescent="0.25">
      <c r="V360" t="s">
        <v>547</v>
      </c>
      <c r="W360" s="45" t="s">
        <v>328</v>
      </c>
      <c r="X360" s="45" t="b">
        <v>0</v>
      </c>
      <c r="Y360" s="45" t="b">
        <v>1</v>
      </c>
      <c r="Z360" s="45" t="b">
        <v>1</v>
      </c>
      <c r="AA360" s="45" t="b">
        <v>0</v>
      </c>
      <c r="AB360" s="45" t="b">
        <v>1</v>
      </c>
      <c r="AC360" s="45" t="b">
        <v>1</v>
      </c>
      <c r="AD360" s="45" t="b">
        <v>1</v>
      </c>
      <c r="AE360" s="45" t="b">
        <v>1</v>
      </c>
      <c r="AF360" s="45" t="s">
        <v>112</v>
      </c>
      <c r="AG360" s="45" t="b">
        <v>1</v>
      </c>
      <c r="AH360" s="45" t="b">
        <v>1</v>
      </c>
    </row>
    <row r="361" spans="22:34" x14ac:dyDescent="0.25">
      <c r="V361" t="s">
        <v>547</v>
      </c>
      <c r="W361" s="45" t="s">
        <v>328</v>
      </c>
      <c r="X361" s="45" t="b">
        <v>0</v>
      </c>
      <c r="Y361" s="45" t="b">
        <v>1</v>
      </c>
      <c r="Z361" s="45" t="b">
        <v>1</v>
      </c>
      <c r="AA361" s="45" t="b">
        <v>0</v>
      </c>
      <c r="AB361" s="45" t="b">
        <v>1</v>
      </c>
      <c r="AC361" s="45" t="b">
        <v>1</v>
      </c>
      <c r="AD361" s="45" t="b">
        <v>1</v>
      </c>
      <c r="AE361" s="45" t="b">
        <v>1</v>
      </c>
      <c r="AF361" s="45" t="s">
        <v>114</v>
      </c>
      <c r="AG361" s="45" t="b">
        <v>1</v>
      </c>
      <c r="AH361" s="45" t="b">
        <v>1</v>
      </c>
    </row>
    <row r="362" spans="22:34" x14ac:dyDescent="0.25">
      <c r="V362" t="s">
        <v>547</v>
      </c>
      <c r="W362" s="45" t="s">
        <v>328</v>
      </c>
      <c r="X362" s="45" t="b">
        <v>0</v>
      </c>
      <c r="Y362" s="45" t="b">
        <v>1</v>
      </c>
      <c r="Z362" s="45" t="b">
        <v>1</v>
      </c>
      <c r="AA362" s="45" t="b">
        <v>0</v>
      </c>
      <c r="AB362" s="45" t="b">
        <v>1</v>
      </c>
      <c r="AC362" s="45" t="b">
        <v>1</v>
      </c>
      <c r="AD362" s="45" t="b">
        <v>1</v>
      </c>
      <c r="AE362" s="45" t="b">
        <v>1</v>
      </c>
      <c r="AF362" s="45" t="s">
        <v>115</v>
      </c>
      <c r="AG362" s="45" t="b">
        <v>1</v>
      </c>
      <c r="AH362" s="45" t="b">
        <v>1</v>
      </c>
    </row>
    <row r="363" spans="22:34" x14ac:dyDescent="0.25">
      <c r="V363" t="s">
        <v>547</v>
      </c>
      <c r="W363" s="45" t="s">
        <v>328</v>
      </c>
      <c r="X363" s="45" t="b">
        <v>0</v>
      </c>
      <c r="Y363" s="45" t="b">
        <v>1</v>
      </c>
      <c r="Z363" s="45" t="b">
        <v>1</v>
      </c>
      <c r="AA363" s="45" t="b">
        <v>0</v>
      </c>
      <c r="AB363" s="45" t="b">
        <v>1</v>
      </c>
      <c r="AC363" s="45" t="b">
        <v>1</v>
      </c>
      <c r="AD363" s="45" t="b">
        <v>1</v>
      </c>
      <c r="AE363" s="45" t="b">
        <v>1</v>
      </c>
      <c r="AF363" s="45" t="s">
        <v>116</v>
      </c>
      <c r="AG363" s="45" t="b">
        <v>1</v>
      </c>
      <c r="AH363" s="45" t="b">
        <v>1</v>
      </c>
    </row>
    <row r="364" spans="22:34" x14ac:dyDescent="0.25">
      <c r="V364" t="s">
        <v>547</v>
      </c>
      <c r="W364" s="45" t="s">
        <v>328</v>
      </c>
      <c r="X364" s="45" t="b">
        <v>0</v>
      </c>
      <c r="Y364" s="45" t="b">
        <v>1</v>
      </c>
      <c r="Z364" s="45" t="b">
        <v>1</v>
      </c>
      <c r="AA364" s="45" t="b">
        <v>0</v>
      </c>
      <c r="AB364" s="45" t="b">
        <v>1</v>
      </c>
      <c r="AC364" s="45" t="b">
        <v>1</v>
      </c>
      <c r="AD364" s="45" t="b">
        <v>1</v>
      </c>
      <c r="AE364" s="45" t="b">
        <v>1</v>
      </c>
      <c r="AF364" s="45" t="s">
        <v>298</v>
      </c>
      <c r="AG364" s="45" t="b">
        <v>1</v>
      </c>
      <c r="AH364" s="45" t="b">
        <v>1</v>
      </c>
    </row>
    <row r="365" spans="22:34" x14ac:dyDescent="0.25">
      <c r="V365" t="s">
        <v>547</v>
      </c>
      <c r="W365" s="45" t="s">
        <v>328</v>
      </c>
      <c r="X365" s="45" t="b">
        <v>0</v>
      </c>
      <c r="Y365" s="45" t="b">
        <v>1</v>
      </c>
      <c r="Z365" s="45" t="b">
        <v>1</v>
      </c>
      <c r="AA365" s="45" t="b">
        <v>0</v>
      </c>
      <c r="AB365" s="45" t="b">
        <v>1</v>
      </c>
      <c r="AC365" s="45" t="b">
        <v>1</v>
      </c>
      <c r="AD365" s="45" t="b">
        <v>1</v>
      </c>
      <c r="AE365" s="45" t="b">
        <v>1</v>
      </c>
      <c r="AF365" s="45" t="s">
        <v>299</v>
      </c>
      <c r="AG365" s="45" t="b">
        <v>1</v>
      </c>
      <c r="AH365" s="45" t="b">
        <v>1</v>
      </c>
    </row>
    <row r="366" spans="22:34" x14ac:dyDescent="0.25">
      <c r="V366" t="s">
        <v>547</v>
      </c>
      <c r="W366" s="45" t="s">
        <v>328</v>
      </c>
      <c r="X366" s="45" t="b">
        <v>0</v>
      </c>
      <c r="Y366" s="45" t="b">
        <v>1</v>
      </c>
      <c r="Z366" s="45" t="b">
        <v>1</v>
      </c>
      <c r="AA366" s="45" t="b">
        <v>0</v>
      </c>
      <c r="AB366" s="45" t="b">
        <v>1</v>
      </c>
      <c r="AC366" s="45" t="b">
        <v>1</v>
      </c>
      <c r="AD366" s="45" t="b">
        <v>1</v>
      </c>
      <c r="AE366" s="45" t="b">
        <v>1</v>
      </c>
      <c r="AF366" s="45" t="s">
        <v>414</v>
      </c>
      <c r="AG366" s="45" t="b">
        <v>1</v>
      </c>
      <c r="AH366" s="45" t="b">
        <v>1</v>
      </c>
    </row>
    <row r="367" spans="22:34" x14ac:dyDescent="0.25">
      <c r="V367" t="s">
        <v>547</v>
      </c>
      <c r="W367" s="45" t="s">
        <v>328</v>
      </c>
      <c r="X367" s="45" t="b">
        <v>0</v>
      </c>
      <c r="Y367" s="45" t="b">
        <v>1</v>
      </c>
      <c r="Z367" s="45" t="b">
        <v>1</v>
      </c>
      <c r="AA367" s="45" t="b">
        <v>0</v>
      </c>
      <c r="AB367" s="45" t="b">
        <v>1</v>
      </c>
      <c r="AC367" s="45" t="b">
        <v>1</v>
      </c>
      <c r="AD367" s="45" t="b">
        <v>1</v>
      </c>
      <c r="AE367" s="45" t="b">
        <v>1</v>
      </c>
      <c r="AF367" s="45" t="s">
        <v>118</v>
      </c>
      <c r="AG367" s="45" t="b">
        <v>1</v>
      </c>
      <c r="AH367" s="45" t="b">
        <v>1</v>
      </c>
    </row>
    <row r="368" spans="22:34" x14ac:dyDescent="0.25">
      <c r="V368" t="s">
        <v>547</v>
      </c>
      <c r="W368" s="45" t="s">
        <v>328</v>
      </c>
      <c r="X368" s="45" t="b">
        <v>0</v>
      </c>
      <c r="Y368" s="45" t="b">
        <v>1</v>
      </c>
      <c r="Z368" s="45" t="b">
        <v>1</v>
      </c>
      <c r="AA368" s="45" t="b">
        <v>0</v>
      </c>
      <c r="AB368" s="45" t="b">
        <v>1</v>
      </c>
      <c r="AC368" s="45" t="b">
        <v>1</v>
      </c>
      <c r="AD368" s="45" t="b">
        <v>1</v>
      </c>
      <c r="AE368" s="45" t="b">
        <v>1</v>
      </c>
      <c r="AF368" s="45" t="s">
        <v>119</v>
      </c>
      <c r="AG368" s="45" t="b">
        <v>1</v>
      </c>
      <c r="AH368" s="45" t="b">
        <v>1</v>
      </c>
    </row>
    <row r="369" spans="22:34" x14ac:dyDescent="0.25">
      <c r="V369" t="s">
        <v>547</v>
      </c>
      <c r="W369" s="45" t="s">
        <v>328</v>
      </c>
      <c r="X369" s="45" t="b">
        <v>0</v>
      </c>
      <c r="Y369" s="45" t="b">
        <v>1</v>
      </c>
      <c r="Z369" s="45" t="b">
        <v>1</v>
      </c>
      <c r="AA369" s="45" t="b">
        <v>0</v>
      </c>
      <c r="AB369" s="45" t="b">
        <v>1</v>
      </c>
      <c r="AC369" s="45" t="b">
        <v>1</v>
      </c>
      <c r="AD369" s="45" t="b">
        <v>1</v>
      </c>
      <c r="AE369" s="45" t="b">
        <v>1</v>
      </c>
      <c r="AF369" s="45" t="s">
        <v>300</v>
      </c>
      <c r="AG369" s="45" t="b">
        <v>1</v>
      </c>
      <c r="AH369" s="45" t="b">
        <v>1</v>
      </c>
    </row>
    <row r="370" spans="22:34" x14ac:dyDescent="0.25">
      <c r="V370" t="s">
        <v>547</v>
      </c>
      <c r="W370" s="45" t="s">
        <v>328</v>
      </c>
      <c r="X370" s="45" t="b">
        <v>0</v>
      </c>
      <c r="Y370" s="45" t="b">
        <v>1</v>
      </c>
      <c r="Z370" s="45" t="b">
        <v>1</v>
      </c>
      <c r="AA370" s="45" t="b">
        <v>0</v>
      </c>
      <c r="AB370" s="45" t="b">
        <v>1</v>
      </c>
      <c r="AC370" s="45" t="b">
        <v>1</v>
      </c>
      <c r="AD370" s="45" t="b">
        <v>1</v>
      </c>
      <c r="AE370" s="45" t="b">
        <v>1</v>
      </c>
      <c r="AF370" s="45" t="s">
        <v>301</v>
      </c>
      <c r="AG370" s="45" t="b">
        <v>1</v>
      </c>
      <c r="AH370" s="45" t="b">
        <v>1</v>
      </c>
    </row>
    <row r="371" spans="22:34" x14ac:dyDescent="0.25">
      <c r="V371" t="s">
        <v>547</v>
      </c>
      <c r="W371" s="45" t="s">
        <v>328</v>
      </c>
      <c r="X371" s="45" t="b">
        <v>0</v>
      </c>
      <c r="Y371" s="45" t="b">
        <v>1</v>
      </c>
      <c r="Z371" s="45" t="b">
        <v>1</v>
      </c>
      <c r="AA371" s="45" t="b">
        <v>0</v>
      </c>
      <c r="AB371" s="45" t="b">
        <v>1</v>
      </c>
      <c r="AC371" s="45" t="b">
        <v>1</v>
      </c>
      <c r="AD371" s="45" t="b">
        <v>1</v>
      </c>
      <c r="AE371" s="45" t="b">
        <v>1</v>
      </c>
      <c r="AF371" s="45" t="s">
        <v>120</v>
      </c>
      <c r="AG371" s="45" t="b">
        <v>1</v>
      </c>
      <c r="AH371" s="45" t="b">
        <v>1</v>
      </c>
    </row>
    <row r="372" spans="22:34" x14ac:dyDescent="0.25">
      <c r="V372" t="s">
        <v>547</v>
      </c>
      <c r="W372" s="45" t="s">
        <v>328</v>
      </c>
      <c r="X372" s="45" t="b">
        <v>0</v>
      </c>
      <c r="Y372" s="45" t="b">
        <v>1</v>
      </c>
      <c r="Z372" s="45" t="b">
        <v>1</v>
      </c>
      <c r="AA372" s="45" t="b">
        <v>0</v>
      </c>
      <c r="AB372" s="45" t="b">
        <v>1</v>
      </c>
      <c r="AC372" s="45" t="b">
        <v>1</v>
      </c>
      <c r="AD372" s="45" t="b">
        <v>1</v>
      </c>
      <c r="AE372" s="45" t="b">
        <v>1</v>
      </c>
      <c r="AF372" s="45" t="s">
        <v>302</v>
      </c>
      <c r="AG372" s="45" t="b">
        <v>1</v>
      </c>
      <c r="AH372" s="45" t="b">
        <v>1</v>
      </c>
    </row>
    <row r="373" spans="22:34" x14ac:dyDescent="0.25">
      <c r="V373" t="s">
        <v>547</v>
      </c>
      <c r="W373" s="45" t="s">
        <v>328</v>
      </c>
      <c r="X373" s="45" t="b">
        <v>0</v>
      </c>
      <c r="Y373" s="45" t="b">
        <v>1</v>
      </c>
      <c r="Z373" s="45" t="b">
        <v>1</v>
      </c>
      <c r="AA373" s="45" t="b">
        <v>0</v>
      </c>
      <c r="AB373" s="45" t="b">
        <v>1</v>
      </c>
      <c r="AC373" s="45" t="b">
        <v>1</v>
      </c>
      <c r="AD373" s="45" t="b">
        <v>1</v>
      </c>
      <c r="AE373" s="45" t="b">
        <v>1</v>
      </c>
      <c r="AF373" s="45" t="s">
        <v>303</v>
      </c>
      <c r="AG373" s="45" t="b">
        <v>1</v>
      </c>
      <c r="AH373" s="45" t="b">
        <v>1</v>
      </c>
    </row>
    <row r="374" spans="22:34" x14ac:dyDescent="0.25">
      <c r="V374" t="s">
        <v>547</v>
      </c>
      <c r="W374" s="45" t="s">
        <v>328</v>
      </c>
      <c r="X374" s="45" t="b">
        <v>0</v>
      </c>
      <c r="Y374" s="45" t="b">
        <v>1</v>
      </c>
      <c r="Z374" s="45" t="b">
        <v>1</v>
      </c>
      <c r="AA374" s="45" t="b">
        <v>0</v>
      </c>
      <c r="AB374" s="45" t="b">
        <v>1</v>
      </c>
      <c r="AC374" s="45" t="b">
        <v>1</v>
      </c>
      <c r="AD374" s="45" t="b">
        <v>1</v>
      </c>
      <c r="AE374" s="45" t="b">
        <v>1</v>
      </c>
      <c r="AF374" s="45" t="s">
        <v>304</v>
      </c>
      <c r="AG374" s="45" t="b">
        <v>1</v>
      </c>
      <c r="AH374" s="45" t="b">
        <v>1</v>
      </c>
    </row>
    <row r="375" spans="22:34" x14ac:dyDescent="0.25">
      <c r="V375" t="s">
        <v>547</v>
      </c>
      <c r="W375" s="45" t="s">
        <v>328</v>
      </c>
      <c r="X375" s="45" t="b">
        <v>0</v>
      </c>
      <c r="Y375" s="45" t="b">
        <v>1</v>
      </c>
      <c r="Z375" s="45" t="b">
        <v>1</v>
      </c>
      <c r="AA375" s="45" t="b">
        <v>0</v>
      </c>
      <c r="AB375" s="45" t="b">
        <v>1</v>
      </c>
      <c r="AC375" s="45" t="b">
        <v>1</v>
      </c>
      <c r="AD375" s="45" t="b">
        <v>1</v>
      </c>
      <c r="AE375" s="45" t="b">
        <v>1</v>
      </c>
      <c r="AF375" s="45" t="s">
        <v>305</v>
      </c>
      <c r="AG375" s="45" t="b">
        <v>1</v>
      </c>
      <c r="AH375" s="45" t="b">
        <v>1</v>
      </c>
    </row>
    <row r="376" spans="22:34" x14ac:dyDescent="0.25">
      <c r="V376" t="s">
        <v>547</v>
      </c>
      <c r="W376" s="45" t="s">
        <v>328</v>
      </c>
      <c r="X376" s="45" t="b">
        <v>0</v>
      </c>
      <c r="Y376" s="45" t="b">
        <v>1</v>
      </c>
      <c r="Z376" s="45" t="b">
        <v>1</v>
      </c>
      <c r="AA376" s="45" t="b">
        <v>0</v>
      </c>
      <c r="AB376" s="45" t="b">
        <v>1</v>
      </c>
      <c r="AC376" s="45" t="b">
        <v>1</v>
      </c>
      <c r="AD376" s="45" t="b">
        <v>1</v>
      </c>
      <c r="AE376" s="45" t="b">
        <v>1</v>
      </c>
      <c r="AF376" s="45" t="s">
        <v>306</v>
      </c>
      <c r="AG376" s="45" t="b">
        <v>1</v>
      </c>
      <c r="AH376" s="45" t="b">
        <v>1</v>
      </c>
    </row>
    <row r="377" spans="22:34" x14ac:dyDescent="0.25">
      <c r="V377" t="s">
        <v>547</v>
      </c>
      <c r="W377" s="45" t="s">
        <v>328</v>
      </c>
      <c r="X377" s="45" t="b">
        <v>0</v>
      </c>
      <c r="Y377" s="45" t="b">
        <v>1</v>
      </c>
      <c r="Z377" s="45" t="b">
        <v>1</v>
      </c>
      <c r="AA377" s="45" t="b">
        <v>0</v>
      </c>
      <c r="AB377" s="45" t="b">
        <v>1</v>
      </c>
      <c r="AC377" s="45" t="b">
        <v>1</v>
      </c>
      <c r="AD377" s="45" t="b">
        <v>1</v>
      </c>
      <c r="AE377" s="45" t="b">
        <v>1</v>
      </c>
      <c r="AF377" s="45" t="s">
        <v>307</v>
      </c>
      <c r="AG377" s="45" t="b">
        <v>1</v>
      </c>
      <c r="AH377" s="45" t="b">
        <v>1</v>
      </c>
    </row>
    <row r="378" spans="22:34" x14ac:dyDescent="0.25">
      <c r="V378" t="s">
        <v>547</v>
      </c>
      <c r="W378" s="45" t="s">
        <v>328</v>
      </c>
      <c r="X378" s="45" t="b">
        <v>0</v>
      </c>
      <c r="Y378" s="45" t="b">
        <v>1</v>
      </c>
      <c r="Z378" s="45" t="b">
        <v>1</v>
      </c>
      <c r="AA378" s="45" t="b">
        <v>0</v>
      </c>
      <c r="AB378" s="45" t="b">
        <v>1</v>
      </c>
      <c r="AC378" s="45" t="b">
        <v>1</v>
      </c>
      <c r="AD378" s="45" t="b">
        <v>1</v>
      </c>
      <c r="AE378" s="45" t="b">
        <v>1</v>
      </c>
      <c r="AF378" s="45" t="s">
        <v>308</v>
      </c>
      <c r="AG378" s="45" t="b">
        <v>1</v>
      </c>
      <c r="AH378" s="45" t="b">
        <v>1</v>
      </c>
    </row>
    <row r="379" spans="22:34" x14ac:dyDescent="0.25">
      <c r="V379" t="s">
        <v>547</v>
      </c>
      <c r="W379" s="45" t="s">
        <v>328</v>
      </c>
      <c r="X379" s="45" t="b">
        <v>0</v>
      </c>
      <c r="Y379" s="45" t="b">
        <v>1</v>
      </c>
      <c r="Z379" s="45" t="b">
        <v>1</v>
      </c>
      <c r="AA379" s="45" t="b">
        <v>0</v>
      </c>
      <c r="AB379" s="45" t="b">
        <v>1</v>
      </c>
      <c r="AC379" s="45" t="b">
        <v>1</v>
      </c>
      <c r="AD379" s="45" t="b">
        <v>1</v>
      </c>
      <c r="AE379" s="45" t="b">
        <v>1</v>
      </c>
      <c r="AF379" s="45" t="s">
        <v>309</v>
      </c>
      <c r="AG379" s="45" t="b">
        <v>1</v>
      </c>
      <c r="AH379" s="45" t="b">
        <v>1</v>
      </c>
    </row>
    <row r="380" spans="22:34" x14ac:dyDescent="0.25">
      <c r="V380" t="s">
        <v>547</v>
      </c>
      <c r="W380" s="45" t="s">
        <v>328</v>
      </c>
      <c r="X380" s="45" t="b">
        <v>0</v>
      </c>
      <c r="Y380" s="45" t="b">
        <v>1</v>
      </c>
      <c r="Z380" s="45" t="b">
        <v>1</v>
      </c>
      <c r="AA380" s="45" t="b">
        <v>0</v>
      </c>
      <c r="AB380" s="45" t="b">
        <v>1</v>
      </c>
      <c r="AC380" s="45" t="b">
        <v>1</v>
      </c>
      <c r="AD380" s="45" t="b">
        <v>1</v>
      </c>
      <c r="AE380" s="45" t="b">
        <v>1</v>
      </c>
      <c r="AF380" s="45" t="s">
        <v>310</v>
      </c>
      <c r="AG380" s="45" t="b">
        <v>1</v>
      </c>
      <c r="AH380" s="45" t="b">
        <v>1</v>
      </c>
    </row>
    <row r="381" spans="22:34" x14ac:dyDescent="0.25">
      <c r="V381" t="s">
        <v>547</v>
      </c>
      <c r="W381" s="45" t="s">
        <v>328</v>
      </c>
      <c r="X381" s="45" t="b">
        <v>0</v>
      </c>
      <c r="Y381" s="45" t="b">
        <v>1</v>
      </c>
      <c r="Z381" s="45" t="b">
        <v>1</v>
      </c>
      <c r="AA381" s="45" t="b">
        <v>0</v>
      </c>
      <c r="AB381" s="45" t="b">
        <v>1</v>
      </c>
      <c r="AC381" s="45" t="b">
        <v>1</v>
      </c>
      <c r="AD381" s="45" t="b">
        <v>1</v>
      </c>
      <c r="AE381" s="45" t="b">
        <v>1</v>
      </c>
      <c r="AF381" s="45" t="s">
        <v>311</v>
      </c>
      <c r="AG381" s="45" t="b">
        <v>1</v>
      </c>
      <c r="AH381" s="45" t="b">
        <v>1</v>
      </c>
    </row>
    <row r="382" spans="22:34" x14ac:dyDescent="0.25">
      <c r="V382" t="s">
        <v>547</v>
      </c>
      <c r="W382" s="45" t="s">
        <v>328</v>
      </c>
      <c r="X382" s="45" t="b">
        <v>0</v>
      </c>
      <c r="Y382" s="45" t="b">
        <v>1</v>
      </c>
      <c r="Z382" s="45" t="b">
        <v>1</v>
      </c>
      <c r="AA382" s="45" t="b">
        <v>0</v>
      </c>
      <c r="AB382" s="45" t="b">
        <v>1</v>
      </c>
      <c r="AC382" s="45" t="b">
        <v>1</v>
      </c>
      <c r="AD382" s="45" t="b">
        <v>1</v>
      </c>
      <c r="AE382" s="45" t="b">
        <v>1</v>
      </c>
      <c r="AF382" s="45" t="s">
        <v>312</v>
      </c>
      <c r="AG382" s="45" t="b">
        <v>1</v>
      </c>
      <c r="AH382" s="45" t="b">
        <v>1</v>
      </c>
    </row>
    <row r="383" spans="22:34" x14ac:dyDescent="0.25">
      <c r="V383" t="s">
        <v>547</v>
      </c>
      <c r="W383" s="45" t="s">
        <v>328</v>
      </c>
      <c r="X383" s="45" t="b">
        <v>0</v>
      </c>
      <c r="Y383" s="45" t="b">
        <v>1</v>
      </c>
      <c r="Z383" s="45" t="b">
        <v>1</v>
      </c>
      <c r="AA383" s="45" t="b">
        <v>0</v>
      </c>
      <c r="AB383" s="45" t="b">
        <v>1</v>
      </c>
      <c r="AC383" s="45" t="b">
        <v>1</v>
      </c>
      <c r="AD383" s="45" t="b">
        <v>1</v>
      </c>
      <c r="AE383" s="45" t="b">
        <v>1</v>
      </c>
      <c r="AF383" s="45" t="s">
        <v>313</v>
      </c>
      <c r="AG383" s="45" t="b">
        <v>1</v>
      </c>
      <c r="AH383" s="45" t="b">
        <v>1</v>
      </c>
    </row>
    <row r="384" spans="22:34" x14ac:dyDescent="0.25">
      <c r="V384" t="s">
        <v>547</v>
      </c>
      <c r="W384" s="45" t="s">
        <v>328</v>
      </c>
      <c r="X384" s="45" t="b">
        <v>0</v>
      </c>
      <c r="Y384" s="45" t="b">
        <v>1</v>
      </c>
      <c r="Z384" s="45" t="b">
        <v>1</v>
      </c>
      <c r="AA384" s="45" t="b">
        <v>0</v>
      </c>
      <c r="AB384" s="45" t="b">
        <v>1</v>
      </c>
      <c r="AC384" s="45" t="b">
        <v>1</v>
      </c>
      <c r="AD384" s="45" t="b">
        <v>1</v>
      </c>
      <c r="AE384" s="45" t="b">
        <v>1</v>
      </c>
      <c r="AF384" s="45" t="s">
        <v>314</v>
      </c>
      <c r="AG384" s="45" t="b">
        <v>1</v>
      </c>
      <c r="AH384" s="45" t="b">
        <v>1</v>
      </c>
    </row>
    <row r="385" spans="22:34" x14ac:dyDescent="0.25">
      <c r="V385" t="s">
        <v>547</v>
      </c>
      <c r="W385" s="45" t="s">
        <v>328</v>
      </c>
      <c r="X385" s="45" t="b">
        <v>0</v>
      </c>
      <c r="Y385" s="45" t="b">
        <v>1</v>
      </c>
      <c r="Z385" s="45" t="b">
        <v>1</v>
      </c>
      <c r="AA385" s="45" t="b">
        <v>0</v>
      </c>
      <c r="AB385" s="45" t="b">
        <v>1</v>
      </c>
      <c r="AC385" s="45" t="b">
        <v>1</v>
      </c>
      <c r="AD385" s="45" t="b">
        <v>1</v>
      </c>
      <c r="AE385" s="45" t="b">
        <v>1</v>
      </c>
      <c r="AF385" s="45" t="s">
        <v>315</v>
      </c>
      <c r="AG385" s="45" t="b">
        <v>1</v>
      </c>
      <c r="AH385" s="45" t="b">
        <v>1</v>
      </c>
    </row>
    <row r="386" spans="22:34" x14ac:dyDescent="0.25">
      <c r="V386" t="s">
        <v>547</v>
      </c>
      <c r="W386" s="45" t="s">
        <v>328</v>
      </c>
      <c r="X386" s="45" t="b">
        <v>0</v>
      </c>
      <c r="Y386" s="45" t="b">
        <v>1</v>
      </c>
      <c r="Z386" s="45" t="b">
        <v>1</v>
      </c>
      <c r="AA386" s="45" t="b">
        <v>0</v>
      </c>
      <c r="AB386" s="45" t="b">
        <v>1</v>
      </c>
      <c r="AC386" s="45" t="b">
        <v>1</v>
      </c>
      <c r="AD386" s="45" t="b">
        <v>1</v>
      </c>
      <c r="AE386" s="45" t="b">
        <v>1</v>
      </c>
      <c r="AF386" s="45" t="s">
        <v>316</v>
      </c>
      <c r="AG386" s="45" t="b">
        <v>1</v>
      </c>
      <c r="AH386" s="45" t="b">
        <v>1</v>
      </c>
    </row>
    <row r="387" spans="22:34" x14ac:dyDescent="0.25">
      <c r="V387" t="s">
        <v>547</v>
      </c>
      <c r="W387" s="45" t="s">
        <v>328</v>
      </c>
      <c r="X387" s="45" t="b">
        <v>0</v>
      </c>
      <c r="Y387" s="45" t="b">
        <v>1</v>
      </c>
      <c r="Z387" s="45" t="b">
        <v>1</v>
      </c>
      <c r="AA387" s="45" t="b">
        <v>0</v>
      </c>
      <c r="AB387" s="45" t="b">
        <v>1</v>
      </c>
      <c r="AC387" s="45" t="b">
        <v>1</v>
      </c>
      <c r="AD387" s="45" t="b">
        <v>1</v>
      </c>
      <c r="AE387" s="45" t="b">
        <v>1</v>
      </c>
      <c r="AF387" s="45" t="s">
        <v>317</v>
      </c>
      <c r="AG387" s="45" t="b">
        <v>1</v>
      </c>
      <c r="AH387" s="45" t="b">
        <v>1</v>
      </c>
    </row>
    <row r="388" spans="22:34" x14ac:dyDescent="0.25">
      <c r="V388" t="s">
        <v>547</v>
      </c>
      <c r="W388" s="45" t="s">
        <v>328</v>
      </c>
      <c r="X388" s="45" t="b">
        <v>0</v>
      </c>
      <c r="Y388" s="45" t="b">
        <v>1</v>
      </c>
      <c r="Z388" s="45" t="b">
        <v>1</v>
      </c>
      <c r="AA388" s="45" t="b">
        <v>0</v>
      </c>
      <c r="AB388" s="45" t="b">
        <v>1</v>
      </c>
      <c r="AC388" s="45" t="b">
        <v>1</v>
      </c>
      <c r="AD388" s="45" t="b">
        <v>1</v>
      </c>
      <c r="AE388" s="45" t="b">
        <v>1</v>
      </c>
      <c r="AF388" s="45" t="s">
        <v>318</v>
      </c>
      <c r="AG388" s="45" t="b">
        <v>1</v>
      </c>
      <c r="AH388" s="45" t="b">
        <v>1</v>
      </c>
    </row>
    <row r="389" spans="22:34" x14ac:dyDescent="0.25">
      <c r="V389" t="s">
        <v>547</v>
      </c>
      <c r="W389" s="45" t="s">
        <v>328</v>
      </c>
      <c r="X389" s="45" t="b">
        <v>0</v>
      </c>
      <c r="Y389" s="45" t="b">
        <v>1</v>
      </c>
      <c r="Z389" s="45" t="b">
        <v>1</v>
      </c>
      <c r="AA389" s="45" t="b">
        <v>0</v>
      </c>
      <c r="AB389" s="45" t="b">
        <v>1</v>
      </c>
      <c r="AC389" s="45" t="b">
        <v>1</v>
      </c>
      <c r="AD389" s="45" t="b">
        <v>1</v>
      </c>
      <c r="AE389" s="45" t="b">
        <v>1</v>
      </c>
      <c r="AF389" s="45" t="s">
        <v>319</v>
      </c>
      <c r="AG389" s="45" t="b">
        <v>1</v>
      </c>
      <c r="AH389" s="45" t="b">
        <v>1</v>
      </c>
    </row>
    <row r="390" spans="22:34" x14ac:dyDescent="0.25">
      <c r="V390" t="s">
        <v>548</v>
      </c>
      <c r="W390" s="45" t="s">
        <v>329</v>
      </c>
      <c r="X390" s="45" t="b">
        <v>1</v>
      </c>
      <c r="Y390" s="45" t="b">
        <v>1</v>
      </c>
      <c r="Z390" s="45" t="b">
        <v>1</v>
      </c>
      <c r="AA390" s="45" t="b">
        <v>0</v>
      </c>
      <c r="AB390" s="45" t="b">
        <v>1</v>
      </c>
      <c r="AC390" s="45" t="b">
        <v>1</v>
      </c>
      <c r="AD390" s="45" t="b">
        <v>1</v>
      </c>
      <c r="AE390" s="45" t="b">
        <v>1</v>
      </c>
      <c r="AF390" s="45" t="s">
        <v>295</v>
      </c>
      <c r="AG390" s="45" t="b">
        <v>1</v>
      </c>
      <c r="AH390" s="45" t="b">
        <v>1</v>
      </c>
    </row>
    <row r="391" spans="22:34" x14ac:dyDescent="0.25">
      <c r="V391" t="s">
        <v>548</v>
      </c>
      <c r="W391" s="45" t="s">
        <v>329</v>
      </c>
      <c r="X391" s="45" t="b">
        <v>1</v>
      </c>
      <c r="Y391" s="45" t="b">
        <v>1</v>
      </c>
      <c r="Z391" s="45" t="b">
        <v>1</v>
      </c>
      <c r="AA391" s="45" t="b">
        <v>0</v>
      </c>
      <c r="AB391" s="45" t="b">
        <v>1</v>
      </c>
      <c r="AC391" s="45" t="b">
        <v>1</v>
      </c>
      <c r="AD391" s="45" t="b">
        <v>1</v>
      </c>
      <c r="AE391" s="45" t="b">
        <v>1</v>
      </c>
      <c r="AF391" s="45" t="s">
        <v>297</v>
      </c>
      <c r="AG391" s="45" t="b">
        <v>1</v>
      </c>
      <c r="AH391" s="45" t="b">
        <v>1</v>
      </c>
    </row>
    <row r="392" spans="22:34" x14ac:dyDescent="0.25">
      <c r="V392" t="s">
        <v>548</v>
      </c>
      <c r="W392" s="45" t="s">
        <v>329</v>
      </c>
      <c r="X392" s="45" t="b">
        <v>1</v>
      </c>
      <c r="Y392" s="45" t="b">
        <v>1</v>
      </c>
      <c r="Z392" s="45" t="b">
        <v>1</v>
      </c>
      <c r="AA392" s="45" t="b">
        <v>0</v>
      </c>
      <c r="AB392" s="45" t="b">
        <v>1</v>
      </c>
      <c r="AC392" s="45" t="b">
        <v>1</v>
      </c>
      <c r="AD392" s="45" t="b">
        <v>1</v>
      </c>
      <c r="AE392" s="45" t="b">
        <v>1</v>
      </c>
      <c r="AF392" s="45" t="s">
        <v>112</v>
      </c>
      <c r="AG392" s="45" t="b">
        <v>1</v>
      </c>
      <c r="AH392" s="45" t="b">
        <v>1</v>
      </c>
    </row>
    <row r="393" spans="22:34" x14ac:dyDescent="0.25">
      <c r="V393" t="s">
        <v>548</v>
      </c>
      <c r="W393" s="45" t="s">
        <v>329</v>
      </c>
      <c r="X393" s="45" t="b">
        <v>1</v>
      </c>
      <c r="Y393" s="45" t="b">
        <v>1</v>
      </c>
      <c r="Z393" s="45" t="b">
        <v>1</v>
      </c>
      <c r="AA393" s="45" t="b">
        <v>0</v>
      </c>
      <c r="AB393" s="45" t="b">
        <v>1</v>
      </c>
      <c r="AC393" s="45" t="b">
        <v>1</v>
      </c>
      <c r="AD393" s="45" t="b">
        <v>1</v>
      </c>
      <c r="AE393" s="45" t="b">
        <v>1</v>
      </c>
      <c r="AF393" s="45" t="s">
        <v>114</v>
      </c>
      <c r="AG393" s="45" t="b">
        <v>1</v>
      </c>
      <c r="AH393" s="45" t="b">
        <v>1</v>
      </c>
    </row>
    <row r="394" spans="22:34" x14ac:dyDescent="0.25">
      <c r="V394" t="s">
        <v>548</v>
      </c>
      <c r="W394" s="45" t="s">
        <v>329</v>
      </c>
      <c r="X394" s="45" t="b">
        <v>1</v>
      </c>
      <c r="Y394" s="45" t="b">
        <v>1</v>
      </c>
      <c r="Z394" s="45" t="b">
        <v>1</v>
      </c>
      <c r="AA394" s="45" t="b">
        <v>0</v>
      </c>
      <c r="AB394" s="45" t="b">
        <v>1</v>
      </c>
      <c r="AC394" s="45" t="b">
        <v>1</v>
      </c>
      <c r="AD394" s="45" t="b">
        <v>1</v>
      </c>
      <c r="AE394" s="45" t="b">
        <v>1</v>
      </c>
      <c r="AF394" s="45" t="s">
        <v>115</v>
      </c>
      <c r="AG394" s="45" t="b">
        <v>1</v>
      </c>
      <c r="AH394" s="45" t="b">
        <v>1</v>
      </c>
    </row>
    <row r="395" spans="22:34" x14ac:dyDescent="0.25">
      <c r="V395" t="s">
        <v>548</v>
      </c>
      <c r="W395" s="45" t="s">
        <v>329</v>
      </c>
      <c r="X395" s="45" t="b">
        <v>1</v>
      </c>
      <c r="Y395" s="45" t="b">
        <v>1</v>
      </c>
      <c r="Z395" s="45" t="b">
        <v>1</v>
      </c>
      <c r="AA395" s="45" t="b">
        <v>0</v>
      </c>
      <c r="AB395" s="45" t="b">
        <v>1</v>
      </c>
      <c r="AC395" s="45" t="b">
        <v>1</v>
      </c>
      <c r="AD395" s="45" t="b">
        <v>1</v>
      </c>
      <c r="AE395" s="45" t="b">
        <v>1</v>
      </c>
      <c r="AF395" s="45" t="s">
        <v>116</v>
      </c>
      <c r="AG395" s="45" t="b">
        <v>1</v>
      </c>
      <c r="AH395" s="45" t="b">
        <v>1</v>
      </c>
    </row>
    <row r="396" spans="22:34" x14ac:dyDescent="0.25">
      <c r="V396" t="s">
        <v>548</v>
      </c>
      <c r="W396" s="45" t="s">
        <v>329</v>
      </c>
      <c r="X396" s="45" t="b">
        <v>1</v>
      </c>
      <c r="Y396" s="45" t="b">
        <v>1</v>
      </c>
      <c r="Z396" s="45" t="b">
        <v>1</v>
      </c>
      <c r="AA396" s="45" t="b">
        <v>0</v>
      </c>
      <c r="AB396" s="45" t="b">
        <v>1</v>
      </c>
      <c r="AC396" s="45" t="b">
        <v>1</v>
      </c>
      <c r="AD396" s="45" t="b">
        <v>1</v>
      </c>
      <c r="AE396" s="45" t="b">
        <v>1</v>
      </c>
      <c r="AF396" s="45" t="s">
        <v>298</v>
      </c>
      <c r="AG396" s="45" t="b">
        <v>1</v>
      </c>
      <c r="AH396" s="45" t="b">
        <v>1</v>
      </c>
    </row>
    <row r="397" spans="22:34" x14ac:dyDescent="0.25">
      <c r="V397" t="s">
        <v>548</v>
      </c>
      <c r="W397" s="45" t="s">
        <v>329</v>
      </c>
      <c r="X397" s="45" t="b">
        <v>1</v>
      </c>
      <c r="Y397" s="45" t="b">
        <v>1</v>
      </c>
      <c r="Z397" s="45" t="b">
        <v>1</v>
      </c>
      <c r="AA397" s="45" t="b">
        <v>0</v>
      </c>
      <c r="AB397" s="45" t="b">
        <v>1</v>
      </c>
      <c r="AC397" s="45" t="b">
        <v>1</v>
      </c>
      <c r="AD397" s="45" t="b">
        <v>1</v>
      </c>
      <c r="AE397" s="45" t="b">
        <v>1</v>
      </c>
      <c r="AF397" s="45" t="s">
        <v>299</v>
      </c>
      <c r="AG397" s="45" t="b">
        <v>1</v>
      </c>
      <c r="AH397" s="45" t="b">
        <v>1</v>
      </c>
    </row>
    <row r="398" spans="22:34" x14ac:dyDescent="0.25">
      <c r="V398" t="s">
        <v>548</v>
      </c>
      <c r="W398" s="45" t="s">
        <v>329</v>
      </c>
      <c r="X398" s="45" t="b">
        <v>1</v>
      </c>
      <c r="Y398" s="45" t="b">
        <v>1</v>
      </c>
      <c r="Z398" s="45" t="b">
        <v>1</v>
      </c>
      <c r="AA398" s="45" t="b">
        <v>0</v>
      </c>
      <c r="AB398" s="45" t="b">
        <v>1</v>
      </c>
      <c r="AC398" s="45" t="b">
        <v>1</v>
      </c>
      <c r="AD398" s="45" t="b">
        <v>1</v>
      </c>
      <c r="AE398" s="45" t="b">
        <v>1</v>
      </c>
      <c r="AF398" s="45" t="s">
        <v>414</v>
      </c>
      <c r="AG398" s="45" t="b">
        <v>1</v>
      </c>
      <c r="AH398" s="45" t="b">
        <v>1</v>
      </c>
    </row>
    <row r="399" spans="22:34" x14ac:dyDescent="0.25">
      <c r="V399" t="s">
        <v>548</v>
      </c>
      <c r="W399" s="45" t="s">
        <v>329</v>
      </c>
      <c r="X399" s="45" t="b">
        <v>1</v>
      </c>
      <c r="Y399" s="45" t="b">
        <v>1</v>
      </c>
      <c r="Z399" s="45" t="b">
        <v>1</v>
      </c>
      <c r="AA399" s="45" t="b">
        <v>0</v>
      </c>
      <c r="AB399" s="45" t="b">
        <v>1</v>
      </c>
      <c r="AC399" s="45" t="b">
        <v>1</v>
      </c>
      <c r="AD399" s="45" t="b">
        <v>1</v>
      </c>
      <c r="AE399" s="45" t="b">
        <v>1</v>
      </c>
      <c r="AF399" s="45" t="s">
        <v>118</v>
      </c>
      <c r="AG399" s="45" t="b">
        <v>1</v>
      </c>
      <c r="AH399" s="45" t="b">
        <v>1</v>
      </c>
    </row>
    <row r="400" spans="22:34" x14ac:dyDescent="0.25">
      <c r="V400" t="s">
        <v>548</v>
      </c>
      <c r="W400" s="45" t="s">
        <v>329</v>
      </c>
      <c r="X400" s="45" t="b">
        <v>1</v>
      </c>
      <c r="Y400" s="45" t="b">
        <v>1</v>
      </c>
      <c r="Z400" s="45" t="b">
        <v>1</v>
      </c>
      <c r="AA400" s="45" t="b">
        <v>0</v>
      </c>
      <c r="AB400" s="45" t="b">
        <v>1</v>
      </c>
      <c r="AC400" s="45" t="b">
        <v>1</v>
      </c>
      <c r="AD400" s="45" t="b">
        <v>1</v>
      </c>
      <c r="AE400" s="45" t="b">
        <v>1</v>
      </c>
      <c r="AF400" s="45" t="s">
        <v>119</v>
      </c>
      <c r="AG400" s="45" t="b">
        <v>1</v>
      </c>
      <c r="AH400" s="45" t="b">
        <v>1</v>
      </c>
    </row>
    <row r="401" spans="22:34" x14ac:dyDescent="0.25">
      <c r="V401" t="s">
        <v>548</v>
      </c>
      <c r="W401" s="45" t="s">
        <v>329</v>
      </c>
      <c r="X401" s="45" t="b">
        <v>1</v>
      </c>
      <c r="Y401" s="45" t="b">
        <v>1</v>
      </c>
      <c r="Z401" s="45" t="b">
        <v>1</v>
      </c>
      <c r="AA401" s="45" t="b">
        <v>0</v>
      </c>
      <c r="AB401" s="45" t="b">
        <v>1</v>
      </c>
      <c r="AC401" s="45" t="b">
        <v>1</v>
      </c>
      <c r="AD401" s="45" t="b">
        <v>1</v>
      </c>
      <c r="AE401" s="45" t="b">
        <v>1</v>
      </c>
      <c r="AF401" s="45" t="s">
        <v>300</v>
      </c>
      <c r="AG401" s="45" t="b">
        <v>1</v>
      </c>
      <c r="AH401" s="45" t="b">
        <v>1</v>
      </c>
    </row>
    <row r="402" spans="22:34" x14ac:dyDescent="0.25">
      <c r="V402" t="s">
        <v>548</v>
      </c>
      <c r="W402" s="45" t="s">
        <v>329</v>
      </c>
      <c r="X402" s="45" t="b">
        <v>1</v>
      </c>
      <c r="Y402" s="45" t="b">
        <v>1</v>
      </c>
      <c r="Z402" s="45" t="b">
        <v>1</v>
      </c>
      <c r="AA402" s="45" t="b">
        <v>0</v>
      </c>
      <c r="AB402" s="45" t="b">
        <v>1</v>
      </c>
      <c r="AC402" s="45" t="b">
        <v>1</v>
      </c>
      <c r="AD402" s="45" t="b">
        <v>1</v>
      </c>
      <c r="AE402" s="45" t="b">
        <v>1</v>
      </c>
      <c r="AF402" s="45" t="s">
        <v>301</v>
      </c>
      <c r="AG402" s="45" t="b">
        <v>1</v>
      </c>
      <c r="AH402" s="45" t="b">
        <v>1</v>
      </c>
    </row>
    <row r="403" spans="22:34" x14ac:dyDescent="0.25">
      <c r="V403" t="s">
        <v>548</v>
      </c>
      <c r="W403" s="45" t="s">
        <v>329</v>
      </c>
      <c r="X403" s="45" t="b">
        <v>1</v>
      </c>
      <c r="Y403" s="45" t="b">
        <v>1</v>
      </c>
      <c r="Z403" s="45" t="b">
        <v>1</v>
      </c>
      <c r="AA403" s="45" t="b">
        <v>0</v>
      </c>
      <c r="AB403" s="45" t="b">
        <v>1</v>
      </c>
      <c r="AC403" s="45" t="b">
        <v>1</v>
      </c>
      <c r="AD403" s="45" t="b">
        <v>1</v>
      </c>
      <c r="AE403" s="45" t="b">
        <v>1</v>
      </c>
      <c r="AF403" s="45" t="s">
        <v>120</v>
      </c>
      <c r="AG403" s="45" t="b">
        <v>1</v>
      </c>
      <c r="AH403" s="45" t="b">
        <v>1</v>
      </c>
    </row>
    <row r="404" spans="22:34" x14ac:dyDescent="0.25">
      <c r="V404" t="s">
        <v>548</v>
      </c>
      <c r="W404" s="45" t="s">
        <v>329</v>
      </c>
      <c r="X404" s="45" t="b">
        <v>1</v>
      </c>
      <c r="Y404" s="45" t="b">
        <v>1</v>
      </c>
      <c r="Z404" s="45" t="b">
        <v>1</v>
      </c>
      <c r="AA404" s="45" t="b">
        <v>0</v>
      </c>
      <c r="AB404" s="45" t="b">
        <v>1</v>
      </c>
      <c r="AC404" s="45" t="b">
        <v>1</v>
      </c>
      <c r="AD404" s="45" t="b">
        <v>1</v>
      </c>
      <c r="AE404" s="45" t="b">
        <v>1</v>
      </c>
      <c r="AF404" s="45" t="s">
        <v>302</v>
      </c>
      <c r="AG404" s="45" t="b">
        <v>1</v>
      </c>
      <c r="AH404" s="45" t="b">
        <v>1</v>
      </c>
    </row>
    <row r="405" spans="22:34" x14ac:dyDescent="0.25">
      <c r="V405" t="s">
        <v>548</v>
      </c>
      <c r="W405" s="45" t="s">
        <v>329</v>
      </c>
      <c r="X405" s="45" t="b">
        <v>1</v>
      </c>
      <c r="Y405" s="45" t="b">
        <v>1</v>
      </c>
      <c r="Z405" s="45" t="b">
        <v>1</v>
      </c>
      <c r="AA405" s="45" t="b">
        <v>0</v>
      </c>
      <c r="AB405" s="45" t="b">
        <v>1</v>
      </c>
      <c r="AC405" s="45" t="b">
        <v>1</v>
      </c>
      <c r="AD405" s="45" t="b">
        <v>1</v>
      </c>
      <c r="AE405" s="45" t="b">
        <v>1</v>
      </c>
      <c r="AF405" s="45" t="s">
        <v>303</v>
      </c>
      <c r="AG405" s="45" t="b">
        <v>1</v>
      </c>
      <c r="AH405" s="45" t="b">
        <v>1</v>
      </c>
    </row>
    <row r="406" spans="22:34" x14ac:dyDescent="0.25">
      <c r="V406" t="s">
        <v>548</v>
      </c>
      <c r="W406" s="45" t="s">
        <v>329</v>
      </c>
      <c r="X406" s="45" t="b">
        <v>1</v>
      </c>
      <c r="Y406" s="45" t="b">
        <v>1</v>
      </c>
      <c r="Z406" s="45" t="b">
        <v>1</v>
      </c>
      <c r="AA406" s="45" t="b">
        <v>0</v>
      </c>
      <c r="AB406" s="45" t="b">
        <v>1</v>
      </c>
      <c r="AC406" s="45" t="b">
        <v>1</v>
      </c>
      <c r="AD406" s="45" t="b">
        <v>1</v>
      </c>
      <c r="AE406" s="45" t="b">
        <v>1</v>
      </c>
      <c r="AF406" s="45" t="s">
        <v>304</v>
      </c>
      <c r="AG406" s="45" t="b">
        <v>1</v>
      </c>
      <c r="AH406" s="45" t="b">
        <v>1</v>
      </c>
    </row>
    <row r="407" spans="22:34" x14ac:dyDescent="0.25">
      <c r="V407" t="s">
        <v>548</v>
      </c>
      <c r="W407" s="45" t="s">
        <v>329</v>
      </c>
      <c r="X407" s="45" t="b">
        <v>1</v>
      </c>
      <c r="Y407" s="45" t="b">
        <v>1</v>
      </c>
      <c r="Z407" s="45" t="b">
        <v>1</v>
      </c>
      <c r="AA407" s="45" t="b">
        <v>0</v>
      </c>
      <c r="AB407" s="45" t="b">
        <v>1</v>
      </c>
      <c r="AC407" s="45" t="b">
        <v>1</v>
      </c>
      <c r="AD407" s="45" t="b">
        <v>1</v>
      </c>
      <c r="AE407" s="45" t="b">
        <v>1</v>
      </c>
      <c r="AF407" s="45" t="s">
        <v>305</v>
      </c>
      <c r="AG407" s="45" t="b">
        <v>1</v>
      </c>
      <c r="AH407" s="45" t="b">
        <v>1</v>
      </c>
    </row>
    <row r="408" spans="22:34" x14ac:dyDescent="0.25">
      <c r="V408" t="s">
        <v>548</v>
      </c>
      <c r="W408" s="45" t="s">
        <v>329</v>
      </c>
      <c r="X408" s="45" t="b">
        <v>1</v>
      </c>
      <c r="Y408" s="45" t="b">
        <v>1</v>
      </c>
      <c r="Z408" s="45" t="b">
        <v>1</v>
      </c>
      <c r="AA408" s="45" t="b">
        <v>0</v>
      </c>
      <c r="AB408" s="45" t="b">
        <v>1</v>
      </c>
      <c r="AC408" s="45" t="b">
        <v>1</v>
      </c>
      <c r="AD408" s="45" t="b">
        <v>1</v>
      </c>
      <c r="AE408" s="45" t="b">
        <v>1</v>
      </c>
      <c r="AF408" s="45" t="s">
        <v>306</v>
      </c>
      <c r="AG408" s="45" t="b">
        <v>1</v>
      </c>
      <c r="AH408" s="45" t="b">
        <v>1</v>
      </c>
    </row>
    <row r="409" spans="22:34" x14ac:dyDescent="0.25">
      <c r="V409" t="s">
        <v>548</v>
      </c>
      <c r="W409" s="45" t="s">
        <v>329</v>
      </c>
      <c r="X409" s="45" t="b">
        <v>1</v>
      </c>
      <c r="Y409" s="45" t="b">
        <v>1</v>
      </c>
      <c r="Z409" s="45" t="b">
        <v>1</v>
      </c>
      <c r="AA409" s="45" t="b">
        <v>0</v>
      </c>
      <c r="AB409" s="45" t="b">
        <v>1</v>
      </c>
      <c r="AC409" s="45" t="b">
        <v>1</v>
      </c>
      <c r="AD409" s="45" t="b">
        <v>1</v>
      </c>
      <c r="AE409" s="45" t="b">
        <v>1</v>
      </c>
      <c r="AF409" s="45" t="s">
        <v>307</v>
      </c>
      <c r="AG409" s="45" t="b">
        <v>1</v>
      </c>
      <c r="AH409" s="45" t="b">
        <v>1</v>
      </c>
    </row>
    <row r="410" spans="22:34" x14ac:dyDescent="0.25">
      <c r="V410" t="s">
        <v>548</v>
      </c>
      <c r="W410" s="45" t="s">
        <v>329</v>
      </c>
      <c r="X410" s="45" t="b">
        <v>1</v>
      </c>
      <c r="Y410" s="45" t="b">
        <v>1</v>
      </c>
      <c r="Z410" s="45" t="b">
        <v>1</v>
      </c>
      <c r="AA410" s="45" t="b">
        <v>0</v>
      </c>
      <c r="AB410" s="45" t="b">
        <v>1</v>
      </c>
      <c r="AC410" s="45" t="b">
        <v>1</v>
      </c>
      <c r="AD410" s="45" t="b">
        <v>1</v>
      </c>
      <c r="AE410" s="45" t="b">
        <v>1</v>
      </c>
      <c r="AF410" s="45" t="s">
        <v>308</v>
      </c>
      <c r="AG410" s="45" t="b">
        <v>1</v>
      </c>
      <c r="AH410" s="45" t="b">
        <v>1</v>
      </c>
    </row>
    <row r="411" spans="22:34" x14ac:dyDescent="0.25">
      <c r="V411" t="s">
        <v>548</v>
      </c>
      <c r="W411" s="45" t="s">
        <v>329</v>
      </c>
      <c r="X411" s="45" t="b">
        <v>1</v>
      </c>
      <c r="Y411" s="45" t="b">
        <v>1</v>
      </c>
      <c r="Z411" s="45" t="b">
        <v>1</v>
      </c>
      <c r="AA411" s="45" t="b">
        <v>0</v>
      </c>
      <c r="AB411" s="45" t="b">
        <v>1</v>
      </c>
      <c r="AC411" s="45" t="b">
        <v>1</v>
      </c>
      <c r="AD411" s="45" t="b">
        <v>1</v>
      </c>
      <c r="AE411" s="45" t="b">
        <v>1</v>
      </c>
      <c r="AF411" s="45" t="s">
        <v>309</v>
      </c>
      <c r="AG411" s="45" t="b">
        <v>1</v>
      </c>
      <c r="AH411" s="45" t="b">
        <v>1</v>
      </c>
    </row>
    <row r="412" spans="22:34" x14ac:dyDescent="0.25">
      <c r="V412" t="s">
        <v>548</v>
      </c>
      <c r="W412" s="45" t="s">
        <v>329</v>
      </c>
      <c r="X412" s="45" t="b">
        <v>1</v>
      </c>
      <c r="Y412" s="45" t="b">
        <v>1</v>
      </c>
      <c r="Z412" s="45" t="b">
        <v>1</v>
      </c>
      <c r="AA412" s="45" t="b">
        <v>0</v>
      </c>
      <c r="AB412" s="45" t="b">
        <v>1</v>
      </c>
      <c r="AC412" s="45" t="b">
        <v>1</v>
      </c>
      <c r="AD412" s="45" t="b">
        <v>1</v>
      </c>
      <c r="AE412" s="45" t="b">
        <v>1</v>
      </c>
      <c r="AF412" s="45" t="s">
        <v>310</v>
      </c>
      <c r="AG412" s="45" t="b">
        <v>1</v>
      </c>
      <c r="AH412" s="45" t="b">
        <v>1</v>
      </c>
    </row>
    <row r="413" spans="22:34" x14ac:dyDescent="0.25">
      <c r="V413" t="s">
        <v>548</v>
      </c>
      <c r="W413" s="45" t="s">
        <v>329</v>
      </c>
      <c r="X413" s="45" t="b">
        <v>1</v>
      </c>
      <c r="Y413" s="45" t="b">
        <v>1</v>
      </c>
      <c r="Z413" s="45" t="b">
        <v>1</v>
      </c>
      <c r="AA413" s="45" t="b">
        <v>0</v>
      </c>
      <c r="AB413" s="45" t="b">
        <v>1</v>
      </c>
      <c r="AC413" s="45" t="b">
        <v>1</v>
      </c>
      <c r="AD413" s="45" t="b">
        <v>1</v>
      </c>
      <c r="AE413" s="45" t="b">
        <v>1</v>
      </c>
      <c r="AF413" s="45" t="s">
        <v>311</v>
      </c>
      <c r="AG413" s="45" t="b">
        <v>1</v>
      </c>
      <c r="AH413" s="45" t="b">
        <v>1</v>
      </c>
    </row>
    <row r="414" spans="22:34" x14ac:dyDescent="0.25">
      <c r="V414" t="s">
        <v>548</v>
      </c>
      <c r="W414" s="45" t="s">
        <v>329</v>
      </c>
      <c r="X414" s="45" t="b">
        <v>1</v>
      </c>
      <c r="Y414" s="45" t="b">
        <v>1</v>
      </c>
      <c r="Z414" s="45" t="b">
        <v>1</v>
      </c>
      <c r="AA414" s="45" t="b">
        <v>0</v>
      </c>
      <c r="AB414" s="45" t="b">
        <v>1</v>
      </c>
      <c r="AC414" s="45" t="b">
        <v>1</v>
      </c>
      <c r="AD414" s="45" t="b">
        <v>1</v>
      </c>
      <c r="AE414" s="45" t="b">
        <v>1</v>
      </c>
      <c r="AF414" s="45" t="s">
        <v>312</v>
      </c>
      <c r="AG414" s="45" t="b">
        <v>1</v>
      </c>
      <c r="AH414" s="45" t="b">
        <v>1</v>
      </c>
    </row>
    <row r="415" spans="22:34" x14ac:dyDescent="0.25">
      <c r="V415" t="s">
        <v>548</v>
      </c>
      <c r="W415" s="45" t="s">
        <v>329</v>
      </c>
      <c r="X415" s="45" t="b">
        <v>1</v>
      </c>
      <c r="Y415" s="45" t="b">
        <v>1</v>
      </c>
      <c r="Z415" s="45" t="b">
        <v>1</v>
      </c>
      <c r="AA415" s="45" t="b">
        <v>0</v>
      </c>
      <c r="AB415" s="45" t="b">
        <v>1</v>
      </c>
      <c r="AC415" s="45" t="b">
        <v>1</v>
      </c>
      <c r="AD415" s="45" t="b">
        <v>1</v>
      </c>
      <c r="AE415" s="45" t="b">
        <v>1</v>
      </c>
      <c r="AF415" s="45" t="s">
        <v>313</v>
      </c>
      <c r="AG415" s="45" t="b">
        <v>1</v>
      </c>
      <c r="AH415" s="45" t="b">
        <v>1</v>
      </c>
    </row>
    <row r="416" spans="22:34" x14ac:dyDescent="0.25">
      <c r="V416" t="s">
        <v>548</v>
      </c>
      <c r="W416" s="45" t="s">
        <v>329</v>
      </c>
      <c r="X416" s="45" t="b">
        <v>1</v>
      </c>
      <c r="Y416" s="45" t="b">
        <v>1</v>
      </c>
      <c r="Z416" s="45" t="b">
        <v>1</v>
      </c>
      <c r="AA416" s="45" t="b">
        <v>0</v>
      </c>
      <c r="AB416" s="45" t="b">
        <v>1</v>
      </c>
      <c r="AC416" s="45" t="b">
        <v>1</v>
      </c>
      <c r="AD416" s="45" t="b">
        <v>1</v>
      </c>
      <c r="AE416" s="45" t="b">
        <v>1</v>
      </c>
      <c r="AF416" s="45" t="s">
        <v>314</v>
      </c>
      <c r="AG416" s="45" t="b">
        <v>1</v>
      </c>
      <c r="AH416" s="45" t="b">
        <v>1</v>
      </c>
    </row>
    <row r="417" spans="22:34" x14ac:dyDescent="0.25">
      <c r="V417" t="s">
        <v>548</v>
      </c>
      <c r="W417" s="45" t="s">
        <v>329</v>
      </c>
      <c r="X417" s="45" t="b">
        <v>1</v>
      </c>
      <c r="Y417" s="45" t="b">
        <v>1</v>
      </c>
      <c r="Z417" s="45" t="b">
        <v>1</v>
      </c>
      <c r="AA417" s="45" t="b">
        <v>0</v>
      </c>
      <c r="AB417" s="45" t="b">
        <v>1</v>
      </c>
      <c r="AC417" s="45" t="b">
        <v>1</v>
      </c>
      <c r="AD417" s="45" t="b">
        <v>1</v>
      </c>
      <c r="AE417" s="45" t="b">
        <v>1</v>
      </c>
      <c r="AF417" s="45" t="s">
        <v>315</v>
      </c>
      <c r="AG417" s="45" t="b">
        <v>1</v>
      </c>
      <c r="AH417" s="45" t="b">
        <v>1</v>
      </c>
    </row>
    <row r="418" spans="22:34" x14ac:dyDescent="0.25">
      <c r="V418" t="s">
        <v>548</v>
      </c>
      <c r="W418" s="45" t="s">
        <v>329</v>
      </c>
      <c r="X418" s="45" t="b">
        <v>1</v>
      </c>
      <c r="Y418" s="45" t="b">
        <v>1</v>
      </c>
      <c r="Z418" s="45" t="b">
        <v>1</v>
      </c>
      <c r="AA418" s="45" t="b">
        <v>0</v>
      </c>
      <c r="AB418" s="45" t="b">
        <v>1</v>
      </c>
      <c r="AC418" s="45" t="b">
        <v>1</v>
      </c>
      <c r="AD418" s="45" t="b">
        <v>1</v>
      </c>
      <c r="AE418" s="45" t="b">
        <v>1</v>
      </c>
      <c r="AF418" s="45" t="s">
        <v>316</v>
      </c>
      <c r="AG418" s="45" t="b">
        <v>1</v>
      </c>
      <c r="AH418" s="45" t="b">
        <v>1</v>
      </c>
    </row>
    <row r="419" spans="22:34" x14ac:dyDescent="0.25">
      <c r="V419" t="s">
        <v>548</v>
      </c>
      <c r="W419" s="45" t="s">
        <v>329</v>
      </c>
      <c r="X419" s="45" t="b">
        <v>1</v>
      </c>
      <c r="Y419" s="45" t="b">
        <v>1</v>
      </c>
      <c r="Z419" s="45" t="b">
        <v>1</v>
      </c>
      <c r="AA419" s="45" t="b">
        <v>0</v>
      </c>
      <c r="AB419" s="45" t="b">
        <v>1</v>
      </c>
      <c r="AC419" s="45" t="b">
        <v>1</v>
      </c>
      <c r="AD419" s="45" t="b">
        <v>1</v>
      </c>
      <c r="AE419" s="45" t="b">
        <v>1</v>
      </c>
      <c r="AF419" s="45" t="s">
        <v>317</v>
      </c>
      <c r="AG419" s="45" t="b">
        <v>1</v>
      </c>
      <c r="AH419" s="45" t="b">
        <v>1</v>
      </c>
    </row>
    <row r="420" spans="22:34" x14ac:dyDescent="0.25">
      <c r="V420" t="s">
        <v>548</v>
      </c>
      <c r="W420" s="45" t="s">
        <v>329</v>
      </c>
      <c r="X420" s="45" t="b">
        <v>1</v>
      </c>
      <c r="Y420" s="45" t="b">
        <v>1</v>
      </c>
      <c r="Z420" s="45" t="b">
        <v>1</v>
      </c>
      <c r="AA420" s="45" t="b">
        <v>0</v>
      </c>
      <c r="AB420" s="45" t="b">
        <v>1</v>
      </c>
      <c r="AC420" s="45" t="b">
        <v>1</v>
      </c>
      <c r="AD420" s="45" t="b">
        <v>1</v>
      </c>
      <c r="AE420" s="45" t="b">
        <v>1</v>
      </c>
      <c r="AF420" s="45" t="s">
        <v>318</v>
      </c>
      <c r="AG420" s="45" t="b">
        <v>1</v>
      </c>
      <c r="AH420" s="45" t="b">
        <v>1</v>
      </c>
    </row>
    <row r="421" spans="22:34" x14ac:dyDescent="0.25">
      <c r="V421" t="s">
        <v>548</v>
      </c>
      <c r="W421" s="45" t="s">
        <v>329</v>
      </c>
      <c r="X421" s="45" t="b">
        <v>1</v>
      </c>
      <c r="Y421" s="45" t="b">
        <v>1</v>
      </c>
      <c r="Z421" s="45" t="b">
        <v>1</v>
      </c>
      <c r="AA421" s="45" t="b">
        <v>0</v>
      </c>
      <c r="AB421" s="45" t="b">
        <v>1</v>
      </c>
      <c r="AC421" s="45" t="b">
        <v>1</v>
      </c>
      <c r="AD421" s="45" t="b">
        <v>1</v>
      </c>
      <c r="AE421" s="45" t="b">
        <v>1</v>
      </c>
      <c r="AF421" s="45" t="s">
        <v>319</v>
      </c>
      <c r="AG421" s="45" t="b">
        <v>1</v>
      </c>
      <c r="AH421" s="45" t="b">
        <v>1</v>
      </c>
    </row>
    <row r="422" spans="22:34" x14ac:dyDescent="0.25">
      <c r="V422" t="s">
        <v>549</v>
      </c>
      <c r="W422" s="45" t="s">
        <v>330</v>
      </c>
      <c r="X422" s="45" t="b">
        <v>1</v>
      </c>
      <c r="Y422" s="45" t="b">
        <v>0</v>
      </c>
      <c r="Z422" s="45" t="b">
        <v>0</v>
      </c>
      <c r="AA422" s="45" t="b">
        <v>0</v>
      </c>
      <c r="AB422" s="45" t="b">
        <v>0</v>
      </c>
      <c r="AC422" s="45" t="b">
        <v>1</v>
      </c>
      <c r="AD422" s="45" t="b">
        <v>0</v>
      </c>
      <c r="AE422" s="45" t="b">
        <v>0</v>
      </c>
      <c r="AF422" s="45" t="s">
        <v>295</v>
      </c>
      <c r="AG422" s="45" t="b">
        <v>0</v>
      </c>
      <c r="AH422" s="45" t="b">
        <v>0</v>
      </c>
    </row>
    <row r="423" spans="22:34" x14ac:dyDescent="0.25">
      <c r="V423" t="s">
        <v>549</v>
      </c>
      <c r="W423" s="45" t="s">
        <v>330</v>
      </c>
      <c r="X423" s="45" t="b">
        <v>1</v>
      </c>
      <c r="Y423" s="45" t="b">
        <v>0</v>
      </c>
      <c r="Z423" s="45" t="b">
        <v>0</v>
      </c>
      <c r="AA423" s="45" t="b">
        <v>0</v>
      </c>
      <c r="AB423" s="45" t="b">
        <v>0</v>
      </c>
      <c r="AC423" s="45" t="b">
        <v>1</v>
      </c>
      <c r="AD423" s="45" t="b">
        <v>0</v>
      </c>
      <c r="AE423" s="45" t="b">
        <v>0</v>
      </c>
      <c r="AF423" s="45" t="s">
        <v>297</v>
      </c>
      <c r="AG423" s="45" t="b">
        <v>0</v>
      </c>
      <c r="AH423" s="45" t="b">
        <v>0</v>
      </c>
    </row>
    <row r="424" spans="22:34" x14ac:dyDescent="0.25">
      <c r="V424" t="s">
        <v>549</v>
      </c>
      <c r="W424" s="45" t="s">
        <v>330</v>
      </c>
      <c r="X424" s="45" t="b">
        <v>1</v>
      </c>
      <c r="Y424" s="45" t="b">
        <v>0</v>
      </c>
      <c r="Z424" s="45" t="b">
        <v>0</v>
      </c>
      <c r="AA424" s="45" t="b">
        <v>0</v>
      </c>
      <c r="AB424" s="45" t="b">
        <v>0</v>
      </c>
      <c r="AC424" s="45" t="b">
        <v>1</v>
      </c>
      <c r="AD424" s="45" t="b">
        <v>0</v>
      </c>
      <c r="AE424" s="45" t="b">
        <v>0</v>
      </c>
      <c r="AF424" s="45" t="s">
        <v>112</v>
      </c>
      <c r="AG424" s="45" t="b">
        <v>1</v>
      </c>
      <c r="AH424" s="45" t="b">
        <v>0</v>
      </c>
    </row>
    <row r="425" spans="22:34" x14ac:dyDescent="0.25">
      <c r="V425" t="s">
        <v>549</v>
      </c>
      <c r="W425" s="45" t="s">
        <v>330</v>
      </c>
      <c r="X425" s="45" t="b">
        <v>1</v>
      </c>
      <c r="Y425" s="45" t="b">
        <v>0</v>
      </c>
      <c r="Z425" s="45" t="b">
        <v>0</v>
      </c>
      <c r="AA425" s="45" t="b">
        <v>0</v>
      </c>
      <c r="AB425" s="45" t="b">
        <v>0</v>
      </c>
      <c r="AC425" s="45" t="b">
        <v>1</v>
      </c>
      <c r="AD425" s="45" t="b">
        <v>0</v>
      </c>
      <c r="AE425" s="45" t="b">
        <v>0</v>
      </c>
      <c r="AF425" s="45" t="s">
        <v>114</v>
      </c>
      <c r="AG425" s="45" t="b">
        <v>1</v>
      </c>
      <c r="AH425" s="45" t="b">
        <v>0</v>
      </c>
    </row>
    <row r="426" spans="22:34" x14ac:dyDescent="0.25">
      <c r="V426" t="s">
        <v>549</v>
      </c>
      <c r="W426" s="45" t="s">
        <v>330</v>
      </c>
      <c r="X426" s="45" t="b">
        <v>1</v>
      </c>
      <c r="Y426" s="45" t="b">
        <v>0</v>
      </c>
      <c r="Z426" s="45" t="b">
        <v>0</v>
      </c>
      <c r="AA426" s="45" t="b">
        <v>0</v>
      </c>
      <c r="AB426" s="45" t="b">
        <v>0</v>
      </c>
      <c r="AC426" s="45" t="b">
        <v>1</v>
      </c>
      <c r="AD426" s="45" t="b">
        <v>0</v>
      </c>
      <c r="AE426" s="45" t="b">
        <v>0</v>
      </c>
      <c r="AF426" s="45" t="s">
        <v>115</v>
      </c>
      <c r="AG426" s="45" t="b">
        <v>1</v>
      </c>
      <c r="AH426" s="45" t="b">
        <v>0</v>
      </c>
    </row>
    <row r="427" spans="22:34" x14ac:dyDescent="0.25">
      <c r="V427" t="s">
        <v>549</v>
      </c>
      <c r="W427" s="45" t="s">
        <v>330</v>
      </c>
      <c r="X427" s="45" t="b">
        <v>1</v>
      </c>
      <c r="Y427" s="45" t="b">
        <v>0</v>
      </c>
      <c r="Z427" s="45" t="b">
        <v>0</v>
      </c>
      <c r="AA427" s="45" t="b">
        <v>0</v>
      </c>
      <c r="AB427" s="45" t="b">
        <v>0</v>
      </c>
      <c r="AC427" s="45" t="b">
        <v>1</v>
      </c>
      <c r="AD427" s="45" t="b">
        <v>0</v>
      </c>
      <c r="AE427" s="45" t="b">
        <v>0</v>
      </c>
      <c r="AF427" s="45" t="s">
        <v>116</v>
      </c>
      <c r="AG427" s="45" t="b">
        <v>1</v>
      </c>
      <c r="AH427" s="45" t="b">
        <v>0</v>
      </c>
    </row>
    <row r="428" spans="22:34" x14ac:dyDescent="0.25">
      <c r="V428" t="s">
        <v>549</v>
      </c>
      <c r="W428" s="45" t="s">
        <v>330</v>
      </c>
      <c r="X428" s="45" t="b">
        <v>1</v>
      </c>
      <c r="Y428" s="45" t="b">
        <v>0</v>
      </c>
      <c r="Z428" s="45" t="b">
        <v>0</v>
      </c>
      <c r="AA428" s="45" t="b">
        <v>0</v>
      </c>
      <c r="AB428" s="45" t="b">
        <v>0</v>
      </c>
      <c r="AC428" s="45" t="b">
        <v>1</v>
      </c>
      <c r="AD428" s="45" t="b">
        <v>0</v>
      </c>
      <c r="AE428" s="45" t="b">
        <v>0</v>
      </c>
      <c r="AF428" s="45" t="s">
        <v>298</v>
      </c>
      <c r="AG428" s="45" t="b">
        <v>1</v>
      </c>
      <c r="AH428" s="45" t="b">
        <v>0</v>
      </c>
    </row>
    <row r="429" spans="22:34" x14ac:dyDescent="0.25">
      <c r="V429" t="s">
        <v>549</v>
      </c>
      <c r="W429" s="45" t="s">
        <v>330</v>
      </c>
      <c r="X429" s="45" t="b">
        <v>1</v>
      </c>
      <c r="Y429" s="45" t="b">
        <v>0</v>
      </c>
      <c r="Z429" s="45" t="b">
        <v>0</v>
      </c>
      <c r="AA429" s="45" t="b">
        <v>0</v>
      </c>
      <c r="AB429" s="45" t="b">
        <v>0</v>
      </c>
      <c r="AC429" s="45" t="b">
        <v>1</v>
      </c>
      <c r="AD429" s="45" t="b">
        <v>0</v>
      </c>
      <c r="AE429" s="45" t="b">
        <v>0</v>
      </c>
      <c r="AF429" s="45" t="s">
        <v>299</v>
      </c>
      <c r="AG429" s="45" t="b">
        <v>1</v>
      </c>
      <c r="AH429" s="45" t="b">
        <v>0</v>
      </c>
    </row>
    <row r="430" spans="22:34" x14ac:dyDescent="0.25">
      <c r="V430" t="s">
        <v>549</v>
      </c>
      <c r="W430" s="45" t="s">
        <v>330</v>
      </c>
      <c r="X430" s="45" t="b">
        <v>1</v>
      </c>
      <c r="Y430" s="45" t="b">
        <v>0</v>
      </c>
      <c r="Z430" s="45" t="b">
        <v>0</v>
      </c>
      <c r="AA430" s="45" t="b">
        <v>0</v>
      </c>
      <c r="AB430" s="45" t="b">
        <v>0</v>
      </c>
      <c r="AC430" s="45" t="b">
        <v>1</v>
      </c>
      <c r="AD430" s="45" t="b">
        <v>0</v>
      </c>
      <c r="AE430" s="45" t="b">
        <v>0</v>
      </c>
      <c r="AF430" s="45" t="s">
        <v>414</v>
      </c>
      <c r="AG430" s="45" t="b">
        <v>1</v>
      </c>
      <c r="AH430" s="45" t="b">
        <v>0</v>
      </c>
    </row>
    <row r="431" spans="22:34" x14ac:dyDescent="0.25">
      <c r="V431" t="s">
        <v>549</v>
      </c>
      <c r="W431" s="45" t="s">
        <v>330</v>
      </c>
      <c r="X431" s="45" t="b">
        <v>1</v>
      </c>
      <c r="Y431" s="45" t="b">
        <v>0</v>
      </c>
      <c r="Z431" s="45" t="b">
        <v>0</v>
      </c>
      <c r="AA431" s="45" t="b">
        <v>0</v>
      </c>
      <c r="AB431" s="45" t="b">
        <v>0</v>
      </c>
      <c r="AC431" s="45" t="b">
        <v>1</v>
      </c>
      <c r="AD431" s="45" t="b">
        <v>0</v>
      </c>
      <c r="AE431" s="45" t="b">
        <v>0</v>
      </c>
      <c r="AF431" s="45" t="s">
        <v>118</v>
      </c>
      <c r="AG431" s="45" t="b">
        <v>1</v>
      </c>
      <c r="AH431" s="45" t="b">
        <v>0</v>
      </c>
    </row>
    <row r="432" spans="22:34" x14ac:dyDescent="0.25">
      <c r="V432" t="s">
        <v>549</v>
      </c>
      <c r="W432" s="45" t="s">
        <v>330</v>
      </c>
      <c r="X432" s="45" t="b">
        <v>1</v>
      </c>
      <c r="Y432" s="45" t="b">
        <v>0</v>
      </c>
      <c r="Z432" s="45" t="b">
        <v>0</v>
      </c>
      <c r="AA432" s="45" t="b">
        <v>0</v>
      </c>
      <c r="AB432" s="45" t="b">
        <v>0</v>
      </c>
      <c r="AC432" s="45" t="b">
        <v>1</v>
      </c>
      <c r="AD432" s="45" t="b">
        <v>0</v>
      </c>
      <c r="AE432" s="45" t="b">
        <v>0</v>
      </c>
      <c r="AF432" s="45" t="s">
        <v>119</v>
      </c>
      <c r="AG432" s="45" t="b">
        <v>1</v>
      </c>
      <c r="AH432" s="45" t="b">
        <v>0</v>
      </c>
    </row>
    <row r="433" spans="22:34" x14ac:dyDescent="0.25">
      <c r="V433" t="s">
        <v>549</v>
      </c>
      <c r="W433" s="45" t="s">
        <v>330</v>
      </c>
      <c r="X433" s="45" t="b">
        <v>1</v>
      </c>
      <c r="Y433" s="45" t="b">
        <v>0</v>
      </c>
      <c r="Z433" s="45" t="b">
        <v>0</v>
      </c>
      <c r="AA433" s="45" t="b">
        <v>0</v>
      </c>
      <c r="AB433" s="45" t="b">
        <v>0</v>
      </c>
      <c r="AC433" s="45" t="b">
        <v>1</v>
      </c>
      <c r="AD433" s="45" t="b">
        <v>0</v>
      </c>
      <c r="AE433" s="45" t="b">
        <v>0</v>
      </c>
      <c r="AF433" s="45" t="s">
        <v>300</v>
      </c>
      <c r="AG433" s="45" t="b">
        <v>1</v>
      </c>
      <c r="AH433" s="45" t="b">
        <v>0</v>
      </c>
    </row>
    <row r="434" spans="22:34" x14ac:dyDescent="0.25">
      <c r="V434" t="s">
        <v>549</v>
      </c>
      <c r="W434" s="45" t="s">
        <v>330</v>
      </c>
      <c r="X434" s="45" t="b">
        <v>1</v>
      </c>
      <c r="Y434" s="45" t="b">
        <v>0</v>
      </c>
      <c r="Z434" s="45" t="b">
        <v>0</v>
      </c>
      <c r="AA434" s="45" t="b">
        <v>0</v>
      </c>
      <c r="AB434" s="45" t="b">
        <v>0</v>
      </c>
      <c r="AC434" s="45" t="b">
        <v>1</v>
      </c>
      <c r="AD434" s="45" t="b">
        <v>0</v>
      </c>
      <c r="AE434" s="45" t="b">
        <v>0</v>
      </c>
      <c r="AF434" s="45" t="s">
        <v>301</v>
      </c>
      <c r="AG434" s="45" t="b">
        <v>1</v>
      </c>
      <c r="AH434" s="45" t="b">
        <v>0</v>
      </c>
    </row>
    <row r="435" spans="22:34" x14ac:dyDescent="0.25">
      <c r="V435" t="s">
        <v>549</v>
      </c>
      <c r="W435" s="45" t="s">
        <v>330</v>
      </c>
      <c r="X435" s="45" t="b">
        <v>1</v>
      </c>
      <c r="Y435" s="45" t="b">
        <v>0</v>
      </c>
      <c r="Z435" s="45" t="b">
        <v>0</v>
      </c>
      <c r="AA435" s="45" t="b">
        <v>0</v>
      </c>
      <c r="AB435" s="45" t="b">
        <v>0</v>
      </c>
      <c r="AC435" s="45" t="b">
        <v>1</v>
      </c>
      <c r="AD435" s="45" t="b">
        <v>0</v>
      </c>
      <c r="AE435" s="45" t="b">
        <v>0</v>
      </c>
      <c r="AF435" s="45" t="s">
        <v>120</v>
      </c>
      <c r="AG435" s="45" t="b">
        <v>1</v>
      </c>
      <c r="AH435" s="45" t="b">
        <v>0</v>
      </c>
    </row>
    <row r="436" spans="22:34" x14ac:dyDescent="0.25">
      <c r="V436" t="s">
        <v>549</v>
      </c>
      <c r="W436" s="45" t="s">
        <v>330</v>
      </c>
      <c r="X436" s="45" t="b">
        <v>1</v>
      </c>
      <c r="Y436" s="45" t="b">
        <v>0</v>
      </c>
      <c r="Z436" s="45" t="b">
        <v>0</v>
      </c>
      <c r="AA436" s="45" t="b">
        <v>0</v>
      </c>
      <c r="AB436" s="45" t="b">
        <v>0</v>
      </c>
      <c r="AC436" s="45" t="b">
        <v>1</v>
      </c>
      <c r="AD436" s="45" t="b">
        <v>0</v>
      </c>
      <c r="AE436" s="45" t="b">
        <v>0</v>
      </c>
      <c r="AF436" s="45" t="s">
        <v>302</v>
      </c>
      <c r="AG436" s="45" t="b">
        <v>1</v>
      </c>
      <c r="AH436" s="45" t="b">
        <v>0</v>
      </c>
    </row>
    <row r="437" spans="22:34" x14ac:dyDescent="0.25">
      <c r="V437" t="s">
        <v>549</v>
      </c>
      <c r="W437" s="45" t="s">
        <v>330</v>
      </c>
      <c r="X437" s="45" t="b">
        <v>1</v>
      </c>
      <c r="Y437" s="45" t="b">
        <v>0</v>
      </c>
      <c r="Z437" s="45" t="b">
        <v>0</v>
      </c>
      <c r="AA437" s="45" t="b">
        <v>0</v>
      </c>
      <c r="AB437" s="45" t="b">
        <v>0</v>
      </c>
      <c r="AC437" s="45" t="b">
        <v>1</v>
      </c>
      <c r="AD437" s="45" t="b">
        <v>0</v>
      </c>
      <c r="AE437" s="45" t="b">
        <v>0</v>
      </c>
      <c r="AF437" s="45" t="s">
        <v>303</v>
      </c>
      <c r="AG437" s="45" t="b">
        <v>1</v>
      </c>
      <c r="AH437" s="45" t="b">
        <v>0</v>
      </c>
    </row>
    <row r="438" spans="22:34" x14ac:dyDescent="0.25">
      <c r="V438" t="s">
        <v>549</v>
      </c>
      <c r="W438" s="45" t="s">
        <v>330</v>
      </c>
      <c r="X438" s="45" t="b">
        <v>1</v>
      </c>
      <c r="Y438" s="45" t="b">
        <v>0</v>
      </c>
      <c r="Z438" s="45" t="b">
        <v>0</v>
      </c>
      <c r="AA438" s="45" t="b">
        <v>0</v>
      </c>
      <c r="AB438" s="45" t="b">
        <v>0</v>
      </c>
      <c r="AC438" s="45" t="b">
        <v>1</v>
      </c>
      <c r="AD438" s="45" t="b">
        <v>0</v>
      </c>
      <c r="AE438" s="45" t="b">
        <v>0</v>
      </c>
      <c r="AF438" s="45" t="s">
        <v>304</v>
      </c>
      <c r="AG438" s="45" t="b">
        <v>1</v>
      </c>
      <c r="AH438" s="45" t="b">
        <v>0</v>
      </c>
    </row>
    <row r="439" spans="22:34" x14ac:dyDescent="0.25">
      <c r="V439" t="s">
        <v>549</v>
      </c>
      <c r="W439" s="45" t="s">
        <v>330</v>
      </c>
      <c r="X439" s="45" t="b">
        <v>1</v>
      </c>
      <c r="Y439" s="45" t="b">
        <v>0</v>
      </c>
      <c r="Z439" s="45" t="b">
        <v>0</v>
      </c>
      <c r="AA439" s="45" t="b">
        <v>0</v>
      </c>
      <c r="AB439" s="45" t="b">
        <v>0</v>
      </c>
      <c r="AC439" s="45" t="b">
        <v>1</v>
      </c>
      <c r="AD439" s="45" t="b">
        <v>0</v>
      </c>
      <c r="AE439" s="45" t="b">
        <v>0</v>
      </c>
      <c r="AF439" s="45" t="s">
        <v>305</v>
      </c>
      <c r="AG439" s="45" t="b">
        <v>0</v>
      </c>
      <c r="AH439" s="45" t="b">
        <v>0</v>
      </c>
    </row>
    <row r="440" spans="22:34" x14ac:dyDescent="0.25">
      <c r="V440" t="s">
        <v>549</v>
      </c>
      <c r="W440" s="45" t="s">
        <v>330</v>
      </c>
      <c r="X440" s="45" t="b">
        <v>1</v>
      </c>
      <c r="Y440" s="45" t="b">
        <v>0</v>
      </c>
      <c r="Z440" s="45" t="b">
        <v>0</v>
      </c>
      <c r="AA440" s="45" t="b">
        <v>0</v>
      </c>
      <c r="AB440" s="45" t="b">
        <v>0</v>
      </c>
      <c r="AC440" s="45" t="b">
        <v>1</v>
      </c>
      <c r="AD440" s="45" t="b">
        <v>0</v>
      </c>
      <c r="AE440" s="45" t="b">
        <v>0</v>
      </c>
      <c r="AF440" s="45" t="s">
        <v>306</v>
      </c>
      <c r="AG440" s="45" t="b">
        <v>0</v>
      </c>
      <c r="AH440" s="45" t="b">
        <v>0</v>
      </c>
    </row>
    <row r="441" spans="22:34" x14ac:dyDescent="0.25">
      <c r="V441" t="s">
        <v>549</v>
      </c>
      <c r="W441" s="45" t="s">
        <v>330</v>
      </c>
      <c r="X441" s="45" t="b">
        <v>1</v>
      </c>
      <c r="Y441" s="45" t="b">
        <v>0</v>
      </c>
      <c r="Z441" s="45" t="b">
        <v>0</v>
      </c>
      <c r="AA441" s="45" t="b">
        <v>0</v>
      </c>
      <c r="AB441" s="45" t="b">
        <v>0</v>
      </c>
      <c r="AC441" s="45" t="b">
        <v>1</v>
      </c>
      <c r="AD441" s="45" t="b">
        <v>0</v>
      </c>
      <c r="AE441" s="45" t="b">
        <v>0</v>
      </c>
      <c r="AF441" s="45" t="s">
        <v>307</v>
      </c>
      <c r="AG441" s="45" t="b">
        <v>0</v>
      </c>
      <c r="AH441" s="45" t="b">
        <v>0</v>
      </c>
    </row>
    <row r="442" spans="22:34" x14ac:dyDescent="0.25">
      <c r="V442" t="s">
        <v>549</v>
      </c>
      <c r="W442" s="45" t="s">
        <v>330</v>
      </c>
      <c r="X442" s="45" t="b">
        <v>1</v>
      </c>
      <c r="Y442" s="45" t="b">
        <v>0</v>
      </c>
      <c r="Z442" s="45" t="b">
        <v>0</v>
      </c>
      <c r="AA442" s="45" t="b">
        <v>0</v>
      </c>
      <c r="AB442" s="45" t="b">
        <v>0</v>
      </c>
      <c r="AC442" s="45" t="b">
        <v>1</v>
      </c>
      <c r="AD442" s="45" t="b">
        <v>0</v>
      </c>
      <c r="AE442" s="45" t="b">
        <v>0</v>
      </c>
      <c r="AF442" s="45" t="s">
        <v>308</v>
      </c>
      <c r="AG442" s="45" t="b">
        <v>0</v>
      </c>
      <c r="AH442" s="45" t="b">
        <v>0</v>
      </c>
    </row>
    <row r="443" spans="22:34" x14ac:dyDescent="0.25">
      <c r="V443" t="s">
        <v>549</v>
      </c>
      <c r="W443" s="45" t="s">
        <v>330</v>
      </c>
      <c r="X443" s="45" t="b">
        <v>1</v>
      </c>
      <c r="Y443" s="45" t="b">
        <v>0</v>
      </c>
      <c r="Z443" s="45" t="b">
        <v>0</v>
      </c>
      <c r="AA443" s="45" t="b">
        <v>0</v>
      </c>
      <c r="AB443" s="45" t="b">
        <v>0</v>
      </c>
      <c r="AC443" s="45" t="b">
        <v>1</v>
      </c>
      <c r="AD443" s="45" t="b">
        <v>0</v>
      </c>
      <c r="AE443" s="45" t="b">
        <v>0</v>
      </c>
      <c r="AF443" s="45" t="s">
        <v>309</v>
      </c>
      <c r="AG443" s="45" t="b">
        <v>0</v>
      </c>
      <c r="AH443" s="45" t="b">
        <v>0</v>
      </c>
    </row>
    <row r="444" spans="22:34" x14ac:dyDescent="0.25">
      <c r="V444" t="s">
        <v>549</v>
      </c>
      <c r="W444" s="45" t="s">
        <v>330</v>
      </c>
      <c r="X444" s="45" t="b">
        <v>1</v>
      </c>
      <c r="Y444" s="45" t="b">
        <v>0</v>
      </c>
      <c r="Z444" s="45" t="b">
        <v>0</v>
      </c>
      <c r="AA444" s="45" t="b">
        <v>0</v>
      </c>
      <c r="AB444" s="45" t="b">
        <v>0</v>
      </c>
      <c r="AC444" s="45" t="b">
        <v>1</v>
      </c>
      <c r="AD444" s="45" t="b">
        <v>0</v>
      </c>
      <c r="AE444" s="45" t="b">
        <v>0</v>
      </c>
      <c r="AF444" s="45" t="s">
        <v>310</v>
      </c>
      <c r="AG444" s="45" t="b">
        <v>0</v>
      </c>
      <c r="AH444" s="45" t="b">
        <v>0</v>
      </c>
    </row>
    <row r="445" spans="22:34" x14ac:dyDescent="0.25">
      <c r="V445" t="s">
        <v>549</v>
      </c>
      <c r="W445" s="45" t="s">
        <v>330</v>
      </c>
      <c r="X445" s="45" t="b">
        <v>1</v>
      </c>
      <c r="Y445" s="45" t="b">
        <v>0</v>
      </c>
      <c r="Z445" s="45" t="b">
        <v>0</v>
      </c>
      <c r="AA445" s="45" t="b">
        <v>0</v>
      </c>
      <c r="AB445" s="45" t="b">
        <v>0</v>
      </c>
      <c r="AC445" s="45" t="b">
        <v>1</v>
      </c>
      <c r="AD445" s="45" t="b">
        <v>0</v>
      </c>
      <c r="AE445" s="45" t="b">
        <v>0</v>
      </c>
      <c r="AF445" s="45" t="s">
        <v>311</v>
      </c>
      <c r="AG445" s="45" t="b">
        <v>0</v>
      </c>
      <c r="AH445" s="45" t="b">
        <v>0</v>
      </c>
    </row>
    <row r="446" spans="22:34" x14ac:dyDescent="0.25">
      <c r="V446" t="s">
        <v>549</v>
      </c>
      <c r="W446" s="45" t="s">
        <v>330</v>
      </c>
      <c r="X446" s="45" t="b">
        <v>1</v>
      </c>
      <c r="Y446" s="45" t="b">
        <v>0</v>
      </c>
      <c r="Z446" s="45" t="b">
        <v>0</v>
      </c>
      <c r="AA446" s="45" t="b">
        <v>0</v>
      </c>
      <c r="AB446" s="45" t="b">
        <v>0</v>
      </c>
      <c r="AC446" s="45" t="b">
        <v>1</v>
      </c>
      <c r="AD446" s="45" t="b">
        <v>0</v>
      </c>
      <c r="AE446" s="45" t="b">
        <v>0</v>
      </c>
      <c r="AF446" s="45" t="s">
        <v>312</v>
      </c>
      <c r="AG446" s="45" t="b">
        <v>0</v>
      </c>
      <c r="AH446" s="45" t="b">
        <v>0</v>
      </c>
    </row>
    <row r="447" spans="22:34" x14ac:dyDescent="0.25">
      <c r="V447" t="s">
        <v>549</v>
      </c>
      <c r="W447" s="45" t="s">
        <v>330</v>
      </c>
      <c r="X447" s="45" t="b">
        <v>1</v>
      </c>
      <c r="Y447" s="45" t="b">
        <v>0</v>
      </c>
      <c r="Z447" s="45" t="b">
        <v>0</v>
      </c>
      <c r="AA447" s="45" t="b">
        <v>0</v>
      </c>
      <c r="AB447" s="45" t="b">
        <v>0</v>
      </c>
      <c r="AC447" s="45" t="b">
        <v>1</v>
      </c>
      <c r="AD447" s="45" t="b">
        <v>0</v>
      </c>
      <c r="AE447" s="45" t="b">
        <v>0</v>
      </c>
      <c r="AF447" s="45" t="s">
        <v>313</v>
      </c>
      <c r="AG447" s="45" t="b">
        <v>0</v>
      </c>
      <c r="AH447" s="45" t="b">
        <v>0</v>
      </c>
    </row>
    <row r="448" spans="22:34" x14ac:dyDescent="0.25">
      <c r="V448" t="s">
        <v>549</v>
      </c>
      <c r="W448" s="45" t="s">
        <v>330</v>
      </c>
      <c r="X448" s="45" t="b">
        <v>1</v>
      </c>
      <c r="Y448" s="45" t="b">
        <v>0</v>
      </c>
      <c r="Z448" s="45" t="b">
        <v>0</v>
      </c>
      <c r="AA448" s="45" t="b">
        <v>0</v>
      </c>
      <c r="AB448" s="45" t="b">
        <v>0</v>
      </c>
      <c r="AC448" s="45" t="b">
        <v>1</v>
      </c>
      <c r="AD448" s="45" t="b">
        <v>0</v>
      </c>
      <c r="AE448" s="45" t="b">
        <v>0</v>
      </c>
      <c r="AF448" s="45" t="s">
        <v>314</v>
      </c>
      <c r="AG448" s="45" t="b">
        <v>0</v>
      </c>
      <c r="AH448" s="45" t="b">
        <v>0</v>
      </c>
    </row>
    <row r="449" spans="22:34" x14ac:dyDescent="0.25">
      <c r="V449" t="s">
        <v>549</v>
      </c>
      <c r="W449" s="45" t="s">
        <v>330</v>
      </c>
      <c r="X449" s="45" t="b">
        <v>1</v>
      </c>
      <c r="Y449" s="45" t="b">
        <v>0</v>
      </c>
      <c r="Z449" s="45" t="b">
        <v>0</v>
      </c>
      <c r="AA449" s="45" t="b">
        <v>0</v>
      </c>
      <c r="AB449" s="45" t="b">
        <v>0</v>
      </c>
      <c r="AC449" s="45" t="b">
        <v>1</v>
      </c>
      <c r="AD449" s="45" t="b">
        <v>0</v>
      </c>
      <c r="AE449" s="45" t="b">
        <v>0</v>
      </c>
      <c r="AF449" s="45" t="s">
        <v>315</v>
      </c>
      <c r="AG449" s="45" t="b">
        <v>0</v>
      </c>
      <c r="AH449" s="45" t="b">
        <v>0</v>
      </c>
    </row>
    <row r="450" spans="22:34" x14ac:dyDescent="0.25">
      <c r="V450" t="s">
        <v>549</v>
      </c>
      <c r="W450" s="45" t="s">
        <v>330</v>
      </c>
      <c r="X450" s="45" t="b">
        <v>1</v>
      </c>
      <c r="Y450" s="45" t="b">
        <v>0</v>
      </c>
      <c r="Z450" s="45" t="b">
        <v>0</v>
      </c>
      <c r="AA450" s="45" t="b">
        <v>0</v>
      </c>
      <c r="AB450" s="45" t="b">
        <v>0</v>
      </c>
      <c r="AC450" s="45" t="b">
        <v>1</v>
      </c>
      <c r="AD450" s="45" t="b">
        <v>0</v>
      </c>
      <c r="AE450" s="45" t="b">
        <v>0</v>
      </c>
      <c r="AF450" s="45" t="s">
        <v>316</v>
      </c>
      <c r="AG450" s="45" t="b">
        <v>0</v>
      </c>
      <c r="AH450" s="45" t="b">
        <v>0</v>
      </c>
    </row>
    <row r="451" spans="22:34" x14ac:dyDescent="0.25">
      <c r="V451" t="s">
        <v>549</v>
      </c>
      <c r="W451" s="45" t="s">
        <v>330</v>
      </c>
      <c r="X451" s="45" t="b">
        <v>1</v>
      </c>
      <c r="Y451" s="45" t="b">
        <v>0</v>
      </c>
      <c r="Z451" s="45" t="b">
        <v>0</v>
      </c>
      <c r="AA451" s="45" t="b">
        <v>0</v>
      </c>
      <c r="AB451" s="45" t="b">
        <v>0</v>
      </c>
      <c r="AC451" s="45" t="b">
        <v>1</v>
      </c>
      <c r="AD451" s="45" t="b">
        <v>0</v>
      </c>
      <c r="AE451" s="45" t="b">
        <v>0</v>
      </c>
      <c r="AF451" s="45" t="s">
        <v>317</v>
      </c>
      <c r="AG451" s="45" t="b">
        <v>0</v>
      </c>
      <c r="AH451" s="45" t="b">
        <v>0</v>
      </c>
    </row>
    <row r="452" spans="22:34" x14ac:dyDescent="0.25">
      <c r="V452" t="s">
        <v>549</v>
      </c>
      <c r="W452" s="45" t="s">
        <v>330</v>
      </c>
      <c r="X452" s="45" t="b">
        <v>1</v>
      </c>
      <c r="Y452" s="45" t="b">
        <v>0</v>
      </c>
      <c r="Z452" s="45" t="b">
        <v>0</v>
      </c>
      <c r="AA452" s="45" t="b">
        <v>0</v>
      </c>
      <c r="AB452" s="45" t="b">
        <v>0</v>
      </c>
      <c r="AC452" s="45" t="b">
        <v>1</v>
      </c>
      <c r="AD452" s="45" t="b">
        <v>0</v>
      </c>
      <c r="AE452" s="45" t="b">
        <v>0</v>
      </c>
      <c r="AF452" s="45" t="s">
        <v>318</v>
      </c>
      <c r="AG452" s="45" t="b">
        <v>0</v>
      </c>
      <c r="AH452" s="45" t="b">
        <v>0</v>
      </c>
    </row>
    <row r="453" spans="22:34" x14ac:dyDescent="0.25">
      <c r="V453" t="s">
        <v>549</v>
      </c>
      <c r="W453" s="45" t="s">
        <v>330</v>
      </c>
      <c r="X453" s="45" t="b">
        <v>1</v>
      </c>
      <c r="Y453" s="45" t="b">
        <v>0</v>
      </c>
      <c r="Z453" s="45" t="b">
        <v>0</v>
      </c>
      <c r="AA453" s="45" t="b">
        <v>0</v>
      </c>
      <c r="AB453" s="45" t="b">
        <v>0</v>
      </c>
      <c r="AC453" s="45" t="b">
        <v>1</v>
      </c>
      <c r="AD453" s="45" t="b">
        <v>0</v>
      </c>
      <c r="AE453" s="45" t="b">
        <v>0</v>
      </c>
      <c r="AF453" s="45" t="s">
        <v>319</v>
      </c>
      <c r="AG453" s="45" t="b">
        <v>0</v>
      </c>
      <c r="AH453" s="45" t="b">
        <v>0</v>
      </c>
    </row>
    <row r="454" spans="22:34" x14ac:dyDescent="0.25">
      <c r="V454" t="s">
        <v>550</v>
      </c>
      <c r="W454" s="45" t="s">
        <v>331</v>
      </c>
      <c r="X454" s="45" t="b">
        <v>1</v>
      </c>
      <c r="Y454" s="45" t="b">
        <v>0</v>
      </c>
      <c r="Z454" s="45" t="b">
        <v>0</v>
      </c>
      <c r="AA454" s="45" t="b">
        <v>0</v>
      </c>
      <c r="AB454" s="45" t="b">
        <v>0</v>
      </c>
      <c r="AC454" s="45" t="b">
        <v>1</v>
      </c>
      <c r="AD454" s="45" t="b">
        <v>0</v>
      </c>
      <c r="AE454" s="45" t="b">
        <v>0</v>
      </c>
      <c r="AF454" s="45" t="s">
        <v>295</v>
      </c>
      <c r="AG454" s="45" t="b">
        <v>0</v>
      </c>
      <c r="AH454" s="45" t="b">
        <v>0</v>
      </c>
    </row>
    <row r="455" spans="22:34" x14ac:dyDescent="0.25">
      <c r="V455" t="s">
        <v>550</v>
      </c>
      <c r="W455" s="45" t="s">
        <v>331</v>
      </c>
      <c r="X455" s="45" t="b">
        <v>1</v>
      </c>
      <c r="Y455" s="45" t="b">
        <v>0</v>
      </c>
      <c r="Z455" s="45" t="b">
        <v>0</v>
      </c>
      <c r="AA455" s="45" t="b">
        <v>0</v>
      </c>
      <c r="AB455" s="45" t="b">
        <v>0</v>
      </c>
      <c r="AC455" s="45" t="b">
        <v>1</v>
      </c>
      <c r="AD455" s="45" t="b">
        <v>0</v>
      </c>
      <c r="AE455" s="45" t="b">
        <v>0</v>
      </c>
      <c r="AF455" s="45" t="s">
        <v>297</v>
      </c>
      <c r="AG455" s="45" t="b">
        <v>0</v>
      </c>
      <c r="AH455" s="45" t="b">
        <v>0</v>
      </c>
    </row>
    <row r="456" spans="22:34" x14ac:dyDescent="0.25">
      <c r="V456" t="s">
        <v>550</v>
      </c>
      <c r="W456" s="45" t="s">
        <v>331</v>
      </c>
      <c r="X456" s="45" t="b">
        <v>1</v>
      </c>
      <c r="Y456" s="45" t="b">
        <v>0</v>
      </c>
      <c r="Z456" s="45" t="b">
        <v>0</v>
      </c>
      <c r="AA456" s="45" t="b">
        <v>0</v>
      </c>
      <c r="AB456" s="45" t="b">
        <v>0</v>
      </c>
      <c r="AC456" s="45" t="b">
        <v>1</v>
      </c>
      <c r="AD456" s="45" t="b">
        <v>0</v>
      </c>
      <c r="AE456" s="45" t="b">
        <v>0</v>
      </c>
      <c r="AF456" s="45" t="s">
        <v>112</v>
      </c>
      <c r="AG456" s="45" t="b">
        <v>1</v>
      </c>
      <c r="AH456" s="45" t="b">
        <v>0</v>
      </c>
    </row>
    <row r="457" spans="22:34" x14ac:dyDescent="0.25">
      <c r="V457" t="s">
        <v>550</v>
      </c>
      <c r="W457" s="45" t="s">
        <v>331</v>
      </c>
      <c r="X457" s="45" t="b">
        <v>1</v>
      </c>
      <c r="Y457" s="45" t="b">
        <v>0</v>
      </c>
      <c r="Z457" s="45" t="b">
        <v>0</v>
      </c>
      <c r="AA457" s="45" t="b">
        <v>0</v>
      </c>
      <c r="AB457" s="45" t="b">
        <v>0</v>
      </c>
      <c r="AC457" s="45" t="b">
        <v>1</v>
      </c>
      <c r="AD457" s="45" t="b">
        <v>0</v>
      </c>
      <c r="AE457" s="45" t="b">
        <v>0</v>
      </c>
      <c r="AF457" s="45" t="s">
        <v>114</v>
      </c>
      <c r="AG457" s="45" t="b">
        <v>1</v>
      </c>
      <c r="AH457" s="45" t="b">
        <v>0</v>
      </c>
    </row>
    <row r="458" spans="22:34" x14ac:dyDescent="0.25">
      <c r="V458" t="s">
        <v>550</v>
      </c>
      <c r="W458" s="45" t="s">
        <v>331</v>
      </c>
      <c r="X458" s="45" t="b">
        <v>1</v>
      </c>
      <c r="Y458" s="45" t="b">
        <v>0</v>
      </c>
      <c r="Z458" s="45" t="b">
        <v>0</v>
      </c>
      <c r="AA458" s="45" t="b">
        <v>0</v>
      </c>
      <c r="AB458" s="45" t="b">
        <v>0</v>
      </c>
      <c r="AC458" s="45" t="b">
        <v>1</v>
      </c>
      <c r="AD458" s="45" t="b">
        <v>0</v>
      </c>
      <c r="AE458" s="45" t="b">
        <v>0</v>
      </c>
      <c r="AF458" s="45" t="s">
        <v>115</v>
      </c>
      <c r="AG458" s="45" t="b">
        <v>1</v>
      </c>
      <c r="AH458" s="45" t="b">
        <v>0</v>
      </c>
    </row>
    <row r="459" spans="22:34" x14ac:dyDescent="0.25">
      <c r="V459" t="s">
        <v>550</v>
      </c>
      <c r="W459" s="45" t="s">
        <v>331</v>
      </c>
      <c r="X459" s="45" t="b">
        <v>1</v>
      </c>
      <c r="Y459" s="45" t="b">
        <v>0</v>
      </c>
      <c r="Z459" s="45" t="b">
        <v>0</v>
      </c>
      <c r="AA459" s="45" t="b">
        <v>0</v>
      </c>
      <c r="AB459" s="45" t="b">
        <v>0</v>
      </c>
      <c r="AC459" s="45" t="b">
        <v>1</v>
      </c>
      <c r="AD459" s="45" t="b">
        <v>0</v>
      </c>
      <c r="AE459" s="45" t="b">
        <v>0</v>
      </c>
      <c r="AF459" s="45" t="s">
        <v>116</v>
      </c>
      <c r="AG459" s="45" t="b">
        <v>1</v>
      </c>
      <c r="AH459" s="45" t="b">
        <v>0</v>
      </c>
    </row>
    <row r="460" spans="22:34" x14ac:dyDescent="0.25">
      <c r="V460" t="s">
        <v>550</v>
      </c>
      <c r="W460" s="45" t="s">
        <v>331</v>
      </c>
      <c r="X460" s="45" t="b">
        <v>1</v>
      </c>
      <c r="Y460" s="45" t="b">
        <v>0</v>
      </c>
      <c r="Z460" s="45" t="b">
        <v>0</v>
      </c>
      <c r="AA460" s="45" t="b">
        <v>0</v>
      </c>
      <c r="AB460" s="45" t="b">
        <v>0</v>
      </c>
      <c r="AC460" s="45" t="b">
        <v>1</v>
      </c>
      <c r="AD460" s="45" t="b">
        <v>0</v>
      </c>
      <c r="AE460" s="45" t="b">
        <v>0</v>
      </c>
      <c r="AF460" s="45" t="s">
        <v>298</v>
      </c>
      <c r="AG460" s="45" t="b">
        <v>1</v>
      </c>
      <c r="AH460" s="45" t="b">
        <v>0</v>
      </c>
    </row>
    <row r="461" spans="22:34" x14ac:dyDescent="0.25">
      <c r="V461" t="s">
        <v>550</v>
      </c>
      <c r="W461" s="45" t="s">
        <v>331</v>
      </c>
      <c r="X461" s="45" t="b">
        <v>1</v>
      </c>
      <c r="Y461" s="45" t="b">
        <v>0</v>
      </c>
      <c r="Z461" s="45" t="b">
        <v>0</v>
      </c>
      <c r="AA461" s="45" t="b">
        <v>0</v>
      </c>
      <c r="AB461" s="45" t="b">
        <v>0</v>
      </c>
      <c r="AC461" s="45" t="b">
        <v>1</v>
      </c>
      <c r="AD461" s="45" t="b">
        <v>0</v>
      </c>
      <c r="AE461" s="45" t="b">
        <v>0</v>
      </c>
      <c r="AF461" s="45" t="s">
        <v>299</v>
      </c>
      <c r="AG461" s="45" t="b">
        <v>1</v>
      </c>
      <c r="AH461" s="45" t="b">
        <v>0</v>
      </c>
    </row>
    <row r="462" spans="22:34" x14ac:dyDescent="0.25">
      <c r="V462" t="s">
        <v>550</v>
      </c>
      <c r="W462" s="45" t="s">
        <v>331</v>
      </c>
      <c r="X462" s="45" t="b">
        <v>1</v>
      </c>
      <c r="Y462" s="45" t="b">
        <v>0</v>
      </c>
      <c r="Z462" s="45" t="b">
        <v>0</v>
      </c>
      <c r="AA462" s="45" t="b">
        <v>0</v>
      </c>
      <c r="AB462" s="45" t="b">
        <v>0</v>
      </c>
      <c r="AC462" s="45" t="b">
        <v>1</v>
      </c>
      <c r="AD462" s="45" t="b">
        <v>0</v>
      </c>
      <c r="AE462" s="45" t="b">
        <v>0</v>
      </c>
      <c r="AF462" s="45" t="s">
        <v>414</v>
      </c>
      <c r="AG462" s="45" t="b">
        <v>1</v>
      </c>
      <c r="AH462" s="45" t="b">
        <v>0</v>
      </c>
    </row>
    <row r="463" spans="22:34" x14ac:dyDescent="0.25">
      <c r="V463" t="s">
        <v>550</v>
      </c>
      <c r="W463" s="45" t="s">
        <v>331</v>
      </c>
      <c r="X463" s="45" t="b">
        <v>1</v>
      </c>
      <c r="Y463" s="45" t="b">
        <v>0</v>
      </c>
      <c r="Z463" s="45" t="b">
        <v>0</v>
      </c>
      <c r="AA463" s="45" t="b">
        <v>0</v>
      </c>
      <c r="AB463" s="45" t="b">
        <v>0</v>
      </c>
      <c r="AC463" s="45" t="b">
        <v>1</v>
      </c>
      <c r="AD463" s="45" t="b">
        <v>0</v>
      </c>
      <c r="AE463" s="45" t="b">
        <v>0</v>
      </c>
      <c r="AF463" s="45" t="s">
        <v>118</v>
      </c>
      <c r="AG463" s="45" t="b">
        <v>1</v>
      </c>
      <c r="AH463" s="45" t="b">
        <v>0</v>
      </c>
    </row>
    <row r="464" spans="22:34" x14ac:dyDescent="0.25">
      <c r="V464" t="s">
        <v>550</v>
      </c>
      <c r="W464" s="45" t="s">
        <v>331</v>
      </c>
      <c r="X464" s="45" t="b">
        <v>1</v>
      </c>
      <c r="Y464" s="45" t="b">
        <v>0</v>
      </c>
      <c r="Z464" s="45" t="b">
        <v>0</v>
      </c>
      <c r="AA464" s="45" t="b">
        <v>0</v>
      </c>
      <c r="AB464" s="45" t="b">
        <v>0</v>
      </c>
      <c r="AC464" s="45" t="b">
        <v>1</v>
      </c>
      <c r="AD464" s="45" t="b">
        <v>0</v>
      </c>
      <c r="AE464" s="45" t="b">
        <v>0</v>
      </c>
      <c r="AF464" s="45" t="s">
        <v>119</v>
      </c>
      <c r="AG464" s="45" t="b">
        <v>1</v>
      </c>
      <c r="AH464" s="45" t="b">
        <v>0</v>
      </c>
    </row>
    <row r="465" spans="22:34" x14ac:dyDescent="0.25">
      <c r="V465" t="s">
        <v>550</v>
      </c>
      <c r="W465" s="45" t="s">
        <v>331</v>
      </c>
      <c r="X465" s="45" t="b">
        <v>1</v>
      </c>
      <c r="Y465" s="45" t="b">
        <v>0</v>
      </c>
      <c r="Z465" s="45" t="b">
        <v>0</v>
      </c>
      <c r="AA465" s="45" t="b">
        <v>0</v>
      </c>
      <c r="AB465" s="45" t="b">
        <v>0</v>
      </c>
      <c r="AC465" s="45" t="b">
        <v>1</v>
      </c>
      <c r="AD465" s="45" t="b">
        <v>0</v>
      </c>
      <c r="AE465" s="45" t="b">
        <v>0</v>
      </c>
      <c r="AF465" s="45" t="s">
        <v>300</v>
      </c>
      <c r="AG465" s="45" t="b">
        <v>1</v>
      </c>
      <c r="AH465" s="45" t="b">
        <v>0</v>
      </c>
    </row>
    <row r="466" spans="22:34" x14ac:dyDescent="0.25">
      <c r="V466" t="s">
        <v>550</v>
      </c>
      <c r="W466" s="45" t="s">
        <v>331</v>
      </c>
      <c r="X466" s="45" t="b">
        <v>1</v>
      </c>
      <c r="Y466" s="45" t="b">
        <v>0</v>
      </c>
      <c r="Z466" s="45" t="b">
        <v>0</v>
      </c>
      <c r="AA466" s="45" t="b">
        <v>0</v>
      </c>
      <c r="AB466" s="45" t="b">
        <v>0</v>
      </c>
      <c r="AC466" s="45" t="b">
        <v>1</v>
      </c>
      <c r="AD466" s="45" t="b">
        <v>0</v>
      </c>
      <c r="AE466" s="45" t="b">
        <v>0</v>
      </c>
      <c r="AF466" s="45" t="s">
        <v>301</v>
      </c>
      <c r="AG466" s="45" t="b">
        <v>1</v>
      </c>
      <c r="AH466" s="45" t="b">
        <v>0</v>
      </c>
    </row>
    <row r="467" spans="22:34" x14ac:dyDescent="0.25">
      <c r="V467" t="s">
        <v>550</v>
      </c>
      <c r="W467" s="45" t="s">
        <v>331</v>
      </c>
      <c r="X467" s="45" t="b">
        <v>1</v>
      </c>
      <c r="Y467" s="45" t="b">
        <v>0</v>
      </c>
      <c r="Z467" s="45" t="b">
        <v>0</v>
      </c>
      <c r="AA467" s="45" t="b">
        <v>0</v>
      </c>
      <c r="AB467" s="45" t="b">
        <v>0</v>
      </c>
      <c r="AC467" s="45" t="b">
        <v>1</v>
      </c>
      <c r="AD467" s="45" t="b">
        <v>0</v>
      </c>
      <c r="AE467" s="45" t="b">
        <v>0</v>
      </c>
      <c r="AF467" s="45" t="s">
        <v>120</v>
      </c>
      <c r="AG467" s="45" t="b">
        <v>1</v>
      </c>
      <c r="AH467" s="45" t="b">
        <v>0</v>
      </c>
    </row>
    <row r="468" spans="22:34" x14ac:dyDescent="0.25">
      <c r="V468" t="s">
        <v>550</v>
      </c>
      <c r="W468" s="45" t="s">
        <v>331</v>
      </c>
      <c r="X468" s="45" t="b">
        <v>1</v>
      </c>
      <c r="Y468" s="45" t="b">
        <v>0</v>
      </c>
      <c r="Z468" s="45" t="b">
        <v>0</v>
      </c>
      <c r="AA468" s="45" t="b">
        <v>0</v>
      </c>
      <c r="AB468" s="45" t="b">
        <v>0</v>
      </c>
      <c r="AC468" s="45" t="b">
        <v>1</v>
      </c>
      <c r="AD468" s="45" t="b">
        <v>0</v>
      </c>
      <c r="AE468" s="45" t="b">
        <v>0</v>
      </c>
      <c r="AF468" s="45" t="s">
        <v>302</v>
      </c>
      <c r="AG468" s="45" t="b">
        <v>1</v>
      </c>
      <c r="AH468" s="45" t="b">
        <v>0</v>
      </c>
    </row>
    <row r="469" spans="22:34" x14ac:dyDescent="0.25">
      <c r="V469" t="s">
        <v>550</v>
      </c>
      <c r="W469" s="45" t="s">
        <v>331</v>
      </c>
      <c r="X469" s="45" t="b">
        <v>1</v>
      </c>
      <c r="Y469" s="45" t="b">
        <v>0</v>
      </c>
      <c r="Z469" s="45" t="b">
        <v>0</v>
      </c>
      <c r="AA469" s="45" t="b">
        <v>0</v>
      </c>
      <c r="AB469" s="45" t="b">
        <v>0</v>
      </c>
      <c r="AC469" s="45" t="b">
        <v>1</v>
      </c>
      <c r="AD469" s="45" t="b">
        <v>0</v>
      </c>
      <c r="AE469" s="45" t="b">
        <v>0</v>
      </c>
      <c r="AF469" s="45" t="s">
        <v>303</v>
      </c>
      <c r="AG469" s="45" t="b">
        <v>1</v>
      </c>
      <c r="AH469" s="45" t="b">
        <v>0</v>
      </c>
    </row>
    <row r="470" spans="22:34" x14ac:dyDescent="0.25">
      <c r="V470" t="s">
        <v>550</v>
      </c>
      <c r="W470" s="45" t="s">
        <v>331</v>
      </c>
      <c r="X470" s="45" t="b">
        <v>1</v>
      </c>
      <c r="Y470" s="45" t="b">
        <v>0</v>
      </c>
      <c r="Z470" s="45" t="b">
        <v>0</v>
      </c>
      <c r="AA470" s="45" t="b">
        <v>0</v>
      </c>
      <c r="AB470" s="45" t="b">
        <v>0</v>
      </c>
      <c r="AC470" s="45" t="b">
        <v>1</v>
      </c>
      <c r="AD470" s="45" t="b">
        <v>0</v>
      </c>
      <c r="AE470" s="45" t="b">
        <v>0</v>
      </c>
      <c r="AF470" s="45" t="s">
        <v>304</v>
      </c>
      <c r="AG470" s="45" t="b">
        <v>1</v>
      </c>
      <c r="AH470" s="45" t="b">
        <v>0</v>
      </c>
    </row>
    <row r="471" spans="22:34" x14ac:dyDescent="0.25">
      <c r="V471" t="s">
        <v>550</v>
      </c>
      <c r="W471" s="45" t="s">
        <v>331</v>
      </c>
      <c r="X471" s="45" t="b">
        <v>1</v>
      </c>
      <c r="Y471" s="45" t="b">
        <v>0</v>
      </c>
      <c r="Z471" s="45" t="b">
        <v>0</v>
      </c>
      <c r="AA471" s="45" t="b">
        <v>0</v>
      </c>
      <c r="AB471" s="45" t="b">
        <v>0</v>
      </c>
      <c r="AC471" s="45" t="b">
        <v>1</v>
      </c>
      <c r="AD471" s="45" t="b">
        <v>0</v>
      </c>
      <c r="AE471" s="45" t="b">
        <v>0</v>
      </c>
      <c r="AF471" s="45" t="s">
        <v>305</v>
      </c>
      <c r="AG471" s="45" t="b">
        <v>0</v>
      </c>
      <c r="AH471" s="45" t="b">
        <v>0</v>
      </c>
    </row>
    <row r="472" spans="22:34" x14ac:dyDescent="0.25">
      <c r="V472" t="s">
        <v>550</v>
      </c>
      <c r="W472" s="45" t="s">
        <v>331</v>
      </c>
      <c r="X472" s="45" t="b">
        <v>1</v>
      </c>
      <c r="Y472" s="45" t="b">
        <v>0</v>
      </c>
      <c r="Z472" s="45" t="b">
        <v>0</v>
      </c>
      <c r="AA472" s="45" t="b">
        <v>0</v>
      </c>
      <c r="AB472" s="45" t="b">
        <v>0</v>
      </c>
      <c r="AC472" s="45" t="b">
        <v>1</v>
      </c>
      <c r="AD472" s="45" t="b">
        <v>0</v>
      </c>
      <c r="AE472" s="45" t="b">
        <v>0</v>
      </c>
      <c r="AF472" s="45" t="s">
        <v>306</v>
      </c>
      <c r="AG472" s="45" t="b">
        <v>0</v>
      </c>
      <c r="AH472" s="45" t="b">
        <v>0</v>
      </c>
    </row>
    <row r="473" spans="22:34" x14ac:dyDescent="0.25">
      <c r="V473" t="s">
        <v>550</v>
      </c>
      <c r="W473" s="45" t="s">
        <v>331</v>
      </c>
      <c r="X473" s="45" t="b">
        <v>1</v>
      </c>
      <c r="Y473" s="45" t="b">
        <v>0</v>
      </c>
      <c r="Z473" s="45" t="b">
        <v>0</v>
      </c>
      <c r="AA473" s="45" t="b">
        <v>0</v>
      </c>
      <c r="AB473" s="45" t="b">
        <v>0</v>
      </c>
      <c r="AC473" s="45" t="b">
        <v>1</v>
      </c>
      <c r="AD473" s="45" t="b">
        <v>0</v>
      </c>
      <c r="AE473" s="45" t="b">
        <v>0</v>
      </c>
      <c r="AF473" s="45" t="s">
        <v>307</v>
      </c>
      <c r="AG473" s="45" t="b">
        <v>0</v>
      </c>
      <c r="AH473" s="45" t="b">
        <v>0</v>
      </c>
    </row>
    <row r="474" spans="22:34" x14ac:dyDescent="0.25">
      <c r="V474" t="s">
        <v>550</v>
      </c>
      <c r="W474" s="45" t="s">
        <v>331</v>
      </c>
      <c r="X474" s="45" t="b">
        <v>1</v>
      </c>
      <c r="Y474" s="45" t="b">
        <v>0</v>
      </c>
      <c r="Z474" s="45" t="b">
        <v>0</v>
      </c>
      <c r="AA474" s="45" t="b">
        <v>0</v>
      </c>
      <c r="AB474" s="45" t="b">
        <v>0</v>
      </c>
      <c r="AC474" s="45" t="b">
        <v>1</v>
      </c>
      <c r="AD474" s="45" t="b">
        <v>0</v>
      </c>
      <c r="AE474" s="45" t="b">
        <v>0</v>
      </c>
      <c r="AF474" s="45" t="s">
        <v>308</v>
      </c>
      <c r="AG474" s="45" t="b">
        <v>0</v>
      </c>
      <c r="AH474" s="45" t="b">
        <v>0</v>
      </c>
    </row>
    <row r="475" spans="22:34" x14ac:dyDescent="0.25">
      <c r="V475" t="s">
        <v>550</v>
      </c>
      <c r="W475" s="45" t="s">
        <v>331</v>
      </c>
      <c r="X475" s="45" t="b">
        <v>1</v>
      </c>
      <c r="Y475" s="45" t="b">
        <v>0</v>
      </c>
      <c r="Z475" s="45" t="b">
        <v>0</v>
      </c>
      <c r="AA475" s="45" t="b">
        <v>0</v>
      </c>
      <c r="AB475" s="45" t="b">
        <v>0</v>
      </c>
      <c r="AC475" s="45" t="b">
        <v>1</v>
      </c>
      <c r="AD475" s="45" t="b">
        <v>0</v>
      </c>
      <c r="AE475" s="45" t="b">
        <v>0</v>
      </c>
      <c r="AF475" s="45" t="s">
        <v>309</v>
      </c>
      <c r="AG475" s="45" t="b">
        <v>0</v>
      </c>
      <c r="AH475" s="45" t="b">
        <v>0</v>
      </c>
    </row>
    <row r="476" spans="22:34" x14ac:dyDescent="0.25">
      <c r="V476" t="s">
        <v>550</v>
      </c>
      <c r="W476" s="45" t="s">
        <v>331</v>
      </c>
      <c r="X476" s="45" t="b">
        <v>1</v>
      </c>
      <c r="Y476" s="45" t="b">
        <v>0</v>
      </c>
      <c r="Z476" s="45" t="b">
        <v>0</v>
      </c>
      <c r="AA476" s="45" t="b">
        <v>0</v>
      </c>
      <c r="AB476" s="45" t="b">
        <v>0</v>
      </c>
      <c r="AC476" s="45" t="b">
        <v>1</v>
      </c>
      <c r="AD476" s="45" t="b">
        <v>0</v>
      </c>
      <c r="AE476" s="45" t="b">
        <v>0</v>
      </c>
      <c r="AF476" s="45" t="s">
        <v>310</v>
      </c>
      <c r="AG476" s="45" t="b">
        <v>0</v>
      </c>
      <c r="AH476" s="45" t="b">
        <v>0</v>
      </c>
    </row>
    <row r="477" spans="22:34" x14ac:dyDescent="0.25">
      <c r="V477" t="s">
        <v>550</v>
      </c>
      <c r="W477" s="45" t="s">
        <v>331</v>
      </c>
      <c r="X477" s="45" t="b">
        <v>1</v>
      </c>
      <c r="Y477" s="45" t="b">
        <v>0</v>
      </c>
      <c r="Z477" s="45" t="b">
        <v>0</v>
      </c>
      <c r="AA477" s="45" t="b">
        <v>0</v>
      </c>
      <c r="AB477" s="45" t="b">
        <v>0</v>
      </c>
      <c r="AC477" s="45" t="b">
        <v>1</v>
      </c>
      <c r="AD477" s="45" t="b">
        <v>0</v>
      </c>
      <c r="AE477" s="45" t="b">
        <v>0</v>
      </c>
      <c r="AF477" s="45" t="s">
        <v>311</v>
      </c>
      <c r="AG477" s="45" t="b">
        <v>0</v>
      </c>
      <c r="AH477" s="45" t="b">
        <v>0</v>
      </c>
    </row>
    <row r="478" spans="22:34" x14ac:dyDescent="0.25">
      <c r="V478" t="s">
        <v>550</v>
      </c>
      <c r="W478" s="45" t="s">
        <v>331</v>
      </c>
      <c r="X478" s="45" t="b">
        <v>1</v>
      </c>
      <c r="Y478" s="45" t="b">
        <v>0</v>
      </c>
      <c r="Z478" s="45" t="b">
        <v>0</v>
      </c>
      <c r="AA478" s="45" t="b">
        <v>0</v>
      </c>
      <c r="AB478" s="45" t="b">
        <v>0</v>
      </c>
      <c r="AC478" s="45" t="b">
        <v>1</v>
      </c>
      <c r="AD478" s="45" t="b">
        <v>0</v>
      </c>
      <c r="AE478" s="45" t="b">
        <v>0</v>
      </c>
      <c r="AF478" s="45" t="s">
        <v>312</v>
      </c>
      <c r="AG478" s="45" t="b">
        <v>0</v>
      </c>
      <c r="AH478" s="45" t="b">
        <v>0</v>
      </c>
    </row>
    <row r="479" spans="22:34" x14ac:dyDescent="0.25">
      <c r="V479" t="s">
        <v>550</v>
      </c>
      <c r="W479" s="45" t="s">
        <v>331</v>
      </c>
      <c r="X479" s="45" t="b">
        <v>1</v>
      </c>
      <c r="Y479" s="45" t="b">
        <v>0</v>
      </c>
      <c r="Z479" s="45" t="b">
        <v>0</v>
      </c>
      <c r="AA479" s="45" t="b">
        <v>0</v>
      </c>
      <c r="AB479" s="45" t="b">
        <v>0</v>
      </c>
      <c r="AC479" s="45" t="b">
        <v>1</v>
      </c>
      <c r="AD479" s="45" t="b">
        <v>0</v>
      </c>
      <c r="AE479" s="45" t="b">
        <v>0</v>
      </c>
      <c r="AF479" s="45" t="s">
        <v>313</v>
      </c>
      <c r="AG479" s="45" t="b">
        <v>0</v>
      </c>
      <c r="AH479" s="45" t="b">
        <v>0</v>
      </c>
    </row>
    <row r="480" spans="22:34" x14ac:dyDescent="0.25">
      <c r="V480" t="s">
        <v>550</v>
      </c>
      <c r="W480" s="45" t="s">
        <v>331</v>
      </c>
      <c r="X480" s="45" t="b">
        <v>1</v>
      </c>
      <c r="Y480" s="45" t="b">
        <v>0</v>
      </c>
      <c r="Z480" s="45" t="b">
        <v>0</v>
      </c>
      <c r="AA480" s="45" t="b">
        <v>0</v>
      </c>
      <c r="AB480" s="45" t="b">
        <v>0</v>
      </c>
      <c r="AC480" s="45" t="b">
        <v>1</v>
      </c>
      <c r="AD480" s="45" t="b">
        <v>0</v>
      </c>
      <c r="AE480" s="45" t="b">
        <v>0</v>
      </c>
      <c r="AF480" s="45" t="s">
        <v>314</v>
      </c>
      <c r="AG480" s="45" t="b">
        <v>0</v>
      </c>
      <c r="AH480" s="45" t="b">
        <v>0</v>
      </c>
    </row>
    <row r="481" spans="22:34" x14ac:dyDescent="0.25">
      <c r="V481" t="s">
        <v>550</v>
      </c>
      <c r="W481" s="45" t="s">
        <v>331</v>
      </c>
      <c r="X481" s="45" t="b">
        <v>1</v>
      </c>
      <c r="Y481" s="45" t="b">
        <v>0</v>
      </c>
      <c r="Z481" s="45" t="b">
        <v>0</v>
      </c>
      <c r="AA481" s="45" t="b">
        <v>0</v>
      </c>
      <c r="AB481" s="45" t="b">
        <v>0</v>
      </c>
      <c r="AC481" s="45" t="b">
        <v>1</v>
      </c>
      <c r="AD481" s="45" t="b">
        <v>0</v>
      </c>
      <c r="AE481" s="45" t="b">
        <v>0</v>
      </c>
      <c r="AF481" s="45" t="s">
        <v>315</v>
      </c>
      <c r="AG481" s="45" t="b">
        <v>0</v>
      </c>
      <c r="AH481" s="45" t="b">
        <v>0</v>
      </c>
    </row>
    <row r="482" spans="22:34" x14ac:dyDescent="0.25">
      <c r="V482" t="s">
        <v>550</v>
      </c>
      <c r="W482" s="45" t="s">
        <v>331</v>
      </c>
      <c r="X482" s="45" t="b">
        <v>1</v>
      </c>
      <c r="Y482" s="45" t="b">
        <v>0</v>
      </c>
      <c r="Z482" s="45" t="b">
        <v>0</v>
      </c>
      <c r="AA482" s="45" t="b">
        <v>0</v>
      </c>
      <c r="AB482" s="45" t="b">
        <v>0</v>
      </c>
      <c r="AC482" s="45" t="b">
        <v>1</v>
      </c>
      <c r="AD482" s="45" t="b">
        <v>0</v>
      </c>
      <c r="AE482" s="45" t="b">
        <v>0</v>
      </c>
      <c r="AF482" s="45" t="s">
        <v>316</v>
      </c>
      <c r="AG482" s="45" t="b">
        <v>0</v>
      </c>
      <c r="AH482" s="45" t="b">
        <v>0</v>
      </c>
    </row>
    <row r="483" spans="22:34" x14ac:dyDescent="0.25">
      <c r="V483" t="s">
        <v>550</v>
      </c>
      <c r="W483" s="45" t="s">
        <v>331</v>
      </c>
      <c r="X483" s="45" t="b">
        <v>1</v>
      </c>
      <c r="Y483" s="45" t="b">
        <v>0</v>
      </c>
      <c r="Z483" s="45" t="b">
        <v>0</v>
      </c>
      <c r="AA483" s="45" t="b">
        <v>0</v>
      </c>
      <c r="AB483" s="45" t="b">
        <v>0</v>
      </c>
      <c r="AC483" s="45" t="b">
        <v>1</v>
      </c>
      <c r="AD483" s="45" t="b">
        <v>0</v>
      </c>
      <c r="AE483" s="45" t="b">
        <v>0</v>
      </c>
      <c r="AF483" s="45" t="s">
        <v>317</v>
      </c>
      <c r="AG483" s="45" t="b">
        <v>0</v>
      </c>
      <c r="AH483" s="45" t="b">
        <v>0</v>
      </c>
    </row>
    <row r="484" spans="22:34" x14ac:dyDescent="0.25">
      <c r="V484" t="s">
        <v>550</v>
      </c>
      <c r="W484" s="45" t="s">
        <v>331</v>
      </c>
      <c r="X484" s="45" t="b">
        <v>1</v>
      </c>
      <c r="Y484" s="45" t="b">
        <v>0</v>
      </c>
      <c r="Z484" s="45" t="b">
        <v>0</v>
      </c>
      <c r="AA484" s="45" t="b">
        <v>0</v>
      </c>
      <c r="AB484" s="45" t="b">
        <v>0</v>
      </c>
      <c r="AC484" s="45" t="b">
        <v>1</v>
      </c>
      <c r="AD484" s="45" t="b">
        <v>0</v>
      </c>
      <c r="AE484" s="45" t="b">
        <v>0</v>
      </c>
      <c r="AF484" s="45" t="s">
        <v>318</v>
      </c>
      <c r="AG484" s="45" t="b">
        <v>0</v>
      </c>
      <c r="AH484" s="45" t="b">
        <v>0</v>
      </c>
    </row>
    <row r="485" spans="22:34" x14ac:dyDescent="0.25">
      <c r="V485" t="s">
        <v>550</v>
      </c>
      <c r="W485" s="45" t="s">
        <v>331</v>
      </c>
      <c r="X485" s="45" t="b">
        <v>1</v>
      </c>
      <c r="Y485" s="45" t="b">
        <v>0</v>
      </c>
      <c r="Z485" s="45" t="b">
        <v>0</v>
      </c>
      <c r="AA485" s="45" t="b">
        <v>0</v>
      </c>
      <c r="AB485" s="45" t="b">
        <v>0</v>
      </c>
      <c r="AC485" s="45" t="b">
        <v>1</v>
      </c>
      <c r="AD485" s="45" t="b">
        <v>0</v>
      </c>
      <c r="AE485" s="45" t="b">
        <v>0</v>
      </c>
      <c r="AF485" s="45" t="s">
        <v>319</v>
      </c>
      <c r="AG485" s="45" t="b">
        <v>0</v>
      </c>
      <c r="AH485" s="45" t="b">
        <v>0</v>
      </c>
    </row>
    <row r="486" spans="22:34" x14ac:dyDescent="0.25">
      <c r="V486" t="s">
        <v>185</v>
      </c>
      <c r="W486" s="45" t="s">
        <v>551</v>
      </c>
      <c r="X486" s="45" t="b">
        <v>1</v>
      </c>
      <c r="Y486" s="45" t="b">
        <v>0</v>
      </c>
      <c r="Z486" s="45" t="b">
        <v>0</v>
      </c>
      <c r="AA486" s="45" t="b">
        <v>0</v>
      </c>
      <c r="AB486" s="45" t="b">
        <v>0</v>
      </c>
      <c r="AC486" s="45" t="b">
        <v>1</v>
      </c>
      <c r="AD486" s="45" t="b">
        <v>0</v>
      </c>
      <c r="AE486" s="45" t="b">
        <v>0</v>
      </c>
      <c r="AF486" s="45" t="s">
        <v>295</v>
      </c>
      <c r="AG486" s="45" t="b">
        <v>0</v>
      </c>
      <c r="AH486" s="45" t="b">
        <v>0</v>
      </c>
    </row>
    <row r="487" spans="22:34" x14ac:dyDescent="0.25">
      <c r="V487" t="s">
        <v>185</v>
      </c>
      <c r="W487" s="45" t="s">
        <v>551</v>
      </c>
      <c r="X487" s="45" t="b">
        <v>1</v>
      </c>
      <c r="Y487" s="45" t="b">
        <v>0</v>
      </c>
      <c r="Z487" s="45" t="b">
        <v>0</v>
      </c>
      <c r="AA487" s="45" t="b">
        <v>0</v>
      </c>
      <c r="AB487" s="45" t="b">
        <v>0</v>
      </c>
      <c r="AC487" s="45" t="b">
        <v>1</v>
      </c>
      <c r="AD487" s="45" t="b">
        <v>0</v>
      </c>
      <c r="AE487" s="45" t="b">
        <v>0</v>
      </c>
      <c r="AF487" s="45" t="s">
        <v>297</v>
      </c>
      <c r="AG487" s="45" t="b">
        <v>0</v>
      </c>
      <c r="AH487" s="45" t="b">
        <v>0</v>
      </c>
    </row>
    <row r="488" spans="22:34" x14ac:dyDescent="0.25">
      <c r="V488" t="s">
        <v>185</v>
      </c>
      <c r="W488" s="45" t="s">
        <v>551</v>
      </c>
      <c r="X488" s="45" t="b">
        <v>1</v>
      </c>
      <c r="Y488" s="45" t="b">
        <v>0</v>
      </c>
      <c r="Z488" s="45" t="b">
        <v>0</v>
      </c>
      <c r="AA488" s="45" t="b">
        <v>0</v>
      </c>
      <c r="AB488" s="45" t="b">
        <v>0</v>
      </c>
      <c r="AC488" s="45" t="b">
        <v>1</v>
      </c>
      <c r="AD488" s="45" t="b">
        <v>0</v>
      </c>
      <c r="AE488" s="45" t="b">
        <v>0</v>
      </c>
      <c r="AF488" s="45" t="s">
        <v>112</v>
      </c>
      <c r="AG488" s="45" t="b">
        <v>1</v>
      </c>
      <c r="AH488" s="45" t="b">
        <v>0</v>
      </c>
    </row>
    <row r="489" spans="22:34" x14ac:dyDescent="0.25">
      <c r="V489" t="s">
        <v>185</v>
      </c>
      <c r="W489" s="45" t="s">
        <v>551</v>
      </c>
      <c r="X489" s="45" t="b">
        <v>1</v>
      </c>
      <c r="Y489" s="45" t="b">
        <v>0</v>
      </c>
      <c r="Z489" s="45" t="b">
        <v>0</v>
      </c>
      <c r="AA489" s="45" t="b">
        <v>0</v>
      </c>
      <c r="AB489" s="45" t="b">
        <v>0</v>
      </c>
      <c r="AC489" s="45" t="b">
        <v>1</v>
      </c>
      <c r="AD489" s="45" t="b">
        <v>0</v>
      </c>
      <c r="AE489" s="45" t="b">
        <v>0</v>
      </c>
      <c r="AF489" s="45" t="s">
        <v>114</v>
      </c>
      <c r="AG489" s="45" t="b">
        <v>1</v>
      </c>
      <c r="AH489" s="45" t="b">
        <v>0</v>
      </c>
    </row>
    <row r="490" spans="22:34" x14ac:dyDescent="0.25">
      <c r="V490" t="s">
        <v>185</v>
      </c>
      <c r="W490" s="45" t="s">
        <v>551</v>
      </c>
      <c r="X490" s="45" t="b">
        <v>1</v>
      </c>
      <c r="Y490" s="45" t="b">
        <v>0</v>
      </c>
      <c r="Z490" s="45" t="b">
        <v>0</v>
      </c>
      <c r="AA490" s="45" t="b">
        <v>0</v>
      </c>
      <c r="AB490" s="45" t="b">
        <v>0</v>
      </c>
      <c r="AC490" s="45" t="b">
        <v>1</v>
      </c>
      <c r="AD490" s="45" t="b">
        <v>0</v>
      </c>
      <c r="AE490" s="45" t="b">
        <v>0</v>
      </c>
      <c r="AF490" s="45" t="s">
        <v>115</v>
      </c>
      <c r="AG490" s="45" t="b">
        <v>1</v>
      </c>
      <c r="AH490" s="45" t="b">
        <v>0</v>
      </c>
    </row>
    <row r="491" spans="22:34" x14ac:dyDescent="0.25">
      <c r="V491" t="s">
        <v>185</v>
      </c>
      <c r="W491" s="45" t="s">
        <v>551</v>
      </c>
      <c r="X491" s="45" t="b">
        <v>1</v>
      </c>
      <c r="Y491" s="45" t="b">
        <v>0</v>
      </c>
      <c r="Z491" s="45" t="b">
        <v>0</v>
      </c>
      <c r="AA491" s="45" t="b">
        <v>0</v>
      </c>
      <c r="AB491" s="45" t="b">
        <v>0</v>
      </c>
      <c r="AC491" s="45" t="b">
        <v>1</v>
      </c>
      <c r="AD491" s="45" t="b">
        <v>0</v>
      </c>
      <c r="AE491" s="45" t="b">
        <v>0</v>
      </c>
      <c r="AF491" s="45" t="s">
        <v>116</v>
      </c>
      <c r="AG491" s="45" t="b">
        <v>1</v>
      </c>
      <c r="AH491" s="45" t="b">
        <v>0</v>
      </c>
    </row>
    <row r="492" spans="22:34" x14ac:dyDescent="0.25">
      <c r="V492" t="s">
        <v>185</v>
      </c>
      <c r="W492" s="45" t="s">
        <v>551</v>
      </c>
      <c r="X492" s="45" t="b">
        <v>1</v>
      </c>
      <c r="Y492" s="45" t="b">
        <v>0</v>
      </c>
      <c r="Z492" s="45" t="b">
        <v>0</v>
      </c>
      <c r="AA492" s="45" t="b">
        <v>0</v>
      </c>
      <c r="AB492" s="45" t="b">
        <v>0</v>
      </c>
      <c r="AC492" s="45" t="b">
        <v>1</v>
      </c>
      <c r="AD492" s="45" t="b">
        <v>0</v>
      </c>
      <c r="AE492" s="45" t="b">
        <v>0</v>
      </c>
      <c r="AF492" s="45" t="s">
        <v>298</v>
      </c>
      <c r="AG492" s="45" t="b">
        <v>1</v>
      </c>
      <c r="AH492" s="45" t="b">
        <v>0</v>
      </c>
    </row>
    <row r="493" spans="22:34" x14ac:dyDescent="0.25">
      <c r="V493" t="s">
        <v>185</v>
      </c>
      <c r="W493" s="45" t="s">
        <v>551</v>
      </c>
      <c r="X493" s="45" t="b">
        <v>1</v>
      </c>
      <c r="Y493" s="45" t="b">
        <v>0</v>
      </c>
      <c r="Z493" s="45" t="b">
        <v>0</v>
      </c>
      <c r="AA493" s="45" t="b">
        <v>0</v>
      </c>
      <c r="AB493" s="45" t="b">
        <v>0</v>
      </c>
      <c r="AC493" s="45" t="b">
        <v>1</v>
      </c>
      <c r="AD493" s="45" t="b">
        <v>0</v>
      </c>
      <c r="AE493" s="45" t="b">
        <v>0</v>
      </c>
      <c r="AF493" s="45" t="s">
        <v>299</v>
      </c>
      <c r="AG493" s="45" t="b">
        <v>1</v>
      </c>
      <c r="AH493" s="45" t="b">
        <v>0</v>
      </c>
    </row>
    <row r="494" spans="22:34" x14ac:dyDescent="0.25">
      <c r="V494" t="s">
        <v>185</v>
      </c>
      <c r="W494" s="45" t="s">
        <v>551</v>
      </c>
      <c r="X494" s="45" t="b">
        <v>1</v>
      </c>
      <c r="Y494" s="45" t="b">
        <v>0</v>
      </c>
      <c r="Z494" s="45" t="b">
        <v>0</v>
      </c>
      <c r="AA494" s="45" t="b">
        <v>0</v>
      </c>
      <c r="AB494" s="45" t="b">
        <v>0</v>
      </c>
      <c r="AC494" s="45" t="b">
        <v>1</v>
      </c>
      <c r="AD494" s="45" t="b">
        <v>0</v>
      </c>
      <c r="AE494" s="45" t="b">
        <v>0</v>
      </c>
      <c r="AF494" s="45" t="s">
        <v>414</v>
      </c>
      <c r="AG494" s="45" t="b">
        <v>1</v>
      </c>
      <c r="AH494" s="45" t="b">
        <v>0</v>
      </c>
    </row>
    <row r="495" spans="22:34" x14ac:dyDescent="0.25">
      <c r="V495" t="s">
        <v>185</v>
      </c>
      <c r="W495" s="45" t="s">
        <v>551</v>
      </c>
      <c r="X495" s="45" t="b">
        <v>1</v>
      </c>
      <c r="Y495" s="45" t="b">
        <v>0</v>
      </c>
      <c r="Z495" s="45" t="b">
        <v>0</v>
      </c>
      <c r="AA495" s="45" t="b">
        <v>0</v>
      </c>
      <c r="AB495" s="45" t="b">
        <v>0</v>
      </c>
      <c r="AC495" s="45" t="b">
        <v>1</v>
      </c>
      <c r="AD495" s="45" t="b">
        <v>0</v>
      </c>
      <c r="AE495" s="45" t="b">
        <v>0</v>
      </c>
      <c r="AF495" s="45" t="s">
        <v>118</v>
      </c>
      <c r="AG495" s="45" t="b">
        <v>1</v>
      </c>
      <c r="AH495" s="45" t="b">
        <v>0</v>
      </c>
    </row>
    <row r="496" spans="22:34" x14ac:dyDescent="0.25">
      <c r="V496" t="s">
        <v>185</v>
      </c>
      <c r="W496" s="45" t="s">
        <v>551</v>
      </c>
      <c r="X496" s="45" t="b">
        <v>1</v>
      </c>
      <c r="Y496" s="45" t="b">
        <v>0</v>
      </c>
      <c r="Z496" s="45" t="b">
        <v>0</v>
      </c>
      <c r="AA496" s="45" t="b">
        <v>0</v>
      </c>
      <c r="AB496" s="45" t="b">
        <v>0</v>
      </c>
      <c r="AC496" s="45" t="b">
        <v>1</v>
      </c>
      <c r="AD496" s="45" t="b">
        <v>0</v>
      </c>
      <c r="AE496" s="45" t="b">
        <v>0</v>
      </c>
      <c r="AF496" s="45" t="s">
        <v>119</v>
      </c>
      <c r="AG496" s="45" t="b">
        <v>1</v>
      </c>
      <c r="AH496" s="45" t="b">
        <v>0</v>
      </c>
    </row>
    <row r="497" spans="22:34" x14ac:dyDescent="0.25">
      <c r="V497" t="s">
        <v>185</v>
      </c>
      <c r="W497" s="45" t="s">
        <v>551</v>
      </c>
      <c r="X497" s="45" t="b">
        <v>1</v>
      </c>
      <c r="Y497" s="45" t="b">
        <v>0</v>
      </c>
      <c r="Z497" s="45" t="b">
        <v>0</v>
      </c>
      <c r="AA497" s="45" t="b">
        <v>0</v>
      </c>
      <c r="AB497" s="45" t="b">
        <v>0</v>
      </c>
      <c r="AC497" s="45" t="b">
        <v>1</v>
      </c>
      <c r="AD497" s="45" t="b">
        <v>0</v>
      </c>
      <c r="AE497" s="45" t="b">
        <v>0</v>
      </c>
      <c r="AF497" s="45" t="s">
        <v>300</v>
      </c>
      <c r="AG497" s="45" t="b">
        <v>1</v>
      </c>
      <c r="AH497" s="45" t="b">
        <v>0</v>
      </c>
    </row>
    <row r="498" spans="22:34" x14ac:dyDescent="0.25">
      <c r="V498" t="s">
        <v>185</v>
      </c>
      <c r="W498" s="45" t="s">
        <v>551</v>
      </c>
      <c r="X498" s="45" t="b">
        <v>1</v>
      </c>
      <c r="Y498" s="45" t="b">
        <v>0</v>
      </c>
      <c r="Z498" s="45" t="b">
        <v>0</v>
      </c>
      <c r="AA498" s="45" t="b">
        <v>0</v>
      </c>
      <c r="AB498" s="45" t="b">
        <v>0</v>
      </c>
      <c r="AC498" s="45" t="b">
        <v>1</v>
      </c>
      <c r="AD498" s="45" t="b">
        <v>0</v>
      </c>
      <c r="AE498" s="45" t="b">
        <v>0</v>
      </c>
      <c r="AF498" s="45" t="s">
        <v>301</v>
      </c>
      <c r="AG498" s="45" t="b">
        <v>1</v>
      </c>
      <c r="AH498" s="45" t="b">
        <v>0</v>
      </c>
    </row>
    <row r="499" spans="22:34" x14ac:dyDescent="0.25">
      <c r="V499" t="s">
        <v>185</v>
      </c>
      <c r="W499" s="45" t="s">
        <v>551</v>
      </c>
      <c r="X499" s="45" t="b">
        <v>1</v>
      </c>
      <c r="Y499" s="45" t="b">
        <v>0</v>
      </c>
      <c r="Z499" s="45" t="b">
        <v>0</v>
      </c>
      <c r="AA499" s="45" t="b">
        <v>0</v>
      </c>
      <c r="AB499" s="45" t="b">
        <v>0</v>
      </c>
      <c r="AC499" s="45" t="b">
        <v>1</v>
      </c>
      <c r="AD499" s="45" t="b">
        <v>0</v>
      </c>
      <c r="AE499" s="45" t="b">
        <v>0</v>
      </c>
      <c r="AF499" s="45" t="s">
        <v>120</v>
      </c>
      <c r="AG499" s="45" t="b">
        <v>1</v>
      </c>
      <c r="AH499" s="45" t="b">
        <v>0</v>
      </c>
    </row>
    <row r="500" spans="22:34" x14ac:dyDescent="0.25">
      <c r="V500" t="s">
        <v>185</v>
      </c>
      <c r="W500" s="45" t="s">
        <v>551</v>
      </c>
      <c r="X500" s="45" t="b">
        <v>1</v>
      </c>
      <c r="Y500" s="45" t="b">
        <v>0</v>
      </c>
      <c r="Z500" s="45" t="b">
        <v>0</v>
      </c>
      <c r="AA500" s="45" t="b">
        <v>0</v>
      </c>
      <c r="AB500" s="45" t="b">
        <v>0</v>
      </c>
      <c r="AC500" s="45" t="b">
        <v>1</v>
      </c>
      <c r="AD500" s="45" t="b">
        <v>0</v>
      </c>
      <c r="AE500" s="45" t="b">
        <v>0</v>
      </c>
      <c r="AF500" s="45" t="s">
        <v>302</v>
      </c>
      <c r="AG500" s="45" t="b">
        <v>1</v>
      </c>
      <c r="AH500" s="45" t="b">
        <v>0</v>
      </c>
    </row>
    <row r="501" spans="22:34" x14ac:dyDescent="0.25">
      <c r="V501" t="s">
        <v>185</v>
      </c>
      <c r="W501" s="45" t="s">
        <v>551</v>
      </c>
      <c r="X501" s="45" t="b">
        <v>1</v>
      </c>
      <c r="Y501" s="45" t="b">
        <v>0</v>
      </c>
      <c r="Z501" s="45" t="b">
        <v>0</v>
      </c>
      <c r="AA501" s="45" t="b">
        <v>0</v>
      </c>
      <c r="AB501" s="45" t="b">
        <v>0</v>
      </c>
      <c r="AC501" s="45" t="b">
        <v>1</v>
      </c>
      <c r="AD501" s="45" t="b">
        <v>0</v>
      </c>
      <c r="AE501" s="45" t="b">
        <v>0</v>
      </c>
      <c r="AF501" s="45" t="s">
        <v>303</v>
      </c>
      <c r="AG501" s="45" t="b">
        <v>1</v>
      </c>
      <c r="AH501" s="45" t="b">
        <v>0</v>
      </c>
    </row>
    <row r="502" spans="22:34" x14ac:dyDescent="0.25">
      <c r="V502" t="s">
        <v>185</v>
      </c>
      <c r="W502" s="45" t="s">
        <v>551</v>
      </c>
      <c r="X502" s="45" t="b">
        <v>1</v>
      </c>
      <c r="Y502" s="45" t="b">
        <v>0</v>
      </c>
      <c r="Z502" s="45" t="b">
        <v>0</v>
      </c>
      <c r="AA502" s="45" t="b">
        <v>0</v>
      </c>
      <c r="AB502" s="45" t="b">
        <v>0</v>
      </c>
      <c r="AC502" s="45" t="b">
        <v>1</v>
      </c>
      <c r="AD502" s="45" t="b">
        <v>0</v>
      </c>
      <c r="AE502" s="45" t="b">
        <v>0</v>
      </c>
      <c r="AF502" s="45" t="s">
        <v>304</v>
      </c>
      <c r="AG502" s="45" t="b">
        <v>1</v>
      </c>
      <c r="AH502" s="45" t="b">
        <v>0</v>
      </c>
    </row>
    <row r="503" spans="22:34" x14ac:dyDescent="0.25">
      <c r="V503" t="s">
        <v>185</v>
      </c>
      <c r="W503" s="45" t="s">
        <v>551</v>
      </c>
      <c r="X503" s="45" t="b">
        <v>1</v>
      </c>
      <c r="Y503" s="45" t="b">
        <v>0</v>
      </c>
      <c r="Z503" s="45" t="b">
        <v>0</v>
      </c>
      <c r="AA503" s="45" t="b">
        <v>0</v>
      </c>
      <c r="AB503" s="45" t="b">
        <v>0</v>
      </c>
      <c r="AC503" s="45" t="b">
        <v>1</v>
      </c>
      <c r="AD503" s="45" t="b">
        <v>0</v>
      </c>
      <c r="AE503" s="45" t="b">
        <v>0</v>
      </c>
      <c r="AF503" s="45" t="s">
        <v>305</v>
      </c>
      <c r="AG503" s="45" t="b">
        <v>0</v>
      </c>
      <c r="AH503" s="45" t="b">
        <v>0</v>
      </c>
    </row>
    <row r="504" spans="22:34" x14ac:dyDescent="0.25">
      <c r="V504" t="s">
        <v>185</v>
      </c>
      <c r="W504" s="45" t="s">
        <v>551</v>
      </c>
      <c r="X504" s="45" t="b">
        <v>1</v>
      </c>
      <c r="Y504" s="45" t="b">
        <v>0</v>
      </c>
      <c r="Z504" s="45" t="b">
        <v>0</v>
      </c>
      <c r="AA504" s="45" t="b">
        <v>0</v>
      </c>
      <c r="AB504" s="45" t="b">
        <v>0</v>
      </c>
      <c r="AC504" s="45" t="b">
        <v>1</v>
      </c>
      <c r="AD504" s="45" t="b">
        <v>0</v>
      </c>
      <c r="AE504" s="45" t="b">
        <v>0</v>
      </c>
      <c r="AF504" s="45" t="s">
        <v>306</v>
      </c>
      <c r="AG504" s="45" t="b">
        <v>0</v>
      </c>
      <c r="AH504" s="45" t="b">
        <v>0</v>
      </c>
    </row>
    <row r="505" spans="22:34" x14ac:dyDescent="0.25">
      <c r="V505" t="s">
        <v>185</v>
      </c>
      <c r="W505" s="45" t="s">
        <v>551</v>
      </c>
      <c r="X505" s="45" t="b">
        <v>1</v>
      </c>
      <c r="Y505" s="45" t="b">
        <v>0</v>
      </c>
      <c r="Z505" s="45" t="b">
        <v>0</v>
      </c>
      <c r="AA505" s="45" t="b">
        <v>0</v>
      </c>
      <c r="AB505" s="45" t="b">
        <v>0</v>
      </c>
      <c r="AC505" s="45" t="b">
        <v>1</v>
      </c>
      <c r="AD505" s="45" t="b">
        <v>0</v>
      </c>
      <c r="AE505" s="45" t="b">
        <v>0</v>
      </c>
      <c r="AF505" s="45" t="s">
        <v>307</v>
      </c>
      <c r="AG505" s="45" t="b">
        <v>0</v>
      </c>
      <c r="AH505" s="45" t="b">
        <v>0</v>
      </c>
    </row>
    <row r="506" spans="22:34" x14ac:dyDescent="0.25">
      <c r="V506" t="s">
        <v>185</v>
      </c>
      <c r="W506" s="45" t="s">
        <v>551</v>
      </c>
      <c r="X506" s="45" t="b">
        <v>1</v>
      </c>
      <c r="Y506" s="45" t="b">
        <v>0</v>
      </c>
      <c r="Z506" s="45" t="b">
        <v>0</v>
      </c>
      <c r="AA506" s="45" t="b">
        <v>0</v>
      </c>
      <c r="AB506" s="45" t="b">
        <v>0</v>
      </c>
      <c r="AC506" s="45" t="b">
        <v>1</v>
      </c>
      <c r="AD506" s="45" t="b">
        <v>0</v>
      </c>
      <c r="AE506" s="45" t="b">
        <v>0</v>
      </c>
      <c r="AF506" s="45" t="s">
        <v>308</v>
      </c>
      <c r="AG506" s="45" t="b">
        <v>0</v>
      </c>
      <c r="AH506" s="45" t="b">
        <v>0</v>
      </c>
    </row>
    <row r="507" spans="22:34" x14ac:dyDescent="0.25">
      <c r="V507" t="s">
        <v>185</v>
      </c>
      <c r="W507" s="45" t="s">
        <v>551</v>
      </c>
      <c r="X507" s="45" t="b">
        <v>1</v>
      </c>
      <c r="Y507" s="45" t="b">
        <v>0</v>
      </c>
      <c r="Z507" s="45" t="b">
        <v>0</v>
      </c>
      <c r="AA507" s="45" t="b">
        <v>0</v>
      </c>
      <c r="AB507" s="45" t="b">
        <v>0</v>
      </c>
      <c r="AC507" s="45" t="b">
        <v>1</v>
      </c>
      <c r="AD507" s="45" t="b">
        <v>0</v>
      </c>
      <c r="AE507" s="45" t="b">
        <v>0</v>
      </c>
      <c r="AF507" s="45" t="s">
        <v>309</v>
      </c>
      <c r="AG507" s="45" t="b">
        <v>0</v>
      </c>
      <c r="AH507" s="45" t="b">
        <v>0</v>
      </c>
    </row>
    <row r="508" spans="22:34" x14ac:dyDescent="0.25">
      <c r="V508" t="s">
        <v>185</v>
      </c>
      <c r="W508" s="45" t="s">
        <v>551</v>
      </c>
      <c r="X508" s="45" t="b">
        <v>1</v>
      </c>
      <c r="Y508" s="45" t="b">
        <v>0</v>
      </c>
      <c r="Z508" s="45" t="b">
        <v>0</v>
      </c>
      <c r="AA508" s="45" t="b">
        <v>0</v>
      </c>
      <c r="AB508" s="45" t="b">
        <v>0</v>
      </c>
      <c r="AC508" s="45" t="b">
        <v>1</v>
      </c>
      <c r="AD508" s="45" t="b">
        <v>0</v>
      </c>
      <c r="AE508" s="45" t="b">
        <v>0</v>
      </c>
      <c r="AF508" s="45" t="s">
        <v>310</v>
      </c>
      <c r="AG508" s="45" t="b">
        <v>0</v>
      </c>
      <c r="AH508" s="45" t="b">
        <v>0</v>
      </c>
    </row>
    <row r="509" spans="22:34" x14ac:dyDescent="0.25">
      <c r="V509" t="s">
        <v>185</v>
      </c>
      <c r="W509" s="45" t="s">
        <v>551</v>
      </c>
      <c r="X509" s="45" t="b">
        <v>1</v>
      </c>
      <c r="Y509" s="45" t="b">
        <v>0</v>
      </c>
      <c r="Z509" s="45" t="b">
        <v>0</v>
      </c>
      <c r="AA509" s="45" t="b">
        <v>0</v>
      </c>
      <c r="AB509" s="45" t="b">
        <v>0</v>
      </c>
      <c r="AC509" s="45" t="b">
        <v>1</v>
      </c>
      <c r="AD509" s="45" t="b">
        <v>0</v>
      </c>
      <c r="AE509" s="45" t="b">
        <v>0</v>
      </c>
      <c r="AF509" s="45" t="s">
        <v>311</v>
      </c>
      <c r="AG509" s="45" t="b">
        <v>0</v>
      </c>
      <c r="AH509" s="45" t="b">
        <v>0</v>
      </c>
    </row>
    <row r="510" spans="22:34" x14ac:dyDescent="0.25">
      <c r="V510" t="s">
        <v>185</v>
      </c>
      <c r="W510" s="45" t="s">
        <v>551</v>
      </c>
      <c r="X510" s="45" t="b">
        <v>1</v>
      </c>
      <c r="Y510" s="45" t="b">
        <v>0</v>
      </c>
      <c r="Z510" s="45" t="b">
        <v>0</v>
      </c>
      <c r="AA510" s="45" t="b">
        <v>0</v>
      </c>
      <c r="AB510" s="45" t="b">
        <v>0</v>
      </c>
      <c r="AC510" s="45" t="b">
        <v>1</v>
      </c>
      <c r="AD510" s="45" t="b">
        <v>0</v>
      </c>
      <c r="AE510" s="45" t="b">
        <v>0</v>
      </c>
      <c r="AF510" s="45" t="s">
        <v>312</v>
      </c>
      <c r="AG510" s="45" t="b">
        <v>0</v>
      </c>
      <c r="AH510" s="45" t="b">
        <v>0</v>
      </c>
    </row>
    <row r="511" spans="22:34" x14ac:dyDescent="0.25">
      <c r="V511" t="s">
        <v>185</v>
      </c>
      <c r="W511" s="45" t="s">
        <v>551</v>
      </c>
      <c r="X511" s="45" t="b">
        <v>1</v>
      </c>
      <c r="Y511" s="45" t="b">
        <v>0</v>
      </c>
      <c r="Z511" s="45" t="b">
        <v>0</v>
      </c>
      <c r="AA511" s="45" t="b">
        <v>0</v>
      </c>
      <c r="AB511" s="45" t="b">
        <v>0</v>
      </c>
      <c r="AC511" s="45" t="b">
        <v>1</v>
      </c>
      <c r="AD511" s="45" t="b">
        <v>0</v>
      </c>
      <c r="AE511" s="45" t="b">
        <v>0</v>
      </c>
      <c r="AF511" s="45" t="s">
        <v>313</v>
      </c>
      <c r="AG511" s="45" t="b">
        <v>0</v>
      </c>
      <c r="AH511" s="45" t="b">
        <v>0</v>
      </c>
    </row>
    <row r="512" spans="22:34" x14ac:dyDescent="0.25">
      <c r="V512" t="s">
        <v>185</v>
      </c>
      <c r="W512" s="45" t="s">
        <v>551</v>
      </c>
      <c r="X512" s="45" t="b">
        <v>1</v>
      </c>
      <c r="Y512" s="45" t="b">
        <v>0</v>
      </c>
      <c r="Z512" s="45" t="b">
        <v>0</v>
      </c>
      <c r="AA512" s="45" t="b">
        <v>0</v>
      </c>
      <c r="AB512" s="45" t="b">
        <v>0</v>
      </c>
      <c r="AC512" s="45" t="b">
        <v>1</v>
      </c>
      <c r="AD512" s="45" t="b">
        <v>0</v>
      </c>
      <c r="AE512" s="45" t="b">
        <v>0</v>
      </c>
      <c r="AF512" s="45" t="s">
        <v>314</v>
      </c>
      <c r="AG512" s="45" t="b">
        <v>0</v>
      </c>
      <c r="AH512" s="45" t="b">
        <v>0</v>
      </c>
    </row>
    <row r="513" spans="20:34" x14ac:dyDescent="0.25">
      <c r="V513" t="s">
        <v>185</v>
      </c>
      <c r="W513" s="45" t="s">
        <v>551</v>
      </c>
      <c r="X513" s="45" t="b">
        <v>1</v>
      </c>
      <c r="Y513" s="45" t="b">
        <v>0</v>
      </c>
      <c r="Z513" s="45" t="b">
        <v>0</v>
      </c>
      <c r="AA513" s="45" t="b">
        <v>0</v>
      </c>
      <c r="AB513" s="45" t="b">
        <v>0</v>
      </c>
      <c r="AC513" s="45" t="b">
        <v>1</v>
      </c>
      <c r="AD513" s="45" t="b">
        <v>0</v>
      </c>
      <c r="AE513" s="45" t="b">
        <v>0</v>
      </c>
      <c r="AF513" s="45" t="s">
        <v>315</v>
      </c>
      <c r="AG513" s="45" t="b">
        <v>0</v>
      </c>
      <c r="AH513" s="45" t="b">
        <v>0</v>
      </c>
    </row>
    <row r="514" spans="20:34" x14ac:dyDescent="0.25">
      <c r="V514" t="s">
        <v>185</v>
      </c>
      <c r="W514" s="45" t="s">
        <v>551</v>
      </c>
      <c r="X514" s="45" t="b">
        <v>1</v>
      </c>
      <c r="Y514" s="45" t="b">
        <v>0</v>
      </c>
      <c r="Z514" s="45" t="b">
        <v>0</v>
      </c>
      <c r="AA514" s="45" t="b">
        <v>0</v>
      </c>
      <c r="AB514" s="45" t="b">
        <v>0</v>
      </c>
      <c r="AC514" s="45" t="b">
        <v>1</v>
      </c>
      <c r="AD514" s="45" t="b">
        <v>0</v>
      </c>
      <c r="AE514" s="45" t="b">
        <v>0</v>
      </c>
      <c r="AF514" s="45" t="s">
        <v>316</v>
      </c>
      <c r="AG514" s="45" t="b">
        <v>0</v>
      </c>
      <c r="AH514" s="45" t="b">
        <v>0</v>
      </c>
    </row>
    <row r="515" spans="20:34" x14ac:dyDescent="0.25">
      <c r="T515" s="45"/>
      <c r="V515" t="s">
        <v>185</v>
      </c>
      <c r="W515" s="45" t="s">
        <v>551</v>
      </c>
      <c r="X515" s="45" t="b">
        <v>1</v>
      </c>
      <c r="Y515" s="45" t="b">
        <v>0</v>
      </c>
      <c r="Z515" s="45" t="b">
        <v>0</v>
      </c>
      <c r="AA515" s="45" t="b">
        <v>0</v>
      </c>
      <c r="AB515" s="45" t="b">
        <v>0</v>
      </c>
      <c r="AC515" s="45" t="b">
        <v>1</v>
      </c>
      <c r="AD515" s="45" t="b">
        <v>0</v>
      </c>
      <c r="AE515" s="45" t="b">
        <v>0</v>
      </c>
      <c r="AF515" s="45" t="s">
        <v>317</v>
      </c>
      <c r="AG515" s="45" t="b">
        <v>0</v>
      </c>
      <c r="AH515" s="45" t="b">
        <v>0</v>
      </c>
    </row>
    <row r="516" spans="20:34" x14ac:dyDescent="0.25">
      <c r="T516" s="45"/>
      <c r="V516" t="s">
        <v>185</v>
      </c>
      <c r="W516" s="45" t="s">
        <v>551</v>
      </c>
      <c r="X516" s="45" t="b">
        <v>1</v>
      </c>
      <c r="Y516" s="45" t="b">
        <v>0</v>
      </c>
      <c r="Z516" s="45" t="b">
        <v>0</v>
      </c>
      <c r="AA516" s="45" t="b">
        <v>0</v>
      </c>
      <c r="AB516" s="45" t="b">
        <v>0</v>
      </c>
      <c r="AC516" s="45" t="b">
        <v>1</v>
      </c>
      <c r="AD516" s="45" t="b">
        <v>0</v>
      </c>
      <c r="AE516" s="45" t="b">
        <v>0</v>
      </c>
      <c r="AF516" s="45" t="s">
        <v>318</v>
      </c>
      <c r="AG516" s="45" t="b">
        <v>0</v>
      </c>
      <c r="AH516" s="45" t="b">
        <v>0</v>
      </c>
    </row>
    <row r="517" spans="20:34" x14ac:dyDescent="0.25">
      <c r="V517" t="s">
        <v>185</v>
      </c>
      <c r="W517" s="45" t="s">
        <v>551</v>
      </c>
      <c r="X517" s="45" t="b">
        <v>1</v>
      </c>
      <c r="Y517" s="45" t="b">
        <v>0</v>
      </c>
      <c r="Z517" s="45" t="b">
        <v>0</v>
      </c>
      <c r="AA517" s="45" t="b">
        <v>0</v>
      </c>
      <c r="AB517" s="45" t="b">
        <v>0</v>
      </c>
      <c r="AC517" s="45" t="b">
        <v>1</v>
      </c>
      <c r="AD517" s="45" t="b">
        <v>0</v>
      </c>
      <c r="AE517" s="45" t="b">
        <v>0</v>
      </c>
      <c r="AF517" s="45" t="s">
        <v>319</v>
      </c>
      <c r="AG517" s="45" t="b">
        <v>0</v>
      </c>
      <c r="AH517" s="45" t="b">
        <v>0</v>
      </c>
    </row>
    <row r="518" spans="20:34" x14ac:dyDescent="0.25">
      <c r="V518" t="s">
        <v>552</v>
      </c>
      <c r="W518" s="45" t="s">
        <v>332</v>
      </c>
      <c r="X518" s="45" t="b">
        <v>1</v>
      </c>
      <c r="Y518" s="45" t="b">
        <v>1</v>
      </c>
      <c r="Z518" s="45" t="b">
        <v>1</v>
      </c>
      <c r="AA518" s="45" t="b">
        <v>0</v>
      </c>
      <c r="AB518" s="45" t="b">
        <v>0</v>
      </c>
      <c r="AC518" s="45" t="b">
        <v>1</v>
      </c>
      <c r="AD518" s="45" t="b">
        <v>0</v>
      </c>
      <c r="AE518" s="45" t="b">
        <v>1</v>
      </c>
      <c r="AF518" s="45" t="s">
        <v>295</v>
      </c>
      <c r="AG518" s="45" t="b">
        <v>1</v>
      </c>
      <c r="AH518" s="45" t="b">
        <v>1</v>
      </c>
    </row>
    <row r="519" spans="20:34" x14ac:dyDescent="0.25">
      <c r="V519" t="s">
        <v>552</v>
      </c>
      <c r="W519" s="45" t="s">
        <v>332</v>
      </c>
      <c r="X519" s="45" t="b">
        <v>1</v>
      </c>
      <c r="Y519" s="45" t="b">
        <v>1</v>
      </c>
      <c r="Z519" s="45" t="b">
        <v>1</v>
      </c>
      <c r="AA519" s="45" t="b">
        <v>0</v>
      </c>
      <c r="AB519" s="45" t="b">
        <v>0</v>
      </c>
      <c r="AC519" s="45" t="b">
        <v>1</v>
      </c>
      <c r="AD519" s="45" t="b">
        <v>0</v>
      </c>
      <c r="AE519" s="45" t="b">
        <v>1</v>
      </c>
      <c r="AF519" s="45" t="s">
        <v>297</v>
      </c>
      <c r="AG519" s="45" t="b">
        <v>1</v>
      </c>
      <c r="AH519" s="45" t="b">
        <v>1</v>
      </c>
    </row>
    <row r="520" spans="20:34" x14ac:dyDescent="0.25">
      <c r="V520" t="s">
        <v>552</v>
      </c>
      <c r="W520" s="45" t="s">
        <v>332</v>
      </c>
      <c r="X520" s="45" t="b">
        <v>1</v>
      </c>
      <c r="Y520" s="45" t="b">
        <v>1</v>
      </c>
      <c r="Z520" s="45" t="b">
        <v>1</v>
      </c>
      <c r="AA520" s="45" t="b">
        <v>0</v>
      </c>
      <c r="AB520" s="45" t="b">
        <v>0</v>
      </c>
      <c r="AC520" s="45" t="b">
        <v>1</v>
      </c>
      <c r="AD520" s="45" t="b">
        <v>0</v>
      </c>
      <c r="AE520" s="45" t="b">
        <v>1</v>
      </c>
      <c r="AF520" s="45" t="s">
        <v>112</v>
      </c>
      <c r="AG520" s="45" t="b">
        <v>1</v>
      </c>
      <c r="AH520" s="45" t="b">
        <v>1</v>
      </c>
    </row>
    <row r="521" spans="20:34" x14ac:dyDescent="0.25">
      <c r="V521" t="s">
        <v>552</v>
      </c>
      <c r="W521" s="45" t="s">
        <v>332</v>
      </c>
      <c r="X521" s="45" t="b">
        <v>1</v>
      </c>
      <c r="Y521" s="45" t="b">
        <v>1</v>
      </c>
      <c r="Z521" s="45" t="b">
        <v>1</v>
      </c>
      <c r="AA521" s="45" t="b">
        <v>0</v>
      </c>
      <c r="AB521" s="45" t="b">
        <v>0</v>
      </c>
      <c r="AC521" s="45" t="b">
        <v>1</v>
      </c>
      <c r="AD521" s="45" t="b">
        <v>0</v>
      </c>
      <c r="AE521" s="45" t="b">
        <v>1</v>
      </c>
      <c r="AF521" s="45" t="s">
        <v>114</v>
      </c>
      <c r="AG521" s="45" t="b">
        <v>1</v>
      </c>
      <c r="AH521" s="45" t="b">
        <v>1</v>
      </c>
    </row>
    <row r="522" spans="20:34" x14ac:dyDescent="0.25">
      <c r="V522" t="s">
        <v>552</v>
      </c>
      <c r="W522" s="45" t="s">
        <v>332</v>
      </c>
      <c r="X522" s="45" t="b">
        <v>1</v>
      </c>
      <c r="Y522" s="45" t="b">
        <v>1</v>
      </c>
      <c r="Z522" s="45" t="b">
        <v>1</v>
      </c>
      <c r="AA522" s="45" t="b">
        <v>0</v>
      </c>
      <c r="AB522" s="45" t="b">
        <v>0</v>
      </c>
      <c r="AC522" s="45" t="b">
        <v>1</v>
      </c>
      <c r="AD522" s="45" t="b">
        <v>0</v>
      </c>
      <c r="AE522" s="45" t="b">
        <v>1</v>
      </c>
      <c r="AF522" s="45" t="s">
        <v>115</v>
      </c>
      <c r="AG522" s="45" t="b">
        <v>1</v>
      </c>
      <c r="AH522" s="45" t="b">
        <v>1</v>
      </c>
    </row>
    <row r="523" spans="20:34" x14ac:dyDescent="0.25">
      <c r="V523" t="s">
        <v>552</v>
      </c>
      <c r="W523" s="45" t="s">
        <v>332</v>
      </c>
      <c r="X523" s="45" t="b">
        <v>1</v>
      </c>
      <c r="Y523" s="45" t="b">
        <v>1</v>
      </c>
      <c r="Z523" s="45" t="b">
        <v>1</v>
      </c>
      <c r="AA523" s="45" t="b">
        <v>0</v>
      </c>
      <c r="AB523" s="45" t="b">
        <v>0</v>
      </c>
      <c r="AC523" s="45" t="b">
        <v>1</v>
      </c>
      <c r="AD523" s="45" t="b">
        <v>0</v>
      </c>
      <c r="AE523" s="45" t="b">
        <v>1</v>
      </c>
      <c r="AF523" s="45" t="s">
        <v>116</v>
      </c>
      <c r="AG523" s="45" t="b">
        <v>1</v>
      </c>
      <c r="AH523" s="45" t="b">
        <v>1</v>
      </c>
    </row>
    <row r="524" spans="20:34" x14ac:dyDescent="0.25">
      <c r="V524" t="s">
        <v>552</v>
      </c>
      <c r="W524" s="45" t="s">
        <v>332</v>
      </c>
      <c r="X524" s="45" t="b">
        <v>1</v>
      </c>
      <c r="Y524" s="45" t="b">
        <v>1</v>
      </c>
      <c r="Z524" s="45" t="b">
        <v>1</v>
      </c>
      <c r="AA524" s="45" t="b">
        <v>0</v>
      </c>
      <c r="AB524" s="45" t="b">
        <v>0</v>
      </c>
      <c r="AC524" s="45" t="b">
        <v>1</v>
      </c>
      <c r="AD524" s="45" t="b">
        <v>0</v>
      </c>
      <c r="AE524" s="45" t="b">
        <v>1</v>
      </c>
      <c r="AF524" s="45" t="s">
        <v>298</v>
      </c>
      <c r="AG524" s="45" t="b">
        <v>1</v>
      </c>
      <c r="AH524" s="45" t="b">
        <v>1</v>
      </c>
    </row>
    <row r="525" spans="20:34" x14ac:dyDescent="0.25">
      <c r="V525" t="s">
        <v>552</v>
      </c>
      <c r="W525" s="45" t="s">
        <v>332</v>
      </c>
      <c r="X525" s="45" t="b">
        <v>1</v>
      </c>
      <c r="Y525" s="45" t="b">
        <v>1</v>
      </c>
      <c r="Z525" s="45" t="b">
        <v>1</v>
      </c>
      <c r="AA525" s="45" t="b">
        <v>0</v>
      </c>
      <c r="AB525" s="45" t="b">
        <v>0</v>
      </c>
      <c r="AC525" s="45" t="b">
        <v>1</v>
      </c>
      <c r="AD525" s="45" t="b">
        <v>0</v>
      </c>
      <c r="AE525" s="45" t="b">
        <v>1</v>
      </c>
      <c r="AF525" s="45" t="s">
        <v>299</v>
      </c>
      <c r="AG525" s="45" t="b">
        <v>1</v>
      </c>
      <c r="AH525" s="45" t="b">
        <v>1</v>
      </c>
    </row>
    <row r="526" spans="20:34" x14ac:dyDescent="0.25">
      <c r="V526" t="s">
        <v>552</v>
      </c>
      <c r="W526" s="45" t="s">
        <v>332</v>
      </c>
      <c r="X526" s="45" t="b">
        <v>1</v>
      </c>
      <c r="Y526" s="45" t="b">
        <v>1</v>
      </c>
      <c r="Z526" s="45" t="b">
        <v>1</v>
      </c>
      <c r="AA526" s="45" t="b">
        <v>0</v>
      </c>
      <c r="AB526" s="45" t="b">
        <v>0</v>
      </c>
      <c r="AC526" s="45" t="b">
        <v>1</v>
      </c>
      <c r="AD526" s="45" t="b">
        <v>0</v>
      </c>
      <c r="AE526" s="45" t="b">
        <v>1</v>
      </c>
      <c r="AF526" s="45" t="s">
        <v>414</v>
      </c>
      <c r="AG526" s="45" t="b">
        <v>1</v>
      </c>
      <c r="AH526" s="45" t="b">
        <v>1</v>
      </c>
    </row>
    <row r="527" spans="20:34" x14ac:dyDescent="0.25">
      <c r="V527" t="s">
        <v>552</v>
      </c>
      <c r="W527" s="45" t="s">
        <v>332</v>
      </c>
      <c r="X527" s="45" t="b">
        <v>1</v>
      </c>
      <c r="Y527" s="45" t="b">
        <v>1</v>
      </c>
      <c r="Z527" s="45" t="b">
        <v>1</v>
      </c>
      <c r="AA527" s="45" t="b">
        <v>0</v>
      </c>
      <c r="AB527" s="45" t="b">
        <v>0</v>
      </c>
      <c r="AC527" s="45" t="b">
        <v>1</v>
      </c>
      <c r="AD527" s="45" t="b">
        <v>0</v>
      </c>
      <c r="AE527" s="45" t="b">
        <v>1</v>
      </c>
      <c r="AF527" s="45" t="s">
        <v>118</v>
      </c>
      <c r="AG527" s="45" t="b">
        <v>1</v>
      </c>
      <c r="AH527" s="45" t="b">
        <v>1</v>
      </c>
    </row>
    <row r="528" spans="20:34" x14ac:dyDescent="0.25">
      <c r="V528" t="s">
        <v>552</v>
      </c>
      <c r="W528" s="45" t="s">
        <v>332</v>
      </c>
      <c r="X528" s="45" t="b">
        <v>1</v>
      </c>
      <c r="Y528" s="45" t="b">
        <v>1</v>
      </c>
      <c r="Z528" s="45" t="b">
        <v>1</v>
      </c>
      <c r="AA528" s="45" t="b">
        <v>0</v>
      </c>
      <c r="AB528" s="45" t="b">
        <v>0</v>
      </c>
      <c r="AC528" s="45" t="b">
        <v>1</v>
      </c>
      <c r="AD528" s="45" t="b">
        <v>0</v>
      </c>
      <c r="AE528" s="45" t="b">
        <v>1</v>
      </c>
      <c r="AF528" s="45" t="s">
        <v>119</v>
      </c>
      <c r="AG528" s="45" t="b">
        <v>1</v>
      </c>
      <c r="AH528" s="45" t="b">
        <v>1</v>
      </c>
    </row>
    <row r="529" spans="22:34" x14ac:dyDescent="0.25">
      <c r="V529" t="s">
        <v>552</v>
      </c>
      <c r="W529" s="45" t="s">
        <v>332</v>
      </c>
      <c r="X529" s="45" t="b">
        <v>1</v>
      </c>
      <c r="Y529" s="45" t="b">
        <v>1</v>
      </c>
      <c r="Z529" s="45" t="b">
        <v>1</v>
      </c>
      <c r="AA529" s="45" t="b">
        <v>0</v>
      </c>
      <c r="AB529" s="45" t="b">
        <v>0</v>
      </c>
      <c r="AC529" s="45" t="b">
        <v>1</v>
      </c>
      <c r="AD529" s="45" t="b">
        <v>0</v>
      </c>
      <c r="AE529" s="45" t="b">
        <v>1</v>
      </c>
      <c r="AF529" s="45" t="s">
        <v>300</v>
      </c>
      <c r="AG529" s="45" t="b">
        <v>1</v>
      </c>
      <c r="AH529" s="45" t="b">
        <v>1</v>
      </c>
    </row>
    <row r="530" spans="22:34" x14ac:dyDescent="0.25">
      <c r="V530" t="s">
        <v>552</v>
      </c>
      <c r="W530" s="45" t="s">
        <v>332</v>
      </c>
      <c r="X530" s="45" t="b">
        <v>1</v>
      </c>
      <c r="Y530" s="45" t="b">
        <v>1</v>
      </c>
      <c r="Z530" s="45" t="b">
        <v>1</v>
      </c>
      <c r="AA530" s="45" t="b">
        <v>0</v>
      </c>
      <c r="AB530" s="45" t="b">
        <v>0</v>
      </c>
      <c r="AC530" s="45" t="b">
        <v>1</v>
      </c>
      <c r="AD530" s="45" t="b">
        <v>0</v>
      </c>
      <c r="AE530" s="45" t="b">
        <v>1</v>
      </c>
      <c r="AF530" s="45" t="s">
        <v>301</v>
      </c>
      <c r="AG530" s="45" t="b">
        <v>1</v>
      </c>
      <c r="AH530" s="45" t="b">
        <v>1</v>
      </c>
    </row>
    <row r="531" spans="22:34" x14ac:dyDescent="0.25">
      <c r="V531" t="s">
        <v>552</v>
      </c>
      <c r="W531" s="45" t="s">
        <v>332</v>
      </c>
      <c r="X531" s="45" t="b">
        <v>1</v>
      </c>
      <c r="Y531" s="45" t="b">
        <v>1</v>
      </c>
      <c r="Z531" s="45" t="b">
        <v>1</v>
      </c>
      <c r="AA531" s="45" t="b">
        <v>0</v>
      </c>
      <c r="AB531" s="45" t="b">
        <v>0</v>
      </c>
      <c r="AC531" s="45" t="b">
        <v>1</v>
      </c>
      <c r="AD531" s="45" t="b">
        <v>0</v>
      </c>
      <c r="AE531" s="45" t="b">
        <v>1</v>
      </c>
      <c r="AF531" s="45" t="s">
        <v>120</v>
      </c>
      <c r="AG531" s="45" t="b">
        <v>1</v>
      </c>
      <c r="AH531" s="45" t="b">
        <v>1</v>
      </c>
    </row>
    <row r="532" spans="22:34" x14ac:dyDescent="0.25">
      <c r="V532" t="s">
        <v>552</v>
      </c>
      <c r="W532" s="45" t="s">
        <v>332</v>
      </c>
      <c r="X532" s="45" t="b">
        <v>1</v>
      </c>
      <c r="Y532" s="45" t="b">
        <v>1</v>
      </c>
      <c r="Z532" s="45" t="b">
        <v>1</v>
      </c>
      <c r="AA532" s="45" t="b">
        <v>0</v>
      </c>
      <c r="AB532" s="45" t="b">
        <v>0</v>
      </c>
      <c r="AC532" s="45" t="b">
        <v>1</v>
      </c>
      <c r="AD532" s="45" t="b">
        <v>0</v>
      </c>
      <c r="AE532" s="45" t="b">
        <v>1</v>
      </c>
      <c r="AF532" s="45" t="s">
        <v>302</v>
      </c>
      <c r="AG532" s="45" t="b">
        <v>1</v>
      </c>
      <c r="AH532" s="45" t="b">
        <v>1</v>
      </c>
    </row>
    <row r="533" spans="22:34" x14ac:dyDescent="0.25">
      <c r="V533" t="s">
        <v>552</v>
      </c>
      <c r="W533" s="45" t="s">
        <v>332</v>
      </c>
      <c r="X533" s="45" t="b">
        <v>1</v>
      </c>
      <c r="Y533" s="45" t="b">
        <v>1</v>
      </c>
      <c r="Z533" s="45" t="b">
        <v>1</v>
      </c>
      <c r="AA533" s="45" t="b">
        <v>0</v>
      </c>
      <c r="AB533" s="45" t="b">
        <v>0</v>
      </c>
      <c r="AC533" s="45" t="b">
        <v>1</v>
      </c>
      <c r="AD533" s="45" t="b">
        <v>0</v>
      </c>
      <c r="AE533" s="45" t="b">
        <v>1</v>
      </c>
      <c r="AF533" s="45" t="s">
        <v>303</v>
      </c>
      <c r="AG533" s="45" t="b">
        <v>1</v>
      </c>
      <c r="AH533" s="45" t="b">
        <v>1</v>
      </c>
    </row>
    <row r="534" spans="22:34" x14ac:dyDescent="0.25">
      <c r="V534" t="s">
        <v>552</v>
      </c>
      <c r="W534" s="45" t="s">
        <v>332</v>
      </c>
      <c r="X534" s="45" t="b">
        <v>1</v>
      </c>
      <c r="Y534" s="45" t="b">
        <v>1</v>
      </c>
      <c r="Z534" s="45" t="b">
        <v>1</v>
      </c>
      <c r="AA534" s="45" t="b">
        <v>0</v>
      </c>
      <c r="AB534" s="45" t="b">
        <v>0</v>
      </c>
      <c r="AC534" s="45" t="b">
        <v>1</v>
      </c>
      <c r="AD534" s="45" t="b">
        <v>0</v>
      </c>
      <c r="AE534" s="45" t="b">
        <v>1</v>
      </c>
      <c r="AF534" s="45" t="s">
        <v>304</v>
      </c>
      <c r="AG534" s="45" t="b">
        <v>1</v>
      </c>
      <c r="AH534" s="45" t="b">
        <v>1</v>
      </c>
    </row>
    <row r="535" spans="22:34" x14ac:dyDescent="0.25">
      <c r="V535" t="s">
        <v>552</v>
      </c>
      <c r="W535" s="45" t="s">
        <v>332</v>
      </c>
      <c r="X535" s="45" t="b">
        <v>1</v>
      </c>
      <c r="Y535" s="45" t="b">
        <v>1</v>
      </c>
      <c r="Z535" s="45" t="b">
        <v>1</v>
      </c>
      <c r="AA535" s="45" t="b">
        <v>0</v>
      </c>
      <c r="AB535" s="45" t="b">
        <v>0</v>
      </c>
      <c r="AC535" s="45" t="b">
        <v>1</v>
      </c>
      <c r="AD535" s="45" t="b">
        <v>0</v>
      </c>
      <c r="AE535" s="45" t="b">
        <v>1</v>
      </c>
      <c r="AF535" s="45" t="s">
        <v>305</v>
      </c>
      <c r="AG535" s="45" t="b">
        <v>1</v>
      </c>
      <c r="AH535" s="45" t="b">
        <v>1</v>
      </c>
    </row>
    <row r="536" spans="22:34" x14ac:dyDescent="0.25">
      <c r="V536" t="s">
        <v>552</v>
      </c>
      <c r="W536" s="45" t="s">
        <v>332</v>
      </c>
      <c r="X536" s="45" t="b">
        <v>1</v>
      </c>
      <c r="Y536" s="45" t="b">
        <v>1</v>
      </c>
      <c r="Z536" s="45" t="b">
        <v>1</v>
      </c>
      <c r="AA536" s="45" t="b">
        <v>0</v>
      </c>
      <c r="AB536" s="45" t="b">
        <v>0</v>
      </c>
      <c r="AC536" s="45" t="b">
        <v>1</v>
      </c>
      <c r="AD536" s="45" t="b">
        <v>0</v>
      </c>
      <c r="AE536" s="45" t="b">
        <v>1</v>
      </c>
      <c r="AF536" s="45" t="s">
        <v>306</v>
      </c>
      <c r="AG536" s="45" t="b">
        <v>1</v>
      </c>
      <c r="AH536" s="45" t="b">
        <v>1</v>
      </c>
    </row>
    <row r="537" spans="22:34" x14ac:dyDescent="0.25">
      <c r="V537" t="s">
        <v>552</v>
      </c>
      <c r="W537" s="45" t="s">
        <v>332</v>
      </c>
      <c r="X537" s="45" t="b">
        <v>1</v>
      </c>
      <c r="Y537" s="45" t="b">
        <v>1</v>
      </c>
      <c r="Z537" s="45" t="b">
        <v>1</v>
      </c>
      <c r="AA537" s="45" t="b">
        <v>0</v>
      </c>
      <c r="AB537" s="45" t="b">
        <v>0</v>
      </c>
      <c r="AC537" s="45" t="b">
        <v>1</v>
      </c>
      <c r="AD537" s="45" t="b">
        <v>0</v>
      </c>
      <c r="AE537" s="45" t="b">
        <v>1</v>
      </c>
      <c r="AF537" s="45" t="s">
        <v>307</v>
      </c>
      <c r="AG537" s="45" t="b">
        <v>1</v>
      </c>
      <c r="AH537" s="45" t="b">
        <v>1</v>
      </c>
    </row>
    <row r="538" spans="22:34" x14ac:dyDescent="0.25">
      <c r="V538" t="s">
        <v>552</v>
      </c>
      <c r="W538" s="45" t="s">
        <v>332</v>
      </c>
      <c r="X538" s="45" t="b">
        <v>1</v>
      </c>
      <c r="Y538" s="45" t="b">
        <v>1</v>
      </c>
      <c r="Z538" s="45" t="b">
        <v>1</v>
      </c>
      <c r="AA538" s="45" t="b">
        <v>0</v>
      </c>
      <c r="AB538" s="45" t="b">
        <v>0</v>
      </c>
      <c r="AC538" s="45" t="b">
        <v>1</v>
      </c>
      <c r="AD538" s="45" t="b">
        <v>0</v>
      </c>
      <c r="AE538" s="45" t="b">
        <v>1</v>
      </c>
      <c r="AF538" s="45" t="s">
        <v>308</v>
      </c>
      <c r="AG538" s="45" t="b">
        <v>1</v>
      </c>
      <c r="AH538" s="45" t="b">
        <v>1</v>
      </c>
    </row>
    <row r="539" spans="22:34" x14ac:dyDescent="0.25">
      <c r="V539" t="s">
        <v>552</v>
      </c>
      <c r="W539" s="45" t="s">
        <v>332</v>
      </c>
      <c r="X539" s="45" t="b">
        <v>1</v>
      </c>
      <c r="Y539" s="45" t="b">
        <v>1</v>
      </c>
      <c r="Z539" s="45" t="b">
        <v>1</v>
      </c>
      <c r="AA539" s="45" t="b">
        <v>0</v>
      </c>
      <c r="AB539" s="45" t="b">
        <v>0</v>
      </c>
      <c r="AC539" s="45" t="b">
        <v>1</v>
      </c>
      <c r="AD539" s="45" t="b">
        <v>0</v>
      </c>
      <c r="AE539" s="45" t="b">
        <v>1</v>
      </c>
      <c r="AF539" s="45" t="s">
        <v>309</v>
      </c>
      <c r="AG539" s="45" t="b">
        <v>1</v>
      </c>
      <c r="AH539" s="45" t="b">
        <v>1</v>
      </c>
    </row>
    <row r="540" spans="22:34" x14ac:dyDescent="0.25">
      <c r="V540" t="s">
        <v>552</v>
      </c>
      <c r="W540" s="45" t="s">
        <v>332</v>
      </c>
      <c r="X540" s="45" t="b">
        <v>1</v>
      </c>
      <c r="Y540" s="45" t="b">
        <v>1</v>
      </c>
      <c r="Z540" s="45" t="b">
        <v>1</v>
      </c>
      <c r="AA540" s="45" t="b">
        <v>0</v>
      </c>
      <c r="AB540" s="45" t="b">
        <v>0</v>
      </c>
      <c r="AC540" s="45" t="b">
        <v>1</v>
      </c>
      <c r="AD540" s="45" t="b">
        <v>0</v>
      </c>
      <c r="AE540" s="45" t="b">
        <v>1</v>
      </c>
      <c r="AF540" s="45" t="s">
        <v>310</v>
      </c>
      <c r="AG540" s="45" t="b">
        <v>1</v>
      </c>
      <c r="AH540" s="45" t="b">
        <v>1</v>
      </c>
    </row>
    <row r="541" spans="22:34" x14ac:dyDescent="0.25">
      <c r="V541" t="s">
        <v>552</v>
      </c>
      <c r="W541" s="45" t="s">
        <v>332</v>
      </c>
      <c r="X541" s="45" t="b">
        <v>1</v>
      </c>
      <c r="Y541" s="45" t="b">
        <v>1</v>
      </c>
      <c r="Z541" s="45" t="b">
        <v>1</v>
      </c>
      <c r="AA541" s="45" t="b">
        <v>0</v>
      </c>
      <c r="AB541" s="45" t="b">
        <v>0</v>
      </c>
      <c r="AC541" s="45" t="b">
        <v>1</v>
      </c>
      <c r="AD541" s="45" t="b">
        <v>0</v>
      </c>
      <c r="AE541" s="45" t="b">
        <v>1</v>
      </c>
      <c r="AF541" s="45" t="s">
        <v>311</v>
      </c>
      <c r="AG541" s="45" t="b">
        <v>1</v>
      </c>
      <c r="AH541" s="45" t="b">
        <v>1</v>
      </c>
    </row>
    <row r="542" spans="22:34" x14ac:dyDescent="0.25">
      <c r="V542" t="s">
        <v>552</v>
      </c>
      <c r="W542" s="45" t="s">
        <v>332</v>
      </c>
      <c r="X542" s="45" t="b">
        <v>1</v>
      </c>
      <c r="Y542" s="45" t="b">
        <v>1</v>
      </c>
      <c r="Z542" s="45" t="b">
        <v>1</v>
      </c>
      <c r="AA542" s="45" t="b">
        <v>0</v>
      </c>
      <c r="AB542" s="45" t="b">
        <v>0</v>
      </c>
      <c r="AC542" s="45" t="b">
        <v>1</v>
      </c>
      <c r="AD542" s="45" t="b">
        <v>0</v>
      </c>
      <c r="AE542" s="45" t="b">
        <v>1</v>
      </c>
      <c r="AF542" s="45" t="s">
        <v>312</v>
      </c>
      <c r="AG542" s="45" t="b">
        <v>1</v>
      </c>
      <c r="AH542" s="45" t="b">
        <v>1</v>
      </c>
    </row>
    <row r="543" spans="22:34" x14ac:dyDescent="0.25">
      <c r="V543" t="s">
        <v>552</v>
      </c>
      <c r="W543" s="45" t="s">
        <v>332</v>
      </c>
      <c r="X543" s="45" t="b">
        <v>1</v>
      </c>
      <c r="Y543" s="45" t="b">
        <v>1</v>
      </c>
      <c r="Z543" s="45" t="b">
        <v>1</v>
      </c>
      <c r="AA543" s="45" t="b">
        <v>0</v>
      </c>
      <c r="AB543" s="45" t="b">
        <v>0</v>
      </c>
      <c r="AC543" s="45" t="b">
        <v>1</v>
      </c>
      <c r="AD543" s="45" t="b">
        <v>0</v>
      </c>
      <c r="AE543" s="45" t="b">
        <v>1</v>
      </c>
      <c r="AF543" s="45" t="s">
        <v>313</v>
      </c>
      <c r="AG543" s="45" t="b">
        <v>1</v>
      </c>
      <c r="AH543" s="45" t="b">
        <v>1</v>
      </c>
    </row>
    <row r="544" spans="22:34" x14ac:dyDescent="0.25">
      <c r="V544" t="s">
        <v>552</v>
      </c>
      <c r="W544" s="45" t="s">
        <v>332</v>
      </c>
      <c r="X544" s="45" t="b">
        <v>1</v>
      </c>
      <c r="Y544" s="45" t="b">
        <v>1</v>
      </c>
      <c r="Z544" s="45" t="b">
        <v>1</v>
      </c>
      <c r="AA544" s="45" t="b">
        <v>0</v>
      </c>
      <c r="AB544" s="45" t="b">
        <v>0</v>
      </c>
      <c r="AC544" s="45" t="b">
        <v>1</v>
      </c>
      <c r="AD544" s="45" t="b">
        <v>0</v>
      </c>
      <c r="AE544" s="45" t="b">
        <v>1</v>
      </c>
      <c r="AF544" s="45" t="s">
        <v>314</v>
      </c>
      <c r="AG544" s="45" t="b">
        <v>1</v>
      </c>
      <c r="AH544" s="45" t="b">
        <v>1</v>
      </c>
    </row>
    <row r="545" spans="22:34" x14ac:dyDescent="0.25">
      <c r="V545" t="s">
        <v>552</v>
      </c>
      <c r="W545" s="45" t="s">
        <v>332</v>
      </c>
      <c r="X545" s="45" t="b">
        <v>1</v>
      </c>
      <c r="Y545" s="45" t="b">
        <v>1</v>
      </c>
      <c r="Z545" s="45" t="b">
        <v>1</v>
      </c>
      <c r="AA545" s="45" t="b">
        <v>0</v>
      </c>
      <c r="AB545" s="45" t="b">
        <v>0</v>
      </c>
      <c r="AC545" s="45" t="b">
        <v>1</v>
      </c>
      <c r="AD545" s="45" t="b">
        <v>0</v>
      </c>
      <c r="AE545" s="45" t="b">
        <v>1</v>
      </c>
      <c r="AF545" s="45" t="s">
        <v>315</v>
      </c>
      <c r="AG545" s="45" t="b">
        <v>1</v>
      </c>
      <c r="AH545" s="45" t="b">
        <v>1</v>
      </c>
    </row>
    <row r="546" spans="22:34" x14ac:dyDescent="0.25">
      <c r="V546" t="s">
        <v>552</v>
      </c>
      <c r="W546" s="45" t="s">
        <v>332</v>
      </c>
      <c r="X546" s="45" t="b">
        <v>1</v>
      </c>
      <c r="Y546" s="45" t="b">
        <v>1</v>
      </c>
      <c r="Z546" s="45" t="b">
        <v>1</v>
      </c>
      <c r="AA546" s="45" t="b">
        <v>0</v>
      </c>
      <c r="AB546" s="45" t="b">
        <v>0</v>
      </c>
      <c r="AC546" s="45" t="b">
        <v>1</v>
      </c>
      <c r="AD546" s="45" t="b">
        <v>0</v>
      </c>
      <c r="AE546" s="45" t="b">
        <v>1</v>
      </c>
      <c r="AF546" s="45" t="s">
        <v>316</v>
      </c>
      <c r="AG546" s="45" t="b">
        <v>1</v>
      </c>
      <c r="AH546" s="45" t="b">
        <v>1</v>
      </c>
    </row>
    <row r="547" spans="22:34" x14ac:dyDescent="0.25">
      <c r="V547" t="s">
        <v>552</v>
      </c>
      <c r="W547" s="45" t="s">
        <v>332</v>
      </c>
      <c r="X547" s="45" t="b">
        <v>1</v>
      </c>
      <c r="Y547" s="45" t="b">
        <v>1</v>
      </c>
      <c r="Z547" s="45" t="b">
        <v>1</v>
      </c>
      <c r="AA547" s="45" t="b">
        <v>0</v>
      </c>
      <c r="AB547" s="45" t="b">
        <v>0</v>
      </c>
      <c r="AC547" s="45" t="b">
        <v>1</v>
      </c>
      <c r="AD547" s="45" t="b">
        <v>0</v>
      </c>
      <c r="AE547" s="45" t="b">
        <v>1</v>
      </c>
      <c r="AF547" s="45" t="s">
        <v>317</v>
      </c>
      <c r="AG547" s="45" t="b">
        <v>1</v>
      </c>
      <c r="AH547" s="45" t="b">
        <v>1</v>
      </c>
    </row>
    <row r="548" spans="22:34" x14ac:dyDescent="0.25">
      <c r="V548" t="s">
        <v>552</v>
      </c>
      <c r="W548" s="45" t="s">
        <v>332</v>
      </c>
      <c r="X548" s="45" t="b">
        <v>1</v>
      </c>
      <c r="Y548" s="45" t="b">
        <v>1</v>
      </c>
      <c r="Z548" s="45" t="b">
        <v>1</v>
      </c>
      <c r="AA548" s="45" t="b">
        <v>0</v>
      </c>
      <c r="AB548" s="45" t="b">
        <v>0</v>
      </c>
      <c r="AC548" s="45" t="b">
        <v>1</v>
      </c>
      <c r="AD548" s="45" t="b">
        <v>0</v>
      </c>
      <c r="AE548" s="45" t="b">
        <v>1</v>
      </c>
      <c r="AF548" s="45" t="s">
        <v>318</v>
      </c>
      <c r="AG548" s="45" t="b">
        <v>1</v>
      </c>
      <c r="AH548" s="45" t="b">
        <v>1</v>
      </c>
    </row>
    <row r="549" spans="22:34" x14ac:dyDescent="0.25">
      <c r="V549" t="s">
        <v>552</v>
      </c>
      <c r="W549" s="45" t="s">
        <v>332</v>
      </c>
      <c r="X549" s="45" t="b">
        <v>1</v>
      </c>
      <c r="Y549" s="45" t="b">
        <v>1</v>
      </c>
      <c r="Z549" s="45" t="b">
        <v>1</v>
      </c>
      <c r="AA549" s="45" t="b">
        <v>0</v>
      </c>
      <c r="AB549" s="45" t="b">
        <v>0</v>
      </c>
      <c r="AC549" s="45" t="b">
        <v>1</v>
      </c>
      <c r="AD549" s="45" t="b">
        <v>0</v>
      </c>
      <c r="AE549" s="45" t="b">
        <v>1</v>
      </c>
      <c r="AF549" s="45" t="s">
        <v>319</v>
      </c>
      <c r="AG549" s="45" t="b">
        <v>1</v>
      </c>
      <c r="AH549" s="45" t="b">
        <v>1</v>
      </c>
    </row>
    <row r="550" spans="22:34" x14ac:dyDescent="0.25">
      <c r="V550" t="s">
        <v>553</v>
      </c>
      <c r="W550" s="45" t="s">
        <v>333</v>
      </c>
      <c r="X550" s="45" t="b">
        <v>0</v>
      </c>
      <c r="Y550" s="45" t="b">
        <v>1</v>
      </c>
      <c r="Z550" s="45" t="b">
        <v>1</v>
      </c>
      <c r="AA550" s="45" t="b">
        <v>0</v>
      </c>
      <c r="AB550" s="45" t="b">
        <v>1</v>
      </c>
      <c r="AC550" s="45" t="b">
        <v>1</v>
      </c>
      <c r="AD550" s="45" t="b">
        <v>1</v>
      </c>
      <c r="AE550" s="45" t="b">
        <v>1</v>
      </c>
      <c r="AF550" s="45" t="s">
        <v>295</v>
      </c>
      <c r="AG550" s="45" t="b">
        <v>1</v>
      </c>
      <c r="AH550" s="45" t="b">
        <v>1</v>
      </c>
    </row>
    <row r="551" spans="22:34" x14ac:dyDescent="0.25">
      <c r="V551" t="s">
        <v>553</v>
      </c>
      <c r="W551" s="45" t="s">
        <v>333</v>
      </c>
      <c r="X551" s="45" t="b">
        <v>0</v>
      </c>
      <c r="Y551" s="45" t="b">
        <v>1</v>
      </c>
      <c r="Z551" s="45" t="b">
        <v>1</v>
      </c>
      <c r="AA551" s="45" t="b">
        <v>0</v>
      </c>
      <c r="AB551" s="45" t="b">
        <v>1</v>
      </c>
      <c r="AC551" s="45" t="b">
        <v>1</v>
      </c>
      <c r="AD551" s="45" t="b">
        <v>1</v>
      </c>
      <c r="AE551" s="45" t="b">
        <v>1</v>
      </c>
      <c r="AF551" s="45" t="s">
        <v>297</v>
      </c>
      <c r="AG551" s="45" t="b">
        <v>1</v>
      </c>
      <c r="AH551" s="45" t="b">
        <v>1</v>
      </c>
    </row>
    <row r="552" spans="22:34" x14ac:dyDescent="0.25">
      <c r="V552" t="s">
        <v>553</v>
      </c>
      <c r="W552" s="45" t="s">
        <v>333</v>
      </c>
      <c r="X552" s="45" t="b">
        <v>0</v>
      </c>
      <c r="Y552" s="45" t="b">
        <v>1</v>
      </c>
      <c r="Z552" s="45" t="b">
        <v>1</v>
      </c>
      <c r="AA552" s="45" t="b">
        <v>0</v>
      </c>
      <c r="AB552" s="45" t="b">
        <v>1</v>
      </c>
      <c r="AC552" s="45" t="b">
        <v>1</v>
      </c>
      <c r="AD552" s="45" t="b">
        <v>1</v>
      </c>
      <c r="AE552" s="45" t="b">
        <v>1</v>
      </c>
      <c r="AF552" s="45" t="s">
        <v>112</v>
      </c>
      <c r="AG552" s="45" t="b">
        <v>1</v>
      </c>
      <c r="AH552" s="45" t="b">
        <v>1</v>
      </c>
    </row>
    <row r="553" spans="22:34" x14ac:dyDescent="0.25">
      <c r="V553" t="s">
        <v>553</v>
      </c>
      <c r="W553" s="45" t="s">
        <v>333</v>
      </c>
      <c r="X553" s="45" t="b">
        <v>0</v>
      </c>
      <c r="Y553" s="45" t="b">
        <v>1</v>
      </c>
      <c r="Z553" s="45" t="b">
        <v>1</v>
      </c>
      <c r="AA553" s="45" t="b">
        <v>0</v>
      </c>
      <c r="AB553" s="45" t="b">
        <v>1</v>
      </c>
      <c r="AC553" s="45" t="b">
        <v>1</v>
      </c>
      <c r="AD553" s="45" t="b">
        <v>1</v>
      </c>
      <c r="AE553" s="45" t="b">
        <v>1</v>
      </c>
      <c r="AF553" s="45" t="s">
        <v>114</v>
      </c>
      <c r="AG553" s="45" t="b">
        <v>1</v>
      </c>
      <c r="AH553" s="45" t="b">
        <v>1</v>
      </c>
    </row>
    <row r="554" spans="22:34" x14ac:dyDescent="0.25">
      <c r="V554" t="s">
        <v>553</v>
      </c>
      <c r="W554" s="45" t="s">
        <v>333</v>
      </c>
      <c r="X554" s="45" t="b">
        <v>0</v>
      </c>
      <c r="Y554" s="45" t="b">
        <v>1</v>
      </c>
      <c r="Z554" s="45" t="b">
        <v>1</v>
      </c>
      <c r="AA554" s="45" t="b">
        <v>0</v>
      </c>
      <c r="AB554" s="45" t="b">
        <v>1</v>
      </c>
      <c r="AC554" s="45" t="b">
        <v>1</v>
      </c>
      <c r="AD554" s="45" t="b">
        <v>1</v>
      </c>
      <c r="AE554" s="45" t="b">
        <v>1</v>
      </c>
      <c r="AF554" s="45" t="s">
        <v>115</v>
      </c>
      <c r="AG554" s="45" t="b">
        <v>1</v>
      </c>
      <c r="AH554" s="45" t="b">
        <v>1</v>
      </c>
    </row>
    <row r="555" spans="22:34" x14ac:dyDescent="0.25">
      <c r="V555" t="s">
        <v>553</v>
      </c>
      <c r="W555" s="45" t="s">
        <v>333</v>
      </c>
      <c r="X555" s="45" t="b">
        <v>0</v>
      </c>
      <c r="Y555" s="45" t="b">
        <v>1</v>
      </c>
      <c r="Z555" s="45" t="b">
        <v>1</v>
      </c>
      <c r="AA555" s="45" t="b">
        <v>0</v>
      </c>
      <c r="AB555" s="45" t="b">
        <v>1</v>
      </c>
      <c r="AC555" s="45" t="b">
        <v>1</v>
      </c>
      <c r="AD555" s="45" t="b">
        <v>1</v>
      </c>
      <c r="AE555" s="45" t="b">
        <v>1</v>
      </c>
      <c r="AF555" s="45" t="s">
        <v>116</v>
      </c>
      <c r="AG555" s="45" t="b">
        <v>1</v>
      </c>
      <c r="AH555" s="45" t="b">
        <v>1</v>
      </c>
    </row>
    <row r="556" spans="22:34" x14ac:dyDescent="0.25">
      <c r="V556" t="s">
        <v>553</v>
      </c>
      <c r="W556" s="45" t="s">
        <v>333</v>
      </c>
      <c r="X556" s="45" t="b">
        <v>0</v>
      </c>
      <c r="Y556" s="45" t="b">
        <v>1</v>
      </c>
      <c r="Z556" s="45" t="b">
        <v>1</v>
      </c>
      <c r="AA556" s="45" t="b">
        <v>0</v>
      </c>
      <c r="AB556" s="45" t="b">
        <v>1</v>
      </c>
      <c r="AC556" s="45" t="b">
        <v>1</v>
      </c>
      <c r="AD556" s="45" t="b">
        <v>1</v>
      </c>
      <c r="AE556" s="45" t="b">
        <v>1</v>
      </c>
      <c r="AF556" s="45" t="s">
        <v>298</v>
      </c>
      <c r="AG556" s="45" t="b">
        <v>1</v>
      </c>
      <c r="AH556" s="45" t="b">
        <v>1</v>
      </c>
    </row>
    <row r="557" spans="22:34" x14ac:dyDescent="0.25">
      <c r="V557" t="s">
        <v>553</v>
      </c>
      <c r="W557" s="45" t="s">
        <v>333</v>
      </c>
      <c r="X557" s="45" t="b">
        <v>0</v>
      </c>
      <c r="Y557" s="45" t="b">
        <v>1</v>
      </c>
      <c r="Z557" s="45" t="b">
        <v>1</v>
      </c>
      <c r="AA557" s="45" t="b">
        <v>0</v>
      </c>
      <c r="AB557" s="45" t="b">
        <v>1</v>
      </c>
      <c r="AC557" s="45" t="b">
        <v>1</v>
      </c>
      <c r="AD557" s="45" t="b">
        <v>1</v>
      </c>
      <c r="AE557" s="45" t="b">
        <v>1</v>
      </c>
      <c r="AF557" s="45" t="s">
        <v>299</v>
      </c>
      <c r="AG557" s="45" t="b">
        <v>1</v>
      </c>
      <c r="AH557" s="45" t="b">
        <v>1</v>
      </c>
    </row>
    <row r="558" spans="22:34" x14ac:dyDescent="0.25">
      <c r="V558" t="s">
        <v>553</v>
      </c>
      <c r="W558" s="45" t="s">
        <v>333</v>
      </c>
      <c r="X558" s="45" t="b">
        <v>0</v>
      </c>
      <c r="Y558" s="45" t="b">
        <v>1</v>
      </c>
      <c r="Z558" s="45" t="b">
        <v>1</v>
      </c>
      <c r="AA558" s="45" t="b">
        <v>0</v>
      </c>
      <c r="AB558" s="45" t="b">
        <v>1</v>
      </c>
      <c r="AC558" s="45" t="b">
        <v>1</v>
      </c>
      <c r="AD558" s="45" t="b">
        <v>1</v>
      </c>
      <c r="AE558" s="45" t="b">
        <v>1</v>
      </c>
      <c r="AF558" s="45" t="s">
        <v>414</v>
      </c>
      <c r="AG558" s="45" t="b">
        <v>1</v>
      </c>
      <c r="AH558" s="45" t="b">
        <v>1</v>
      </c>
    </row>
    <row r="559" spans="22:34" x14ac:dyDescent="0.25">
      <c r="V559" t="s">
        <v>553</v>
      </c>
      <c r="W559" s="45" t="s">
        <v>333</v>
      </c>
      <c r="X559" s="45" t="b">
        <v>0</v>
      </c>
      <c r="Y559" s="45" t="b">
        <v>1</v>
      </c>
      <c r="Z559" s="45" t="b">
        <v>1</v>
      </c>
      <c r="AA559" s="45" t="b">
        <v>0</v>
      </c>
      <c r="AB559" s="45" t="b">
        <v>1</v>
      </c>
      <c r="AC559" s="45" t="b">
        <v>1</v>
      </c>
      <c r="AD559" s="45" t="b">
        <v>1</v>
      </c>
      <c r="AE559" s="45" t="b">
        <v>1</v>
      </c>
      <c r="AF559" s="45" t="s">
        <v>118</v>
      </c>
      <c r="AG559" s="45" t="b">
        <v>1</v>
      </c>
      <c r="AH559" s="45" t="b">
        <v>1</v>
      </c>
    </row>
    <row r="560" spans="22:34" x14ac:dyDescent="0.25">
      <c r="V560" t="s">
        <v>553</v>
      </c>
      <c r="W560" s="45" t="s">
        <v>333</v>
      </c>
      <c r="X560" s="45" t="b">
        <v>0</v>
      </c>
      <c r="Y560" s="45" t="b">
        <v>1</v>
      </c>
      <c r="Z560" s="45" t="b">
        <v>1</v>
      </c>
      <c r="AA560" s="45" t="b">
        <v>0</v>
      </c>
      <c r="AB560" s="45" t="b">
        <v>1</v>
      </c>
      <c r="AC560" s="45" t="b">
        <v>1</v>
      </c>
      <c r="AD560" s="45" t="b">
        <v>1</v>
      </c>
      <c r="AE560" s="45" t="b">
        <v>1</v>
      </c>
      <c r="AF560" s="45" t="s">
        <v>119</v>
      </c>
      <c r="AG560" s="45" t="b">
        <v>1</v>
      </c>
      <c r="AH560" s="45" t="b">
        <v>1</v>
      </c>
    </row>
    <row r="561" spans="22:34" x14ac:dyDescent="0.25">
      <c r="V561" t="s">
        <v>553</v>
      </c>
      <c r="W561" s="45" t="s">
        <v>333</v>
      </c>
      <c r="X561" s="45" t="b">
        <v>0</v>
      </c>
      <c r="Y561" s="45" t="b">
        <v>1</v>
      </c>
      <c r="Z561" s="45" t="b">
        <v>1</v>
      </c>
      <c r="AA561" s="45" t="b">
        <v>0</v>
      </c>
      <c r="AB561" s="45" t="b">
        <v>1</v>
      </c>
      <c r="AC561" s="45" t="b">
        <v>1</v>
      </c>
      <c r="AD561" s="45" t="b">
        <v>1</v>
      </c>
      <c r="AE561" s="45" t="b">
        <v>1</v>
      </c>
      <c r="AF561" s="45" t="s">
        <v>300</v>
      </c>
      <c r="AG561" s="45" t="b">
        <v>1</v>
      </c>
      <c r="AH561" s="45" t="b">
        <v>1</v>
      </c>
    </row>
    <row r="562" spans="22:34" x14ac:dyDescent="0.25">
      <c r="V562" t="s">
        <v>553</v>
      </c>
      <c r="W562" s="45" t="s">
        <v>333</v>
      </c>
      <c r="X562" s="45" t="b">
        <v>0</v>
      </c>
      <c r="Y562" s="45" t="b">
        <v>1</v>
      </c>
      <c r="Z562" s="45" t="b">
        <v>1</v>
      </c>
      <c r="AA562" s="45" t="b">
        <v>0</v>
      </c>
      <c r="AB562" s="45" t="b">
        <v>1</v>
      </c>
      <c r="AC562" s="45" t="b">
        <v>1</v>
      </c>
      <c r="AD562" s="45" t="b">
        <v>1</v>
      </c>
      <c r="AE562" s="45" t="b">
        <v>1</v>
      </c>
      <c r="AF562" s="45" t="s">
        <v>301</v>
      </c>
      <c r="AG562" s="45" t="b">
        <v>1</v>
      </c>
      <c r="AH562" s="45" t="b">
        <v>1</v>
      </c>
    </row>
    <row r="563" spans="22:34" x14ac:dyDescent="0.25">
      <c r="V563" t="s">
        <v>553</v>
      </c>
      <c r="W563" s="45" t="s">
        <v>333</v>
      </c>
      <c r="X563" s="45" t="b">
        <v>0</v>
      </c>
      <c r="Y563" s="45" t="b">
        <v>1</v>
      </c>
      <c r="Z563" s="45" t="b">
        <v>1</v>
      </c>
      <c r="AA563" s="45" t="b">
        <v>0</v>
      </c>
      <c r="AB563" s="45" t="b">
        <v>1</v>
      </c>
      <c r="AC563" s="45" t="b">
        <v>1</v>
      </c>
      <c r="AD563" s="45" t="b">
        <v>1</v>
      </c>
      <c r="AE563" s="45" t="b">
        <v>1</v>
      </c>
      <c r="AF563" s="45" t="s">
        <v>120</v>
      </c>
      <c r="AG563" s="45" t="b">
        <v>1</v>
      </c>
      <c r="AH563" s="45" t="b">
        <v>1</v>
      </c>
    </row>
    <row r="564" spans="22:34" x14ac:dyDescent="0.25">
      <c r="V564" t="s">
        <v>553</v>
      </c>
      <c r="W564" s="45" t="s">
        <v>333</v>
      </c>
      <c r="X564" s="45" t="b">
        <v>0</v>
      </c>
      <c r="Y564" s="45" t="b">
        <v>1</v>
      </c>
      <c r="Z564" s="45" t="b">
        <v>1</v>
      </c>
      <c r="AA564" s="45" t="b">
        <v>0</v>
      </c>
      <c r="AB564" s="45" t="b">
        <v>1</v>
      </c>
      <c r="AC564" s="45" t="b">
        <v>1</v>
      </c>
      <c r="AD564" s="45" t="b">
        <v>1</v>
      </c>
      <c r="AE564" s="45" t="b">
        <v>1</v>
      </c>
      <c r="AF564" s="45" t="s">
        <v>302</v>
      </c>
      <c r="AG564" s="45" t="b">
        <v>1</v>
      </c>
      <c r="AH564" s="45" t="b">
        <v>1</v>
      </c>
    </row>
    <row r="565" spans="22:34" x14ac:dyDescent="0.25">
      <c r="V565" t="s">
        <v>553</v>
      </c>
      <c r="W565" s="45" t="s">
        <v>333</v>
      </c>
      <c r="X565" s="45" t="b">
        <v>0</v>
      </c>
      <c r="Y565" s="45" t="b">
        <v>1</v>
      </c>
      <c r="Z565" s="45" t="b">
        <v>1</v>
      </c>
      <c r="AA565" s="45" t="b">
        <v>0</v>
      </c>
      <c r="AB565" s="45" t="b">
        <v>1</v>
      </c>
      <c r="AC565" s="45" t="b">
        <v>1</v>
      </c>
      <c r="AD565" s="45" t="b">
        <v>1</v>
      </c>
      <c r="AE565" s="45" t="b">
        <v>1</v>
      </c>
      <c r="AF565" s="45" t="s">
        <v>303</v>
      </c>
      <c r="AG565" s="45" t="b">
        <v>1</v>
      </c>
      <c r="AH565" s="45" t="b">
        <v>1</v>
      </c>
    </row>
    <row r="566" spans="22:34" x14ac:dyDescent="0.25">
      <c r="V566" t="s">
        <v>553</v>
      </c>
      <c r="W566" s="45" t="s">
        <v>333</v>
      </c>
      <c r="X566" s="45" t="b">
        <v>0</v>
      </c>
      <c r="Y566" s="45" t="b">
        <v>1</v>
      </c>
      <c r="Z566" s="45" t="b">
        <v>1</v>
      </c>
      <c r="AA566" s="45" t="b">
        <v>0</v>
      </c>
      <c r="AB566" s="45" t="b">
        <v>1</v>
      </c>
      <c r="AC566" s="45" t="b">
        <v>1</v>
      </c>
      <c r="AD566" s="45" t="b">
        <v>1</v>
      </c>
      <c r="AE566" s="45" t="b">
        <v>1</v>
      </c>
      <c r="AF566" s="45" t="s">
        <v>304</v>
      </c>
      <c r="AG566" s="45" t="b">
        <v>1</v>
      </c>
      <c r="AH566" s="45" t="b">
        <v>1</v>
      </c>
    </row>
    <row r="567" spans="22:34" x14ac:dyDescent="0.25">
      <c r="V567" t="s">
        <v>553</v>
      </c>
      <c r="W567" s="45" t="s">
        <v>333</v>
      </c>
      <c r="X567" s="45" t="b">
        <v>0</v>
      </c>
      <c r="Y567" s="45" t="b">
        <v>1</v>
      </c>
      <c r="Z567" s="45" t="b">
        <v>1</v>
      </c>
      <c r="AA567" s="45" t="b">
        <v>0</v>
      </c>
      <c r="AB567" s="45" t="b">
        <v>1</v>
      </c>
      <c r="AC567" s="45" t="b">
        <v>1</v>
      </c>
      <c r="AD567" s="45" t="b">
        <v>1</v>
      </c>
      <c r="AE567" s="45" t="b">
        <v>1</v>
      </c>
      <c r="AF567" s="45" t="s">
        <v>305</v>
      </c>
      <c r="AG567" s="45" t="b">
        <v>1</v>
      </c>
      <c r="AH567" s="45" t="b">
        <v>1</v>
      </c>
    </row>
    <row r="568" spans="22:34" x14ac:dyDescent="0.25">
      <c r="V568" t="s">
        <v>553</v>
      </c>
      <c r="W568" s="45" t="s">
        <v>333</v>
      </c>
      <c r="X568" s="45" t="b">
        <v>0</v>
      </c>
      <c r="Y568" s="45" t="b">
        <v>1</v>
      </c>
      <c r="Z568" s="45" t="b">
        <v>1</v>
      </c>
      <c r="AA568" s="45" t="b">
        <v>0</v>
      </c>
      <c r="AB568" s="45" t="b">
        <v>1</v>
      </c>
      <c r="AC568" s="45" t="b">
        <v>1</v>
      </c>
      <c r="AD568" s="45" t="b">
        <v>1</v>
      </c>
      <c r="AE568" s="45" t="b">
        <v>1</v>
      </c>
      <c r="AF568" s="45" t="s">
        <v>306</v>
      </c>
      <c r="AG568" s="45" t="b">
        <v>1</v>
      </c>
      <c r="AH568" s="45" t="b">
        <v>1</v>
      </c>
    </row>
    <row r="569" spans="22:34" x14ac:dyDescent="0.25">
      <c r="V569" t="s">
        <v>553</v>
      </c>
      <c r="W569" s="45" t="s">
        <v>333</v>
      </c>
      <c r="X569" s="45" t="b">
        <v>0</v>
      </c>
      <c r="Y569" s="45" t="b">
        <v>1</v>
      </c>
      <c r="Z569" s="45" t="b">
        <v>1</v>
      </c>
      <c r="AA569" s="45" t="b">
        <v>0</v>
      </c>
      <c r="AB569" s="45" t="b">
        <v>1</v>
      </c>
      <c r="AC569" s="45" t="b">
        <v>1</v>
      </c>
      <c r="AD569" s="45" t="b">
        <v>1</v>
      </c>
      <c r="AE569" s="45" t="b">
        <v>1</v>
      </c>
      <c r="AF569" s="45" t="s">
        <v>307</v>
      </c>
      <c r="AG569" s="45" t="b">
        <v>1</v>
      </c>
      <c r="AH569" s="45" t="b">
        <v>1</v>
      </c>
    </row>
    <row r="570" spans="22:34" x14ac:dyDescent="0.25">
      <c r="V570" t="s">
        <v>553</v>
      </c>
      <c r="W570" s="45" t="s">
        <v>333</v>
      </c>
      <c r="X570" s="45" t="b">
        <v>0</v>
      </c>
      <c r="Y570" s="45" t="b">
        <v>1</v>
      </c>
      <c r="Z570" s="45" t="b">
        <v>1</v>
      </c>
      <c r="AA570" s="45" t="b">
        <v>0</v>
      </c>
      <c r="AB570" s="45" t="b">
        <v>1</v>
      </c>
      <c r="AC570" s="45" t="b">
        <v>1</v>
      </c>
      <c r="AD570" s="45" t="b">
        <v>1</v>
      </c>
      <c r="AE570" s="45" t="b">
        <v>1</v>
      </c>
      <c r="AF570" s="45" t="s">
        <v>308</v>
      </c>
      <c r="AG570" s="45" t="b">
        <v>1</v>
      </c>
      <c r="AH570" s="45" t="b">
        <v>1</v>
      </c>
    </row>
    <row r="571" spans="22:34" x14ac:dyDescent="0.25">
      <c r="V571" t="s">
        <v>553</v>
      </c>
      <c r="W571" s="45" t="s">
        <v>333</v>
      </c>
      <c r="X571" s="45" t="b">
        <v>0</v>
      </c>
      <c r="Y571" s="45" t="b">
        <v>1</v>
      </c>
      <c r="Z571" s="45" t="b">
        <v>1</v>
      </c>
      <c r="AA571" s="45" t="b">
        <v>0</v>
      </c>
      <c r="AB571" s="45" t="b">
        <v>1</v>
      </c>
      <c r="AC571" s="45" t="b">
        <v>1</v>
      </c>
      <c r="AD571" s="45" t="b">
        <v>1</v>
      </c>
      <c r="AE571" s="45" t="b">
        <v>1</v>
      </c>
      <c r="AF571" s="45" t="s">
        <v>309</v>
      </c>
      <c r="AG571" s="45" t="b">
        <v>1</v>
      </c>
      <c r="AH571" s="45" t="b">
        <v>1</v>
      </c>
    </row>
    <row r="572" spans="22:34" x14ac:dyDescent="0.25">
      <c r="V572" t="s">
        <v>553</v>
      </c>
      <c r="W572" s="45" t="s">
        <v>333</v>
      </c>
      <c r="X572" s="45" t="b">
        <v>0</v>
      </c>
      <c r="Y572" s="45" t="b">
        <v>1</v>
      </c>
      <c r="Z572" s="45" t="b">
        <v>1</v>
      </c>
      <c r="AA572" s="45" t="b">
        <v>0</v>
      </c>
      <c r="AB572" s="45" t="b">
        <v>1</v>
      </c>
      <c r="AC572" s="45" t="b">
        <v>1</v>
      </c>
      <c r="AD572" s="45" t="b">
        <v>1</v>
      </c>
      <c r="AE572" s="45" t="b">
        <v>1</v>
      </c>
      <c r="AF572" s="45" t="s">
        <v>310</v>
      </c>
      <c r="AG572" s="45" t="b">
        <v>1</v>
      </c>
      <c r="AH572" s="45" t="b">
        <v>1</v>
      </c>
    </row>
    <row r="573" spans="22:34" x14ac:dyDescent="0.25">
      <c r="V573" t="s">
        <v>553</v>
      </c>
      <c r="W573" s="45" t="s">
        <v>333</v>
      </c>
      <c r="X573" s="45" t="b">
        <v>0</v>
      </c>
      <c r="Y573" s="45" t="b">
        <v>1</v>
      </c>
      <c r="Z573" s="45" t="b">
        <v>1</v>
      </c>
      <c r="AA573" s="45" t="b">
        <v>0</v>
      </c>
      <c r="AB573" s="45" t="b">
        <v>1</v>
      </c>
      <c r="AC573" s="45" t="b">
        <v>1</v>
      </c>
      <c r="AD573" s="45" t="b">
        <v>1</v>
      </c>
      <c r="AE573" s="45" t="b">
        <v>1</v>
      </c>
      <c r="AF573" s="45" t="s">
        <v>311</v>
      </c>
      <c r="AG573" s="45" t="b">
        <v>1</v>
      </c>
      <c r="AH573" s="45" t="b">
        <v>1</v>
      </c>
    </row>
    <row r="574" spans="22:34" x14ac:dyDescent="0.25">
      <c r="V574" t="s">
        <v>553</v>
      </c>
      <c r="W574" s="45" t="s">
        <v>333</v>
      </c>
      <c r="X574" s="45" t="b">
        <v>0</v>
      </c>
      <c r="Y574" s="45" t="b">
        <v>1</v>
      </c>
      <c r="Z574" s="45" t="b">
        <v>1</v>
      </c>
      <c r="AA574" s="45" t="b">
        <v>0</v>
      </c>
      <c r="AB574" s="45" t="b">
        <v>1</v>
      </c>
      <c r="AC574" s="45" t="b">
        <v>1</v>
      </c>
      <c r="AD574" s="45" t="b">
        <v>1</v>
      </c>
      <c r="AE574" s="45" t="b">
        <v>1</v>
      </c>
      <c r="AF574" s="45" t="s">
        <v>312</v>
      </c>
      <c r="AG574" s="45" t="b">
        <v>1</v>
      </c>
      <c r="AH574" s="45" t="b">
        <v>1</v>
      </c>
    </row>
    <row r="575" spans="22:34" x14ac:dyDescent="0.25">
      <c r="V575" t="s">
        <v>553</v>
      </c>
      <c r="W575" s="45" t="s">
        <v>333</v>
      </c>
      <c r="X575" s="45" t="b">
        <v>0</v>
      </c>
      <c r="Y575" s="45" t="b">
        <v>1</v>
      </c>
      <c r="Z575" s="45" t="b">
        <v>1</v>
      </c>
      <c r="AA575" s="45" t="b">
        <v>0</v>
      </c>
      <c r="AB575" s="45" t="b">
        <v>1</v>
      </c>
      <c r="AC575" s="45" t="b">
        <v>1</v>
      </c>
      <c r="AD575" s="45" t="b">
        <v>1</v>
      </c>
      <c r="AE575" s="45" t="b">
        <v>1</v>
      </c>
      <c r="AF575" s="45" t="s">
        <v>313</v>
      </c>
      <c r="AG575" s="45" t="b">
        <v>1</v>
      </c>
      <c r="AH575" s="45" t="b">
        <v>1</v>
      </c>
    </row>
    <row r="576" spans="22:34" x14ac:dyDescent="0.25">
      <c r="V576" t="s">
        <v>553</v>
      </c>
      <c r="W576" s="45" t="s">
        <v>333</v>
      </c>
      <c r="X576" s="45" t="b">
        <v>0</v>
      </c>
      <c r="Y576" s="45" t="b">
        <v>1</v>
      </c>
      <c r="Z576" s="45" t="b">
        <v>1</v>
      </c>
      <c r="AA576" s="45" t="b">
        <v>0</v>
      </c>
      <c r="AB576" s="45" t="b">
        <v>1</v>
      </c>
      <c r="AC576" s="45" t="b">
        <v>1</v>
      </c>
      <c r="AD576" s="45" t="b">
        <v>1</v>
      </c>
      <c r="AE576" s="45" t="b">
        <v>1</v>
      </c>
      <c r="AF576" s="45" t="s">
        <v>314</v>
      </c>
      <c r="AG576" s="45" t="b">
        <v>1</v>
      </c>
      <c r="AH576" s="45" t="b">
        <v>1</v>
      </c>
    </row>
    <row r="577" spans="22:34" x14ac:dyDescent="0.25">
      <c r="V577" t="s">
        <v>553</v>
      </c>
      <c r="W577" s="45" t="s">
        <v>333</v>
      </c>
      <c r="X577" s="45" t="b">
        <v>0</v>
      </c>
      <c r="Y577" s="45" t="b">
        <v>1</v>
      </c>
      <c r="Z577" s="45" t="b">
        <v>1</v>
      </c>
      <c r="AA577" s="45" t="b">
        <v>0</v>
      </c>
      <c r="AB577" s="45" t="b">
        <v>1</v>
      </c>
      <c r="AC577" s="45" t="b">
        <v>1</v>
      </c>
      <c r="AD577" s="45" t="b">
        <v>1</v>
      </c>
      <c r="AE577" s="45" t="b">
        <v>1</v>
      </c>
      <c r="AF577" s="45" t="s">
        <v>315</v>
      </c>
      <c r="AG577" s="45" t="b">
        <v>1</v>
      </c>
      <c r="AH577" s="45" t="b">
        <v>1</v>
      </c>
    </row>
    <row r="578" spans="22:34" x14ac:dyDescent="0.25">
      <c r="V578" t="s">
        <v>553</v>
      </c>
      <c r="W578" s="45" t="s">
        <v>333</v>
      </c>
      <c r="X578" s="45" t="b">
        <v>0</v>
      </c>
      <c r="Y578" s="45" t="b">
        <v>1</v>
      </c>
      <c r="Z578" s="45" t="b">
        <v>1</v>
      </c>
      <c r="AA578" s="45" t="b">
        <v>0</v>
      </c>
      <c r="AB578" s="45" t="b">
        <v>1</v>
      </c>
      <c r="AC578" s="45" t="b">
        <v>1</v>
      </c>
      <c r="AD578" s="45" t="b">
        <v>1</v>
      </c>
      <c r="AE578" s="45" t="b">
        <v>1</v>
      </c>
      <c r="AF578" s="45" t="s">
        <v>316</v>
      </c>
      <c r="AG578" s="45" t="b">
        <v>1</v>
      </c>
      <c r="AH578" s="45" t="b">
        <v>1</v>
      </c>
    </row>
    <row r="579" spans="22:34" x14ac:dyDescent="0.25">
      <c r="V579" t="s">
        <v>553</v>
      </c>
      <c r="W579" s="45" t="s">
        <v>333</v>
      </c>
      <c r="X579" s="45" t="b">
        <v>0</v>
      </c>
      <c r="Y579" s="45" t="b">
        <v>1</v>
      </c>
      <c r="Z579" s="45" t="b">
        <v>1</v>
      </c>
      <c r="AA579" s="45" t="b">
        <v>0</v>
      </c>
      <c r="AB579" s="45" t="b">
        <v>1</v>
      </c>
      <c r="AC579" s="45" t="b">
        <v>1</v>
      </c>
      <c r="AD579" s="45" t="b">
        <v>1</v>
      </c>
      <c r="AE579" s="45" t="b">
        <v>1</v>
      </c>
      <c r="AF579" s="45" t="s">
        <v>317</v>
      </c>
      <c r="AG579" s="45" t="b">
        <v>1</v>
      </c>
      <c r="AH579" s="45" t="b">
        <v>1</v>
      </c>
    </row>
    <row r="580" spans="22:34" x14ac:dyDescent="0.25">
      <c r="V580" t="s">
        <v>553</v>
      </c>
      <c r="W580" s="45" t="s">
        <v>333</v>
      </c>
      <c r="X580" s="45" t="b">
        <v>0</v>
      </c>
      <c r="Y580" s="45" t="b">
        <v>1</v>
      </c>
      <c r="Z580" s="45" t="b">
        <v>1</v>
      </c>
      <c r="AA580" s="45" t="b">
        <v>0</v>
      </c>
      <c r="AB580" s="45" t="b">
        <v>1</v>
      </c>
      <c r="AC580" s="45" t="b">
        <v>1</v>
      </c>
      <c r="AD580" s="45" t="b">
        <v>1</v>
      </c>
      <c r="AE580" s="45" t="b">
        <v>1</v>
      </c>
      <c r="AF580" s="45" t="s">
        <v>318</v>
      </c>
      <c r="AG580" s="45" t="b">
        <v>1</v>
      </c>
      <c r="AH580" s="45" t="b">
        <v>1</v>
      </c>
    </row>
    <row r="581" spans="22:34" x14ac:dyDescent="0.25">
      <c r="V581" t="s">
        <v>553</v>
      </c>
      <c r="W581" s="45" t="s">
        <v>333</v>
      </c>
      <c r="X581" s="45" t="b">
        <v>0</v>
      </c>
      <c r="Y581" s="45" t="b">
        <v>1</v>
      </c>
      <c r="Z581" s="45" t="b">
        <v>1</v>
      </c>
      <c r="AA581" s="45" t="b">
        <v>0</v>
      </c>
      <c r="AB581" s="45" t="b">
        <v>1</v>
      </c>
      <c r="AC581" s="45" t="b">
        <v>1</v>
      </c>
      <c r="AD581" s="45" t="b">
        <v>1</v>
      </c>
      <c r="AE581" s="45" t="b">
        <v>1</v>
      </c>
      <c r="AF581" s="45" t="s">
        <v>319</v>
      </c>
      <c r="AG581" s="45" t="b">
        <v>1</v>
      </c>
      <c r="AH581" s="45" t="b">
        <v>1</v>
      </c>
    </row>
    <row r="582" spans="22:34" x14ac:dyDescent="0.25">
      <c r="V582" t="s">
        <v>334</v>
      </c>
      <c r="W582" s="45" t="s">
        <v>335</v>
      </c>
      <c r="X582" s="45" t="b">
        <v>1</v>
      </c>
      <c r="Y582" s="45" t="b">
        <v>1</v>
      </c>
      <c r="Z582" s="45" t="b">
        <v>1</v>
      </c>
      <c r="AA582" s="45" t="b">
        <v>0</v>
      </c>
      <c r="AB582" s="45" t="b">
        <v>1</v>
      </c>
      <c r="AC582" s="45" t="b">
        <v>1</v>
      </c>
      <c r="AD582" s="45" t="b">
        <v>1</v>
      </c>
      <c r="AE582" s="45" t="b">
        <v>1</v>
      </c>
      <c r="AF582" s="45" t="s">
        <v>295</v>
      </c>
      <c r="AG582" s="45" t="b">
        <v>1</v>
      </c>
      <c r="AH582" s="45" t="b">
        <v>1</v>
      </c>
    </row>
    <row r="583" spans="22:34" x14ac:dyDescent="0.25">
      <c r="V583" t="s">
        <v>334</v>
      </c>
      <c r="W583" s="45" t="s">
        <v>335</v>
      </c>
      <c r="X583" s="45" t="b">
        <v>1</v>
      </c>
      <c r="Y583" s="45" t="b">
        <v>1</v>
      </c>
      <c r="Z583" s="45" t="b">
        <v>1</v>
      </c>
      <c r="AA583" s="45" t="b">
        <v>0</v>
      </c>
      <c r="AB583" s="45" t="b">
        <v>1</v>
      </c>
      <c r="AC583" s="45" t="b">
        <v>1</v>
      </c>
      <c r="AD583" s="45" t="b">
        <v>1</v>
      </c>
      <c r="AE583" s="45" t="b">
        <v>1</v>
      </c>
      <c r="AF583" s="45" t="s">
        <v>297</v>
      </c>
      <c r="AG583" s="45" t="b">
        <v>1</v>
      </c>
      <c r="AH583" s="45" t="b">
        <v>1</v>
      </c>
    </row>
    <row r="584" spans="22:34" x14ac:dyDescent="0.25">
      <c r="V584" t="s">
        <v>334</v>
      </c>
      <c r="W584" s="45" t="s">
        <v>335</v>
      </c>
      <c r="X584" s="45" t="b">
        <v>1</v>
      </c>
      <c r="Y584" s="45" t="b">
        <v>1</v>
      </c>
      <c r="Z584" s="45" t="b">
        <v>1</v>
      </c>
      <c r="AA584" s="45" t="b">
        <v>0</v>
      </c>
      <c r="AB584" s="45" t="b">
        <v>1</v>
      </c>
      <c r="AC584" s="45" t="b">
        <v>1</v>
      </c>
      <c r="AD584" s="45" t="b">
        <v>1</v>
      </c>
      <c r="AE584" s="45" t="b">
        <v>1</v>
      </c>
      <c r="AF584" s="45" t="s">
        <v>112</v>
      </c>
      <c r="AG584" s="45" t="b">
        <v>1</v>
      </c>
      <c r="AH584" s="45" t="b">
        <v>1</v>
      </c>
    </row>
    <row r="585" spans="22:34" x14ac:dyDescent="0.25">
      <c r="V585" t="s">
        <v>334</v>
      </c>
      <c r="W585" s="45" t="s">
        <v>335</v>
      </c>
      <c r="X585" s="45" t="b">
        <v>1</v>
      </c>
      <c r="Y585" s="45" t="b">
        <v>1</v>
      </c>
      <c r="Z585" s="45" t="b">
        <v>1</v>
      </c>
      <c r="AA585" s="45" t="b">
        <v>0</v>
      </c>
      <c r="AB585" s="45" t="b">
        <v>1</v>
      </c>
      <c r="AC585" s="45" t="b">
        <v>1</v>
      </c>
      <c r="AD585" s="45" t="b">
        <v>1</v>
      </c>
      <c r="AE585" s="45" t="b">
        <v>1</v>
      </c>
      <c r="AF585" s="45" t="s">
        <v>114</v>
      </c>
      <c r="AG585" s="45" t="b">
        <v>1</v>
      </c>
      <c r="AH585" s="45" t="b">
        <v>1</v>
      </c>
    </row>
    <row r="586" spans="22:34" x14ac:dyDescent="0.25">
      <c r="V586" t="s">
        <v>334</v>
      </c>
      <c r="W586" s="45" t="s">
        <v>335</v>
      </c>
      <c r="X586" s="45" t="b">
        <v>1</v>
      </c>
      <c r="Y586" s="45" t="b">
        <v>1</v>
      </c>
      <c r="Z586" s="45" t="b">
        <v>1</v>
      </c>
      <c r="AA586" s="45" t="b">
        <v>0</v>
      </c>
      <c r="AB586" s="45" t="b">
        <v>1</v>
      </c>
      <c r="AC586" s="45" t="b">
        <v>1</v>
      </c>
      <c r="AD586" s="45" t="b">
        <v>1</v>
      </c>
      <c r="AE586" s="45" t="b">
        <v>1</v>
      </c>
      <c r="AF586" s="45" t="s">
        <v>115</v>
      </c>
      <c r="AG586" s="45" t="b">
        <v>1</v>
      </c>
      <c r="AH586" s="45" t="b">
        <v>1</v>
      </c>
    </row>
    <row r="587" spans="22:34" x14ac:dyDescent="0.25">
      <c r="V587" t="s">
        <v>334</v>
      </c>
      <c r="W587" s="45" t="s">
        <v>335</v>
      </c>
      <c r="X587" s="45" t="b">
        <v>1</v>
      </c>
      <c r="Y587" s="45" t="b">
        <v>1</v>
      </c>
      <c r="Z587" s="45" t="b">
        <v>1</v>
      </c>
      <c r="AA587" s="45" t="b">
        <v>0</v>
      </c>
      <c r="AB587" s="45" t="b">
        <v>1</v>
      </c>
      <c r="AC587" s="45" t="b">
        <v>1</v>
      </c>
      <c r="AD587" s="45" t="b">
        <v>1</v>
      </c>
      <c r="AE587" s="45" t="b">
        <v>1</v>
      </c>
      <c r="AF587" s="45" t="s">
        <v>116</v>
      </c>
      <c r="AG587" s="45" t="b">
        <v>1</v>
      </c>
      <c r="AH587" s="45" t="b">
        <v>1</v>
      </c>
    </row>
    <row r="588" spans="22:34" x14ac:dyDescent="0.25">
      <c r="V588" t="s">
        <v>334</v>
      </c>
      <c r="W588" s="45" t="s">
        <v>335</v>
      </c>
      <c r="X588" s="45" t="b">
        <v>1</v>
      </c>
      <c r="Y588" s="45" t="b">
        <v>1</v>
      </c>
      <c r="Z588" s="45" t="b">
        <v>1</v>
      </c>
      <c r="AA588" s="45" t="b">
        <v>0</v>
      </c>
      <c r="AB588" s="45" t="b">
        <v>1</v>
      </c>
      <c r="AC588" s="45" t="b">
        <v>1</v>
      </c>
      <c r="AD588" s="45" t="b">
        <v>1</v>
      </c>
      <c r="AE588" s="45" t="b">
        <v>1</v>
      </c>
      <c r="AF588" s="45" t="s">
        <v>298</v>
      </c>
      <c r="AG588" s="45" t="b">
        <v>1</v>
      </c>
      <c r="AH588" s="45" t="b">
        <v>1</v>
      </c>
    </row>
    <row r="589" spans="22:34" x14ac:dyDescent="0.25">
      <c r="V589" t="s">
        <v>334</v>
      </c>
      <c r="W589" s="45" t="s">
        <v>335</v>
      </c>
      <c r="X589" s="45" t="b">
        <v>1</v>
      </c>
      <c r="Y589" s="45" t="b">
        <v>1</v>
      </c>
      <c r="Z589" s="45" t="b">
        <v>1</v>
      </c>
      <c r="AA589" s="45" t="b">
        <v>0</v>
      </c>
      <c r="AB589" s="45" t="b">
        <v>1</v>
      </c>
      <c r="AC589" s="45" t="b">
        <v>1</v>
      </c>
      <c r="AD589" s="45" t="b">
        <v>1</v>
      </c>
      <c r="AE589" s="45" t="b">
        <v>1</v>
      </c>
      <c r="AF589" s="45" t="s">
        <v>299</v>
      </c>
      <c r="AG589" s="45" t="b">
        <v>1</v>
      </c>
      <c r="AH589" s="45" t="b">
        <v>1</v>
      </c>
    </row>
    <row r="590" spans="22:34" x14ac:dyDescent="0.25">
      <c r="V590" t="s">
        <v>334</v>
      </c>
      <c r="W590" s="45" t="s">
        <v>335</v>
      </c>
      <c r="X590" s="45" t="b">
        <v>1</v>
      </c>
      <c r="Y590" s="45" t="b">
        <v>1</v>
      </c>
      <c r="Z590" s="45" t="b">
        <v>1</v>
      </c>
      <c r="AA590" s="45" t="b">
        <v>0</v>
      </c>
      <c r="AB590" s="45" t="b">
        <v>1</v>
      </c>
      <c r="AC590" s="45" t="b">
        <v>1</v>
      </c>
      <c r="AD590" s="45" t="b">
        <v>1</v>
      </c>
      <c r="AE590" s="45" t="b">
        <v>1</v>
      </c>
      <c r="AF590" s="45" t="s">
        <v>414</v>
      </c>
      <c r="AG590" s="45" t="b">
        <v>1</v>
      </c>
      <c r="AH590" s="45" t="b">
        <v>1</v>
      </c>
    </row>
    <row r="591" spans="22:34" x14ac:dyDescent="0.25">
      <c r="V591" t="s">
        <v>334</v>
      </c>
      <c r="W591" s="45" t="s">
        <v>335</v>
      </c>
      <c r="X591" s="45" t="b">
        <v>1</v>
      </c>
      <c r="Y591" s="45" t="b">
        <v>1</v>
      </c>
      <c r="Z591" s="45" t="b">
        <v>1</v>
      </c>
      <c r="AA591" s="45" t="b">
        <v>0</v>
      </c>
      <c r="AB591" s="45" t="b">
        <v>1</v>
      </c>
      <c r="AC591" s="45" t="b">
        <v>1</v>
      </c>
      <c r="AD591" s="45" t="b">
        <v>1</v>
      </c>
      <c r="AE591" s="45" t="b">
        <v>1</v>
      </c>
      <c r="AF591" s="45" t="s">
        <v>118</v>
      </c>
      <c r="AG591" s="45" t="b">
        <v>1</v>
      </c>
      <c r="AH591" s="45" t="b">
        <v>1</v>
      </c>
    </row>
    <row r="592" spans="22:34" x14ac:dyDescent="0.25">
      <c r="V592" t="s">
        <v>334</v>
      </c>
      <c r="W592" s="45" t="s">
        <v>335</v>
      </c>
      <c r="X592" s="45" t="b">
        <v>1</v>
      </c>
      <c r="Y592" s="45" t="b">
        <v>1</v>
      </c>
      <c r="Z592" s="45" t="b">
        <v>1</v>
      </c>
      <c r="AA592" s="45" t="b">
        <v>0</v>
      </c>
      <c r="AB592" s="45" t="b">
        <v>1</v>
      </c>
      <c r="AC592" s="45" t="b">
        <v>1</v>
      </c>
      <c r="AD592" s="45" t="b">
        <v>1</v>
      </c>
      <c r="AE592" s="45" t="b">
        <v>1</v>
      </c>
      <c r="AF592" s="45" t="s">
        <v>119</v>
      </c>
      <c r="AG592" s="45" t="b">
        <v>1</v>
      </c>
      <c r="AH592" s="45" t="b">
        <v>1</v>
      </c>
    </row>
    <row r="593" spans="22:34" x14ac:dyDescent="0.25">
      <c r="V593" t="s">
        <v>334</v>
      </c>
      <c r="W593" s="45" t="s">
        <v>335</v>
      </c>
      <c r="X593" s="45" t="b">
        <v>1</v>
      </c>
      <c r="Y593" s="45" t="b">
        <v>1</v>
      </c>
      <c r="Z593" s="45" t="b">
        <v>1</v>
      </c>
      <c r="AA593" s="45" t="b">
        <v>0</v>
      </c>
      <c r="AB593" s="45" t="b">
        <v>1</v>
      </c>
      <c r="AC593" s="45" t="b">
        <v>1</v>
      </c>
      <c r="AD593" s="45" t="b">
        <v>1</v>
      </c>
      <c r="AE593" s="45" t="b">
        <v>1</v>
      </c>
      <c r="AF593" s="45" t="s">
        <v>300</v>
      </c>
      <c r="AG593" s="45" t="b">
        <v>1</v>
      </c>
      <c r="AH593" s="45" t="b">
        <v>1</v>
      </c>
    </row>
    <row r="594" spans="22:34" x14ac:dyDescent="0.25">
      <c r="V594" t="s">
        <v>334</v>
      </c>
      <c r="W594" s="45" t="s">
        <v>335</v>
      </c>
      <c r="X594" s="45" t="b">
        <v>1</v>
      </c>
      <c r="Y594" s="45" t="b">
        <v>1</v>
      </c>
      <c r="Z594" s="45" t="b">
        <v>1</v>
      </c>
      <c r="AA594" s="45" t="b">
        <v>0</v>
      </c>
      <c r="AB594" s="45" t="b">
        <v>1</v>
      </c>
      <c r="AC594" s="45" t="b">
        <v>1</v>
      </c>
      <c r="AD594" s="45" t="b">
        <v>1</v>
      </c>
      <c r="AE594" s="45" t="b">
        <v>1</v>
      </c>
      <c r="AF594" s="45" t="s">
        <v>301</v>
      </c>
      <c r="AG594" s="45" t="b">
        <v>1</v>
      </c>
      <c r="AH594" s="45" t="b">
        <v>1</v>
      </c>
    </row>
    <row r="595" spans="22:34" x14ac:dyDescent="0.25">
      <c r="V595" t="s">
        <v>334</v>
      </c>
      <c r="W595" s="45" t="s">
        <v>335</v>
      </c>
      <c r="X595" s="45" t="b">
        <v>1</v>
      </c>
      <c r="Y595" s="45" t="b">
        <v>1</v>
      </c>
      <c r="Z595" s="45" t="b">
        <v>1</v>
      </c>
      <c r="AA595" s="45" t="b">
        <v>0</v>
      </c>
      <c r="AB595" s="45" t="b">
        <v>1</v>
      </c>
      <c r="AC595" s="45" t="b">
        <v>1</v>
      </c>
      <c r="AD595" s="45" t="b">
        <v>1</v>
      </c>
      <c r="AE595" s="45" t="b">
        <v>1</v>
      </c>
      <c r="AF595" s="45" t="s">
        <v>120</v>
      </c>
      <c r="AG595" s="45" t="b">
        <v>1</v>
      </c>
      <c r="AH595" s="45" t="b">
        <v>1</v>
      </c>
    </row>
    <row r="596" spans="22:34" x14ac:dyDescent="0.25">
      <c r="V596" t="s">
        <v>334</v>
      </c>
      <c r="W596" s="45" t="s">
        <v>335</v>
      </c>
      <c r="X596" s="45" t="b">
        <v>1</v>
      </c>
      <c r="Y596" s="45" t="b">
        <v>1</v>
      </c>
      <c r="Z596" s="45" t="b">
        <v>1</v>
      </c>
      <c r="AA596" s="45" t="b">
        <v>0</v>
      </c>
      <c r="AB596" s="45" t="b">
        <v>1</v>
      </c>
      <c r="AC596" s="45" t="b">
        <v>1</v>
      </c>
      <c r="AD596" s="45" t="b">
        <v>1</v>
      </c>
      <c r="AE596" s="45" t="b">
        <v>1</v>
      </c>
      <c r="AF596" s="45" t="s">
        <v>302</v>
      </c>
      <c r="AG596" s="45" t="b">
        <v>1</v>
      </c>
      <c r="AH596" s="45" t="b">
        <v>1</v>
      </c>
    </row>
    <row r="597" spans="22:34" x14ac:dyDescent="0.25">
      <c r="V597" t="s">
        <v>334</v>
      </c>
      <c r="W597" s="45" t="s">
        <v>335</v>
      </c>
      <c r="X597" s="45" t="b">
        <v>1</v>
      </c>
      <c r="Y597" s="45" t="b">
        <v>1</v>
      </c>
      <c r="Z597" s="45" t="b">
        <v>1</v>
      </c>
      <c r="AA597" s="45" t="b">
        <v>0</v>
      </c>
      <c r="AB597" s="45" t="b">
        <v>1</v>
      </c>
      <c r="AC597" s="45" t="b">
        <v>1</v>
      </c>
      <c r="AD597" s="45" t="b">
        <v>1</v>
      </c>
      <c r="AE597" s="45" t="b">
        <v>1</v>
      </c>
      <c r="AF597" s="45" t="s">
        <v>303</v>
      </c>
      <c r="AG597" s="45" t="b">
        <v>1</v>
      </c>
      <c r="AH597" s="45" t="b">
        <v>1</v>
      </c>
    </row>
    <row r="598" spans="22:34" x14ac:dyDescent="0.25">
      <c r="V598" t="s">
        <v>334</v>
      </c>
      <c r="W598" s="45" t="s">
        <v>335</v>
      </c>
      <c r="X598" s="45" t="b">
        <v>1</v>
      </c>
      <c r="Y598" s="45" t="b">
        <v>1</v>
      </c>
      <c r="Z598" s="45" t="b">
        <v>1</v>
      </c>
      <c r="AA598" s="45" t="b">
        <v>0</v>
      </c>
      <c r="AB598" s="45" t="b">
        <v>1</v>
      </c>
      <c r="AC598" s="45" t="b">
        <v>1</v>
      </c>
      <c r="AD598" s="45" t="b">
        <v>1</v>
      </c>
      <c r="AE598" s="45" t="b">
        <v>1</v>
      </c>
      <c r="AF598" s="45" t="s">
        <v>304</v>
      </c>
      <c r="AG598" s="45" t="b">
        <v>1</v>
      </c>
      <c r="AH598" s="45" t="b">
        <v>1</v>
      </c>
    </row>
    <row r="599" spans="22:34" x14ac:dyDescent="0.25">
      <c r="V599" t="s">
        <v>334</v>
      </c>
      <c r="W599" s="45" t="s">
        <v>335</v>
      </c>
      <c r="X599" s="45" t="b">
        <v>1</v>
      </c>
      <c r="Y599" s="45" t="b">
        <v>1</v>
      </c>
      <c r="Z599" s="45" t="b">
        <v>1</v>
      </c>
      <c r="AA599" s="45" t="b">
        <v>0</v>
      </c>
      <c r="AB599" s="45" t="b">
        <v>1</v>
      </c>
      <c r="AC599" s="45" t="b">
        <v>1</v>
      </c>
      <c r="AD599" s="45" t="b">
        <v>1</v>
      </c>
      <c r="AE599" s="45" t="b">
        <v>1</v>
      </c>
      <c r="AF599" s="45" t="s">
        <v>305</v>
      </c>
      <c r="AG599" s="45" t="b">
        <v>1</v>
      </c>
      <c r="AH599" s="45" t="b">
        <v>1</v>
      </c>
    </row>
    <row r="600" spans="22:34" x14ac:dyDescent="0.25">
      <c r="V600" t="s">
        <v>334</v>
      </c>
      <c r="W600" s="45" t="s">
        <v>335</v>
      </c>
      <c r="X600" s="45" t="b">
        <v>1</v>
      </c>
      <c r="Y600" s="45" t="b">
        <v>1</v>
      </c>
      <c r="Z600" s="45" t="b">
        <v>1</v>
      </c>
      <c r="AA600" s="45" t="b">
        <v>0</v>
      </c>
      <c r="AB600" s="45" t="b">
        <v>1</v>
      </c>
      <c r="AC600" s="45" t="b">
        <v>1</v>
      </c>
      <c r="AD600" s="45" t="b">
        <v>1</v>
      </c>
      <c r="AE600" s="45" t="b">
        <v>1</v>
      </c>
      <c r="AF600" s="45" t="s">
        <v>306</v>
      </c>
      <c r="AG600" s="45" t="b">
        <v>1</v>
      </c>
      <c r="AH600" s="45" t="b">
        <v>1</v>
      </c>
    </row>
    <row r="601" spans="22:34" x14ac:dyDescent="0.25">
      <c r="V601" t="s">
        <v>334</v>
      </c>
      <c r="W601" s="45" t="s">
        <v>335</v>
      </c>
      <c r="X601" s="45" t="b">
        <v>1</v>
      </c>
      <c r="Y601" s="45" t="b">
        <v>1</v>
      </c>
      <c r="Z601" s="45" t="b">
        <v>1</v>
      </c>
      <c r="AA601" s="45" t="b">
        <v>0</v>
      </c>
      <c r="AB601" s="45" t="b">
        <v>1</v>
      </c>
      <c r="AC601" s="45" t="b">
        <v>1</v>
      </c>
      <c r="AD601" s="45" t="b">
        <v>1</v>
      </c>
      <c r="AE601" s="45" t="b">
        <v>1</v>
      </c>
      <c r="AF601" s="45" t="s">
        <v>307</v>
      </c>
      <c r="AG601" s="45" t="b">
        <v>1</v>
      </c>
      <c r="AH601" s="45" t="b">
        <v>1</v>
      </c>
    </row>
    <row r="602" spans="22:34" x14ac:dyDescent="0.25">
      <c r="V602" t="s">
        <v>334</v>
      </c>
      <c r="W602" s="45" t="s">
        <v>335</v>
      </c>
      <c r="X602" s="45" t="b">
        <v>1</v>
      </c>
      <c r="Y602" s="45" t="b">
        <v>1</v>
      </c>
      <c r="Z602" s="45" t="b">
        <v>1</v>
      </c>
      <c r="AA602" s="45" t="b">
        <v>0</v>
      </c>
      <c r="AB602" s="45" t="b">
        <v>1</v>
      </c>
      <c r="AC602" s="45" t="b">
        <v>1</v>
      </c>
      <c r="AD602" s="45" t="b">
        <v>1</v>
      </c>
      <c r="AE602" s="45" t="b">
        <v>1</v>
      </c>
      <c r="AF602" s="45" t="s">
        <v>308</v>
      </c>
      <c r="AG602" s="45" t="b">
        <v>1</v>
      </c>
      <c r="AH602" s="45" t="b">
        <v>1</v>
      </c>
    </row>
    <row r="603" spans="22:34" x14ac:dyDescent="0.25">
      <c r="V603" t="s">
        <v>334</v>
      </c>
      <c r="W603" s="45" t="s">
        <v>335</v>
      </c>
      <c r="X603" s="45" t="b">
        <v>1</v>
      </c>
      <c r="Y603" s="45" t="b">
        <v>1</v>
      </c>
      <c r="Z603" s="45" t="b">
        <v>1</v>
      </c>
      <c r="AA603" s="45" t="b">
        <v>0</v>
      </c>
      <c r="AB603" s="45" t="b">
        <v>1</v>
      </c>
      <c r="AC603" s="45" t="b">
        <v>1</v>
      </c>
      <c r="AD603" s="45" t="b">
        <v>1</v>
      </c>
      <c r="AE603" s="45" t="b">
        <v>1</v>
      </c>
      <c r="AF603" s="45" t="s">
        <v>309</v>
      </c>
      <c r="AG603" s="45" t="b">
        <v>1</v>
      </c>
      <c r="AH603" s="45" t="b">
        <v>1</v>
      </c>
    </row>
    <row r="604" spans="22:34" x14ac:dyDescent="0.25">
      <c r="V604" t="s">
        <v>334</v>
      </c>
      <c r="W604" s="45" t="s">
        <v>335</v>
      </c>
      <c r="X604" s="45" t="b">
        <v>1</v>
      </c>
      <c r="Y604" s="45" t="b">
        <v>1</v>
      </c>
      <c r="Z604" s="45" t="b">
        <v>1</v>
      </c>
      <c r="AA604" s="45" t="b">
        <v>0</v>
      </c>
      <c r="AB604" s="45" t="b">
        <v>1</v>
      </c>
      <c r="AC604" s="45" t="b">
        <v>1</v>
      </c>
      <c r="AD604" s="45" t="b">
        <v>1</v>
      </c>
      <c r="AE604" s="45" t="b">
        <v>1</v>
      </c>
      <c r="AF604" s="45" t="s">
        <v>310</v>
      </c>
      <c r="AG604" s="45" t="b">
        <v>1</v>
      </c>
      <c r="AH604" s="45" t="b">
        <v>1</v>
      </c>
    </row>
    <row r="605" spans="22:34" x14ac:dyDescent="0.25">
      <c r="V605" t="s">
        <v>334</v>
      </c>
      <c r="W605" s="45" t="s">
        <v>335</v>
      </c>
      <c r="X605" s="45" t="b">
        <v>1</v>
      </c>
      <c r="Y605" s="45" t="b">
        <v>1</v>
      </c>
      <c r="Z605" s="45" t="b">
        <v>1</v>
      </c>
      <c r="AA605" s="45" t="b">
        <v>0</v>
      </c>
      <c r="AB605" s="45" t="b">
        <v>1</v>
      </c>
      <c r="AC605" s="45" t="b">
        <v>1</v>
      </c>
      <c r="AD605" s="45" t="b">
        <v>1</v>
      </c>
      <c r="AE605" s="45" t="b">
        <v>1</v>
      </c>
      <c r="AF605" s="45" t="s">
        <v>311</v>
      </c>
      <c r="AG605" s="45" t="b">
        <v>1</v>
      </c>
      <c r="AH605" s="45" t="b">
        <v>1</v>
      </c>
    </row>
    <row r="606" spans="22:34" x14ac:dyDescent="0.25">
      <c r="V606" t="s">
        <v>334</v>
      </c>
      <c r="W606" s="45" t="s">
        <v>335</v>
      </c>
      <c r="X606" s="45" t="b">
        <v>1</v>
      </c>
      <c r="Y606" s="45" t="b">
        <v>1</v>
      </c>
      <c r="Z606" s="45" t="b">
        <v>1</v>
      </c>
      <c r="AA606" s="45" t="b">
        <v>0</v>
      </c>
      <c r="AB606" s="45" t="b">
        <v>1</v>
      </c>
      <c r="AC606" s="45" t="b">
        <v>1</v>
      </c>
      <c r="AD606" s="45" t="b">
        <v>1</v>
      </c>
      <c r="AE606" s="45" t="b">
        <v>1</v>
      </c>
      <c r="AF606" s="45" t="s">
        <v>312</v>
      </c>
      <c r="AG606" s="45" t="b">
        <v>1</v>
      </c>
      <c r="AH606" s="45" t="b">
        <v>1</v>
      </c>
    </row>
    <row r="607" spans="22:34" x14ac:dyDescent="0.25">
      <c r="V607" t="s">
        <v>334</v>
      </c>
      <c r="W607" s="45" t="s">
        <v>335</v>
      </c>
      <c r="X607" s="45" t="b">
        <v>1</v>
      </c>
      <c r="Y607" s="45" t="b">
        <v>1</v>
      </c>
      <c r="Z607" s="45" t="b">
        <v>1</v>
      </c>
      <c r="AA607" s="45" t="b">
        <v>0</v>
      </c>
      <c r="AB607" s="45" t="b">
        <v>1</v>
      </c>
      <c r="AC607" s="45" t="b">
        <v>1</v>
      </c>
      <c r="AD607" s="45" t="b">
        <v>1</v>
      </c>
      <c r="AE607" s="45" t="b">
        <v>1</v>
      </c>
      <c r="AF607" s="45" t="s">
        <v>313</v>
      </c>
      <c r="AG607" s="45" t="b">
        <v>1</v>
      </c>
      <c r="AH607" s="45" t="b">
        <v>1</v>
      </c>
    </row>
    <row r="608" spans="22:34" x14ac:dyDescent="0.25">
      <c r="V608" t="s">
        <v>334</v>
      </c>
      <c r="W608" s="45" t="s">
        <v>335</v>
      </c>
      <c r="X608" s="45" t="b">
        <v>1</v>
      </c>
      <c r="Y608" s="45" t="b">
        <v>1</v>
      </c>
      <c r="Z608" s="45" t="b">
        <v>1</v>
      </c>
      <c r="AA608" s="45" t="b">
        <v>0</v>
      </c>
      <c r="AB608" s="45" t="b">
        <v>1</v>
      </c>
      <c r="AC608" s="45" t="b">
        <v>1</v>
      </c>
      <c r="AD608" s="45" t="b">
        <v>1</v>
      </c>
      <c r="AE608" s="45" t="b">
        <v>1</v>
      </c>
      <c r="AF608" s="45" t="s">
        <v>314</v>
      </c>
      <c r="AG608" s="45" t="b">
        <v>1</v>
      </c>
      <c r="AH608" s="45" t="b">
        <v>1</v>
      </c>
    </row>
    <row r="609" spans="22:34" x14ac:dyDescent="0.25">
      <c r="V609" t="s">
        <v>334</v>
      </c>
      <c r="W609" s="45" t="s">
        <v>335</v>
      </c>
      <c r="X609" s="45" t="b">
        <v>1</v>
      </c>
      <c r="Y609" s="45" t="b">
        <v>1</v>
      </c>
      <c r="Z609" s="45" t="b">
        <v>1</v>
      </c>
      <c r="AA609" s="45" t="b">
        <v>0</v>
      </c>
      <c r="AB609" s="45" t="b">
        <v>1</v>
      </c>
      <c r="AC609" s="45" t="b">
        <v>1</v>
      </c>
      <c r="AD609" s="45" t="b">
        <v>1</v>
      </c>
      <c r="AE609" s="45" t="b">
        <v>1</v>
      </c>
      <c r="AF609" s="45" t="s">
        <v>315</v>
      </c>
      <c r="AG609" s="45" t="b">
        <v>1</v>
      </c>
      <c r="AH609" s="45" t="b">
        <v>1</v>
      </c>
    </row>
    <row r="610" spans="22:34" x14ac:dyDescent="0.25">
      <c r="V610" t="s">
        <v>334</v>
      </c>
      <c r="W610" s="45" t="s">
        <v>335</v>
      </c>
      <c r="X610" s="45" t="b">
        <v>1</v>
      </c>
      <c r="Y610" s="45" t="b">
        <v>1</v>
      </c>
      <c r="Z610" s="45" t="b">
        <v>1</v>
      </c>
      <c r="AA610" s="45" t="b">
        <v>0</v>
      </c>
      <c r="AB610" s="45" t="b">
        <v>1</v>
      </c>
      <c r="AC610" s="45" t="b">
        <v>1</v>
      </c>
      <c r="AD610" s="45" t="b">
        <v>1</v>
      </c>
      <c r="AE610" s="45" t="b">
        <v>1</v>
      </c>
      <c r="AF610" s="45" t="s">
        <v>316</v>
      </c>
      <c r="AG610" s="45" t="b">
        <v>1</v>
      </c>
      <c r="AH610" s="45" t="b">
        <v>1</v>
      </c>
    </row>
    <row r="611" spans="22:34" x14ac:dyDescent="0.25">
      <c r="V611" t="s">
        <v>334</v>
      </c>
      <c r="W611" s="45" t="s">
        <v>335</v>
      </c>
      <c r="X611" s="45" t="b">
        <v>1</v>
      </c>
      <c r="Y611" s="45" t="b">
        <v>1</v>
      </c>
      <c r="Z611" s="45" t="b">
        <v>1</v>
      </c>
      <c r="AA611" s="45" t="b">
        <v>0</v>
      </c>
      <c r="AB611" s="45" t="b">
        <v>1</v>
      </c>
      <c r="AC611" s="45" t="b">
        <v>1</v>
      </c>
      <c r="AD611" s="45" t="b">
        <v>1</v>
      </c>
      <c r="AE611" s="45" t="b">
        <v>1</v>
      </c>
      <c r="AF611" s="45" t="s">
        <v>317</v>
      </c>
      <c r="AG611" s="45" t="b">
        <v>1</v>
      </c>
      <c r="AH611" s="45" t="b">
        <v>1</v>
      </c>
    </row>
    <row r="612" spans="22:34" x14ac:dyDescent="0.25">
      <c r="V612" t="s">
        <v>334</v>
      </c>
      <c r="W612" s="45" t="s">
        <v>335</v>
      </c>
      <c r="X612" s="45" t="b">
        <v>1</v>
      </c>
      <c r="Y612" s="45" t="b">
        <v>1</v>
      </c>
      <c r="Z612" s="45" t="b">
        <v>1</v>
      </c>
      <c r="AA612" s="45" t="b">
        <v>0</v>
      </c>
      <c r="AB612" s="45" t="b">
        <v>1</v>
      </c>
      <c r="AC612" s="45" t="b">
        <v>1</v>
      </c>
      <c r="AD612" s="45" t="b">
        <v>1</v>
      </c>
      <c r="AE612" s="45" t="b">
        <v>1</v>
      </c>
      <c r="AF612" s="45" t="s">
        <v>318</v>
      </c>
      <c r="AG612" s="45" t="b">
        <v>1</v>
      </c>
      <c r="AH612" s="45" t="b">
        <v>1</v>
      </c>
    </row>
    <row r="613" spans="22:34" x14ac:dyDescent="0.25">
      <c r="V613" t="s">
        <v>334</v>
      </c>
      <c r="W613" s="45" t="s">
        <v>335</v>
      </c>
      <c r="X613" s="45" t="b">
        <v>1</v>
      </c>
      <c r="Y613" s="45" t="b">
        <v>1</v>
      </c>
      <c r="Z613" s="45" t="b">
        <v>1</v>
      </c>
      <c r="AA613" s="45" t="b">
        <v>0</v>
      </c>
      <c r="AB613" s="45" t="b">
        <v>1</v>
      </c>
      <c r="AC613" s="45" t="b">
        <v>1</v>
      </c>
      <c r="AD613" s="45" t="b">
        <v>1</v>
      </c>
      <c r="AE613" s="45" t="b">
        <v>1</v>
      </c>
      <c r="AF613" s="45" t="s">
        <v>319</v>
      </c>
      <c r="AG613" s="45" t="b">
        <v>1</v>
      </c>
      <c r="AH613" s="45" t="b">
        <v>1</v>
      </c>
    </row>
    <row r="614" spans="22:34" x14ac:dyDescent="0.25">
      <c r="V614" t="s">
        <v>336</v>
      </c>
      <c r="W614" s="45" t="s">
        <v>337</v>
      </c>
      <c r="X614" s="45" t="b">
        <v>1</v>
      </c>
      <c r="Y614" s="45" t="b">
        <v>1</v>
      </c>
      <c r="Z614" s="45" t="b">
        <v>1</v>
      </c>
      <c r="AA614" s="45" t="b">
        <v>0</v>
      </c>
      <c r="AB614" s="45" t="b">
        <v>0</v>
      </c>
      <c r="AC614" s="45" t="b">
        <v>1</v>
      </c>
      <c r="AD614" s="45" t="b">
        <v>0</v>
      </c>
      <c r="AE614" s="45" t="b">
        <v>1</v>
      </c>
      <c r="AF614" s="45" t="s">
        <v>295</v>
      </c>
      <c r="AG614" s="45" t="b">
        <v>1</v>
      </c>
      <c r="AH614" s="45" t="b">
        <v>1</v>
      </c>
    </row>
    <row r="615" spans="22:34" x14ac:dyDescent="0.25">
      <c r="V615" t="s">
        <v>336</v>
      </c>
      <c r="W615" s="45" t="s">
        <v>337</v>
      </c>
      <c r="X615" s="45" t="b">
        <v>1</v>
      </c>
      <c r="Y615" s="45" t="b">
        <v>1</v>
      </c>
      <c r="Z615" s="45" t="b">
        <v>1</v>
      </c>
      <c r="AA615" s="45" t="b">
        <v>0</v>
      </c>
      <c r="AB615" s="45" t="b">
        <v>0</v>
      </c>
      <c r="AC615" s="45" t="b">
        <v>1</v>
      </c>
      <c r="AD615" s="45" t="b">
        <v>0</v>
      </c>
      <c r="AE615" s="45" t="b">
        <v>1</v>
      </c>
      <c r="AF615" s="45" t="s">
        <v>297</v>
      </c>
      <c r="AG615" s="45" t="b">
        <v>1</v>
      </c>
      <c r="AH615" s="45" t="b">
        <v>1</v>
      </c>
    </row>
    <row r="616" spans="22:34" x14ac:dyDescent="0.25">
      <c r="V616" t="s">
        <v>336</v>
      </c>
      <c r="W616" s="45" t="s">
        <v>337</v>
      </c>
      <c r="X616" s="45" t="b">
        <v>1</v>
      </c>
      <c r="Y616" s="45" t="b">
        <v>1</v>
      </c>
      <c r="Z616" s="45" t="b">
        <v>1</v>
      </c>
      <c r="AA616" s="45" t="b">
        <v>0</v>
      </c>
      <c r="AB616" s="45" t="b">
        <v>0</v>
      </c>
      <c r="AC616" s="45" t="b">
        <v>1</v>
      </c>
      <c r="AD616" s="45" t="b">
        <v>0</v>
      </c>
      <c r="AE616" s="45" t="b">
        <v>1</v>
      </c>
      <c r="AF616" s="45" t="s">
        <v>112</v>
      </c>
      <c r="AG616" s="45" t="b">
        <v>1</v>
      </c>
      <c r="AH616" s="45" t="b">
        <v>1</v>
      </c>
    </row>
    <row r="617" spans="22:34" x14ac:dyDescent="0.25">
      <c r="V617" t="s">
        <v>336</v>
      </c>
      <c r="W617" s="45" t="s">
        <v>337</v>
      </c>
      <c r="X617" s="45" t="b">
        <v>1</v>
      </c>
      <c r="Y617" s="45" t="b">
        <v>1</v>
      </c>
      <c r="Z617" s="45" t="b">
        <v>1</v>
      </c>
      <c r="AA617" s="45" t="b">
        <v>0</v>
      </c>
      <c r="AB617" s="45" t="b">
        <v>0</v>
      </c>
      <c r="AC617" s="45" t="b">
        <v>1</v>
      </c>
      <c r="AD617" s="45" t="b">
        <v>0</v>
      </c>
      <c r="AE617" s="45" t="b">
        <v>1</v>
      </c>
      <c r="AF617" s="45" t="s">
        <v>114</v>
      </c>
      <c r="AG617" s="45" t="b">
        <v>1</v>
      </c>
      <c r="AH617" s="45" t="b">
        <v>1</v>
      </c>
    </row>
    <row r="618" spans="22:34" x14ac:dyDescent="0.25">
      <c r="V618" t="s">
        <v>336</v>
      </c>
      <c r="W618" s="45" t="s">
        <v>337</v>
      </c>
      <c r="X618" s="45" t="b">
        <v>1</v>
      </c>
      <c r="Y618" s="45" t="b">
        <v>1</v>
      </c>
      <c r="Z618" s="45" t="b">
        <v>1</v>
      </c>
      <c r="AA618" s="45" t="b">
        <v>0</v>
      </c>
      <c r="AB618" s="45" t="b">
        <v>0</v>
      </c>
      <c r="AC618" s="45" t="b">
        <v>1</v>
      </c>
      <c r="AD618" s="45" t="b">
        <v>0</v>
      </c>
      <c r="AE618" s="45" t="b">
        <v>1</v>
      </c>
      <c r="AF618" s="45" t="s">
        <v>115</v>
      </c>
      <c r="AG618" s="45" t="b">
        <v>1</v>
      </c>
      <c r="AH618" s="45" t="b">
        <v>1</v>
      </c>
    </row>
    <row r="619" spans="22:34" x14ac:dyDescent="0.25">
      <c r="V619" t="s">
        <v>336</v>
      </c>
      <c r="W619" s="45" t="s">
        <v>337</v>
      </c>
      <c r="X619" s="45" t="b">
        <v>1</v>
      </c>
      <c r="Y619" s="45" t="b">
        <v>1</v>
      </c>
      <c r="Z619" s="45" t="b">
        <v>1</v>
      </c>
      <c r="AA619" s="45" t="b">
        <v>0</v>
      </c>
      <c r="AB619" s="45" t="b">
        <v>0</v>
      </c>
      <c r="AC619" s="45" t="b">
        <v>1</v>
      </c>
      <c r="AD619" s="45" t="b">
        <v>0</v>
      </c>
      <c r="AE619" s="45" t="b">
        <v>1</v>
      </c>
      <c r="AF619" s="45" t="s">
        <v>116</v>
      </c>
      <c r="AG619" s="45" t="b">
        <v>1</v>
      </c>
      <c r="AH619" s="45" t="b">
        <v>1</v>
      </c>
    </row>
    <row r="620" spans="22:34" x14ac:dyDescent="0.25">
      <c r="V620" t="s">
        <v>336</v>
      </c>
      <c r="W620" s="45" t="s">
        <v>337</v>
      </c>
      <c r="X620" s="45" t="b">
        <v>1</v>
      </c>
      <c r="Y620" s="45" t="b">
        <v>1</v>
      </c>
      <c r="Z620" s="45" t="b">
        <v>1</v>
      </c>
      <c r="AA620" s="45" t="b">
        <v>0</v>
      </c>
      <c r="AB620" s="45" t="b">
        <v>0</v>
      </c>
      <c r="AC620" s="45" t="b">
        <v>1</v>
      </c>
      <c r="AD620" s="45" t="b">
        <v>0</v>
      </c>
      <c r="AE620" s="45" t="b">
        <v>1</v>
      </c>
      <c r="AF620" s="45" t="s">
        <v>298</v>
      </c>
      <c r="AG620" s="45" t="b">
        <v>1</v>
      </c>
      <c r="AH620" s="45" t="b">
        <v>1</v>
      </c>
    </row>
    <row r="621" spans="22:34" x14ac:dyDescent="0.25">
      <c r="V621" t="s">
        <v>336</v>
      </c>
      <c r="W621" s="45" t="s">
        <v>337</v>
      </c>
      <c r="X621" s="45" t="b">
        <v>1</v>
      </c>
      <c r="Y621" s="45" t="b">
        <v>1</v>
      </c>
      <c r="Z621" s="45" t="b">
        <v>1</v>
      </c>
      <c r="AA621" s="45" t="b">
        <v>0</v>
      </c>
      <c r="AB621" s="45" t="b">
        <v>0</v>
      </c>
      <c r="AC621" s="45" t="b">
        <v>1</v>
      </c>
      <c r="AD621" s="45" t="b">
        <v>0</v>
      </c>
      <c r="AE621" s="45" t="b">
        <v>1</v>
      </c>
      <c r="AF621" s="45" t="s">
        <v>299</v>
      </c>
      <c r="AG621" s="45" t="b">
        <v>1</v>
      </c>
      <c r="AH621" s="45" t="b">
        <v>1</v>
      </c>
    </row>
    <row r="622" spans="22:34" x14ac:dyDescent="0.25">
      <c r="V622" t="s">
        <v>336</v>
      </c>
      <c r="W622" s="45" t="s">
        <v>337</v>
      </c>
      <c r="X622" s="45" t="b">
        <v>1</v>
      </c>
      <c r="Y622" s="45" t="b">
        <v>1</v>
      </c>
      <c r="Z622" s="45" t="b">
        <v>1</v>
      </c>
      <c r="AA622" s="45" t="b">
        <v>0</v>
      </c>
      <c r="AB622" s="45" t="b">
        <v>0</v>
      </c>
      <c r="AC622" s="45" t="b">
        <v>1</v>
      </c>
      <c r="AD622" s="45" t="b">
        <v>0</v>
      </c>
      <c r="AE622" s="45" t="b">
        <v>1</v>
      </c>
      <c r="AF622" s="45" t="s">
        <v>414</v>
      </c>
      <c r="AG622" s="45" t="b">
        <v>1</v>
      </c>
      <c r="AH622" s="45" t="b">
        <v>1</v>
      </c>
    </row>
    <row r="623" spans="22:34" x14ac:dyDescent="0.25">
      <c r="V623" t="s">
        <v>336</v>
      </c>
      <c r="W623" s="45" t="s">
        <v>337</v>
      </c>
      <c r="X623" s="45" t="b">
        <v>1</v>
      </c>
      <c r="Y623" s="45" t="b">
        <v>1</v>
      </c>
      <c r="Z623" s="45" t="b">
        <v>1</v>
      </c>
      <c r="AA623" s="45" t="b">
        <v>0</v>
      </c>
      <c r="AB623" s="45" t="b">
        <v>0</v>
      </c>
      <c r="AC623" s="45" t="b">
        <v>1</v>
      </c>
      <c r="AD623" s="45" t="b">
        <v>0</v>
      </c>
      <c r="AE623" s="45" t="b">
        <v>1</v>
      </c>
      <c r="AF623" s="45" t="s">
        <v>118</v>
      </c>
      <c r="AG623" s="45" t="b">
        <v>1</v>
      </c>
      <c r="AH623" s="45" t="b">
        <v>1</v>
      </c>
    </row>
    <row r="624" spans="22:34" x14ac:dyDescent="0.25">
      <c r="V624" t="s">
        <v>336</v>
      </c>
      <c r="W624" s="45" t="s">
        <v>337</v>
      </c>
      <c r="X624" s="45" t="b">
        <v>1</v>
      </c>
      <c r="Y624" s="45" t="b">
        <v>1</v>
      </c>
      <c r="Z624" s="45" t="b">
        <v>1</v>
      </c>
      <c r="AA624" s="45" t="b">
        <v>0</v>
      </c>
      <c r="AB624" s="45" t="b">
        <v>0</v>
      </c>
      <c r="AC624" s="45" t="b">
        <v>1</v>
      </c>
      <c r="AD624" s="45" t="b">
        <v>0</v>
      </c>
      <c r="AE624" s="45" t="b">
        <v>1</v>
      </c>
      <c r="AF624" s="45" t="s">
        <v>119</v>
      </c>
      <c r="AG624" s="45" t="b">
        <v>1</v>
      </c>
      <c r="AH624" s="45" t="b">
        <v>1</v>
      </c>
    </row>
    <row r="625" spans="22:34" x14ac:dyDescent="0.25">
      <c r="V625" t="s">
        <v>336</v>
      </c>
      <c r="W625" s="45" t="s">
        <v>337</v>
      </c>
      <c r="X625" s="45" t="b">
        <v>1</v>
      </c>
      <c r="Y625" s="45" t="b">
        <v>1</v>
      </c>
      <c r="Z625" s="45" t="b">
        <v>1</v>
      </c>
      <c r="AA625" s="45" t="b">
        <v>0</v>
      </c>
      <c r="AB625" s="45" t="b">
        <v>0</v>
      </c>
      <c r="AC625" s="45" t="b">
        <v>1</v>
      </c>
      <c r="AD625" s="45" t="b">
        <v>0</v>
      </c>
      <c r="AE625" s="45" t="b">
        <v>1</v>
      </c>
      <c r="AF625" s="45" t="s">
        <v>300</v>
      </c>
      <c r="AG625" s="45" t="b">
        <v>1</v>
      </c>
      <c r="AH625" s="45" t="b">
        <v>1</v>
      </c>
    </row>
    <row r="626" spans="22:34" x14ac:dyDescent="0.25">
      <c r="V626" t="s">
        <v>336</v>
      </c>
      <c r="W626" s="45" t="s">
        <v>337</v>
      </c>
      <c r="X626" s="45" t="b">
        <v>1</v>
      </c>
      <c r="Y626" s="45" t="b">
        <v>1</v>
      </c>
      <c r="Z626" s="45" t="b">
        <v>1</v>
      </c>
      <c r="AA626" s="45" t="b">
        <v>0</v>
      </c>
      <c r="AB626" s="45" t="b">
        <v>0</v>
      </c>
      <c r="AC626" s="45" t="b">
        <v>1</v>
      </c>
      <c r="AD626" s="45" t="b">
        <v>0</v>
      </c>
      <c r="AE626" s="45" t="b">
        <v>1</v>
      </c>
      <c r="AF626" s="45" t="s">
        <v>301</v>
      </c>
      <c r="AG626" s="45" t="b">
        <v>1</v>
      </c>
      <c r="AH626" s="45" t="b">
        <v>1</v>
      </c>
    </row>
    <row r="627" spans="22:34" x14ac:dyDescent="0.25">
      <c r="V627" t="s">
        <v>336</v>
      </c>
      <c r="W627" s="45" t="s">
        <v>337</v>
      </c>
      <c r="X627" s="45" t="b">
        <v>1</v>
      </c>
      <c r="Y627" s="45" t="b">
        <v>1</v>
      </c>
      <c r="Z627" s="45" t="b">
        <v>1</v>
      </c>
      <c r="AA627" s="45" t="b">
        <v>0</v>
      </c>
      <c r="AB627" s="45" t="b">
        <v>0</v>
      </c>
      <c r="AC627" s="45" t="b">
        <v>1</v>
      </c>
      <c r="AD627" s="45" t="b">
        <v>0</v>
      </c>
      <c r="AE627" s="45" t="b">
        <v>1</v>
      </c>
      <c r="AF627" s="45" t="s">
        <v>120</v>
      </c>
      <c r="AG627" s="45" t="b">
        <v>1</v>
      </c>
      <c r="AH627" s="45" t="b">
        <v>1</v>
      </c>
    </row>
    <row r="628" spans="22:34" x14ac:dyDescent="0.25">
      <c r="V628" t="s">
        <v>336</v>
      </c>
      <c r="W628" s="45" t="s">
        <v>337</v>
      </c>
      <c r="X628" s="45" t="b">
        <v>1</v>
      </c>
      <c r="Y628" s="45" t="b">
        <v>1</v>
      </c>
      <c r="Z628" s="45" t="b">
        <v>1</v>
      </c>
      <c r="AA628" s="45" t="b">
        <v>0</v>
      </c>
      <c r="AB628" s="45" t="b">
        <v>0</v>
      </c>
      <c r="AC628" s="45" t="b">
        <v>1</v>
      </c>
      <c r="AD628" s="45" t="b">
        <v>0</v>
      </c>
      <c r="AE628" s="45" t="b">
        <v>1</v>
      </c>
      <c r="AF628" s="45" t="s">
        <v>302</v>
      </c>
      <c r="AG628" s="45" t="b">
        <v>1</v>
      </c>
      <c r="AH628" s="45" t="b">
        <v>1</v>
      </c>
    </row>
    <row r="629" spans="22:34" x14ac:dyDescent="0.25">
      <c r="V629" t="s">
        <v>336</v>
      </c>
      <c r="W629" s="45" t="s">
        <v>337</v>
      </c>
      <c r="X629" s="45" t="b">
        <v>1</v>
      </c>
      <c r="Y629" s="45" t="b">
        <v>1</v>
      </c>
      <c r="Z629" s="45" t="b">
        <v>1</v>
      </c>
      <c r="AA629" s="45" t="b">
        <v>0</v>
      </c>
      <c r="AB629" s="45" t="b">
        <v>0</v>
      </c>
      <c r="AC629" s="45" t="b">
        <v>1</v>
      </c>
      <c r="AD629" s="45" t="b">
        <v>0</v>
      </c>
      <c r="AE629" s="45" t="b">
        <v>1</v>
      </c>
      <c r="AF629" s="45" t="s">
        <v>303</v>
      </c>
      <c r="AG629" s="45" t="b">
        <v>1</v>
      </c>
      <c r="AH629" s="45" t="b">
        <v>1</v>
      </c>
    </row>
    <row r="630" spans="22:34" x14ac:dyDescent="0.25">
      <c r="V630" t="s">
        <v>336</v>
      </c>
      <c r="W630" s="45" t="s">
        <v>337</v>
      </c>
      <c r="X630" s="45" t="b">
        <v>1</v>
      </c>
      <c r="Y630" s="45" t="b">
        <v>1</v>
      </c>
      <c r="Z630" s="45" t="b">
        <v>1</v>
      </c>
      <c r="AA630" s="45" t="b">
        <v>0</v>
      </c>
      <c r="AB630" s="45" t="b">
        <v>0</v>
      </c>
      <c r="AC630" s="45" t="b">
        <v>1</v>
      </c>
      <c r="AD630" s="45" t="b">
        <v>0</v>
      </c>
      <c r="AE630" s="45" t="b">
        <v>1</v>
      </c>
      <c r="AF630" s="45" t="s">
        <v>304</v>
      </c>
      <c r="AG630" s="45" t="b">
        <v>1</v>
      </c>
      <c r="AH630" s="45" t="b">
        <v>1</v>
      </c>
    </row>
    <row r="631" spans="22:34" x14ac:dyDescent="0.25">
      <c r="V631" t="s">
        <v>336</v>
      </c>
      <c r="W631" s="45" t="s">
        <v>337</v>
      </c>
      <c r="X631" s="45" t="b">
        <v>1</v>
      </c>
      <c r="Y631" s="45" t="b">
        <v>1</v>
      </c>
      <c r="Z631" s="45" t="b">
        <v>1</v>
      </c>
      <c r="AA631" s="45" t="b">
        <v>0</v>
      </c>
      <c r="AB631" s="45" t="b">
        <v>0</v>
      </c>
      <c r="AC631" s="45" t="b">
        <v>1</v>
      </c>
      <c r="AD631" s="45" t="b">
        <v>0</v>
      </c>
      <c r="AE631" s="45" t="b">
        <v>1</v>
      </c>
      <c r="AF631" s="45" t="s">
        <v>305</v>
      </c>
      <c r="AG631" s="45" t="b">
        <v>1</v>
      </c>
      <c r="AH631" s="45" t="b">
        <v>1</v>
      </c>
    </row>
    <row r="632" spans="22:34" x14ac:dyDescent="0.25">
      <c r="V632" t="s">
        <v>336</v>
      </c>
      <c r="W632" s="45" t="s">
        <v>337</v>
      </c>
      <c r="X632" s="45" t="b">
        <v>1</v>
      </c>
      <c r="Y632" s="45" t="b">
        <v>1</v>
      </c>
      <c r="Z632" s="45" t="b">
        <v>1</v>
      </c>
      <c r="AA632" s="45" t="b">
        <v>0</v>
      </c>
      <c r="AB632" s="45" t="b">
        <v>0</v>
      </c>
      <c r="AC632" s="45" t="b">
        <v>1</v>
      </c>
      <c r="AD632" s="45" t="b">
        <v>0</v>
      </c>
      <c r="AE632" s="45" t="b">
        <v>1</v>
      </c>
      <c r="AF632" s="45" t="s">
        <v>306</v>
      </c>
      <c r="AG632" s="45" t="b">
        <v>1</v>
      </c>
      <c r="AH632" s="45" t="b">
        <v>1</v>
      </c>
    </row>
    <row r="633" spans="22:34" x14ac:dyDescent="0.25">
      <c r="V633" t="s">
        <v>336</v>
      </c>
      <c r="W633" s="45" t="s">
        <v>337</v>
      </c>
      <c r="X633" s="45" t="b">
        <v>1</v>
      </c>
      <c r="Y633" s="45" t="b">
        <v>1</v>
      </c>
      <c r="Z633" s="45" t="b">
        <v>1</v>
      </c>
      <c r="AA633" s="45" t="b">
        <v>0</v>
      </c>
      <c r="AB633" s="45" t="b">
        <v>0</v>
      </c>
      <c r="AC633" s="45" t="b">
        <v>1</v>
      </c>
      <c r="AD633" s="45" t="b">
        <v>0</v>
      </c>
      <c r="AE633" s="45" t="b">
        <v>1</v>
      </c>
      <c r="AF633" s="45" t="s">
        <v>307</v>
      </c>
      <c r="AG633" s="45" t="b">
        <v>1</v>
      </c>
      <c r="AH633" s="45" t="b">
        <v>1</v>
      </c>
    </row>
    <row r="634" spans="22:34" x14ac:dyDescent="0.25">
      <c r="V634" t="s">
        <v>336</v>
      </c>
      <c r="W634" s="45" t="s">
        <v>337</v>
      </c>
      <c r="X634" s="45" t="b">
        <v>1</v>
      </c>
      <c r="Y634" s="45" t="b">
        <v>1</v>
      </c>
      <c r="Z634" s="45" t="b">
        <v>1</v>
      </c>
      <c r="AA634" s="45" t="b">
        <v>0</v>
      </c>
      <c r="AB634" s="45" t="b">
        <v>0</v>
      </c>
      <c r="AC634" s="45" t="b">
        <v>1</v>
      </c>
      <c r="AD634" s="45" t="b">
        <v>0</v>
      </c>
      <c r="AE634" s="45" t="b">
        <v>1</v>
      </c>
      <c r="AF634" s="45" t="s">
        <v>308</v>
      </c>
      <c r="AG634" s="45" t="b">
        <v>1</v>
      </c>
      <c r="AH634" s="45" t="b">
        <v>1</v>
      </c>
    </row>
    <row r="635" spans="22:34" x14ac:dyDescent="0.25">
      <c r="V635" t="s">
        <v>336</v>
      </c>
      <c r="W635" s="45" t="s">
        <v>337</v>
      </c>
      <c r="X635" s="45" t="b">
        <v>1</v>
      </c>
      <c r="Y635" s="45" t="b">
        <v>1</v>
      </c>
      <c r="Z635" s="45" t="b">
        <v>1</v>
      </c>
      <c r="AA635" s="45" t="b">
        <v>0</v>
      </c>
      <c r="AB635" s="45" t="b">
        <v>0</v>
      </c>
      <c r="AC635" s="45" t="b">
        <v>1</v>
      </c>
      <c r="AD635" s="45" t="b">
        <v>0</v>
      </c>
      <c r="AE635" s="45" t="b">
        <v>1</v>
      </c>
      <c r="AF635" s="45" t="s">
        <v>309</v>
      </c>
      <c r="AG635" s="45" t="b">
        <v>1</v>
      </c>
      <c r="AH635" s="45" t="b">
        <v>1</v>
      </c>
    </row>
    <row r="636" spans="22:34" x14ac:dyDescent="0.25">
      <c r="V636" t="s">
        <v>336</v>
      </c>
      <c r="W636" s="45" t="s">
        <v>337</v>
      </c>
      <c r="X636" s="45" t="b">
        <v>1</v>
      </c>
      <c r="Y636" s="45" t="b">
        <v>1</v>
      </c>
      <c r="Z636" s="45" t="b">
        <v>1</v>
      </c>
      <c r="AA636" s="45" t="b">
        <v>0</v>
      </c>
      <c r="AB636" s="45" t="b">
        <v>0</v>
      </c>
      <c r="AC636" s="45" t="b">
        <v>1</v>
      </c>
      <c r="AD636" s="45" t="b">
        <v>0</v>
      </c>
      <c r="AE636" s="45" t="b">
        <v>1</v>
      </c>
      <c r="AF636" s="45" t="s">
        <v>310</v>
      </c>
      <c r="AG636" s="45" t="b">
        <v>1</v>
      </c>
      <c r="AH636" s="45" t="b">
        <v>1</v>
      </c>
    </row>
    <row r="637" spans="22:34" x14ac:dyDescent="0.25">
      <c r="V637" t="s">
        <v>336</v>
      </c>
      <c r="W637" s="45" t="s">
        <v>337</v>
      </c>
      <c r="X637" s="45" t="b">
        <v>1</v>
      </c>
      <c r="Y637" s="45" t="b">
        <v>1</v>
      </c>
      <c r="Z637" s="45" t="b">
        <v>1</v>
      </c>
      <c r="AA637" s="45" t="b">
        <v>0</v>
      </c>
      <c r="AB637" s="45" t="b">
        <v>0</v>
      </c>
      <c r="AC637" s="45" t="b">
        <v>1</v>
      </c>
      <c r="AD637" s="45" t="b">
        <v>0</v>
      </c>
      <c r="AE637" s="45" t="b">
        <v>1</v>
      </c>
      <c r="AF637" s="45" t="s">
        <v>311</v>
      </c>
      <c r="AG637" s="45" t="b">
        <v>1</v>
      </c>
      <c r="AH637" s="45" t="b">
        <v>1</v>
      </c>
    </row>
    <row r="638" spans="22:34" x14ac:dyDescent="0.25">
      <c r="V638" t="s">
        <v>336</v>
      </c>
      <c r="W638" s="45" t="s">
        <v>337</v>
      </c>
      <c r="X638" s="45" t="b">
        <v>1</v>
      </c>
      <c r="Y638" s="45" t="b">
        <v>1</v>
      </c>
      <c r="Z638" s="45" t="b">
        <v>1</v>
      </c>
      <c r="AA638" s="45" t="b">
        <v>0</v>
      </c>
      <c r="AB638" s="45" t="b">
        <v>0</v>
      </c>
      <c r="AC638" s="45" t="b">
        <v>1</v>
      </c>
      <c r="AD638" s="45" t="b">
        <v>0</v>
      </c>
      <c r="AE638" s="45" t="b">
        <v>1</v>
      </c>
      <c r="AF638" s="45" t="s">
        <v>312</v>
      </c>
      <c r="AG638" s="45" t="b">
        <v>1</v>
      </c>
      <c r="AH638" s="45" t="b">
        <v>1</v>
      </c>
    </row>
    <row r="639" spans="22:34" x14ac:dyDescent="0.25">
      <c r="V639" t="s">
        <v>336</v>
      </c>
      <c r="W639" s="45" t="s">
        <v>337</v>
      </c>
      <c r="X639" s="45" t="b">
        <v>1</v>
      </c>
      <c r="Y639" s="45" t="b">
        <v>1</v>
      </c>
      <c r="Z639" s="45" t="b">
        <v>1</v>
      </c>
      <c r="AA639" s="45" t="b">
        <v>0</v>
      </c>
      <c r="AB639" s="45" t="b">
        <v>0</v>
      </c>
      <c r="AC639" s="45" t="b">
        <v>1</v>
      </c>
      <c r="AD639" s="45" t="b">
        <v>0</v>
      </c>
      <c r="AE639" s="45" t="b">
        <v>1</v>
      </c>
      <c r="AF639" s="45" t="s">
        <v>313</v>
      </c>
      <c r="AG639" s="45" t="b">
        <v>1</v>
      </c>
      <c r="AH639" s="45" t="b">
        <v>1</v>
      </c>
    </row>
    <row r="640" spans="22:34" x14ac:dyDescent="0.25">
      <c r="V640" t="s">
        <v>336</v>
      </c>
      <c r="W640" s="45" t="s">
        <v>337</v>
      </c>
      <c r="X640" s="45" t="b">
        <v>1</v>
      </c>
      <c r="Y640" s="45" t="b">
        <v>1</v>
      </c>
      <c r="Z640" s="45" t="b">
        <v>1</v>
      </c>
      <c r="AA640" s="45" t="b">
        <v>0</v>
      </c>
      <c r="AB640" s="45" t="b">
        <v>0</v>
      </c>
      <c r="AC640" s="45" t="b">
        <v>1</v>
      </c>
      <c r="AD640" s="45" t="b">
        <v>0</v>
      </c>
      <c r="AE640" s="45" t="b">
        <v>1</v>
      </c>
      <c r="AF640" s="45" t="s">
        <v>314</v>
      </c>
      <c r="AG640" s="45" t="b">
        <v>1</v>
      </c>
      <c r="AH640" s="45" t="b">
        <v>1</v>
      </c>
    </row>
    <row r="641" spans="22:34" x14ac:dyDescent="0.25">
      <c r="V641" t="s">
        <v>336</v>
      </c>
      <c r="W641" s="45" t="s">
        <v>337</v>
      </c>
      <c r="X641" s="45" t="b">
        <v>1</v>
      </c>
      <c r="Y641" s="45" t="b">
        <v>1</v>
      </c>
      <c r="Z641" s="45" t="b">
        <v>1</v>
      </c>
      <c r="AA641" s="45" t="b">
        <v>0</v>
      </c>
      <c r="AB641" s="45" t="b">
        <v>0</v>
      </c>
      <c r="AC641" s="45" t="b">
        <v>1</v>
      </c>
      <c r="AD641" s="45" t="b">
        <v>0</v>
      </c>
      <c r="AE641" s="45" t="b">
        <v>1</v>
      </c>
      <c r="AF641" s="45" t="s">
        <v>315</v>
      </c>
      <c r="AG641" s="45" t="b">
        <v>1</v>
      </c>
      <c r="AH641" s="45" t="b">
        <v>1</v>
      </c>
    </row>
    <row r="642" spans="22:34" x14ac:dyDescent="0.25">
      <c r="V642" t="s">
        <v>336</v>
      </c>
      <c r="W642" s="45" t="s">
        <v>337</v>
      </c>
      <c r="X642" s="45" t="b">
        <v>1</v>
      </c>
      <c r="Y642" s="45" t="b">
        <v>1</v>
      </c>
      <c r="Z642" s="45" t="b">
        <v>1</v>
      </c>
      <c r="AA642" s="45" t="b">
        <v>0</v>
      </c>
      <c r="AB642" s="45" t="b">
        <v>0</v>
      </c>
      <c r="AC642" s="45" t="b">
        <v>1</v>
      </c>
      <c r="AD642" s="45" t="b">
        <v>0</v>
      </c>
      <c r="AE642" s="45" t="b">
        <v>1</v>
      </c>
      <c r="AF642" s="45" t="s">
        <v>316</v>
      </c>
      <c r="AG642" s="45" t="b">
        <v>1</v>
      </c>
      <c r="AH642" s="45" t="b">
        <v>1</v>
      </c>
    </row>
    <row r="643" spans="22:34" x14ac:dyDescent="0.25">
      <c r="V643" t="s">
        <v>336</v>
      </c>
      <c r="W643" s="45" t="s">
        <v>337</v>
      </c>
      <c r="X643" s="45" t="b">
        <v>1</v>
      </c>
      <c r="Y643" s="45" t="b">
        <v>1</v>
      </c>
      <c r="Z643" s="45" t="b">
        <v>1</v>
      </c>
      <c r="AA643" s="45" t="b">
        <v>0</v>
      </c>
      <c r="AB643" s="45" t="b">
        <v>0</v>
      </c>
      <c r="AC643" s="45" t="b">
        <v>1</v>
      </c>
      <c r="AD643" s="45" t="b">
        <v>0</v>
      </c>
      <c r="AE643" s="45" t="b">
        <v>1</v>
      </c>
      <c r="AF643" s="45" t="s">
        <v>317</v>
      </c>
      <c r="AG643" s="45" t="b">
        <v>1</v>
      </c>
      <c r="AH643" s="45" t="b">
        <v>1</v>
      </c>
    </row>
    <row r="644" spans="22:34" x14ac:dyDescent="0.25">
      <c r="V644" t="s">
        <v>336</v>
      </c>
      <c r="W644" s="45" t="s">
        <v>337</v>
      </c>
      <c r="X644" s="45" t="b">
        <v>1</v>
      </c>
      <c r="Y644" s="45" t="b">
        <v>1</v>
      </c>
      <c r="Z644" s="45" t="b">
        <v>1</v>
      </c>
      <c r="AA644" s="45" t="b">
        <v>0</v>
      </c>
      <c r="AB644" s="45" t="b">
        <v>0</v>
      </c>
      <c r="AC644" s="45" t="b">
        <v>1</v>
      </c>
      <c r="AD644" s="45" t="b">
        <v>0</v>
      </c>
      <c r="AE644" s="45" t="b">
        <v>1</v>
      </c>
      <c r="AF644" s="45" t="s">
        <v>318</v>
      </c>
      <c r="AG644" s="45" t="b">
        <v>1</v>
      </c>
      <c r="AH644" s="45" t="b">
        <v>1</v>
      </c>
    </row>
    <row r="645" spans="22:34" x14ac:dyDescent="0.25">
      <c r="V645" t="s">
        <v>336</v>
      </c>
      <c r="W645" s="45" t="s">
        <v>337</v>
      </c>
      <c r="X645" s="45" t="b">
        <v>1</v>
      </c>
      <c r="Y645" s="45" t="b">
        <v>1</v>
      </c>
      <c r="Z645" s="45" t="b">
        <v>1</v>
      </c>
      <c r="AA645" s="45" t="b">
        <v>0</v>
      </c>
      <c r="AB645" s="45" t="b">
        <v>0</v>
      </c>
      <c r="AC645" s="45" t="b">
        <v>1</v>
      </c>
      <c r="AD645" s="45" t="b">
        <v>0</v>
      </c>
      <c r="AE645" s="45" t="b">
        <v>1</v>
      </c>
      <c r="AF645" s="45" t="s">
        <v>319</v>
      </c>
      <c r="AG645" s="45" t="b">
        <v>1</v>
      </c>
      <c r="AH645" s="45" t="b">
        <v>1</v>
      </c>
    </row>
    <row r="646" spans="22:34" x14ac:dyDescent="0.25">
      <c r="V646" t="s">
        <v>554</v>
      </c>
      <c r="W646" s="45" t="s">
        <v>338</v>
      </c>
      <c r="X646" s="45" t="b">
        <v>0</v>
      </c>
      <c r="Y646" s="45" t="b">
        <v>0</v>
      </c>
      <c r="Z646" s="45" t="b">
        <v>0</v>
      </c>
      <c r="AA646" s="45" t="b">
        <v>0</v>
      </c>
      <c r="AB646" s="45" t="b">
        <v>0</v>
      </c>
      <c r="AC646" s="45" t="b">
        <v>1</v>
      </c>
      <c r="AD646" s="45" t="b">
        <v>0</v>
      </c>
      <c r="AE646" s="45" t="b">
        <v>0</v>
      </c>
      <c r="AF646" s="45" t="s">
        <v>295</v>
      </c>
      <c r="AG646" s="45" t="b">
        <v>0</v>
      </c>
      <c r="AH646" s="45" t="b">
        <v>0</v>
      </c>
    </row>
    <row r="647" spans="22:34" x14ac:dyDescent="0.25">
      <c r="V647" t="s">
        <v>554</v>
      </c>
      <c r="W647" s="45" t="s">
        <v>338</v>
      </c>
      <c r="X647" s="45" t="b">
        <v>0</v>
      </c>
      <c r="Y647" s="45" t="b">
        <v>0</v>
      </c>
      <c r="Z647" s="45" t="b">
        <v>0</v>
      </c>
      <c r="AA647" s="45" t="b">
        <v>0</v>
      </c>
      <c r="AB647" s="45" t="b">
        <v>0</v>
      </c>
      <c r="AC647" s="45" t="b">
        <v>1</v>
      </c>
      <c r="AD647" s="45" t="b">
        <v>0</v>
      </c>
      <c r="AE647" s="45" t="b">
        <v>0</v>
      </c>
      <c r="AF647" s="45" t="s">
        <v>297</v>
      </c>
      <c r="AG647" s="45" t="b">
        <v>0</v>
      </c>
      <c r="AH647" s="45" t="b">
        <v>0</v>
      </c>
    </row>
    <row r="648" spans="22:34" x14ac:dyDescent="0.25">
      <c r="V648" t="s">
        <v>554</v>
      </c>
      <c r="W648" s="45" t="s">
        <v>338</v>
      </c>
      <c r="X648" s="45" t="b">
        <v>0</v>
      </c>
      <c r="Y648" s="45" t="b">
        <v>0</v>
      </c>
      <c r="Z648" s="45" t="b">
        <v>0</v>
      </c>
      <c r="AA648" s="45" t="b">
        <v>0</v>
      </c>
      <c r="AB648" s="45" t="b">
        <v>0</v>
      </c>
      <c r="AC648" s="45" t="b">
        <v>1</v>
      </c>
      <c r="AD648" s="45" t="b">
        <v>0</v>
      </c>
      <c r="AE648" s="45" t="b">
        <v>0</v>
      </c>
      <c r="AF648" s="45" t="s">
        <v>112</v>
      </c>
      <c r="AG648" s="45" t="b">
        <v>0</v>
      </c>
      <c r="AH648" s="45" t="b">
        <v>0</v>
      </c>
    </row>
    <row r="649" spans="22:34" x14ac:dyDescent="0.25">
      <c r="V649" t="s">
        <v>554</v>
      </c>
      <c r="W649" s="45" t="s">
        <v>338</v>
      </c>
      <c r="X649" s="45" t="b">
        <v>0</v>
      </c>
      <c r="Y649" s="45" t="b">
        <v>0</v>
      </c>
      <c r="Z649" s="45" t="b">
        <v>0</v>
      </c>
      <c r="AA649" s="45" t="b">
        <v>0</v>
      </c>
      <c r="AB649" s="45" t="b">
        <v>0</v>
      </c>
      <c r="AC649" s="45" t="b">
        <v>1</v>
      </c>
      <c r="AD649" s="45" t="b">
        <v>0</v>
      </c>
      <c r="AE649" s="45" t="b">
        <v>0</v>
      </c>
      <c r="AF649" s="45" t="s">
        <v>114</v>
      </c>
      <c r="AG649" s="45" t="b">
        <v>0</v>
      </c>
      <c r="AH649" s="45" t="b">
        <v>0</v>
      </c>
    </row>
    <row r="650" spans="22:34" x14ac:dyDescent="0.25">
      <c r="V650" t="s">
        <v>554</v>
      </c>
      <c r="W650" s="45" t="s">
        <v>338</v>
      </c>
      <c r="X650" s="45" t="b">
        <v>0</v>
      </c>
      <c r="Y650" s="45" t="b">
        <v>0</v>
      </c>
      <c r="Z650" s="45" t="b">
        <v>0</v>
      </c>
      <c r="AA650" s="45" t="b">
        <v>0</v>
      </c>
      <c r="AB650" s="45" t="b">
        <v>0</v>
      </c>
      <c r="AC650" s="45" t="b">
        <v>1</v>
      </c>
      <c r="AD650" s="45" t="b">
        <v>0</v>
      </c>
      <c r="AE650" s="45" t="b">
        <v>0</v>
      </c>
      <c r="AF650" s="45" t="s">
        <v>115</v>
      </c>
      <c r="AG650" s="45" t="b">
        <v>1</v>
      </c>
      <c r="AH650" s="45" t="b">
        <v>0</v>
      </c>
    </row>
    <row r="651" spans="22:34" x14ac:dyDescent="0.25">
      <c r="V651" t="s">
        <v>554</v>
      </c>
      <c r="W651" s="45" t="s">
        <v>338</v>
      </c>
      <c r="X651" s="45" t="b">
        <v>0</v>
      </c>
      <c r="Y651" s="45" t="b">
        <v>0</v>
      </c>
      <c r="Z651" s="45" t="b">
        <v>0</v>
      </c>
      <c r="AA651" s="45" t="b">
        <v>0</v>
      </c>
      <c r="AB651" s="45" t="b">
        <v>0</v>
      </c>
      <c r="AC651" s="45" t="b">
        <v>1</v>
      </c>
      <c r="AD651" s="45" t="b">
        <v>0</v>
      </c>
      <c r="AE651" s="45" t="b">
        <v>0</v>
      </c>
      <c r="AF651" s="45" t="s">
        <v>116</v>
      </c>
      <c r="AG651" s="45" t="b">
        <v>0</v>
      </c>
      <c r="AH651" s="45" t="b">
        <v>0</v>
      </c>
    </row>
    <row r="652" spans="22:34" x14ac:dyDescent="0.25">
      <c r="V652" t="s">
        <v>554</v>
      </c>
      <c r="W652" s="45" t="s">
        <v>338</v>
      </c>
      <c r="X652" s="45" t="b">
        <v>0</v>
      </c>
      <c r="Y652" s="45" t="b">
        <v>0</v>
      </c>
      <c r="Z652" s="45" t="b">
        <v>0</v>
      </c>
      <c r="AA652" s="45" t="b">
        <v>0</v>
      </c>
      <c r="AB652" s="45" t="b">
        <v>0</v>
      </c>
      <c r="AC652" s="45" t="b">
        <v>1</v>
      </c>
      <c r="AD652" s="45" t="b">
        <v>0</v>
      </c>
      <c r="AE652" s="45" t="b">
        <v>0</v>
      </c>
      <c r="AF652" s="45" t="s">
        <v>298</v>
      </c>
      <c r="AG652" s="45" t="b">
        <v>1</v>
      </c>
      <c r="AH652" s="45" t="b">
        <v>0</v>
      </c>
    </row>
    <row r="653" spans="22:34" x14ac:dyDescent="0.25">
      <c r="V653" t="s">
        <v>554</v>
      </c>
      <c r="W653" s="45" t="s">
        <v>338</v>
      </c>
      <c r="X653" s="45" t="b">
        <v>0</v>
      </c>
      <c r="Y653" s="45" t="b">
        <v>0</v>
      </c>
      <c r="Z653" s="45" t="b">
        <v>0</v>
      </c>
      <c r="AA653" s="45" t="b">
        <v>0</v>
      </c>
      <c r="AB653" s="45" t="b">
        <v>0</v>
      </c>
      <c r="AC653" s="45" t="b">
        <v>1</v>
      </c>
      <c r="AD653" s="45" t="b">
        <v>0</v>
      </c>
      <c r="AE653" s="45" t="b">
        <v>0</v>
      </c>
      <c r="AF653" s="45" t="s">
        <v>299</v>
      </c>
      <c r="AG653" s="45" t="b">
        <v>1</v>
      </c>
      <c r="AH653" s="45" t="b">
        <v>0</v>
      </c>
    </row>
    <row r="654" spans="22:34" x14ac:dyDescent="0.25">
      <c r="V654" t="s">
        <v>554</v>
      </c>
      <c r="W654" s="45" t="s">
        <v>338</v>
      </c>
      <c r="X654" s="45" t="b">
        <v>0</v>
      </c>
      <c r="Y654" s="45" t="b">
        <v>0</v>
      </c>
      <c r="Z654" s="45" t="b">
        <v>0</v>
      </c>
      <c r="AA654" s="45" t="b">
        <v>0</v>
      </c>
      <c r="AB654" s="45" t="b">
        <v>0</v>
      </c>
      <c r="AC654" s="45" t="b">
        <v>1</v>
      </c>
      <c r="AD654" s="45" t="b">
        <v>0</v>
      </c>
      <c r="AE654" s="45" t="b">
        <v>0</v>
      </c>
      <c r="AF654" s="45" t="s">
        <v>414</v>
      </c>
      <c r="AG654" s="45" t="b">
        <v>1</v>
      </c>
      <c r="AH654" s="45" t="b">
        <v>0</v>
      </c>
    </row>
    <row r="655" spans="22:34" x14ac:dyDescent="0.25">
      <c r="V655" t="s">
        <v>554</v>
      </c>
      <c r="W655" s="45" t="s">
        <v>338</v>
      </c>
      <c r="X655" s="45" t="b">
        <v>0</v>
      </c>
      <c r="Y655" s="45" t="b">
        <v>0</v>
      </c>
      <c r="Z655" s="45" t="b">
        <v>0</v>
      </c>
      <c r="AA655" s="45" t="b">
        <v>0</v>
      </c>
      <c r="AB655" s="45" t="b">
        <v>0</v>
      </c>
      <c r="AC655" s="45" t="b">
        <v>1</v>
      </c>
      <c r="AD655" s="45" t="b">
        <v>0</v>
      </c>
      <c r="AE655" s="45" t="b">
        <v>0</v>
      </c>
      <c r="AF655" s="45" t="s">
        <v>118</v>
      </c>
      <c r="AG655" s="45" t="b">
        <v>1</v>
      </c>
      <c r="AH655" s="45" t="b">
        <v>0</v>
      </c>
    </row>
    <row r="656" spans="22:34" x14ac:dyDescent="0.25">
      <c r="V656" t="s">
        <v>554</v>
      </c>
      <c r="W656" s="45" t="s">
        <v>338</v>
      </c>
      <c r="X656" s="45" t="b">
        <v>0</v>
      </c>
      <c r="Y656" s="45" t="b">
        <v>0</v>
      </c>
      <c r="Z656" s="45" t="b">
        <v>0</v>
      </c>
      <c r="AA656" s="45" t="b">
        <v>0</v>
      </c>
      <c r="AB656" s="45" t="b">
        <v>0</v>
      </c>
      <c r="AC656" s="45" t="b">
        <v>1</v>
      </c>
      <c r="AD656" s="45" t="b">
        <v>0</v>
      </c>
      <c r="AE656" s="45" t="b">
        <v>0</v>
      </c>
      <c r="AF656" s="45" t="s">
        <v>119</v>
      </c>
      <c r="AG656" s="45" t="b">
        <v>1</v>
      </c>
      <c r="AH656" s="45" t="b">
        <v>0</v>
      </c>
    </row>
    <row r="657" spans="22:34" x14ac:dyDescent="0.25">
      <c r="V657" t="s">
        <v>554</v>
      </c>
      <c r="W657" s="45" t="s">
        <v>338</v>
      </c>
      <c r="X657" s="45" t="b">
        <v>0</v>
      </c>
      <c r="Y657" s="45" t="b">
        <v>0</v>
      </c>
      <c r="Z657" s="45" t="b">
        <v>0</v>
      </c>
      <c r="AA657" s="45" t="b">
        <v>0</v>
      </c>
      <c r="AB657" s="45" t="b">
        <v>0</v>
      </c>
      <c r="AC657" s="45" t="b">
        <v>1</v>
      </c>
      <c r="AD657" s="45" t="b">
        <v>0</v>
      </c>
      <c r="AE657" s="45" t="b">
        <v>0</v>
      </c>
      <c r="AF657" s="45" t="s">
        <v>300</v>
      </c>
      <c r="AG657" s="45" t="b">
        <v>1</v>
      </c>
      <c r="AH657" s="45" t="b">
        <v>0</v>
      </c>
    </row>
    <row r="658" spans="22:34" x14ac:dyDescent="0.25">
      <c r="V658" t="s">
        <v>554</v>
      </c>
      <c r="W658" s="45" t="s">
        <v>338</v>
      </c>
      <c r="X658" s="45" t="b">
        <v>0</v>
      </c>
      <c r="Y658" s="45" t="b">
        <v>0</v>
      </c>
      <c r="Z658" s="45" t="b">
        <v>0</v>
      </c>
      <c r="AA658" s="45" t="b">
        <v>0</v>
      </c>
      <c r="AB658" s="45" t="b">
        <v>0</v>
      </c>
      <c r="AC658" s="45" t="b">
        <v>1</v>
      </c>
      <c r="AD658" s="45" t="b">
        <v>0</v>
      </c>
      <c r="AE658" s="45" t="b">
        <v>0</v>
      </c>
      <c r="AF658" s="45" t="s">
        <v>301</v>
      </c>
      <c r="AG658" s="45" t="b">
        <v>0</v>
      </c>
      <c r="AH658" s="45" t="b">
        <v>0</v>
      </c>
    </row>
    <row r="659" spans="22:34" x14ac:dyDescent="0.25">
      <c r="V659" t="s">
        <v>554</v>
      </c>
      <c r="W659" s="45" t="s">
        <v>338</v>
      </c>
      <c r="X659" s="45" t="b">
        <v>0</v>
      </c>
      <c r="Y659" s="45" t="b">
        <v>0</v>
      </c>
      <c r="Z659" s="45" t="b">
        <v>0</v>
      </c>
      <c r="AA659" s="45" t="b">
        <v>0</v>
      </c>
      <c r="AB659" s="45" t="b">
        <v>0</v>
      </c>
      <c r="AC659" s="45" t="b">
        <v>1</v>
      </c>
      <c r="AD659" s="45" t="b">
        <v>0</v>
      </c>
      <c r="AE659" s="45" t="b">
        <v>0</v>
      </c>
      <c r="AF659" s="45" t="s">
        <v>120</v>
      </c>
      <c r="AG659" s="45" t="b">
        <v>1</v>
      </c>
      <c r="AH659" s="45" t="b">
        <v>0</v>
      </c>
    </row>
    <row r="660" spans="22:34" x14ac:dyDescent="0.25">
      <c r="V660" t="s">
        <v>554</v>
      </c>
      <c r="W660" s="45" t="s">
        <v>338</v>
      </c>
      <c r="X660" s="45" t="b">
        <v>0</v>
      </c>
      <c r="Y660" s="45" t="b">
        <v>0</v>
      </c>
      <c r="Z660" s="45" t="b">
        <v>0</v>
      </c>
      <c r="AA660" s="45" t="b">
        <v>0</v>
      </c>
      <c r="AB660" s="45" t="b">
        <v>0</v>
      </c>
      <c r="AC660" s="45" t="b">
        <v>1</v>
      </c>
      <c r="AD660" s="45" t="b">
        <v>0</v>
      </c>
      <c r="AE660" s="45" t="b">
        <v>0</v>
      </c>
      <c r="AF660" s="45" t="s">
        <v>302</v>
      </c>
      <c r="AG660" s="45" t="b">
        <v>0</v>
      </c>
      <c r="AH660" s="45" t="b">
        <v>0</v>
      </c>
    </row>
    <row r="661" spans="22:34" x14ac:dyDescent="0.25">
      <c r="V661" t="s">
        <v>554</v>
      </c>
      <c r="W661" s="45" t="s">
        <v>338</v>
      </c>
      <c r="X661" s="45" t="b">
        <v>0</v>
      </c>
      <c r="Y661" s="45" t="b">
        <v>0</v>
      </c>
      <c r="Z661" s="45" t="b">
        <v>0</v>
      </c>
      <c r="AA661" s="45" t="b">
        <v>0</v>
      </c>
      <c r="AB661" s="45" t="b">
        <v>0</v>
      </c>
      <c r="AC661" s="45" t="b">
        <v>1</v>
      </c>
      <c r="AD661" s="45" t="b">
        <v>0</v>
      </c>
      <c r="AE661" s="45" t="b">
        <v>0</v>
      </c>
      <c r="AF661" s="45" t="s">
        <v>303</v>
      </c>
      <c r="AG661" s="45" t="b">
        <v>1</v>
      </c>
      <c r="AH661" s="45" t="b">
        <v>0</v>
      </c>
    </row>
    <row r="662" spans="22:34" x14ac:dyDescent="0.25">
      <c r="V662" t="s">
        <v>554</v>
      </c>
      <c r="W662" s="45" t="s">
        <v>338</v>
      </c>
      <c r="X662" s="45" t="b">
        <v>0</v>
      </c>
      <c r="Y662" s="45" t="b">
        <v>0</v>
      </c>
      <c r="Z662" s="45" t="b">
        <v>0</v>
      </c>
      <c r="AA662" s="45" t="b">
        <v>0</v>
      </c>
      <c r="AB662" s="45" t="b">
        <v>0</v>
      </c>
      <c r="AC662" s="45" t="b">
        <v>1</v>
      </c>
      <c r="AD662" s="45" t="b">
        <v>0</v>
      </c>
      <c r="AE662" s="45" t="b">
        <v>0</v>
      </c>
      <c r="AF662" s="45" t="s">
        <v>304</v>
      </c>
      <c r="AG662" s="45" t="b">
        <v>1</v>
      </c>
      <c r="AH662" s="45" t="b">
        <v>0</v>
      </c>
    </row>
    <row r="663" spans="22:34" x14ac:dyDescent="0.25">
      <c r="V663" t="s">
        <v>554</v>
      </c>
      <c r="W663" s="45" t="s">
        <v>338</v>
      </c>
      <c r="X663" s="45" t="b">
        <v>0</v>
      </c>
      <c r="Y663" s="45" t="b">
        <v>0</v>
      </c>
      <c r="Z663" s="45" t="b">
        <v>0</v>
      </c>
      <c r="AA663" s="45" t="b">
        <v>0</v>
      </c>
      <c r="AB663" s="45" t="b">
        <v>0</v>
      </c>
      <c r="AC663" s="45" t="b">
        <v>1</v>
      </c>
      <c r="AD663" s="45" t="b">
        <v>0</v>
      </c>
      <c r="AE663" s="45" t="b">
        <v>0</v>
      </c>
      <c r="AF663" s="45" t="s">
        <v>305</v>
      </c>
      <c r="AG663" s="45" t="b">
        <v>0</v>
      </c>
      <c r="AH663" s="45" t="b">
        <v>0</v>
      </c>
    </row>
    <row r="664" spans="22:34" x14ac:dyDescent="0.25">
      <c r="V664" t="s">
        <v>554</v>
      </c>
      <c r="W664" s="45" t="s">
        <v>338</v>
      </c>
      <c r="X664" s="45" t="b">
        <v>0</v>
      </c>
      <c r="Y664" s="45" t="b">
        <v>0</v>
      </c>
      <c r="Z664" s="45" t="b">
        <v>0</v>
      </c>
      <c r="AA664" s="45" t="b">
        <v>0</v>
      </c>
      <c r="AB664" s="45" t="b">
        <v>0</v>
      </c>
      <c r="AC664" s="45" t="b">
        <v>1</v>
      </c>
      <c r="AD664" s="45" t="b">
        <v>0</v>
      </c>
      <c r="AE664" s="45" t="b">
        <v>0</v>
      </c>
      <c r="AF664" s="45" t="s">
        <v>306</v>
      </c>
      <c r="AG664" s="45" t="b">
        <v>0</v>
      </c>
      <c r="AH664" s="45" t="b">
        <v>0</v>
      </c>
    </row>
    <row r="665" spans="22:34" x14ac:dyDescent="0.25">
      <c r="V665" t="s">
        <v>554</v>
      </c>
      <c r="W665" s="45" t="s">
        <v>338</v>
      </c>
      <c r="X665" s="45" t="b">
        <v>0</v>
      </c>
      <c r="Y665" s="45" t="b">
        <v>0</v>
      </c>
      <c r="Z665" s="45" t="b">
        <v>0</v>
      </c>
      <c r="AA665" s="45" t="b">
        <v>0</v>
      </c>
      <c r="AB665" s="45" t="b">
        <v>0</v>
      </c>
      <c r="AC665" s="45" t="b">
        <v>1</v>
      </c>
      <c r="AD665" s="45" t="b">
        <v>0</v>
      </c>
      <c r="AE665" s="45" t="b">
        <v>0</v>
      </c>
      <c r="AF665" s="45" t="s">
        <v>307</v>
      </c>
      <c r="AG665" s="45" t="b">
        <v>0</v>
      </c>
      <c r="AH665" s="45" t="b">
        <v>0</v>
      </c>
    </row>
    <row r="666" spans="22:34" x14ac:dyDescent="0.25">
      <c r="V666" t="s">
        <v>554</v>
      </c>
      <c r="W666" s="45" t="s">
        <v>338</v>
      </c>
      <c r="X666" s="45" t="b">
        <v>0</v>
      </c>
      <c r="Y666" s="45" t="b">
        <v>0</v>
      </c>
      <c r="Z666" s="45" t="b">
        <v>0</v>
      </c>
      <c r="AA666" s="45" t="b">
        <v>0</v>
      </c>
      <c r="AB666" s="45" t="b">
        <v>0</v>
      </c>
      <c r="AC666" s="45" t="b">
        <v>1</v>
      </c>
      <c r="AD666" s="45" t="b">
        <v>0</v>
      </c>
      <c r="AE666" s="45" t="b">
        <v>0</v>
      </c>
      <c r="AF666" s="45" t="s">
        <v>308</v>
      </c>
      <c r="AG666" s="45" t="b">
        <v>0</v>
      </c>
      <c r="AH666" s="45" t="b">
        <v>0</v>
      </c>
    </row>
    <row r="667" spans="22:34" x14ac:dyDescent="0.25">
      <c r="V667" t="s">
        <v>554</v>
      </c>
      <c r="W667" s="45" t="s">
        <v>338</v>
      </c>
      <c r="X667" s="45" t="b">
        <v>0</v>
      </c>
      <c r="Y667" s="45" t="b">
        <v>0</v>
      </c>
      <c r="Z667" s="45" t="b">
        <v>0</v>
      </c>
      <c r="AA667" s="45" t="b">
        <v>0</v>
      </c>
      <c r="AB667" s="45" t="b">
        <v>0</v>
      </c>
      <c r="AC667" s="45" t="b">
        <v>1</v>
      </c>
      <c r="AD667" s="45" t="b">
        <v>0</v>
      </c>
      <c r="AE667" s="45" t="b">
        <v>0</v>
      </c>
      <c r="AF667" s="45" t="s">
        <v>309</v>
      </c>
      <c r="AG667" s="45" t="b">
        <v>0</v>
      </c>
      <c r="AH667" s="45" t="b">
        <v>0</v>
      </c>
    </row>
    <row r="668" spans="22:34" x14ac:dyDescent="0.25">
      <c r="V668" t="s">
        <v>554</v>
      </c>
      <c r="W668" s="45" t="s">
        <v>338</v>
      </c>
      <c r="X668" s="45" t="b">
        <v>0</v>
      </c>
      <c r="Y668" s="45" t="b">
        <v>0</v>
      </c>
      <c r="Z668" s="45" t="b">
        <v>0</v>
      </c>
      <c r="AA668" s="45" t="b">
        <v>0</v>
      </c>
      <c r="AB668" s="45" t="b">
        <v>0</v>
      </c>
      <c r="AC668" s="45" t="b">
        <v>1</v>
      </c>
      <c r="AD668" s="45" t="b">
        <v>0</v>
      </c>
      <c r="AE668" s="45" t="b">
        <v>0</v>
      </c>
      <c r="AF668" s="45" t="s">
        <v>310</v>
      </c>
      <c r="AG668" s="45" t="b">
        <v>0</v>
      </c>
      <c r="AH668" s="45" t="b">
        <v>0</v>
      </c>
    </row>
    <row r="669" spans="22:34" x14ac:dyDescent="0.25">
      <c r="V669" t="s">
        <v>554</v>
      </c>
      <c r="W669" s="45" t="s">
        <v>338</v>
      </c>
      <c r="X669" s="45" t="b">
        <v>0</v>
      </c>
      <c r="Y669" s="45" t="b">
        <v>0</v>
      </c>
      <c r="Z669" s="45" t="b">
        <v>0</v>
      </c>
      <c r="AA669" s="45" t="b">
        <v>0</v>
      </c>
      <c r="AB669" s="45" t="b">
        <v>0</v>
      </c>
      <c r="AC669" s="45" t="b">
        <v>1</v>
      </c>
      <c r="AD669" s="45" t="b">
        <v>0</v>
      </c>
      <c r="AE669" s="45" t="b">
        <v>0</v>
      </c>
      <c r="AF669" s="45" t="s">
        <v>311</v>
      </c>
      <c r="AG669" s="45" t="b">
        <v>0</v>
      </c>
      <c r="AH669" s="45" t="b">
        <v>0</v>
      </c>
    </row>
    <row r="670" spans="22:34" x14ac:dyDescent="0.25">
      <c r="V670" t="s">
        <v>554</v>
      </c>
      <c r="W670" s="45" t="s">
        <v>338</v>
      </c>
      <c r="X670" s="45" t="b">
        <v>0</v>
      </c>
      <c r="Y670" s="45" t="b">
        <v>0</v>
      </c>
      <c r="Z670" s="45" t="b">
        <v>0</v>
      </c>
      <c r="AA670" s="45" t="b">
        <v>0</v>
      </c>
      <c r="AB670" s="45" t="b">
        <v>0</v>
      </c>
      <c r="AC670" s="45" t="b">
        <v>1</v>
      </c>
      <c r="AD670" s="45" t="b">
        <v>0</v>
      </c>
      <c r="AE670" s="45" t="b">
        <v>0</v>
      </c>
      <c r="AF670" s="45" t="s">
        <v>312</v>
      </c>
      <c r="AG670" s="45" t="b">
        <v>0</v>
      </c>
      <c r="AH670" s="45" t="b">
        <v>0</v>
      </c>
    </row>
    <row r="671" spans="22:34" x14ac:dyDescent="0.25">
      <c r="V671" t="s">
        <v>554</v>
      </c>
      <c r="W671" s="45" t="s">
        <v>338</v>
      </c>
      <c r="X671" s="45" t="b">
        <v>0</v>
      </c>
      <c r="Y671" s="45" t="b">
        <v>0</v>
      </c>
      <c r="Z671" s="45" t="b">
        <v>0</v>
      </c>
      <c r="AA671" s="45" t="b">
        <v>0</v>
      </c>
      <c r="AB671" s="45" t="b">
        <v>0</v>
      </c>
      <c r="AC671" s="45" t="b">
        <v>1</v>
      </c>
      <c r="AD671" s="45" t="b">
        <v>0</v>
      </c>
      <c r="AE671" s="45" t="b">
        <v>0</v>
      </c>
      <c r="AF671" s="45" t="s">
        <v>313</v>
      </c>
      <c r="AG671" s="45" t="b">
        <v>0</v>
      </c>
      <c r="AH671" s="45" t="b">
        <v>0</v>
      </c>
    </row>
    <row r="672" spans="22:34" x14ac:dyDescent="0.25">
      <c r="V672" t="s">
        <v>554</v>
      </c>
      <c r="W672" s="45" t="s">
        <v>338</v>
      </c>
      <c r="X672" s="45" t="b">
        <v>0</v>
      </c>
      <c r="Y672" s="45" t="b">
        <v>0</v>
      </c>
      <c r="Z672" s="45" t="b">
        <v>0</v>
      </c>
      <c r="AA672" s="45" t="b">
        <v>0</v>
      </c>
      <c r="AB672" s="45" t="b">
        <v>0</v>
      </c>
      <c r="AC672" s="45" t="b">
        <v>1</v>
      </c>
      <c r="AD672" s="45" t="b">
        <v>0</v>
      </c>
      <c r="AE672" s="45" t="b">
        <v>0</v>
      </c>
      <c r="AF672" s="45" t="s">
        <v>314</v>
      </c>
      <c r="AG672" s="45" t="b">
        <v>0</v>
      </c>
      <c r="AH672" s="45" t="b">
        <v>0</v>
      </c>
    </row>
    <row r="673" spans="22:34" x14ac:dyDescent="0.25">
      <c r="V673" t="s">
        <v>554</v>
      </c>
      <c r="W673" s="45" t="s">
        <v>338</v>
      </c>
      <c r="X673" s="45" t="b">
        <v>0</v>
      </c>
      <c r="Y673" s="45" t="b">
        <v>0</v>
      </c>
      <c r="Z673" s="45" t="b">
        <v>0</v>
      </c>
      <c r="AA673" s="45" t="b">
        <v>0</v>
      </c>
      <c r="AB673" s="45" t="b">
        <v>0</v>
      </c>
      <c r="AC673" s="45" t="b">
        <v>1</v>
      </c>
      <c r="AD673" s="45" t="b">
        <v>0</v>
      </c>
      <c r="AE673" s="45" t="b">
        <v>0</v>
      </c>
      <c r="AF673" s="45" t="s">
        <v>315</v>
      </c>
      <c r="AG673" s="45" t="b">
        <v>0</v>
      </c>
      <c r="AH673" s="45" t="b">
        <v>0</v>
      </c>
    </row>
    <row r="674" spans="22:34" x14ac:dyDescent="0.25">
      <c r="V674" t="s">
        <v>554</v>
      </c>
      <c r="W674" s="45" t="s">
        <v>338</v>
      </c>
      <c r="X674" s="45" t="b">
        <v>0</v>
      </c>
      <c r="Y674" s="45" t="b">
        <v>0</v>
      </c>
      <c r="Z674" s="45" t="b">
        <v>0</v>
      </c>
      <c r="AA674" s="45" t="b">
        <v>0</v>
      </c>
      <c r="AB674" s="45" t="b">
        <v>0</v>
      </c>
      <c r="AC674" s="45" t="b">
        <v>1</v>
      </c>
      <c r="AD674" s="45" t="b">
        <v>0</v>
      </c>
      <c r="AE674" s="45" t="b">
        <v>0</v>
      </c>
      <c r="AF674" s="45" t="s">
        <v>316</v>
      </c>
      <c r="AG674" s="45" t="b">
        <v>0</v>
      </c>
      <c r="AH674" s="45" t="b">
        <v>0</v>
      </c>
    </row>
    <row r="675" spans="22:34" x14ac:dyDescent="0.25">
      <c r="V675" t="s">
        <v>554</v>
      </c>
      <c r="W675" s="45" t="s">
        <v>338</v>
      </c>
      <c r="X675" s="45" t="b">
        <v>0</v>
      </c>
      <c r="Y675" s="45" t="b">
        <v>0</v>
      </c>
      <c r="Z675" s="45" t="b">
        <v>0</v>
      </c>
      <c r="AA675" s="45" t="b">
        <v>0</v>
      </c>
      <c r="AB675" s="45" t="b">
        <v>0</v>
      </c>
      <c r="AC675" s="45" t="b">
        <v>1</v>
      </c>
      <c r="AD675" s="45" t="b">
        <v>0</v>
      </c>
      <c r="AE675" s="45" t="b">
        <v>0</v>
      </c>
      <c r="AF675" s="45" t="s">
        <v>317</v>
      </c>
      <c r="AG675" s="45" t="b">
        <v>0</v>
      </c>
      <c r="AH675" s="45" t="b">
        <v>0</v>
      </c>
    </row>
    <row r="676" spans="22:34" x14ac:dyDescent="0.25">
      <c r="V676" t="s">
        <v>554</v>
      </c>
      <c r="W676" s="45" t="s">
        <v>338</v>
      </c>
      <c r="X676" s="45" t="b">
        <v>0</v>
      </c>
      <c r="Y676" s="45" t="b">
        <v>0</v>
      </c>
      <c r="Z676" s="45" t="b">
        <v>0</v>
      </c>
      <c r="AA676" s="45" t="b">
        <v>0</v>
      </c>
      <c r="AB676" s="45" t="b">
        <v>0</v>
      </c>
      <c r="AC676" s="45" t="b">
        <v>1</v>
      </c>
      <c r="AD676" s="45" t="b">
        <v>0</v>
      </c>
      <c r="AE676" s="45" t="b">
        <v>0</v>
      </c>
      <c r="AF676" s="45" t="s">
        <v>318</v>
      </c>
      <c r="AG676" s="45" t="b">
        <v>0</v>
      </c>
      <c r="AH676" s="45" t="b">
        <v>0</v>
      </c>
    </row>
    <row r="677" spans="22:34" x14ac:dyDescent="0.25">
      <c r="V677" t="s">
        <v>554</v>
      </c>
      <c r="W677" s="45" t="s">
        <v>338</v>
      </c>
      <c r="X677" s="45" t="b">
        <v>0</v>
      </c>
      <c r="Y677" s="45" t="b">
        <v>0</v>
      </c>
      <c r="Z677" s="45" t="b">
        <v>0</v>
      </c>
      <c r="AA677" s="45" t="b">
        <v>0</v>
      </c>
      <c r="AB677" s="45" t="b">
        <v>0</v>
      </c>
      <c r="AC677" s="45" t="b">
        <v>1</v>
      </c>
      <c r="AD677" s="45" t="b">
        <v>0</v>
      </c>
      <c r="AE677" s="45" t="b">
        <v>0</v>
      </c>
      <c r="AF677" s="45" t="s">
        <v>319</v>
      </c>
      <c r="AG677" s="45" t="b">
        <v>0</v>
      </c>
      <c r="AH677" s="45" t="b">
        <v>0</v>
      </c>
    </row>
    <row r="678" spans="22:34" x14ac:dyDescent="0.25">
      <c r="V678" t="s">
        <v>339</v>
      </c>
      <c r="W678" s="45" t="s">
        <v>340</v>
      </c>
      <c r="X678" s="45" t="b">
        <v>1</v>
      </c>
      <c r="Y678" s="45" t="b">
        <v>0</v>
      </c>
      <c r="Z678" s="45" t="b">
        <v>1</v>
      </c>
      <c r="AA678" s="45" t="b">
        <v>0</v>
      </c>
      <c r="AB678" s="45" t="b">
        <v>1</v>
      </c>
      <c r="AC678" s="45" t="b">
        <v>1</v>
      </c>
      <c r="AD678" s="45" t="b">
        <v>1</v>
      </c>
      <c r="AE678" s="45" t="b">
        <v>1</v>
      </c>
      <c r="AF678" s="45" t="s">
        <v>295</v>
      </c>
      <c r="AG678" s="45" t="b">
        <v>0</v>
      </c>
      <c r="AH678" s="45" t="b">
        <v>0</v>
      </c>
    </row>
    <row r="679" spans="22:34" x14ac:dyDescent="0.25">
      <c r="V679" t="s">
        <v>339</v>
      </c>
      <c r="W679" s="45" t="s">
        <v>340</v>
      </c>
      <c r="X679" s="45" t="b">
        <v>1</v>
      </c>
      <c r="Y679" s="45" t="b">
        <v>0</v>
      </c>
      <c r="Z679" s="45" t="b">
        <v>1</v>
      </c>
      <c r="AA679" s="45" t="b">
        <v>0</v>
      </c>
      <c r="AB679" s="45" t="b">
        <v>1</v>
      </c>
      <c r="AC679" s="45" t="b">
        <v>1</v>
      </c>
      <c r="AD679" s="45" t="b">
        <v>1</v>
      </c>
      <c r="AE679" s="45" t="b">
        <v>1</v>
      </c>
      <c r="AF679" s="45" t="s">
        <v>297</v>
      </c>
      <c r="AG679" s="45" t="b">
        <v>1</v>
      </c>
      <c r="AH679" s="45" t="b">
        <v>1</v>
      </c>
    </row>
    <row r="680" spans="22:34" x14ac:dyDescent="0.25">
      <c r="V680" t="s">
        <v>339</v>
      </c>
      <c r="W680" s="45" t="s">
        <v>340</v>
      </c>
      <c r="X680" s="45" t="b">
        <v>1</v>
      </c>
      <c r="Y680" s="45" t="b">
        <v>0</v>
      </c>
      <c r="Z680" s="45" t="b">
        <v>1</v>
      </c>
      <c r="AA680" s="45" t="b">
        <v>0</v>
      </c>
      <c r="AB680" s="45" t="b">
        <v>1</v>
      </c>
      <c r="AC680" s="45" t="b">
        <v>1</v>
      </c>
      <c r="AD680" s="45" t="b">
        <v>1</v>
      </c>
      <c r="AE680" s="45" t="b">
        <v>1</v>
      </c>
      <c r="AF680" s="45" t="s">
        <v>112</v>
      </c>
      <c r="AG680" s="45" t="b">
        <v>1</v>
      </c>
      <c r="AH680" s="45" t="b">
        <v>1</v>
      </c>
    </row>
    <row r="681" spans="22:34" x14ac:dyDescent="0.25">
      <c r="V681" t="s">
        <v>339</v>
      </c>
      <c r="W681" s="45" t="s">
        <v>340</v>
      </c>
      <c r="X681" s="45" t="b">
        <v>1</v>
      </c>
      <c r="Y681" s="45" t="b">
        <v>0</v>
      </c>
      <c r="Z681" s="45" t="b">
        <v>1</v>
      </c>
      <c r="AA681" s="45" t="b">
        <v>0</v>
      </c>
      <c r="AB681" s="45" t="b">
        <v>1</v>
      </c>
      <c r="AC681" s="45" t="b">
        <v>1</v>
      </c>
      <c r="AD681" s="45" t="b">
        <v>1</v>
      </c>
      <c r="AE681" s="45" t="b">
        <v>1</v>
      </c>
      <c r="AF681" s="45" t="s">
        <v>114</v>
      </c>
      <c r="AG681" s="45" t="b">
        <v>1</v>
      </c>
      <c r="AH681" s="45" t="b">
        <v>1</v>
      </c>
    </row>
    <row r="682" spans="22:34" x14ac:dyDescent="0.25">
      <c r="V682" t="s">
        <v>339</v>
      </c>
      <c r="W682" s="45" t="s">
        <v>340</v>
      </c>
      <c r="X682" s="45" t="b">
        <v>1</v>
      </c>
      <c r="Y682" s="45" t="b">
        <v>0</v>
      </c>
      <c r="Z682" s="45" t="b">
        <v>1</v>
      </c>
      <c r="AA682" s="45" t="b">
        <v>0</v>
      </c>
      <c r="AB682" s="45" t="b">
        <v>1</v>
      </c>
      <c r="AC682" s="45" t="b">
        <v>1</v>
      </c>
      <c r="AD682" s="45" t="b">
        <v>1</v>
      </c>
      <c r="AE682" s="45" t="b">
        <v>1</v>
      </c>
      <c r="AF682" s="45" t="s">
        <v>115</v>
      </c>
      <c r="AG682" s="45" t="b">
        <v>1</v>
      </c>
      <c r="AH682" s="45" t="b">
        <v>1</v>
      </c>
    </row>
    <row r="683" spans="22:34" x14ac:dyDescent="0.25">
      <c r="V683" t="s">
        <v>339</v>
      </c>
      <c r="W683" s="45" t="s">
        <v>340</v>
      </c>
      <c r="X683" s="45" t="b">
        <v>1</v>
      </c>
      <c r="Y683" s="45" t="b">
        <v>0</v>
      </c>
      <c r="Z683" s="45" t="b">
        <v>1</v>
      </c>
      <c r="AA683" s="45" t="b">
        <v>0</v>
      </c>
      <c r="AB683" s="45" t="b">
        <v>1</v>
      </c>
      <c r="AC683" s="45" t="b">
        <v>1</v>
      </c>
      <c r="AD683" s="45" t="b">
        <v>1</v>
      </c>
      <c r="AE683" s="45" t="b">
        <v>1</v>
      </c>
      <c r="AF683" s="45" t="s">
        <v>116</v>
      </c>
      <c r="AG683" s="45" t="b">
        <v>1</v>
      </c>
      <c r="AH683" s="45" t="b">
        <v>1</v>
      </c>
    </row>
    <row r="684" spans="22:34" x14ac:dyDescent="0.25">
      <c r="V684" t="s">
        <v>339</v>
      </c>
      <c r="W684" s="45" t="s">
        <v>340</v>
      </c>
      <c r="X684" s="45" t="b">
        <v>1</v>
      </c>
      <c r="Y684" s="45" t="b">
        <v>0</v>
      </c>
      <c r="Z684" s="45" t="b">
        <v>1</v>
      </c>
      <c r="AA684" s="45" t="b">
        <v>0</v>
      </c>
      <c r="AB684" s="45" t="b">
        <v>1</v>
      </c>
      <c r="AC684" s="45" t="b">
        <v>1</v>
      </c>
      <c r="AD684" s="45" t="b">
        <v>1</v>
      </c>
      <c r="AE684" s="45" t="b">
        <v>1</v>
      </c>
      <c r="AF684" s="45" t="s">
        <v>298</v>
      </c>
      <c r="AG684" s="45" t="b">
        <v>1</v>
      </c>
      <c r="AH684" s="45" t="b">
        <v>1</v>
      </c>
    </row>
    <row r="685" spans="22:34" x14ac:dyDescent="0.25">
      <c r="V685" t="s">
        <v>339</v>
      </c>
      <c r="W685" s="45" t="s">
        <v>340</v>
      </c>
      <c r="X685" s="45" t="b">
        <v>1</v>
      </c>
      <c r="Y685" s="45" t="b">
        <v>0</v>
      </c>
      <c r="Z685" s="45" t="b">
        <v>1</v>
      </c>
      <c r="AA685" s="45" t="b">
        <v>0</v>
      </c>
      <c r="AB685" s="45" t="b">
        <v>1</v>
      </c>
      <c r="AC685" s="45" t="b">
        <v>1</v>
      </c>
      <c r="AD685" s="45" t="b">
        <v>1</v>
      </c>
      <c r="AE685" s="45" t="b">
        <v>1</v>
      </c>
      <c r="AF685" s="45" t="s">
        <v>299</v>
      </c>
      <c r="AG685" s="45" t="b">
        <v>1</v>
      </c>
      <c r="AH685" s="45" t="b">
        <v>1</v>
      </c>
    </row>
    <row r="686" spans="22:34" x14ac:dyDescent="0.25">
      <c r="V686" t="s">
        <v>339</v>
      </c>
      <c r="W686" s="45" t="s">
        <v>340</v>
      </c>
      <c r="X686" s="45" t="b">
        <v>1</v>
      </c>
      <c r="Y686" s="45" t="b">
        <v>0</v>
      </c>
      <c r="Z686" s="45" t="b">
        <v>1</v>
      </c>
      <c r="AA686" s="45" t="b">
        <v>0</v>
      </c>
      <c r="AB686" s="45" t="b">
        <v>1</v>
      </c>
      <c r="AC686" s="45" t="b">
        <v>1</v>
      </c>
      <c r="AD686" s="45" t="b">
        <v>1</v>
      </c>
      <c r="AE686" s="45" t="b">
        <v>1</v>
      </c>
      <c r="AF686" s="45" t="s">
        <v>414</v>
      </c>
      <c r="AG686" s="45" t="b">
        <v>1</v>
      </c>
      <c r="AH686" s="45" t="b">
        <v>1</v>
      </c>
    </row>
    <row r="687" spans="22:34" x14ac:dyDescent="0.25">
      <c r="V687" t="s">
        <v>339</v>
      </c>
      <c r="W687" s="45" t="s">
        <v>340</v>
      </c>
      <c r="X687" s="45" t="b">
        <v>1</v>
      </c>
      <c r="Y687" s="45" t="b">
        <v>0</v>
      </c>
      <c r="Z687" s="45" t="b">
        <v>1</v>
      </c>
      <c r="AA687" s="45" t="b">
        <v>0</v>
      </c>
      <c r="AB687" s="45" t="b">
        <v>1</v>
      </c>
      <c r="AC687" s="45" t="b">
        <v>1</v>
      </c>
      <c r="AD687" s="45" t="b">
        <v>1</v>
      </c>
      <c r="AE687" s="45" t="b">
        <v>1</v>
      </c>
      <c r="AF687" s="45" t="s">
        <v>118</v>
      </c>
      <c r="AG687" s="45" t="b">
        <v>1</v>
      </c>
      <c r="AH687" s="45" t="b">
        <v>1</v>
      </c>
    </row>
    <row r="688" spans="22:34" x14ac:dyDescent="0.25">
      <c r="V688" t="s">
        <v>339</v>
      </c>
      <c r="W688" s="45" t="s">
        <v>340</v>
      </c>
      <c r="X688" s="45" t="b">
        <v>1</v>
      </c>
      <c r="Y688" s="45" t="b">
        <v>0</v>
      </c>
      <c r="Z688" s="45" t="b">
        <v>1</v>
      </c>
      <c r="AA688" s="45" t="b">
        <v>0</v>
      </c>
      <c r="AB688" s="45" t="b">
        <v>1</v>
      </c>
      <c r="AC688" s="45" t="b">
        <v>1</v>
      </c>
      <c r="AD688" s="45" t="b">
        <v>1</v>
      </c>
      <c r="AE688" s="45" t="b">
        <v>1</v>
      </c>
      <c r="AF688" s="45" t="s">
        <v>119</v>
      </c>
      <c r="AG688" s="45" t="b">
        <v>1</v>
      </c>
      <c r="AH688" s="45" t="b">
        <v>1</v>
      </c>
    </row>
    <row r="689" spans="22:34" x14ac:dyDescent="0.25">
      <c r="V689" t="s">
        <v>339</v>
      </c>
      <c r="W689" s="45" t="s">
        <v>340</v>
      </c>
      <c r="X689" s="45" t="b">
        <v>1</v>
      </c>
      <c r="Y689" s="45" t="b">
        <v>0</v>
      </c>
      <c r="Z689" s="45" t="b">
        <v>1</v>
      </c>
      <c r="AA689" s="45" t="b">
        <v>0</v>
      </c>
      <c r="AB689" s="45" t="b">
        <v>1</v>
      </c>
      <c r="AC689" s="45" t="b">
        <v>1</v>
      </c>
      <c r="AD689" s="45" t="b">
        <v>1</v>
      </c>
      <c r="AE689" s="45" t="b">
        <v>1</v>
      </c>
      <c r="AF689" s="45" t="s">
        <v>300</v>
      </c>
      <c r="AG689" s="45" t="b">
        <v>1</v>
      </c>
      <c r="AH689" s="45" t="b">
        <v>1</v>
      </c>
    </row>
    <row r="690" spans="22:34" x14ac:dyDescent="0.25">
      <c r="V690" t="s">
        <v>339</v>
      </c>
      <c r="W690" s="45" t="s">
        <v>340</v>
      </c>
      <c r="X690" s="45" t="b">
        <v>1</v>
      </c>
      <c r="Y690" s="45" t="b">
        <v>0</v>
      </c>
      <c r="Z690" s="45" t="b">
        <v>1</v>
      </c>
      <c r="AA690" s="45" t="b">
        <v>0</v>
      </c>
      <c r="AB690" s="45" t="b">
        <v>1</v>
      </c>
      <c r="AC690" s="45" t="b">
        <v>1</v>
      </c>
      <c r="AD690" s="45" t="b">
        <v>1</v>
      </c>
      <c r="AE690" s="45" t="b">
        <v>1</v>
      </c>
      <c r="AF690" s="45" t="s">
        <v>301</v>
      </c>
      <c r="AG690" s="45" t="b">
        <v>1</v>
      </c>
      <c r="AH690" s="45" t="b">
        <v>1</v>
      </c>
    </row>
    <row r="691" spans="22:34" x14ac:dyDescent="0.25">
      <c r="V691" t="s">
        <v>339</v>
      </c>
      <c r="W691" s="45" t="s">
        <v>340</v>
      </c>
      <c r="X691" s="45" t="b">
        <v>1</v>
      </c>
      <c r="Y691" s="45" t="b">
        <v>0</v>
      </c>
      <c r="Z691" s="45" t="b">
        <v>1</v>
      </c>
      <c r="AA691" s="45" t="b">
        <v>0</v>
      </c>
      <c r="AB691" s="45" t="b">
        <v>1</v>
      </c>
      <c r="AC691" s="45" t="b">
        <v>1</v>
      </c>
      <c r="AD691" s="45" t="b">
        <v>1</v>
      </c>
      <c r="AE691" s="45" t="b">
        <v>1</v>
      </c>
      <c r="AF691" s="45" t="s">
        <v>120</v>
      </c>
      <c r="AG691" s="45" t="b">
        <v>1</v>
      </c>
      <c r="AH691" s="45" t="b">
        <v>1</v>
      </c>
    </row>
    <row r="692" spans="22:34" x14ac:dyDescent="0.25">
      <c r="V692" t="s">
        <v>339</v>
      </c>
      <c r="W692" s="45" t="s">
        <v>340</v>
      </c>
      <c r="X692" s="45" t="b">
        <v>1</v>
      </c>
      <c r="Y692" s="45" t="b">
        <v>0</v>
      </c>
      <c r="Z692" s="45" t="b">
        <v>1</v>
      </c>
      <c r="AA692" s="45" t="b">
        <v>0</v>
      </c>
      <c r="AB692" s="45" t="b">
        <v>1</v>
      </c>
      <c r="AC692" s="45" t="b">
        <v>1</v>
      </c>
      <c r="AD692" s="45" t="b">
        <v>1</v>
      </c>
      <c r="AE692" s="45" t="b">
        <v>1</v>
      </c>
      <c r="AF692" s="45" t="s">
        <v>302</v>
      </c>
      <c r="AG692" s="45" t="b">
        <v>1</v>
      </c>
      <c r="AH692" s="45" t="b">
        <v>1</v>
      </c>
    </row>
    <row r="693" spans="22:34" x14ac:dyDescent="0.25">
      <c r="V693" t="s">
        <v>339</v>
      </c>
      <c r="W693" s="45" t="s">
        <v>340</v>
      </c>
      <c r="X693" s="45" t="b">
        <v>1</v>
      </c>
      <c r="Y693" s="45" t="b">
        <v>0</v>
      </c>
      <c r="Z693" s="45" t="b">
        <v>1</v>
      </c>
      <c r="AA693" s="45" t="b">
        <v>0</v>
      </c>
      <c r="AB693" s="45" t="b">
        <v>1</v>
      </c>
      <c r="AC693" s="45" t="b">
        <v>1</v>
      </c>
      <c r="AD693" s="45" t="b">
        <v>1</v>
      </c>
      <c r="AE693" s="45" t="b">
        <v>1</v>
      </c>
      <c r="AF693" s="45" t="s">
        <v>303</v>
      </c>
      <c r="AG693" s="45" t="b">
        <v>1</v>
      </c>
      <c r="AH693" s="45" t="b">
        <v>1</v>
      </c>
    </row>
    <row r="694" spans="22:34" x14ac:dyDescent="0.25">
      <c r="V694" t="s">
        <v>339</v>
      </c>
      <c r="W694" s="45" t="s">
        <v>340</v>
      </c>
      <c r="X694" s="45" t="b">
        <v>1</v>
      </c>
      <c r="Y694" s="45" t="b">
        <v>0</v>
      </c>
      <c r="Z694" s="45" t="b">
        <v>1</v>
      </c>
      <c r="AA694" s="45" t="b">
        <v>0</v>
      </c>
      <c r="AB694" s="45" t="b">
        <v>1</v>
      </c>
      <c r="AC694" s="45" t="b">
        <v>1</v>
      </c>
      <c r="AD694" s="45" t="b">
        <v>1</v>
      </c>
      <c r="AE694" s="45" t="b">
        <v>1</v>
      </c>
      <c r="AF694" s="45" t="s">
        <v>304</v>
      </c>
      <c r="AG694" s="45" t="b">
        <v>1</v>
      </c>
      <c r="AH694" s="45" t="b">
        <v>1</v>
      </c>
    </row>
    <row r="695" spans="22:34" x14ac:dyDescent="0.25">
      <c r="V695" t="s">
        <v>339</v>
      </c>
      <c r="W695" s="45" t="s">
        <v>340</v>
      </c>
      <c r="X695" s="45" t="b">
        <v>1</v>
      </c>
      <c r="Y695" s="45" t="b">
        <v>0</v>
      </c>
      <c r="Z695" s="45" t="b">
        <v>1</v>
      </c>
      <c r="AA695" s="45" t="b">
        <v>0</v>
      </c>
      <c r="AB695" s="45" t="b">
        <v>1</v>
      </c>
      <c r="AC695" s="45" t="b">
        <v>1</v>
      </c>
      <c r="AD695" s="45" t="b">
        <v>1</v>
      </c>
      <c r="AE695" s="45" t="b">
        <v>1</v>
      </c>
      <c r="AF695" s="45" t="s">
        <v>305</v>
      </c>
      <c r="AG695" s="45" t="b">
        <v>1</v>
      </c>
      <c r="AH695" s="45" t="b">
        <v>1</v>
      </c>
    </row>
    <row r="696" spans="22:34" x14ac:dyDescent="0.25">
      <c r="V696" t="s">
        <v>339</v>
      </c>
      <c r="W696" s="45" t="s">
        <v>340</v>
      </c>
      <c r="X696" s="45" t="b">
        <v>1</v>
      </c>
      <c r="Y696" s="45" t="b">
        <v>0</v>
      </c>
      <c r="Z696" s="45" t="b">
        <v>1</v>
      </c>
      <c r="AA696" s="45" t="b">
        <v>0</v>
      </c>
      <c r="AB696" s="45" t="b">
        <v>1</v>
      </c>
      <c r="AC696" s="45" t="b">
        <v>1</v>
      </c>
      <c r="AD696" s="45" t="b">
        <v>1</v>
      </c>
      <c r="AE696" s="45" t="b">
        <v>1</v>
      </c>
      <c r="AF696" s="45" t="s">
        <v>306</v>
      </c>
      <c r="AG696" s="45" t="b">
        <v>1</v>
      </c>
      <c r="AH696" s="45" t="b">
        <v>1</v>
      </c>
    </row>
    <row r="697" spans="22:34" x14ac:dyDescent="0.25">
      <c r="V697" t="s">
        <v>339</v>
      </c>
      <c r="W697" s="45" t="s">
        <v>340</v>
      </c>
      <c r="X697" s="45" t="b">
        <v>1</v>
      </c>
      <c r="Y697" s="45" t="b">
        <v>0</v>
      </c>
      <c r="Z697" s="45" t="b">
        <v>1</v>
      </c>
      <c r="AA697" s="45" t="b">
        <v>0</v>
      </c>
      <c r="AB697" s="45" t="b">
        <v>1</v>
      </c>
      <c r="AC697" s="45" t="b">
        <v>1</v>
      </c>
      <c r="AD697" s="45" t="b">
        <v>1</v>
      </c>
      <c r="AE697" s="45" t="b">
        <v>1</v>
      </c>
      <c r="AF697" s="45" t="s">
        <v>307</v>
      </c>
      <c r="AG697" s="45" t="b">
        <v>1</v>
      </c>
      <c r="AH697" s="45" t="b">
        <v>1</v>
      </c>
    </row>
    <row r="698" spans="22:34" x14ac:dyDescent="0.25">
      <c r="V698" t="s">
        <v>339</v>
      </c>
      <c r="W698" s="45" t="s">
        <v>340</v>
      </c>
      <c r="X698" s="45" t="b">
        <v>1</v>
      </c>
      <c r="Y698" s="45" t="b">
        <v>0</v>
      </c>
      <c r="Z698" s="45" t="b">
        <v>1</v>
      </c>
      <c r="AA698" s="45" t="b">
        <v>0</v>
      </c>
      <c r="AB698" s="45" t="b">
        <v>1</v>
      </c>
      <c r="AC698" s="45" t="b">
        <v>1</v>
      </c>
      <c r="AD698" s="45" t="b">
        <v>1</v>
      </c>
      <c r="AE698" s="45" t="b">
        <v>1</v>
      </c>
      <c r="AF698" s="45" t="s">
        <v>308</v>
      </c>
      <c r="AG698" s="45" t="b">
        <v>1</v>
      </c>
      <c r="AH698" s="45" t="b">
        <v>1</v>
      </c>
    </row>
    <row r="699" spans="22:34" x14ac:dyDescent="0.25">
      <c r="V699" t="s">
        <v>339</v>
      </c>
      <c r="W699" s="45" t="s">
        <v>340</v>
      </c>
      <c r="X699" s="45" t="b">
        <v>1</v>
      </c>
      <c r="Y699" s="45" t="b">
        <v>0</v>
      </c>
      <c r="Z699" s="45" t="b">
        <v>1</v>
      </c>
      <c r="AA699" s="45" t="b">
        <v>0</v>
      </c>
      <c r="AB699" s="45" t="b">
        <v>1</v>
      </c>
      <c r="AC699" s="45" t="b">
        <v>1</v>
      </c>
      <c r="AD699" s="45" t="b">
        <v>1</v>
      </c>
      <c r="AE699" s="45" t="b">
        <v>1</v>
      </c>
      <c r="AF699" s="45" t="s">
        <v>309</v>
      </c>
      <c r="AG699" s="45" t="b">
        <v>1</v>
      </c>
      <c r="AH699" s="45" t="b">
        <v>1</v>
      </c>
    </row>
    <row r="700" spans="22:34" x14ac:dyDescent="0.25">
      <c r="V700" t="s">
        <v>339</v>
      </c>
      <c r="W700" s="45" t="s">
        <v>340</v>
      </c>
      <c r="X700" s="45" t="b">
        <v>1</v>
      </c>
      <c r="Y700" s="45" t="b">
        <v>0</v>
      </c>
      <c r="Z700" s="45" t="b">
        <v>1</v>
      </c>
      <c r="AA700" s="45" t="b">
        <v>0</v>
      </c>
      <c r="AB700" s="45" t="b">
        <v>1</v>
      </c>
      <c r="AC700" s="45" t="b">
        <v>1</v>
      </c>
      <c r="AD700" s="45" t="b">
        <v>1</v>
      </c>
      <c r="AE700" s="45" t="b">
        <v>1</v>
      </c>
      <c r="AF700" s="45" t="s">
        <v>310</v>
      </c>
      <c r="AG700" s="45" t="b">
        <v>1</v>
      </c>
      <c r="AH700" s="45" t="b">
        <v>1</v>
      </c>
    </row>
    <row r="701" spans="22:34" x14ac:dyDescent="0.25">
      <c r="V701" t="s">
        <v>339</v>
      </c>
      <c r="W701" s="45" t="s">
        <v>340</v>
      </c>
      <c r="X701" s="45" t="b">
        <v>1</v>
      </c>
      <c r="Y701" s="45" t="b">
        <v>0</v>
      </c>
      <c r="Z701" s="45" t="b">
        <v>1</v>
      </c>
      <c r="AA701" s="45" t="b">
        <v>0</v>
      </c>
      <c r="AB701" s="45" t="b">
        <v>1</v>
      </c>
      <c r="AC701" s="45" t="b">
        <v>1</v>
      </c>
      <c r="AD701" s="45" t="b">
        <v>1</v>
      </c>
      <c r="AE701" s="45" t="b">
        <v>1</v>
      </c>
      <c r="AF701" s="45" t="s">
        <v>311</v>
      </c>
      <c r="AG701" s="45" t="b">
        <v>1</v>
      </c>
      <c r="AH701" s="45" t="b">
        <v>1</v>
      </c>
    </row>
    <row r="702" spans="22:34" x14ac:dyDescent="0.25">
      <c r="V702" t="s">
        <v>339</v>
      </c>
      <c r="W702" s="45" t="s">
        <v>340</v>
      </c>
      <c r="X702" s="45" t="b">
        <v>1</v>
      </c>
      <c r="Y702" s="45" t="b">
        <v>0</v>
      </c>
      <c r="Z702" s="45" t="b">
        <v>1</v>
      </c>
      <c r="AA702" s="45" t="b">
        <v>0</v>
      </c>
      <c r="AB702" s="45" t="b">
        <v>1</v>
      </c>
      <c r="AC702" s="45" t="b">
        <v>1</v>
      </c>
      <c r="AD702" s="45" t="b">
        <v>1</v>
      </c>
      <c r="AE702" s="45" t="b">
        <v>1</v>
      </c>
      <c r="AF702" s="45" t="s">
        <v>312</v>
      </c>
      <c r="AG702" s="45" t="b">
        <v>0</v>
      </c>
      <c r="AH702" s="45" t="b">
        <v>0</v>
      </c>
    </row>
    <row r="703" spans="22:34" x14ac:dyDescent="0.25">
      <c r="V703" t="s">
        <v>339</v>
      </c>
      <c r="W703" s="45" t="s">
        <v>340</v>
      </c>
      <c r="X703" s="45" t="b">
        <v>1</v>
      </c>
      <c r="Y703" s="45" t="b">
        <v>0</v>
      </c>
      <c r="Z703" s="45" t="b">
        <v>1</v>
      </c>
      <c r="AA703" s="45" t="b">
        <v>0</v>
      </c>
      <c r="AB703" s="45" t="b">
        <v>1</v>
      </c>
      <c r="AC703" s="45" t="b">
        <v>1</v>
      </c>
      <c r="AD703" s="45" t="b">
        <v>1</v>
      </c>
      <c r="AE703" s="45" t="b">
        <v>1</v>
      </c>
      <c r="AF703" s="45" t="s">
        <v>313</v>
      </c>
      <c r="AG703" s="45" t="b">
        <v>1</v>
      </c>
      <c r="AH703" s="45" t="b">
        <v>1</v>
      </c>
    </row>
    <row r="704" spans="22:34" x14ac:dyDescent="0.25">
      <c r="V704" t="s">
        <v>339</v>
      </c>
      <c r="W704" s="45" t="s">
        <v>340</v>
      </c>
      <c r="X704" s="45" t="b">
        <v>1</v>
      </c>
      <c r="Y704" s="45" t="b">
        <v>0</v>
      </c>
      <c r="Z704" s="45" t="b">
        <v>1</v>
      </c>
      <c r="AA704" s="45" t="b">
        <v>0</v>
      </c>
      <c r="AB704" s="45" t="b">
        <v>1</v>
      </c>
      <c r="AC704" s="45" t="b">
        <v>1</v>
      </c>
      <c r="AD704" s="45" t="b">
        <v>1</v>
      </c>
      <c r="AE704" s="45" t="b">
        <v>1</v>
      </c>
      <c r="AF704" s="45" t="s">
        <v>314</v>
      </c>
      <c r="AG704" s="45" t="b">
        <v>1</v>
      </c>
      <c r="AH704" s="45" t="b">
        <v>1</v>
      </c>
    </row>
    <row r="705" spans="22:34" x14ac:dyDescent="0.25">
      <c r="V705" t="s">
        <v>339</v>
      </c>
      <c r="W705" s="45" t="s">
        <v>340</v>
      </c>
      <c r="X705" s="45" t="b">
        <v>1</v>
      </c>
      <c r="Y705" s="45" t="b">
        <v>0</v>
      </c>
      <c r="Z705" s="45" t="b">
        <v>1</v>
      </c>
      <c r="AA705" s="45" t="b">
        <v>0</v>
      </c>
      <c r="AB705" s="45" t="b">
        <v>1</v>
      </c>
      <c r="AC705" s="45" t="b">
        <v>1</v>
      </c>
      <c r="AD705" s="45" t="b">
        <v>1</v>
      </c>
      <c r="AE705" s="45" t="b">
        <v>1</v>
      </c>
      <c r="AF705" s="45" t="s">
        <v>315</v>
      </c>
      <c r="AG705" s="45" t="b">
        <v>1</v>
      </c>
      <c r="AH705" s="45" t="b">
        <v>1</v>
      </c>
    </row>
    <row r="706" spans="22:34" x14ac:dyDescent="0.25">
      <c r="V706" t="s">
        <v>339</v>
      </c>
      <c r="W706" s="45" t="s">
        <v>340</v>
      </c>
      <c r="X706" s="45" t="b">
        <v>1</v>
      </c>
      <c r="Y706" s="45" t="b">
        <v>0</v>
      </c>
      <c r="Z706" s="45" t="b">
        <v>1</v>
      </c>
      <c r="AA706" s="45" t="b">
        <v>0</v>
      </c>
      <c r="AB706" s="45" t="b">
        <v>1</v>
      </c>
      <c r="AC706" s="45" t="b">
        <v>1</v>
      </c>
      <c r="AD706" s="45" t="b">
        <v>1</v>
      </c>
      <c r="AE706" s="45" t="b">
        <v>1</v>
      </c>
      <c r="AF706" s="45" t="s">
        <v>316</v>
      </c>
      <c r="AG706" s="45" t="b">
        <v>1</v>
      </c>
      <c r="AH706" s="45" t="b">
        <v>1</v>
      </c>
    </row>
    <row r="707" spans="22:34" x14ac:dyDescent="0.25">
      <c r="V707" t="s">
        <v>339</v>
      </c>
      <c r="W707" s="45" t="s">
        <v>340</v>
      </c>
      <c r="X707" s="45" t="b">
        <v>1</v>
      </c>
      <c r="Y707" s="45" t="b">
        <v>0</v>
      </c>
      <c r="Z707" s="45" t="b">
        <v>1</v>
      </c>
      <c r="AA707" s="45" t="b">
        <v>0</v>
      </c>
      <c r="AB707" s="45" t="b">
        <v>1</v>
      </c>
      <c r="AC707" s="45" t="b">
        <v>1</v>
      </c>
      <c r="AD707" s="45" t="b">
        <v>1</v>
      </c>
      <c r="AE707" s="45" t="b">
        <v>1</v>
      </c>
      <c r="AF707" s="45" t="s">
        <v>317</v>
      </c>
      <c r="AG707" s="45" t="b">
        <v>1</v>
      </c>
      <c r="AH707" s="45" t="b">
        <v>1</v>
      </c>
    </row>
    <row r="708" spans="22:34" x14ac:dyDescent="0.25">
      <c r="V708" t="s">
        <v>339</v>
      </c>
      <c r="W708" s="45" t="s">
        <v>340</v>
      </c>
      <c r="X708" s="45" t="b">
        <v>1</v>
      </c>
      <c r="Y708" s="45" t="b">
        <v>0</v>
      </c>
      <c r="Z708" s="45" t="b">
        <v>1</v>
      </c>
      <c r="AA708" s="45" t="b">
        <v>0</v>
      </c>
      <c r="AB708" s="45" t="b">
        <v>1</v>
      </c>
      <c r="AC708" s="45" t="b">
        <v>1</v>
      </c>
      <c r="AD708" s="45" t="b">
        <v>1</v>
      </c>
      <c r="AE708" s="45" t="b">
        <v>1</v>
      </c>
      <c r="AF708" s="45" t="s">
        <v>318</v>
      </c>
      <c r="AG708" s="45" t="b">
        <v>1</v>
      </c>
      <c r="AH708" s="45" t="b">
        <v>1</v>
      </c>
    </row>
    <row r="709" spans="22:34" x14ac:dyDescent="0.25">
      <c r="V709" t="s">
        <v>339</v>
      </c>
      <c r="W709" s="45" t="s">
        <v>340</v>
      </c>
      <c r="X709" s="45" t="b">
        <v>1</v>
      </c>
      <c r="Y709" s="45" t="b">
        <v>0</v>
      </c>
      <c r="Z709" s="45" t="b">
        <v>1</v>
      </c>
      <c r="AA709" s="45" t="b">
        <v>0</v>
      </c>
      <c r="AB709" s="45" t="b">
        <v>1</v>
      </c>
      <c r="AC709" s="45" t="b">
        <v>1</v>
      </c>
      <c r="AD709" s="45" t="b">
        <v>1</v>
      </c>
      <c r="AE709" s="45" t="b">
        <v>1</v>
      </c>
      <c r="AF709" s="45" t="s">
        <v>319</v>
      </c>
      <c r="AG709" s="45" t="b">
        <v>0</v>
      </c>
      <c r="AH709" s="45" t="b">
        <v>0</v>
      </c>
    </row>
    <row r="710" spans="22:34" x14ac:dyDescent="0.25">
      <c r="V710" t="s">
        <v>179</v>
      </c>
      <c r="W710" s="45" t="s">
        <v>341</v>
      </c>
      <c r="X710" s="45" t="b">
        <v>1</v>
      </c>
      <c r="Y710" s="45" t="b">
        <v>0</v>
      </c>
      <c r="Z710" s="45" t="b">
        <v>1</v>
      </c>
      <c r="AA710" s="45" t="b">
        <v>0</v>
      </c>
      <c r="AB710" s="45" t="b">
        <v>1</v>
      </c>
      <c r="AC710" s="45" t="b">
        <v>1</v>
      </c>
      <c r="AD710" s="45" t="b">
        <v>1</v>
      </c>
      <c r="AE710" s="45" t="b">
        <v>1</v>
      </c>
      <c r="AF710" s="45" t="s">
        <v>295</v>
      </c>
      <c r="AG710" s="45" t="b">
        <v>1</v>
      </c>
      <c r="AH710" s="45" t="b">
        <v>1</v>
      </c>
    </row>
    <row r="711" spans="22:34" x14ac:dyDescent="0.25">
      <c r="V711" t="s">
        <v>179</v>
      </c>
      <c r="W711" s="45" t="s">
        <v>341</v>
      </c>
      <c r="X711" s="45" t="b">
        <v>1</v>
      </c>
      <c r="Y711" s="45" t="b">
        <v>0</v>
      </c>
      <c r="Z711" s="45" t="b">
        <v>1</v>
      </c>
      <c r="AA711" s="45" t="b">
        <v>0</v>
      </c>
      <c r="AB711" s="45" t="b">
        <v>1</v>
      </c>
      <c r="AC711" s="45" t="b">
        <v>1</v>
      </c>
      <c r="AD711" s="45" t="b">
        <v>1</v>
      </c>
      <c r="AE711" s="45" t="b">
        <v>1</v>
      </c>
      <c r="AF711" s="45" t="s">
        <v>297</v>
      </c>
      <c r="AG711" s="45" t="b">
        <v>1</v>
      </c>
      <c r="AH711" s="45" t="b">
        <v>1</v>
      </c>
    </row>
    <row r="712" spans="22:34" x14ac:dyDescent="0.25">
      <c r="V712" t="s">
        <v>179</v>
      </c>
      <c r="W712" s="45" t="s">
        <v>341</v>
      </c>
      <c r="X712" s="45" t="b">
        <v>1</v>
      </c>
      <c r="Y712" s="45" t="b">
        <v>0</v>
      </c>
      <c r="Z712" s="45" t="b">
        <v>1</v>
      </c>
      <c r="AA712" s="45" t="b">
        <v>0</v>
      </c>
      <c r="AB712" s="45" t="b">
        <v>1</v>
      </c>
      <c r="AC712" s="45" t="b">
        <v>1</v>
      </c>
      <c r="AD712" s="45" t="b">
        <v>1</v>
      </c>
      <c r="AE712" s="45" t="b">
        <v>1</v>
      </c>
      <c r="AF712" s="45" t="s">
        <v>112</v>
      </c>
      <c r="AG712" s="45" t="b">
        <v>1</v>
      </c>
      <c r="AH712" s="45" t="b">
        <v>1</v>
      </c>
    </row>
    <row r="713" spans="22:34" x14ac:dyDescent="0.25">
      <c r="V713" t="s">
        <v>179</v>
      </c>
      <c r="W713" s="45" t="s">
        <v>341</v>
      </c>
      <c r="X713" s="45" t="b">
        <v>1</v>
      </c>
      <c r="Y713" s="45" t="b">
        <v>0</v>
      </c>
      <c r="Z713" s="45" t="b">
        <v>1</v>
      </c>
      <c r="AA713" s="45" t="b">
        <v>0</v>
      </c>
      <c r="AB713" s="45" t="b">
        <v>1</v>
      </c>
      <c r="AC713" s="45" t="b">
        <v>1</v>
      </c>
      <c r="AD713" s="45" t="b">
        <v>1</v>
      </c>
      <c r="AE713" s="45" t="b">
        <v>1</v>
      </c>
      <c r="AF713" s="45" t="s">
        <v>114</v>
      </c>
      <c r="AG713" s="45" t="b">
        <v>1</v>
      </c>
      <c r="AH713" s="45" t="b">
        <v>1</v>
      </c>
    </row>
    <row r="714" spans="22:34" x14ac:dyDescent="0.25">
      <c r="V714" t="s">
        <v>179</v>
      </c>
      <c r="W714" s="45" t="s">
        <v>341</v>
      </c>
      <c r="X714" s="45" t="b">
        <v>1</v>
      </c>
      <c r="Y714" s="45" t="b">
        <v>0</v>
      </c>
      <c r="Z714" s="45" t="b">
        <v>1</v>
      </c>
      <c r="AA714" s="45" t="b">
        <v>0</v>
      </c>
      <c r="AB714" s="45" t="b">
        <v>1</v>
      </c>
      <c r="AC714" s="45" t="b">
        <v>1</v>
      </c>
      <c r="AD714" s="45" t="b">
        <v>1</v>
      </c>
      <c r="AE714" s="45" t="b">
        <v>1</v>
      </c>
      <c r="AF714" s="45" t="s">
        <v>115</v>
      </c>
      <c r="AG714" s="45" t="b">
        <v>1</v>
      </c>
      <c r="AH714" s="45" t="b">
        <v>1</v>
      </c>
    </row>
    <row r="715" spans="22:34" x14ac:dyDescent="0.25">
      <c r="V715" t="s">
        <v>179</v>
      </c>
      <c r="W715" s="45" t="s">
        <v>341</v>
      </c>
      <c r="X715" s="45" t="b">
        <v>1</v>
      </c>
      <c r="Y715" s="45" t="b">
        <v>0</v>
      </c>
      <c r="Z715" s="45" t="b">
        <v>1</v>
      </c>
      <c r="AA715" s="45" t="b">
        <v>0</v>
      </c>
      <c r="AB715" s="45" t="b">
        <v>1</v>
      </c>
      <c r="AC715" s="45" t="b">
        <v>1</v>
      </c>
      <c r="AD715" s="45" t="b">
        <v>1</v>
      </c>
      <c r="AE715" s="45" t="b">
        <v>1</v>
      </c>
      <c r="AF715" s="45" t="s">
        <v>116</v>
      </c>
      <c r="AG715" s="45" t="b">
        <v>1</v>
      </c>
      <c r="AH715" s="45" t="b">
        <v>1</v>
      </c>
    </row>
    <row r="716" spans="22:34" x14ac:dyDescent="0.25">
      <c r="V716" t="s">
        <v>179</v>
      </c>
      <c r="W716" s="45" t="s">
        <v>341</v>
      </c>
      <c r="X716" s="45" t="b">
        <v>1</v>
      </c>
      <c r="Y716" s="45" t="b">
        <v>0</v>
      </c>
      <c r="Z716" s="45" t="b">
        <v>1</v>
      </c>
      <c r="AA716" s="45" t="b">
        <v>0</v>
      </c>
      <c r="AB716" s="45" t="b">
        <v>1</v>
      </c>
      <c r="AC716" s="45" t="b">
        <v>1</v>
      </c>
      <c r="AD716" s="45" t="b">
        <v>1</v>
      </c>
      <c r="AE716" s="45" t="b">
        <v>1</v>
      </c>
      <c r="AF716" s="45" t="s">
        <v>298</v>
      </c>
      <c r="AG716" s="45" t="b">
        <v>1</v>
      </c>
      <c r="AH716" s="45" t="b">
        <v>1</v>
      </c>
    </row>
    <row r="717" spans="22:34" x14ac:dyDescent="0.25">
      <c r="V717" t="s">
        <v>179</v>
      </c>
      <c r="W717" s="45" t="s">
        <v>341</v>
      </c>
      <c r="X717" s="45" t="b">
        <v>1</v>
      </c>
      <c r="Y717" s="45" t="b">
        <v>0</v>
      </c>
      <c r="Z717" s="45" t="b">
        <v>1</v>
      </c>
      <c r="AA717" s="45" t="b">
        <v>0</v>
      </c>
      <c r="AB717" s="45" t="b">
        <v>1</v>
      </c>
      <c r="AC717" s="45" t="b">
        <v>1</v>
      </c>
      <c r="AD717" s="45" t="b">
        <v>1</v>
      </c>
      <c r="AE717" s="45" t="b">
        <v>1</v>
      </c>
      <c r="AF717" s="45" t="s">
        <v>299</v>
      </c>
      <c r="AG717" s="45" t="b">
        <v>1</v>
      </c>
      <c r="AH717" s="45" t="b">
        <v>1</v>
      </c>
    </row>
    <row r="718" spans="22:34" x14ac:dyDescent="0.25">
      <c r="V718" t="s">
        <v>179</v>
      </c>
      <c r="W718" s="45" t="s">
        <v>341</v>
      </c>
      <c r="X718" s="45" t="b">
        <v>1</v>
      </c>
      <c r="Y718" s="45" t="b">
        <v>0</v>
      </c>
      <c r="Z718" s="45" t="b">
        <v>1</v>
      </c>
      <c r="AA718" s="45" t="b">
        <v>0</v>
      </c>
      <c r="AB718" s="45" t="b">
        <v>1</v>
      </c>
      <c r="AC718" s="45" t="b">
        <v>1</v>
      </c>
      <c r="AD718" s="45" t="b">
        <v>1</v>
      </c>
      <c r="AE718" s="45" t="b">
        <v>1</v>
      </c>
      <c r="AF718" s="45" t="s">
        <v>414</v>
      </c>
      <c r="AG718" s="45" t="b">
        <v>1</v>
      </c>
      <c r="AH718" s="45" t="b">
        <v>1</v>
      </c>
    </row>
    <row r="719" spans="22:34" x14ac:dyDescent="0.25">
      <c r="V719" t="s">
        <v>179</v>
      </c>
      <c r="W719" s="45" t="s">
        <v>341</v>
      </c>
      <c r="X719" s="45" t="b">
        <v>1</v>
      </c>
      <c r="Y719" s="45" t="b">
        <v>0</v>
      </c>
      <c r="Z719" s="45" t="b">
        <v>1</v>
      </c>
      <c r="AA719" s="45" t="b">
        <v>0</v>
      </c>
      <c r="AB719" s="45" t="b">
        <v>1</v>
      </c>
      <c r="AC719" s="45" t="b">
        <v>1</v>
      </c>
      <c r="AD719" s="45" t="b">
        <v>1</v>
      </c>
      <c r="AE719" s="45" t="b">
        <v>1</v>
      </c>
      <c r="AF719" s="45" t="s">
        <v>118</v>
      </c>
      <c r="AG719" s="45" t="b">
        <v>1</v>
      </c>
      <c r="AH719" s="45" t="b">
        <v>1</v>
      </c>
    </row>
    <row r="720" spans="22:34" x14ac:dyDescent="0.25">
      <c r="V720" t="s">
        <v>179</v>
      </c>
      <c r="W720" s="45" t="s">
        <v>341</v>
      </c>
      <c r="X720" s="45" t="b">
        <v>1</v>
      </c>
      <c r="Y720" s="45" t="b">
        <v>0</v>
      </c>
      <c r="Z720" s="45" t="b">
        <v>1</v>
      </c>
      <c r="AA720" s="45" t="b">
        <v>0</v>
      </c>
      <c r="AB720" s="45" t="b">
        <v>1</v>
      </c>
      <c r="AC720" s="45" t="b">
        <v>1</v>
      </c>
      <c r="AD720" s="45" t="b">
        <v>1</v>
      </c>
      <c r="AE720" s="45" t="b">
        <v>1</v>
      </c>
      <c r="AF720" s="45" t="s">
        <v>119</v>
      </c>
      <c r="AG720" s="45" t="b">
        <v>1</v>
      </c>
      <c r="AH720" s="45" t="b">
        <v>1</v>
      </c>
    </row>
    <row r="721" spans="22:34" x14ac:dyDescent="0.25">
      <c r="V721" t="s">
        <v>179</v>
      </c>
      <c r="W721" s="45" t="s">
        <v>341</v>
      </c>
      <c r="X721" s="45" t="b">
        <v>1</v>
      </c>
      <c r="Y721" s="45" t="b">
        <v>0</v>
      </c>
      <c r="Z721" s="45" t="b">
        <v>1</v>
      </c>
      <c r="AA721" s="45" t="b">
        <v>0</v>
      </c>
      <c r="AB721" s="45" t="b">
        <v>1</v>
      </c>
      <c r="AC721" s="45" t="b">
        <v>1</v>
      </c>
      <c r="AD721" s="45" t="b">
        <v>1</v>
      </c>
      <c r="AE721" s="45" t="b">
        <v>1</v>
      </c>
      <c r="AF721" s="45" t="s">
        <v>300</v>
      </c>
      <c r="AG721" s="45" t="b">
        <v>1</v>
      </c>
      <c r="AH721" s="45" t="b">
        <v>1</v>
      </c>
    </row>
    <row r="722" spans="22:34" x14ac:dyDescent="0.25">
      <c r="V722" t="s">
        <v>179</v>
      </c>
      <c r="W722" s="45" t="s">
        <v>341</v>
      </c>
      <c r="X722" s="45" t="b">
        <v>1</v>
      </c>
      <c r="Y722" s="45" t="b">
        <v>0</v>
      </c>
      <c r="Z722" s="45" t="b">
        <v>1</v>
      </c>
      <c r="AA722" s="45" t="b">
        <v>0</v>
      </c>
      <c r="AB722" s="45" t="b">
        <v>1</v>
      </c>
      <c r="AC722" s="45" t="b">
        <v>1</v>
      </c>
      <c r="AD722" s="45" t="b">
        <v>1</v>
      </c>
      <c r="AE722" s="45" t="b">
        <v>1</v>
      </c>
      <c r="AF722" s="45" t="s">
        <v>301</v>
      </c>
      <c r="AG722" s="45" t="b">
        <v>1</v>
      </c>
      <c r="AH722" s="45" t="b">
        <v>1</v>
      </c>
    </row>
    <row r="723" spans="22:34" x14ac:dyDescent="0.25">
      <c r="V723" t="s">
        <v>179</v>
      </c>
      <c r="W723" s="45" t="s">
        <v>341</v>
      </c>
      <c r="X723" s="45" t="b">
        <v>1</v>
      </c>
      <c r="Y723" s="45" t="b">
        <v>0</v>
      </c>
      <c r="Z723" s="45" t="b">
        <v>1</v>
      </c>
      <c r="AA723" s="45" t="b">
        <v>0</v>
      </c>
      <c r="AB723" s="45" t="b">
        <v>1</v>
      </c>
      <c r="AC723" s="45" t="b">
        <v>1</v>
      </c>
      <c r="AD723" s="45" t="b">
        <v>1</v>
      </c>
      <c r="AE723" s="45" t="b">
        <v>1</v>
      </c>
      <c r="AF723" s="45" t="s">
        <v>120</v>
      </c>
      <c r="AG723" s="45" t="b">
        <v>1</v>
      </c>
      <c r="AH723" s="45" t="b">
        <v>1</v>
      </c>
    </row>
    <row r="724" spans="22:34" x14ac:dyDescent="0.25">
      <c r="V724" t="s">
        <v>179</v>
      </c>
      <c r="W724" s="45" t="s">
        <v>341</v>
      </c>
      <c r="X724" s="45" t="b">
        <v>1</v>
      </c>
      <c r="Y724" s="45" t="b">
        <v>0</v>
      </c>
      <c r="Z724" s="45" t="b">
        <v>1</v>
      </c>
      <c r="AA724" s="45" t="b">
        <v>0</v>
      </c>
      <c r="AB724" s="45" t="b">
        <v>1</v>
      </c>
      <c r="AC724" s="45" t="b">
        <v>1</v>
      </c>
      <c r="AD724" s="45" t="b">
        <v>1</v>
      </c>
      <c r="AE724" s="45" t="b">
        <v>1</v>
      </c>
      <c r="AF724" s="45" t="s">
        <v>302</v>
      </c>
      <c r="AG724" s="45" t="b">
        <v>1</v>
      </c>
      <c r="AH724" s="45" t="b">
        <v>1</v>
      </c>
    </row>
    <row r="725" spans="22:34" x14ac:dyDescent="0.25">
      <c r="V725" t="s">
        <v>179</v>
      </c>
      <c r="W725" s="45" t="s">
        <v>341</v>
      </c>
      <c r="X725" s="45" t="b">
        <v>1</v>
      </c>
      <c r="Y725" s="45" t="b">
        <v>0</v>
      </c>
      <c r="Z725" s="45" t="b">
        <v>1</v>
      </c>
      <c r="AA725" s="45" t="b">
        <v>0</v>
      </c>
      <c r="AB725" s="45" t="b">
        <v>1</v>
      </c>
      <c r="AC725" s="45" t="b">
        <v>1</v>
      </c>
      <c r="AD725" s="45" t="b">
        <v>1</v>
      </c>
      <c r="AE725" s="45" t="b">
        <v>1</v>
      </c>
      <c r="AF725" s="45" t="s">
        <v>303</v>
      </c>
      <c r="AG725" s="45" t="b">
        <v>1</v>
      </c>
      <c r="AH725" s="45" t="b">
        <v>1</v>
      </c>
    </row>
    <row r="726" spans="22:34" x14ac:dyDescent="0.25">
      <c r="V726" t="s">
        <v>179</v>
      </c>
      <c r="W726" s="45" t="s">
        <v>341</v>
      </c>
      <c r="X726" s="45" t="b">
        <v>1</v>
      </c>
      <c r="Y726" s="45" t="b">
        <v>0</v>
      </c>
      <c r="Z726" s="45" t="b">
        <v>1</v>
      </c>
      <c r="AA726" s="45" t="b">
        <v>0</v>
      </c>
      <c r="AB726" s="45" t="b">
        <v>1</v>
      </c>
      <c r="AC726" s="45" t="b">
        <v>1</v>
      </c>
      <c r="AD726" s="45" t="b">
        <v>1</v>
      </c>
      <c r="AE726" s="45" t="b">
        <v>1</v>
      </c>
      <c r="AF726" s="45" t="s">
        <v>304</v>
      </c>
      <c r="AG726" s="45" t="b">
        <v>1</v>
      </c>
      <c r="AH726" s="45" t="b">
        <v>1</v>
      </c>
    </row>
    <row r="727" spans="22:34" x14ac:dyDescent="0.25">
      <c r="V727" t="s">
        <v>179</v>
      </c>
      <c r="W727" s="45" t="s">
        <v>341</v>
      </c>
      <c r="X727" s="45" t="b">
        <v>1</v>
      </c>
      <c r="Y727" s="45" t="b">
        <v>0</v>
      </c>
      <c r="Z727" s="45" t="b">
        <v>1</v>
      </c>
      <c r="AA727" s="45" t="b">
        <v>0</v>
      </c>
      <c r="AB727" s="45" t="b">
        <v>1</v>
      </c>
      <c r="AC727" s="45" t="b">
        <v>1</v>
      </c>
      <c r="AD727" s="45" t="b">
        <v>1</v>
      </c>
      <c r="AE727" s="45" t="b">
        <v>1</v>
      </c>
      <c r="AF727" s="45" t="s">
        <v>305</v>
      </c>
      <c r="AG727" s="45" t="b">
        <v>1</v>
      </c>
      <c r="AH727" s="45" t="b">
        <v>1</v>
      </c>
    </row>
    <row r="728" spans="22:34" x14ac:dyDescent="0.25">
      <c r="V728" t="s">
        <v>179</v>
      </c>
      <c r="W728" s="45" t="s">
        <v>341</v>
      </c>
      <c r="X728" s="45" t="b">
        <v>1</v>
      </c>
      <c r="Y728" s="45" t="b">
        <v>0</v>
      </c>
      <c r="Z728" s="45" t="b">
        <v>1</v>
      </c>
      <c r="AA728" s="45" t="b">
        <v>0</v>
      </c>
      <c r="AB728" s="45" t="b">
        <v>1</v>
      </c>
      <c r="AC728" s="45" t="b">
        <v>1</v>
      </c>
      <c r="AD728" s="45" t="b">
        <v>1</v>
      </c>
      <c r="AE728" s="45" t="b">
        <v>1</v>
      </c>
      <c r="AF728" s="45" t="s">
        <v>306</v>
      </c>
      <c r="AG728" s="45" t="b">
        <v>1</v>
      </c>
      <c r="AH728" s="45" t="b">
        <v>1</v>
      </c>
    </row>
    <row r="729" spans="22:34" x14ac:dyDescent="0.25">
      <c r="V729" t="s">
        <v>179</v>
      </c>
      <c r="W729" s="45" t="s">
        <v>341</v>
      </c>
      <c r="X729" s="45" t="b">
        <v>1</v>
      </c>
      <c r="Y729" s="45" t="b">
        <v>0</v>
      </c>
      <c r="Z729" s="45" t="b">
        <v>1</v>
      </c>
      <c r="AA729" s="45" t="b">
        <v>0</v>
      </c>
      <c r="AB729" s="45" t="b">
        <v>1</v>
      </c>
      <c r="AC729" s="45" t="b">
        <v>1</v>
      </c>
      <c r="AD729" s="45" t="b">
        <v>1</v>
      </c>
      <c r="AE729" s="45" t="b">
        <v>1</v>
      </c>
      <c r="AF729" s="45" t="s">
        <v>307</v>
      </c>
      <c r="AG729" s="45" t="b">
        <v>1</v>
      </c>
      <c r="AH729" s="45" t="b">
        <v>1</v>
      </c>
    </row>
    <row r="730" spans="22:34" x14ac:dyDescent="0.25">
      <c r="V730" t="s">
        <v>179</v>
      </c>
      <c r="W730" s="45" t="s">
        <v>341</v>
      </c>
      <c r="X730" s="45" t="b">
        <v>1</v>
      </c>
      <c r="Y730" s="45" t="b">
        <v>0</v>
      </c>
      <c r="Z730" s="45" t="b">
        <v>1</v>
      </c>
      <c r="AA730" s="45" t="b">
        <v>0</v>
      </c>
      <c r="AB730" s="45" t="b">
        <v>1</v>
      </c>
      <c r="AC730" s="45" t="b">
        <v>1</v>
      </c>
      <c r="AD730" s="45" t="b">
        <v>1</v>
      </c>
      <c r="AE730" s="45" t="b">
        <v>1</v>
      </c>
      <c r="AF730" s="45" t="s">
        <v>308</v>
      </c>
      <c r="AG730" s="45" t="b">
        <v>1</v>
      </c>
      <c r="AH730" s="45" t="b">
        <v>1</v>
      </c>
    </row>
    <row r="731" spans="22:34" x14ac:dyDescent="0.25">
      <c r="V731" t="s">
        <v>179</v>
      </c>
      <c r="W731" s="45" t="s">
        <v>341</v>
      </c>
      <c r="X731" s="45" t="b">
        <v>1</v>
      </c>
      <c r="Y731" s="45" t="b">
        <v>0</v>
      </c>
      <c r="Z731" s="45" t="b">
        <v>1</v>
      </c>
      <c r="AA731" s="45" t="b">
        <v>0</v>
      </c>
      <c r="AB731" s="45" t="b">
        <v>1</v>
      </c>
      <c r="AC731" s="45" t="b">
        <v>1</v>
      </c>
      <c r="AD731" s="45" t="b">
        <v>1</v>
      </c>
      <c r="AE731" s="45" t="b">
        <v>1</v>
      </c>
      <c r="AF731" s="45" t="s">
        <v>309</v>
      </c>
      <c r="AG731" s="45" t="b">
        <v>1</v>
      </c>
      <c r="AH731" s="45" t="b">
        <v>1</v>
      </c>
    </row>
    <row r="732" spans="22:34" x14ac:dyDescent="0.25">
      <c r="V732" t="s">
        <v>179</v>
      </c>
      <c r="W732" s="45" t="s">
        <v>341</v>
      </c>
      <c r="X732" s="45" t="b">
        <v>1</v>
      </c>
      <c r="Y732" s="45" t="b">
        <v>0</v>
      </c>
      <c r="Z732" s="45" t="b">
        <v>1</v>
      </c>
      <c r="AA732" s="45" t="b">
        <v>0</v>
      </c>
      <c r="AB732" s="45" t="b">
        <v>1</v>
      </c>
      <c r="AC732" s="45" t="b">
        <v>1</v>
      </c>
      <c r="AD732" s="45" t="b">
        <v>1</v>
      </c>
      <c r="AE732" s="45" t="b">
        <v>1</v>
      </c>
      <c r="AF732" s="45" t="s">
        <v>310</v>
      </c>
      <c r="AG732" s="45" t="b">
        <v>1</v>
      </c>
      <c r="AH732" s="45" t="b">
        <v>1</v>
      </c>
    </row>
    <row r="733" spans="22:34" x14ac:dyDescent="0.25">
      <c r="V733" t="s">
        <v>179</v>
      </c>
      <c r="W733" s="45" t="s">
        <v>341</v>
      </c>
      <c r="X733" s="45" t="b">
        <v>1</v>
      </c>
      <c r="Y733" s="45" t="b">
        <v>0</v>
      </c>
      <c r="Z733" s="45" t="b">
        <v>1</v>
      </c>
      <c r="AA733" s="45" t="b">
        <v>0</v>
      </c>
      <c r="AB733" s="45" t="b">
        <v>1</v>
      </c>
      <c r="AC733" s="45" t="b">
        <v>1</v>
      </c>
      <c r="AD733" s="45" t="b">
        <v>1</v>
      </c>
      <c r="AE733" s="45" t="b">
        <v>1</v>
      </c>
      <c r="AF733" s="45" t="s">
        <v>311</v>
      </c>
      <c r="AG733" s="45" t="b">
        <v>1</v>
      </c>
      <c r="AH733" s="45" t="b">
        <v>1</v>
      </c>
    </row>
    <row r="734" spans="22:34" x14ac:dyDescent="0.25">
      <c r="V734" t="s">
        <v>179</v>
      </c>
      <c r="W734" s="45" t="s">
        <v>341</v>
      </c>
      <c r="X734" s="45" t="b">
        <v>1</v>
      </c>
      <c r="Y734" s="45" t="b">
        <v>0</v>
      </c>
      <c r="Z734" s="45" t="b">
        <v>1</v>
      </c>
      <c r="AA734" s="45" t="b">
        <v>0</v>
      </c>
      <c r="AB734" s="45" t="b">
        <v>1</v>
      </c>
      <c r="AC734" s="45" t="b">
        <v>1</v>
      </c>
      <c r="AD734" s="45" t="b">
        <v>1</v>
      </c>
      <c r="AE734" s="45" t="b">
        <v>1</v>
      </c>
      <c r="AF734" s="45" t="s">
        <v>312</v>
      </c>
      <c r="AG734" s="45" t="b">
        <v>1</v>
      </c>
      <c r="AH734" s="45" t="b">
        <v>1</v>
      </c>
    </row>
    <row r="735" spans="22:34" x14ac:dyDescent="0.25">
      <c r="V735" t="s">
        <v>179</v>
      </c>
      <c r="W735" s="45" t="s">
        <v>341</v>
      </c>
      <c r="X735" s="45" t="b">
        <v>1</v>
      </c>
      <c r="Y735" s="45" t="b">
        <v>0</v>
      </c>
      <c r="Z735" s="45" t="b">
        <v>1</v>
      </c>
      <c r="AA735" s="45" t="b">
        <v>0</v>
      </c>
      <c r="AB735" s="45" t="b">
        <v>1</v>
      </c>
      <c r="AC735" s="45" t="b">
        <v>1</v>
      </c>
      <c r="AD735" s="45" t="b">
        <v>1</v>
      </c>
      <c r="AE735" s="45" t="b">
        <v>1</v>
      </c>
      <c r="AF735" s="45" t="s">
        <v>313</v>
      </c>
      <c r="AG735" s="45" t="b">
        <v>1</v>
      </c>
      <c r="AH735" s="45" t="b">
        <v>1</v>
      </c>
    </row>
    <row r="736" spans="22:34" x14ac:dyDescent="0.25">
      <c r="V736" t="s">
        <v>179</v>
      </c>
      <c r="W736" s="45" t="s">
        <v>341</v>
      </c>
      <c r="X736" s="45" t="b">
        <v>1</v>
      </c>
      <c r="Y736" s="45" t="b">
        <v>0</v>
      </c>
      <c r="Z736" s="45" t="b">
        <v>1</v>
      </c>
      <c r="AA736" s="45" t="b">
        <v>0</v>
      </c>
      <c r="AB736" s="45" t="b">
        <v>1</v>
      </c>
      <c r="AC736" s="45" t="b">
        <v>1</v>
      </c>
      <c r="AD736" s="45" t="b">
        <v>1</v>
      </c>
      <c r="AE736" s="45" t="b">
        <v>1</v>
      </c>
      <c r="AF736" s="45" t="s">
        <v>314</v>
      </c>
      <c r="AG736" s="45" t="b">
        <v>1</v>
      </c>
      <c r="AH736" s="45" t="b">
        <v>1</v>
      </c>
    </row>
    <row r="737" spans="22:34" x14ac:dyDescent="0.25">
      <c r="V737" t="s">
        <v>179</v>
      </c>
      <c r="W737" s="45" t="s">
        <v>341</v>
      </c>
      <c r="X737" s="45" t="b">
        <v>1</v>
      </c>
      <c r="Y737" s="45" t="b">
        <v>0</v>
      </c>
      <c r="Z737" s="45" t="b">
        <v>1</v>
      </c>
      <c r="AA737" s="45" t="b">
        <v>0</v>
      </c>
      <c r="AB737" s="45" t="b">
        <v>1</v>
      </c>
      <c r="AC737" s="45" t="b">
        <v>1</v>
      </c>
      <c r="AD737" s="45" t="b">
        <v>1</v>
      </c>
      <c r="AE737" s="45" t="b">
        <v>1</v>
      </c>
      <c r="AF737" s="45" t="s">
        <v>315</v>
      </c>
      <c r="AG737" s="45" t="b">
        <v>1</v>
      </c>
      <c r="AH737" s="45" t="b">
        <v>1</v>
      </c>
    </row>
    <row r="738" spans="22:34" x14ac:dyDescent="0.25">
      <c r="V738" t="s">
        <v>179</v>
      </c>
      <c r="W738" s="45" t="s">
        <v>341</v>
      </c>
      <c r="X738" s="45" t="b">
        <v>1</v>
      </c>
      <c r="Y738" s="45" t="b">
        <v>0</v>
      </c>
      <c r="Z738" s="45" t="b">
        <v>1</v>
      </c>
      <c r="AA738" s="45" t="b">
        <v>0</v>
      </c>
      <c r="AB738" s="45" t="b">
        <v>1</v>
      </c>
      <c r="AC738" s="45" t="b">
        <v>1</v>
      </c>
      <c r="AD738" s="45" t="b">
        <v>1</v>
      </c>
      <c r="AE738" s="45" t="b">
        <v>1</v>
      </c>
      <c r="AF738" s="45" t="s">
        <v>316</v>
      </c>
      <c r="AG738" s="45" t="b">
        <v>1</v>
      </c>
      <c r="AH738" s="45" t="b">
        <v>1</v>
      </c>
    </row>
    <row r="739" spans="22:34" x14ac:dyDescent="0.25">
      <c r="V739" t="s">
        <v>179</v>
      </c>
      <c r="W739" s="45" t="s">
        <v>341</v>
      </c>
      <c r="X739" s="45" t="b">
        <v>1</v>
      </c>
      <c r="Y739" s="45" t="b">
        <v>0</v>
      </c>
      <c r="Z739" s="45" t="b">
        <v>1</v>
      </c>
      <c r="AA739" s="45" t="b">
        <v>0</v>
      </c>
      <c r="AB739" s="45" t="b">
        <v>1</v>
      </c>
      <c r="AC739" s="45" t="b">
        <v>1</v>
      </c>
      <c r="AD739" s="45" t="b">
        <v>1</v>
      </c>
      <c r="AE739" s="45" t="b">
        <v>1</v>
      </c>
      <c r="AF739" s="45" t="s">
        <v>317</v>
      </c>
      <c r="AG739" s="45" t="b">
        <v>1</v>
      </c>
      <c r="AH739" s="45" t="b">
        <v>1</v>
      </c>
    </row>
    <row r="740" spans="22:34" x14ac:dyDescent="0.25">
      <c r="V740" t="s">
        <v>179</v>
      </c>
      <c r="W740" s="45" t="s">
        <v>341</v>
      </c>
      <c r="X740" s="45" t="b">
        <v>1</v>
      </c>
      <c r="Y740" s="45" t="b">
        <v>0</v>
      </c>
      <c r="Z740" s="45" t="b">
        <v>1</v>
      </c>
      <c r="AA740" s="45" t="b">
        <v>0</v>
      </c>
      <c r="AB740" s="45" t="b">
        <v>1</v>
      </c>
      <c r="AC740" s="45" t="b">
        <v>1</v>
      </c>
      <c r="AD740" s="45" t="b">
        <v>1</v>
      </c>
      <c r="AE740" s="45" t="b">
        <v>1</v>
      </c>
      <c r="AF740" s="45" t="s">
        <v>318</v>
      </c>
      <c r="AG740" s="45" t="b">
        <v>1</v>
      </c>
      <c r="AH740" s="45" t="b">
        <v>1</v>
      </c>
    </row>
    <row r="741" spans="22:34" x14ac:dyDescent="0.25">
      <c r="V741" t="s">
        <v>179</v>
      </c>
      <c r="W741" s="45" t="s">
        <v>341</v>
      </c>
      <c r="X741" s="45" t="b">
        <v>1</v>
      </c>
      <c r="Y741" s="45" t="b">
        <v>0</v>
      </c>
      <c r="Z741" s="45" t="b">
        <v>1</v>
      </c>
      <c r="AA741" s="45" t="b">
        <v>0</v>
      </c>
      <c r="AB741" s="45" t="b">
        <v>1</v>
      </c>
      <c r="AC741" s="45" t="b">
        <v>1</v>
      </c>
      <c r="AD741" s="45" t="b">
        <v>1</v>
      </c>
      <c r="AE741" s="45" t="b">
        <v>1</v>
      </c>
      <c r="AF741" s="45" t="s">
        <v>319</v>
      </c>
      <c r="AG741" s="45" t="b">
        <v>1</v>
      </c>
      <c r="AH741" s="45" t="b">
        <v>1</v>
      </c>
    </row>
    <row r="742" spans="22:34" x14ac:dyDescent="0.25">
      <c r="V742" t="s">
        <v>555</v>
      </c>
      <c r="W742" s="45" t="s">
        <v>342</v>
      </c>
      <c r="X742" s="45" t="b">
        <v>0</v>
      </c>
      <c r="Y742" s="45" t="b">
        <v>1</v>
      </c>
      <c r="Z742" s="45" t="b">
        <v>1</v>
      </c>
      <c r="AA742" s="45" t="b">
        <v>0</v>
      </c>
      <c r="AB742" s="45" t="b">
        <v>1</v>
      </c>
      <c r="AC742" s="45" t="b">
        <v>1</v>
      </c>
      <c r="AD742" s="45" t="b">
        <v>1</v>
      </c>
      <c r="AE742" s="45" t="b">
        <v>1</v>
      </c>
      <c r="AF742" s="45" t="s">
        <v>295</v>
      </c>
      <c r="AG742" s="45" t="b">
        <v>1</v>
      </c>
      <c r="AH742" s="45" t="b">
        <v>1</v>
      </c>
    </row>
    <row r="743" spans="22:34" x14ac:dyDescent="0.25">
      <c r="V743" t="s">
        <v>555</v>
      </c>
      <c r="W743" s="45" t="s">
        <v>342</v>
      </c>
      <c r="X743" s="45" t="b">
        <v>0</v>
      </c>
      <c r="Y743" s="45" t="b">
        <v>1</v>
      </c>
      <c r="Z743" s="45" t="b">
        <v>1</v>
      </c>
      <c r="AA743" s="45" t="b">
        <v>0</v>
      </c>
      <c r="AB743" s="45" t="b">
        <v>1</v>
      </c>
      <c r="AC743" s="45" t="b">
        <v>1</v>
      </c>
      <c r="AD743" s="45" t="b">
        <v>1</v>
      </c>
      <c r="AE743" s="45" t="b">
        <v>1</v>
      </c>
      <c r="AF743" s="45" t="s">
        <v>297</v>
      </c>
      <c r="AG743" s="45" t="b">
        <v>1</v>
      </c>
      <c r="AH743" s="45" t="b">
        <v>1</v>
      </c>
    </row>
    <row r="744" spans="22:34" x14ac:dyDescent="0.25">
      <c r="V744" t="s">
        <v>555</v>
      </c>
      <c r="W744" s="45" t="s">
        <v>342</v>
      </c>
      <c r="X744" s="45" t="b">
        <v>0</v>
      </c>
      <c r="Y744" s="45" t="b">
        <v>1</v>
      </c>
      <c r="Z744" s="45" t="b">
        <v>1</v>
      </c>
      <c r="AA744" s="45" t="b">
        <v>0</v>
      </c>
      <c r="AB744" s="45" t="b">
        <v>1</v>
      </c>
      <c r="AC744" s="45" t="b">
        <v>1</v>
      </c>
      <c r="AD744" s="45" t="b">
        <v>1</v>
      </c>
      <c r="AE744" s="45" t="b">
        <v>1</v>
      </c>
      <c r="AF744" s="45" t="s">
        <v>112</v>
      </c>
      <c r="AG744" s="45" t="b">
        <v>1</v>
      </c>
      <c r="AH744" s="45" t="b">
        <v>1</v>
      </c>
    </row>
    <row r="745" spans="22:34" x14ac:dyDescent="0.25">
      <c r="V745" t="s">
        <v>555</v>
      </c>
      <c r="W745" s="45" t="s">
        <v>342</v>
      </c>
      <c r="X745" s="45" t="b">
        <v>0</v>
      </c>
      <c r="Y745" s="45" t="b">
        <v>1</v>
      </c>
      <c r="Z745" s="45" t="b">
        <v>1</v>
      </c>
      <c r="AA745" s="45" t="b">
        <v>0</v>
      </c>
      <c r="AB745" s="45" t="b">
        <v>1</v>
      </c>
      <c r="AC745" s="45" t="b">
        <v>1</v>
      </c>
      <c r="AD745" s="45" t="b">
        <v>1</v>
      </c>
      <c r="AE745" s="45" t="b">
        <v>1</v>
      </c>
      <c r="AF745" s="45" t="s">
        <v>114</v>
      </c>
      <c r="AG745" s="45" t="b">
        <v>1</v>
      </c>
      <c r="AH745" s="45" t="b">
        <v>1</v>
      </c>
    </row>
    <row r="746" spans="22:34" x14ac:dyDescent="0.25">
      <c r="V746" t="s">
        <v>555</v>
      </c>
      <c r="W746" s="45" t="s">
        <v>342</v>
      </c>
      <c r="X746" s="45" t="b">
        <v>0</v>
      </c>
      <c r="Y746" s="45" t="b">
        <v>1</v>
      </c>
      <c r="Z746" s="45" t="b">
        <v>1</v>
      </c>
      <c r="AA746" s="45" t="b">
        <v>0</v>
      </c>
      <c r="AB746" s="45" t="b">
        <v>1</v>
      </c>
      <c r="AC746" s="45" t="b">
        <v>1</v>
      </c>
      <c r="AD746" s="45" t="b">
        <v>1</v>
      </c>
      <c r="AE746" s="45" t="b">
        <v>1</v>
      </c>
      <c r="AF746" s="45" t="s">
        <v>115</v>
      </c>
      <c r="AG746" s="45" t="b">
        <v>1</v>
      </c>
      <c r="AH746" s="45" t="b">
        <v>1</v>
      </c>
    </row>
    <row r="747" spans="22:34" x14ac:dyDescent="0.25">
      <c r="V747" t="s">
        <v>555</v>
      </c>
      <c r="W747" s="45" t="s">
        <v>342</v>
      </c>
      <c r="X747" s="45" t="b">
        <v>0</v>
      </c>
      <c r="Y747" s="45" t="b">
        <v>1</v>
      </c>
      <c r="Z747" s="45" t="b">
        <v>1</v>
      </c>
      <c r="AA747" s="45" t="b">
        <v>0</v>
      </c>
      <c r="AB747" s="45" t="b">
        <v>1</v>
      </c>
      <c r="AC747" s="45" t="b">
        <v>1</v>
      </c>
      <c r="AD747" s="45" t="b">
        <v>1</v>
      </c>
      <c r="AE747" s="45" t="b">
        <v>1</v>
      </c>
      <c r="AF747" s="45" t="s">
        <v>116</v>
      </c>
      <c r="AG747" s="45" t="b">
        <v>1</v>
      </c>
      <c r="AH747" s="45" t="b">
        <v>1</v>
      </c>
    </row>
    <row r="748" spans="22:34" x14ac:dyDescent="0.25">
      <c r="V748" t="s">
        <v>555</v>
      </c>
      <c r="W748" s="45" t="s">
        <v>342</v>
      </c>
      <c r="X748" s="45" t="b">
        <v>0</v>
      </c>
      <c r="Y748" s="45" t="b">
        <v>1</v>
      </c>
      <c r="Z748" s="45" t="b">
        <v>1</v>
      </c>
      <c r="AA748" s="45" t="b">
        <v>0</v>
      </c>
      <c r="AB748" s="45" t="b">
        <v>1</v>
      </c>
      <c r="AC748" s="45" t="b">
        <v>1</v>
      </c>
      <c r="AD748" s="45" t="b">
        <v>1</v>
      </c>
      <c r="AE748" s="45" t="b">
        <v>1</v>
      </c>
      <c r="AF748" s="45" t="s">
        <v>298</v>
      </c>
      <c r="AG748" s="45" t="b">
        <v>1</v>
      </c>
      <c r="AH748" s="45" t="b">
        <v>1</v>
      </c>
    </row>
    <row r="749" spans="22:34" x14ac:dyDescent="0.25">
      <c r="V749" t="s">
        <v>555</v>
      </c>
      <c r="W749" s="45" t="s">
        <v>342</v>
      </c>
      <c r="X749" s="45" t="b">
        <v>0</v>
      </c>
      <c r="Y749" s="45" t="b">
        <v>1</v>
      </c>
      <c r="Z749" s="45" t="b">
        <v>1</v>
      </c>
      <c r="AA749" s="45" t="b">
        <v>0</v>
      </c>
      <c r="AB749" s="45" t="b">
        <v>1</v>
      </c>
      <c r="AC749" s="45" t="b">
        <v>1</v>
      </c>
      <c r="AD749" s="45" t="b">
        <v>1</v>
      </c>
      <c r="AE749" s="45" t="b">
        <v>1</v>
      </c>
      <c r="AF749" s="45" t="s">
        <v>299</v>
      </c>
      <c r="AG749" s="45" t="b">
        <v>1</v>
      </c>
      <c r="AH749" s="45" t="b">
        <v>1</v>
      </c>
    </row>
    <row r="750" spans="22:34" x14ac:dyDescent="0.25">
      <c r="V750" t="s">
        <v>555</v>
      </c>
      <c r="W750" s="45" t="s">
        <v>342</v>
      </c>
      <c r="X750" s="45" t="b">
        <v>0</v>
      </c>
      <c r="Y750" s="45" t="b">
        <v>1</v>
      </c>
      <c r="Z750" s="45" t="b">
        <v>1</v>
      </c>
      <c r="AA750" s="45" t="b">
        <v>0</v>
      </c>
      <c r="AB750" s="45" t="b">
        <v>1</v>
      </c>
      <c r="AC750" s="45" t="b">
        <v>1</v>
      </c>
      <c r="AD750" s="45" t="b">
        <v>1</v>
      </c>
      <c r="AE750" s="45" t="b">
        <v>1</v>
      </c>
      <c r="AF750" s="45" t="s">
        <v>414</v>
      </c>
      <c r="AG750" s="45" t="b">
        <v>1</v>
      </c>
      <c r="AH750" s="45" t="b">
        <v>1</v>
      </c>
    </row>
    <row r="751" spans="22:34" x14ac:dyDescent="0.25">
      <c r="V751" t="s">
        <v>555</v>
      </c>
      <c r="W751" s="45" t="s">
        <v>342</v>
      </c>
      <c r="X751" s="45" t="b">
        <v>0</v>
      </c>
      <c r="Y751" s="45" t="b">
        <v>1</v>
      </c>
      <c r="Z751" s="45" t="b">
        <v>1</v>
      </c>
      <c r="AA751" s="45" t="b">
        <v>0</v>
      </c>
      <c r="AB751" s="45" t="b">
        <v>1</v>
      </c>
      <c r="AC751" s="45" t="b">
        <v>1</v>
      </c>
      <c r="AD751" s="45" t="b">
        <v>1</v>
      </c>
      <c r="AE751" s="45" t="b">
        <v>1</v>
      </c>
      <c r="AF751" s="45" t="s">
        <v>118</v>
      </c>
      <c r="AG751" s="45" t="b">
        <v>1</v>
      </c>
      <c r="AH751" s="45" t="b">
        <v>1</v>
      </c>
    </row>
    <row r="752" spans="22:34" x14ac:dyDescent="0.25">
      <c r="V752" t="s">
        <v>555</v>
      </c>
      <c r="W752" s="45" t="s">
        <v>342</v>
      </c>
      <c r="X752" s="45" t="b">
        <v>0</v>
      </c>
      <c r="Y752" s="45" t="b">
        <v>1</v>
      </c>
      <c r="Z752" s="45" t="b">
        <v>1</v>
      </c>
      <c r="AA752" s="45" t="b">
        <v>0</v>
      </c>
      <c r="AB752" s="45" t="b">
        <v>1</v>
      </c>
      <c r="AC752" s="45" t="b">
        <v>1</v>
      </c>
      <c r="AD752" s="45" t="b">
        <v>1</v>
      </c>
      <c r="AE752" s="45" t="b">
        <v>1</v>
      </c>
      <c r="AF752" s="45" t="s">
        <v>119</v>
      </c>
      <c r="AG752" s="45" t="b">
        <v>1</v>
      </c>
      <c r="AH752" s="45" t="b">
        <v>1</v>
      </c>
    </row>
    <row r="753" spans="22:34" x14ac:dyDescent="0.25">
      <c r="V753" t="s">
        <v>555</v>
      </c>
      <c r="W753" s="45" t="s">
        <v>342</v>
      </c>
      <c r="X753" s="45" t="b">
        <v>0</v>
      </c>
      <c r="Y753" s="45" t="b">
        <v>1</v>
      </c>
      <c r="Z753" s="45" t="b">
        <v>1</v>
      </c>
      <c r="AA753" s="45" t="b">
        <v>0</v>
      </c>
      <c r="AB753" s="45" t="b">
        <v>1</v>
      </c>
      <c r="AC753" s="45" t="b">
        <v>1</v>
      </c>
      <c r="AD753" s="45" t="b">
        <v>1</v>
      </c>
      <c r="AE753" s="45" t="b">
        <v>1</v>
      </c>
      <c r="AF753" s="45" t="s">
        <v>300</v>
      </c>
      <c r="AG753" s="45" t="b">
        <v>1</v>
      </c>
      <c r="AH753" s="45" t="b">
        <v>1</v>
      </c>
    </row>
    <row r="754" spans="22:34" x14ac:dyDescent="0.25">
      <c r="V754" t="s">
        <v>555</v>
      </c>
      <c r="W754" s="45" t="s">
        <v>342</v>
      </c>
      <c r="X754" s="45" t="b">
        <v>0</v>
      </c>
      <c r="Y754" s="45" t="b">
        <v>1</v>
      </c>
      <c r="Z754" s="45" t="b">
        <v>1</v>
      </c>
      <c r="AA754" s="45" t="b">
        <v>0</v>
      </c>
      <c r="AB754" s="45" t="b">
        <v>1</v>
      </c>
      <c r="AC754" s="45" t="b">
        <v>1</v>
      </c>
      <c r="AD754" s="45" t="b">
        <v>1</v>
      </c>
      <c r="AE754" s="45" t="b">
        <v>1</v>
      </c>
      <c r="AF754" s="45" t="s">
        <v>301</v>
      </c>
      <c r="AG754" s="45" t="b">
        <v>1</v>
      </c>
      <c r="AH754" s="45" t="b">
        <v>1</v>
      </c>
    </row>
    <row r="755" spans="22:34" x14ac:dyDescent="0.25">
      <c r="V755" t="s">
        <v>555</v>
      </c>
      <c r="W755" s="45" t="s">
        <v>342</v>
      </c>
      <c r="X755" s="45" t="b">
        <v>0</v>
      </c>
      <c r="Y755" s="45" t="b">
        <v>1</v>
      </c>
      <c r="Z755" s="45" t="b">
        <v>1</v>
      </c>
      <c r="AA755" s="45" t="b">
        <v>0</v>
      </c>
      <c r="AB755" s="45" t="b">
        <v>1</v>
      </c>
      <c r="AC755" s="45" t="b">
        <v>1</v>
      </c>
      <c r="AD755" s="45" t="b">
        <v>1</v>
      </c>
      <c r="AE755" s="45" t="b">
        <v>1</v>
      </c>
      <c r="AF755" s="45" t="s">
        <v>120</v>
      </c>
      <c r="AG755" s="45" t="b">
        <v>1</v>
      </c>
      <c r="AH755" s="45" t="b">
        <v>1</v>
      </c>
    </row>
    <row r="756" spans="22:34" x14ac:dyDescent="0.25">
      <c r="V756" t="s">
        <v>555</v>
      </c>
      <c r="W756" s="45" t="s">
        <v>342</v>
      </c>
      <c r="X756" s="45" t="b">
        <v>0</v>
      </c>
      <c r="Y756" s="45" t="b">
        <v>1</v>
      </c>
      <c r="Z756" s="45" t="b">
        <v>1</v>
      </c>
      <c r="AA756" s="45" t="b">
        <v>0</v>
      </c>
      <c r="AB756" s="45" t="b">
        <v>1</v>
      </c>
      <c r="AC756" s="45" t="b">
        <v>1</v>
      </c>
      <c r="AD756" s="45" t="b">
        <v>1</v>
      </c>
      <c r="AE756" s="45" t="b">
        <v>1</v>
      </c>
      <c r="AF756" s="45" t="s">
        <v>302</v>
      </c>
      <c r="AG756" s="45" t="b">
        <v>1</v>
      </c>
      <c r="AH756" s="45" t="b">
        <v>1</v>
      </c>
    </row>
    <row r="757" spans="22:34" x14ac:dyDescent="0.25">
      <c r="V757" t="s">
        <v>555</v>
      </c>
      <c r="W757" s="45" t="s">
        <v>342</v>
      </c>
      <c r="X757" s="45" t="b">
        <v>0</v>
      </c>
      <c r="Y757" s="45" t="b">
        <v>1</v>
      </c>
      <c r="Z757" s="45" t="b">
        <v>1</v>
      </c>
      <c r="AA757" s="45" t="b">
        <v>0</v>
      </c>
      <c r="AB757" s="45" t="b">
        <v>1</v>
      </c>
      <c r="AC757" s="45" t="b">
        <v>1</v>
      </c>
      <c r="AD757" s="45" t="b">
        <v>1</v>
      </c>
      <c r="AE757" s="45" t="b">
        <v>1</v>
      </c>
      <c r="AF757" s="45" t="s">
        <v>303</v>
      </c>
      <c r="AG757" s="45" t="b">
        <v>1</v>
      </c>
      <c r="AH757" s="45" t="b">
        <v>1</v>
      </c>
    </row>
    <row r="758" spans="22:34" x14ac:dyDescent="0.25">
      <c r="V758" t="s">
        <v>555</v>
      </c>
      <c r="W758" s="45" t="s">
        <v>342</v>
      </c>
      <c r="X758" s="45" t="b">
        <v>0</v>
      </c>
      <c r="Y758" s="45" t="b">
        <v>1</v>
      </c>
      <c r="Z758" s="45" t="b">
        <v>1</v>
      </c>
      <c r="AA758" s="45" t="b">
        <v>0</v>
      </c>
      <c r="AB758" s="45" t="b">
        <v>1</v>
      </c>
      <c r="AC758" s="45" t="b">
        <v>1</v>
      </c>
      <c r="AD758" s="45" t="b">
        <v>1</v>
      </c>
      <c r="AE758" s="45" t="b">
        <v>1</v>
      </c>
      <c r="AF758" s="45" t="s">
        <v>304</v>
      </c>
      <c r="AG758" s="45" t="b">
        <v>1</v>
      </c>
      <c r="AH758" s="45" t="b">
        <v>1</v>
      </c>
    </row>
    <row r="759" spans="22:34" x14ac:dyDescent="0.25">
      <c r="V759" t="s">
        <v>555</v>
      </c>
      <c r="W759" s="45" t="s">
        <v>342</v>
      </c>
      <c r="X759" s="45" t="b">
        <v>0</v>
      </c>
      <c r="Y759" s="45" t="b">
        <v>1</v>
      </c>
      <c r="Z759" s="45" t="b">
        <v>1</v>
      </c>
      <c r="AA759" s="45" t="b">
        <v>0</v>
      </c>
      <c r="AB759" s="45" t="b">
        <v>1</v>
      </c>
      <c r="AC759" s="45" t="b">
        <v>1</v>
      </c>
      <c r="AD759" s="45" t="b">
        <v>1</v>
      </c>
      <c r="AE759" s="45" t="b">
        <v>1</v>
      </c>
      <c r="AF759" s="45" t="s">
        <v>305</v>
      </c>
      <c r="AG759" s="45" t="b">
        <v>1</v>
      </c>
      <c r="AH759" s="45" t="b">
        <v>1</v>
      </c>
    </row>
    <row r="760" spans="22:34" x14ac:dyDescent="0.25">
      <c r="V760" t="s">
        <v>555</v>
      </c>
      <c r="W760" s="45" t="s">
        <v>342</v>
      </c>
      <c r="X760" s="45" t="b">
        <v>0</v>
      </c>
      <c r="Y760" s="45" t="b">
        <v>1</v>
      </c>
      <c r="Z760" s="45" t="b">
        <v>1</v>
      </c>
      <c r="AA760" s="45" t="b">
        <v>0</v>
      </c>
      <c r="AB760" s="45" t="b">
        <v>1</v>
      </c>
      <c r="AC760" s="45" t="b">
        <v>1</v>
      </c>
      <c r="AD760" s="45" t="b">
        <v>1</v>
      </c>
      <c r="AE760" s="45" t="b">
        <v>1</v>
      </c>
      <c r="AF760" s="45" t="s">
        <v>306</v>
      </c>
      <c r="AG760" s="45" t="b">
        <v>1</v>
      </c>
      <c r="AH760" s="45" t="b">
        <v>1</v>
      </c>
    </row>
    <row r="761" spans="22:34" x14ac:dyDescent="0.25">
      <c r="V761" t="s">
        <v>555</v>
      </c>
      <c r="W761" s="45" t="s">
        <v>342</v>
      </c>
      <c r="X761" s="45" t="b">
        <v>0</v>
      </c>
      <c r="Y761" s="45" t="b">
        <v>1</v>
      </c>
      <c r="Z761" s="45" t="b">
        <v>1</v>
      </c>
      <c r="AA761" s="45" t="b">
        <v>0</v>
      </c>
      <c r="AB761" s="45" t="b">
        <v>1</v>
      </c>
      <c r="AC761" s="45" t="b">
        <v>1</v>
      </c>
      <c r="AD761" s="45" t="b">
        <v>1</v>
      </c>
      <c r="AE761" s="45" t="b">
        <v>1</v>
      </c>
      <c r="AF761" s="45" t="s">
        <v>307</v>
      </c>
      <c r="AG761" s="45" t="b">
        <v>1</v>
      </c>
      <c r="AH761" s="45" t="b">
        <v>1</v>
      </c>
    </row>
    <row r="762" spans="22:34" x14ac:dyDescent="0.25">
      <c r="V762" t="s">
        <v>555</v>
      </c>
      <c r="W762" s="45" t="s">
        <v>342</v>
      </c>
      <c r="X762" s="45" t="b">
        <v>0</v>
      </c>
      <c r="Y762" s="45" t="b">
        <v>1</v>
      </c>
      <c r="Z762" s="45" t="b">
        <v>1</v>
      </c>
      <c r="AA762" s="45" t="b">
        <v>0</v>
      </c>
      <c r="AB762" s="45" t="b">
        <v>1</v>
      </c>
      <c r="AC762" s="45" t="b">
        <v>1</v>
      </c>
      <c r="AD762" s="45" t="b">
        <v>1</v>
      </c>
      <c r="AE762" s="45" t="b">
        <v>1</v>
      </c>
      <c r="AF762" s="45" t="s">
        <v>308</v>
      </c>
      <c r="AG762" s="45" t="b">
        <v>1</v>
      </c>
      <c r="AH762" s="45" t="b">
        <v>1</v>
      </c>
    </row>
    <row r="763" spans="22:34" x14ac:dyDescent="0.25">
      <c r="V763" t="s">
        <v>555</v>
      </c>
      <c r="W763" s="45" t="s">
        <v>342</v>
      </c>
      <c r="X763" s="45" t="b">
        <v>0</v>
      </c>
      <c r="Y763" s="45" t="b">
        <v>1</v>
      </c>
      <c r="Z763" s="45" t="b">
        <v>1</v>
      </c>
      <c r="AA763" s="45" t="b">
        <v>0</v>
      </c>
      <c r="AB763" s="45" t="b">
        <v>1</v>
      </c>
      <c r="AC763" s="45" t="b">
        <v>1</v>
      </c>
      <c r="AD763" s="45" t="b">
        <v>1</v>
      </c>
      <c r="AE763" s="45" t="b">
        <v>1</v>
      </c>
      <c r="AF763" s="45" t="s">
        <v>309</v>
      </c>
      <c r="AG763" s="45" t="b">
        <v>1</v>
      </c>
      <c r="AH763" s="45" t="b">
        <v>1</v>
      </c>
    </row>
    <row r="764" spans="22:34" x14ac:dyDescent="0.25">
      <c r="V764" t="s">
        <v>555</v>
      </c>
      <c r="W764" s="45" t="s">
        <v>342</v>
      </c>
      <c r="X764" s="45" t="b">
        <v>0</v>
      </c>
      <c r="Y764" s="45" t="b">
        <v>1</v>
      </c>
      <c r="Z764" s="45" t="b">
        <v>1</v>
      </c>
      <c r="AA764" s="45" t="b">
        <v>0</v>
      </c>
      <c r="AB764" s="45" t="b">
        <v>1</v>
      </c>
      <c r="AC764" s="45" t="b">
        <v>1</v>
      </c>
      <c r="AD764" s="45" t="b">
        <v>1</v>
      </c>
      <c r="AE764" s="45" t="b">
        <v>1</v>
      </c>
      <c r="AF764" s="45" t="s">
        <v>310</v>
      </c>
      <c r="AG764" s="45" t="b">
        <v>1</v>
      </c>
      <c r="AH764" s="45" t="b">
        <v>1</v>
      </c>
    </row>
    <row r="765" spans="22:34" x14ac:dyDescent="0.25">
      <c r="V765" t="s">
        <v>555</v>
      </c>
      <c r="W765" s="45" t="s">
        <v>342</v>
      </c>
      <c r="X765" s="45" t="b">
        <v>0</v>
      </c>
      <c r="Y765" s="45" t="b">
        <v>1</v>
      </c>
      <c r="Z765" s="45" t="b">
        <v>1</v>
      </c>
      <c r="AA765" s="45" t="b">
        <v>0</v>
      </c>
      <c r="AB765" s="45" t="b">
        <v>1</v>
      </c>
      <c r="AC765" s="45" t="b">
        <v>1</v>
      </c>
      <c r="AD765" s="45" t="b">
        <v>1</v>
      </c>
      <c r="AE765" s="45" t="b">
        <v>1</v>
      </c>
      <c r="AF765" s="45" t="s">
        <v>311</v>
      </c>
      <c r="AG765" s="45" t="b">
        <v>1</v>
      </c>
      <c r="AH765" s="45" t="b">
        <v>1</v>
      </c>
    </row>
    <row r="766" spans="22:34" x14ac:dyDescent="0.25">
      <c r="V766" t="s">
        <v>555</v>
      </c>
      <c r="W766" s="45" t="s">
        <v>342</v>
      </c>
      <c r="X766" s="45" t="b">
        <v>0</v>
      </c>
      <c r="Y766" s="45" t="b">
        <v>1</v>
      </c>
      <c r="Z766" s="45" t="b">
        <v>1</v>
      </c>
      <c r="AA766" s="45" t="b">
        <v>0</v>
      </c>
      <c r="AB766" s="45" t="b">
        <v>1</v>
      </c>
      <c r="AC766" s="45" t="b">
        <v>1</v>
      </c>
      <c r="AD766" s="45" t="b">
        <v>1</v>
      </c>
      <c r="AE766" s="45" t="b">
        <v>1</v>
      </c>
      <c r="AF766" s="45" t="s">
        <v>312</v>
      </c>
      <c r="AG766" s="45" t="b">
        <v>1</v>
      </c>
      <c r="AH766" s="45" t="b">
        <v>1</v>
      </c>
    </row>
    <row r="767" spans="22:34" x14ac:dyDescent="0.25">
      <c r="V767" t="s">
        <v>555</v>
      </c>
      <c r="W767" s="45" t="s">
        <v>342</v>
      </c>
      <c r="X767" s="45" t="b">
        <v>0</v>
      </c>
      <c r="Y767" s="45" t="b">
        <v>1</v>
      </c>
      <c r="Z767" s="45" t="b">
        <v>1</v>
      </c>
      <c r="AA767" s="45" t="b">
        <v>0</v>
      </c>
      <c r="AB767" s="45" t="b">
        <v>1</v>
      </c>
      <c r="AC767" s="45" t="b">
        <v>1</v>
      </c>
      <c r="AD767" s="45" t="b">
        <v>1</v>
      </c>
      <c r="AE767" s="45" t="b">
        <v>1</v>
      </c>
      <c r="AF767" s="45" t="s">
        <v>313</v>
      </c>
      <c r="AG767" s="45" t="b">
        <v>1</v>
      </c>
      <c r="AH767" s="45" t="b">
        <v>1</v>
      </c>
    </row>
    <row r="768" spans="22:34" x14ac:dyDescent="0.25">
      <c r="V768" t="s">
        <v>555</v>
      </c>
      <c r="W768" s="45" t="s">
        <v>342</v>
      </c>
      <c r="X768" s="45" t="b">
        <v>0</v>
      </c>
      <c r="Y768" s="45" t="b">
        <v>1</v>
      </c>
      <c r="Z768" s="45" t="b">
        <v>1</v>
      </c>
      <c r="AA768" s="45" t="b">
        <v>0</v>
      </c>
      <c r="AB768" s="45" t="b">
        <v>1</v>
      </c>
      <c r="AC768" s="45" t="b">
        <v>1</v>
      </c>
      <c r="AD768" s="45" t="b">
        <v>1</v>
      </c>
      <c r="AE768" s="45" t="b">
        <v>1</v>
      </c>
      <c r="AF768" s="45" t="s">
        <v>314</v>
      </c>
      <c r="AG768" s="45" t="b">
        <v>1</v>
      </c>
      <c r="AH768" s="45" t="b">
        <v>1</v>
      </c>
    </row>
    <row r="769" spans="22:34" x14ac:dyDescent="0.25">
      <c r="V769" t="s">
        <v>555</v>
      </c>
      <c r="W769" s="45" t="s">
        <v>342</v>
      </c>
      <c r="X769" s="45" t="b">
        <v>0</v>
      </c>
      <c r="Y769" s="45" t="b">
        <v>1</v>
      </c>
      <c r="Z769" s="45" t="b">
        <v>1</v>
      </c>
      <c r="AA769" s="45" t="b">
        <v>0</v>
      </c>
      <c r="AB769" s="45" t="b">
        <v>1</v>
      </c>
      <c r="AC769" s="45" t="b">
        <v>1</v>
      </c>
      <c r="AD769" s="45" t="b">
        <v>1</v>
      </c>
      <c r="AE769" s="45" t="b">
        <v>1</v>
      </c>
      <c r="AF769" s="45" t="s">
        <v>315</v>
      </c>
      <c r="AG769" s="45" t="b">
        <v>1</v>
      </c>
      <c r="AH769" s="45" t="b">
        <v>1</v>
      </c>
    </row>
    <row r="770" spans="22:34" x14ac:dyDescent="0.25">
      <c r="V770" t="s">
        <v>555</v>
      </c>
      <c r="W770" s="45" t="s">
        <v>342</v>
      </c>
      <c r="X770" s="45" t="b">
        <v>0</v>
      </c>
      <c r="Y770" s="45" t="b">
        <v>1</v>
      </c>
      <c r="Z770" s="45" t="b">
        <v>1</v>
      </c>
      <c r="AA770" s="45" t="b">
        <v>0</v>
      </c>
      <c r="AB770" s="45" t="b">
        <v>1</v>
      </c>
      <c r="AC770" s="45" t="b">
        <v>1</v>
      </c>
      <c r="AD770" s="45" t="b">
        <v>1</v>
      </c>
      <c r="AE770" s="45" t="b">
        <v>1</v>
      </c>
      <c r="AF770" s="45" t="s">
        <v>316</v>
      </c>
      <c r="AG770" s="45" t="b">
        <v>1</v>
      </c>
      <c r="AH770" s="45" t="b">
        <v>1</v>
      </c>
    </row>
    <row r="771" spans="22:34" x14ac:dyDescent="0.25">
      <c r="V771" t="s">
        <v>555</v>
      </c>
      <c r="W771" s="45" t="s">
        <v>342</v>
      </c>
      <c r="X771" s="45" t="b">
        <v>0</v>
      </c>
      <c r="Y771" s="45" t="b">
        <v>1</v>
      </c>
      <c r="Z771" s="45" t="b">
        <v>1</v>
      </c>
      <c r="AA771" s="45" t="b">
        <v>0</v>
      </c>
      <c r="AB771" s="45" t="b">
        <v>1</v>
      </c>
      <c r="AC771" s="45" t="b">
        <v>1</v>
      </c>
      <c r="AD771" s="45" t="b">
        <v>1</v>
      </c>
      <c r="AE771" s="45" t="b">
        <v>1</v>
      </c>
      <c r="AF771" s="45" t="s">
        <v>317</v>
      </c>
      <c r="AG771" s="45" t="b">
        <v>1</v>
      </c>
      <c r="AH771" s="45" t="b">
        <v>1</v>
      </c>
    </row>
    <row r="772" spans="22:34" x14ac:dyDescent="0.25">
      <c r="V772" t="s">
        <v>555</v>
      </c>
      <c r="W772" s="45" t="s">
        <v>342</v>
      </c>
      <c r="X772" s="45" t="b">
        <v>0</v>
      </c>
      <c r="Y772" s="45" t="b">
        <v>1</v>
      </c>
      <c r="Z772" s="45" t="b">
        <v>1</v>
      </c>
      <c r="AA772" s="45" t="b">
        <v>0</v>
      </c>
      <c r="AB772" s="45" t="b">
        <v>1</v>
      </c>
      <c r="AC772" s="45" t="b">
        <v>1</v>
      </c>
      <c r="AD772" s="45" t="b">
        <v>1</v>
      </c>
      <c r="AE772" s="45" t="b">
        <v>1</v>
      </c>
      <c r="AF772" s="45" t="s">
        <v>318</v>
      </c>
      <c r="AG772" s="45" t="b">
        <v>1</v>
      </c>
      <c r="AH772" s="45" t="b">
        <v>1</v>
      </c>
    </row>
    <row r="773" spans="22:34" x14ac:dyDescent="0.25">
      <c r="V773" t="s">
        <v>555</v>
      </c>
      <c r="W773" s="45" t="s">
        <v>342</v>
      </c>
      <c r="X773" s="45" t="b">
        <v>0</v>
      </c>
      <c r="Y773" s="45" t="b">
        <v>1</v>
      </c>
      <c r="Z773" s="45" t="b">
        <v>1</v>
      </c>
      <c r="AA773" s="45" t="b">
        <v>0</v>
      </c>
      <c r="AB773" s="45" t="b">
        <v>1</v>
      </c>
      <c r="AC773" s="45" t="b">
        <v>1</v>
      </c>
      <c r="AD773" s="45" t="b">
        <v>1</v>
      </c>
      <c r="AE773" s="45" t="b">
        <v>1</v>
      </c>
      <c r="AF773" s="45" t="s">
        <v>319</v>
      </c>
      <c r="AG773" s="45" t="b">
        <v>1</v>
      </c>
      <c r="AH773" s="45" t="b">
        <v>1</v>
      </c>
    </row>
    <row r="774" spans="22:34" x14ac:dyDescent="0.25">
      <c r="V774" t="s">
        <v>556</v>
      </c>
      <c r="W774" s="45" t="s">
        <v>343</v>
      </c>
      <c r="X774" s="45" t="b">
        <v>0</v>
      </c>
      <c r="Y774" s="45" t="b">
        <v>0</v>
      </c>
      <c r="Z774" s="45" t="b">
        <v>1</v>
      </c>
      <c r="AA774" s="45" t="b">
        <v>0</v>
      </c>
      <c r="AB774" s="45" t="b">
        <v>1</v>
      </c>
      <c r="AC774" s="45" t="b">
        <v>1</v>
      </c>
      <c r="AD774" s="45" t="b">
        <v>1</v>
      </c>
      <c r="AE774" s="45" t="b">
        <v>1</v>
      </c>
      <c r="AF774" s="45" t="s">
        <v>295</v>
      </c>
      <c r="AG774" s="45" t="b">
        <v>1</v>
      </c>
      <c r="AH774" s="45" t="b">
        <v>1</v>
      </c>
    </row>
    <row r="775" spans="22:34" x14ac:dyDescent="0.25">
      <c r="V775" t="s">
        <v>556</v>
      </c>
      <c r="W775" s="45" t="s">
        <v>343</v>
      </c>
      <c r="X775" s="45" t="b">
        <v>0</v>
      </c>
      <c r="Y775" s="45" t="b">
        <v>0</v>
      </c>
      <c r="Z775" s="45" t="b">
        <v>1</v>
      </c>
      <c r="AA775" s="45" t="b">
        <v>0</v>
      </c>
      <c r="AB775" s="45" t="b">
        <v>1</v>
      </c>
      <c r="AC775" s="45" t="b">
        <v>1</v>
      </c>
      <c r="AD775" s="45" t="b">
        <v>1</v>
      </c>
      <c r="AE775" s="45" t="b">
        <v>1</v>
      </c>
      <c r="AF775" s="45" t="s">
        <v>297</v>
      </c>
      <c r="AG775" s="45" t="b">
        <v>1</v>
      </c>
      <c r="AH775" s="45" t="b">
        <v>1</v>
      </c>
    </row>
    <row r="776" spans="22:34" x14ac:dyDescent="0.25">
      <c r="V776" t="s">
        <v>556</v>
      </c>
      <c r="W776" s="45" t="s">
        <v>343</v>
      </c>
      <c r="X776" s="45" t="b">
        <v>0</v>
      </c>
      <c r="Y776" s="45" t="b">
        <v>0</v>
      </c>
      <c r="Z776" s="45" t="b">
        <v>1</v>
      </c>
      <c r="AA776" s="45" t="b">
        <v>0</v>
      </c>
      <c r="AB776" s="45" t="b">
        <v>1</v>
      </c>
      <c r="AC776" s="45" t="b">
        <v>1</v>
      </c>
      <c r="AD776" s="45" t="b">
        <v>1</v>
      </c>
      <c r="AE776" s="45" t="b">
        <v>1</v>
      </c>
      <c r="AF776" s="45" t="s">
        <v>112</v>
      </c>
      <c r="AG776" s="45" t="b">
        <v>1</v>
      </c>
      <c r="AH776" s="45" t="b">
        <v>1</v>
      </c>
    </row>
    <row r="777" spans="22:34" x14ac:dyDescent="0.25">
      <c r="V777" t="s">
        <v>556</v>
      </c>
      <c r="W777" s="45" t="s">
        <v>343</v>
      </c>
      <c r="X777" s="45" t="b">
        <v>0</v>
      </c>
      <c r="Y777" s="45" t="b">
        <v>0</v>
      </c>
      <c r="Z777" s="45" t="b">
        <v>1</v>
      </c>
      <c r="AA777" s="45" t="b">
        <v>0</v>
      </c>
      <c r="AB777" s="45" t="b">
        <v>1</v>
      </c>
      <c r="AC777" s="45" t="b">
        <v>1</v>
      </c>
      <c r="AD777" s="45" t="b">
        <v>1</v>
      </c>
      <c r="AE777" s="45" t="b">
        <v>1</v>
      </c>
      <c r="AF777" s="45" t="s">
        <v>114</v>
      </c>
      <c r="AG777" s="45" t="b">
        <v>1</v>
      </c>
      <c r="AH777" s="45" t="b">
        <v>1</v>
      </c>
    </row>
    <row r="778" spans="22:34" x14ac:dyDescent="0.25">
      <c r="V778" t="s">
        <v>556</v>
      </c>
      <c r="W778" s="45" t="s">
        <v>343</v>
      </c>
      <c r="X778" s="45" t="b">
        <v>0</v>
      </c>
      <c r="Y778" s="45" t="b">
        <v>0</v>
      </c>
      <c r="Z778" s="45" t="b">
        <v>1</v>
      </c>
      <c r="AA778" s="45" t="b">
        <v>0</v>
      </c>
      <c r="AB778" s="45" t="b">
        <v>1</v>
      </c>
      <c r="AC778" s="45" t="b">
        <v>1</v>
      </c>
      <c r="AD778" s="45" t="b">
        <v>1</v>
      </c>
      <c r="AE778" s="45" t="b">
        <v>1</v>
      </c>
      <c r="AF778" s="45" t="s">
        <v>115</v>
      </c>
      <c r="AG778" s="45" t="b">
        <v>1</v>
      </c>
      <c r="AH778" s="45" t="b">
        <v>1</v>
      </c>
    </row>
    <row r="779" spans="22:34" x14ac:dyDescent="0.25">
      <c r="V779" t="s">
        <v>556</v>
      </c>
      <c r="W779" s="45" t="s">
        <v>343</v>
      </c>
      <c r="X779" s="45" t="b">
        <v>0</v>
      </c>
      <c r="Y779" s="45" t="b">
        <v>0</v>
      </c>
      <c r="Z779" s="45" t="b">
        <v>1</v>
      </c>
      <c r="AA779" s="45" t="b">
        <v>0</v>
      </c>
      <c r="AB779" s="45" t="b">
        <v>1</v>
      </c>
      <c r="AC779" s="45" t="b">
        <v>1</v>
      </c>
      <c r="AD779" s="45" t="b">
        <v>1</v>
      </c>
      <c r="AE779" s="45" t="b">
        <v>1</v>
      </c>
      <c r="AF779" s="45" t="s">
        <v>116</v>
      </c>
      <c r="AG779" s="45" t="b">
        <v>1</v>
      </c>
      <c r="AH779" s="45" t="b">
        <v>1</v>
      </c>
    </row>
    <row r="780" spans="22:34" x14ac:dyDescent="0.25">
      <c r="V780" t="s">
        <v>556</v>
      </c>
      <c r="W780" s="45" t="s">
        <v>343</v>
      </c>
      <c r="X780" s="45" t="b">
        <v>0</v>
      </c>
      <c r="Y780" s="45" t="b">
        <v>0</v>
      </c>
      <c r="Z780" s="45" t="b">
        <v>1</v>
      </c>
      <c r="AA780" s="45" t="b">
        <v>0</v>
      </c>
      <c r="AB780" s="45" t="b">
        <v>1</v>
      </c>
      <c r="AC780" s="45" t="b">
        <v>1</v>
      </c>
      <c r="AD780" s="45" t="b">
        <v>1</v>
      </c>
      <c r="AE780" s="45" t="b">
        <v>1</v>
      </c>
      <c r="AF780" s="45" t="s">
        <v>298</v>
      </c>
      <c r="AG780" s="45" t="b">
        <v>1</v>
      </c>
      <c r="AH780" s="45" t="b">
        <v>1</v>
      </c>
    </row>
    <row r="781" spans="22:34" x14ac:dyDescent="0.25">
      <c r="V781" t="s">
        <v>556</v>
      </c>
      <c r="W781" s="45" t="s">
        <v>343</v>
      </c>
      <c r="X781" s="45" t="b">
        <v>0</v>
      </c>
      <c r="Y781" s="45" t="b">
        <v>0</v>
      </c>
      <c r="Z781" s="45" t="b">
        <v>1</v>
      </c>
      <c r="AA781" s="45" t="b">
        <v>0</v>
      </c>
      <c r="AB781" s="45" t="b">
        <v>1</v>
      </c>
      <c r="AC781" s="45" t="b">
        <v>1</v>
      </c>
      <c r="AD781" s="45" t="b">
        <v>1</v>
      </c>
      <c r="AE781" s="45" t="b">
        <v>1</v>
      </c>
      <c r="AF781" s="45" t="s">
        <v>299</v>
      </c>
      <c r="AG781" s="45" t="b">
        <v>1</v>
      </c>
      <c r="AH781" s="45" t="b">
        <v>1</v>
      </c>
    </row>
    <row r="782" spans="22:34" x14ac:dyDescent="0.25">
      <c r="V782" t="s">
        <v>556</v>
      </c>
      <c r="W782" s="45" t="s">
        <v>343</v>
      </c>
      <c r="X782" s="45" t="b">
        <v>0</v>
      </c>
      <c r="Y782" s="45" t="b">
        <v>0</v>
      </c>
      <c r="Z782" s="45" t="b">
        <v>1</v>
      </c>
      <c r="AA782" s="45" t="b">
        <v>0</v>
      </c>
      <c r="AB782" s="45" t="b">
        <v>1</v>
      </c>
      <c r="AC782" s="45" t="b">
        <v>1</v>
      </c>
      <c r="AD782" s="45" t="b">
        <v>1</v>
      </c>
      <c r="AE782" s="45" t="b">
        <v>1</v>
      </c>
      <c r="AF782" s="45" t="s">
        <v>414</v>
      </c>
      <c r="AG782" s="45" t="b">
        <v>1</v>
      </c>
      <c r="AH782" s="45" t="b">
        <v>1</v>
      </c>
    </row>
    <row r="783" spans="22:34" x14ac:dyDescent="0.25">
      <c r="V783" t="s">
        <v>556</v>
      </c>
      <c r="W783" s="45" t="s">
        <v>343</v>
      </c>
      <c r="X783" s="45" t="b">
        <v>0</v>
      </c>
      <c r="Y783" s="45" t="b">
        <v>0</v>
      </c>
      <c r="Z783" s="45" t="b">
        <v>1</v>
      </c>
      <c r="AA783" s="45" t="b">
        <v>0</v>
      </c>
      <c r="AB783" s="45" t="b">
        <v>1</v>
      </c>
      <c r="AC783" s="45" t="b">
        <v>1</v>
      </c>
      <c r="AD783" s="45" t="b">
        <v>1</v>
      </c>
      <c r="AE783" s="45" t="b">
        <v>1</v>
      </c>
      <c r="AF783" s="45" t="s">
        <v>118</v>
      </c>
      <c r="AG783" s="45" t="b">
        <v>1</v>
      </c>
      <c r="AH783" s="45" t="b">
        <v>1</v>
      </c>
    </row>
    <row r="784" spans="22:34" x14ac:dyDescent="0.25">
      <c r="V784" t="s">
        <v>556</v>
      </c>
      <c r="W784" s="45" t="s">
        <v>343</v>
      </c>
      <c r="X784" s="45" t="b">
        <v>0</v>
      </c>
      <c r="Y784" s="45" t="b">
        <v>0</v>
      </c>
      <c r="Z784" s="45" t="b">
        <v>1</v>
      </c>
      <c r="AA784" s="45" t="b">
        <v>0</v>
      </c>
      <c r="AB784" s="45" t="b">
        <v>1</v>
      </c>
      <c r="AC784" s="45" t="b">
        <v>1</v>
      </c>
      <c r="AD784" s="45" t="b">
        <v>1</v>
      </c>
      <c r="AE784" s="45" t="b">
        <v>1</v>
      </c>
      <c r="AF784" s="45" t="s">
        <v>119</v>
      </c>
      <c r="AG784" s="45" t="b">
        <v>1</v>
      </c>
      <c r="AH784" s="45" t="b">
        <v>1</v>
      </c>
    </row>
    <row r="785" spans="22:34" x14ac:dyDescent="0.25">
      <c r="V785" t="s">
        <v>556</v>
      </c>
      <c r="W785" s="45" t="s">
        <v>343</v>
      </c>
      <c r="X785" s="45" t="b">
        <v>0</v>
      </c>
      <c r="Y785" s="45" t="b">
        <v>0</v>
      </c>
      <c r="Z785" s="45" t="b">
        <v>1</v>
      </c>
      <c r="AA785" s="45" t="b">
        <v>0</v>
      </c>
      <c r="AB785" s="45" t="b">
        <v>1</v>
      </c>
      <c r="AC785" s="45" t="b">
        <v>1</v>
      </c>
      <c r="AD785" s="45" t="b">
        <v>1</v>
      </c>
      <c r="AE785" s="45" t="b">
        <v>1</v>
      </c>
      <c r="AF785" s="45" t="s">
        <v>300</v>
      </c>
      <c r="AG785" s="45" t="b">
        <v>1</v>
      </c>
      <c r="AH785" s="45" t="b">
        <v>1</v>
      </c>
    </row>
    <row r="786" spans="22:34" x14ac:dyDescent="0.25">
      <c r="V786" t="s">
        <v>556</v>
      </c>
      <c r="W786" s="45" t="s">
        <v>343</v>
      </c>
      <c r="X786" s="45" t="b">
        <v>0</v>
      </c>
      <c r="Y786" s="45" t="b">
        <v>0</v>
      </c>
      <c r="Z786" s="45" t="b">
        <v>1</v>
      </c>
      <c r="AA786" s="45" t="b">
        <v>0</v>
      </c>
      <c r="AB786" s="45" t="b">
        <v>1</v>
      </c>
      <c r="AC786" s="45" t="b">
        <v>1</v>
      </c>
      <c r="AD786" s="45" t="b">
        <v>1</v>
      </c>
      <c r="AE786" s="45" t="b">
        <v>1</v>
      </c>
      <c r="AF786" s="45" t="s">
        <v>301</v>
      </c>
      <c r="AG786" s="45" t="b">
        <v>1</v>
      </c>
      <c r="AH786" s="45" t="b">
        <v>1</v>
      </c>
    </row>
    <row r="787" spans="22:34" x14ac:dyDescent="0.25">
      <c r="V787" t="s">
        <v>556</v>
      </c>
      <c r="W787" s="45" t="s">
        <v>343</v>
      </c>
      <c r="X787" s="45" t="b">
        <v>0</v>
      </c>
      <c r="Y787" s="45" t="b">
        <v>0</v>
      </c>
      <c r="Z787" s="45" t="b">
        <v>1</v>
      </c>
      <c r="AA787" s="45" t="b">
        <v>0</v>
      </c>
      <c r="AB787" s="45" t="b">
        <v>1</v>
      </c>
      <c r="AC787" s="45" t="b">
        <v>1</v>
      </c>
      <c r="AD787" s="45" t="b">
        <v>1</v>
      </c>
      <c r="AE787" s="45" t="b">
        <v>1</v>
      </c>
      <c r="AF787" s="45" t="s">
        <v>120</v>
      </c>
      <c r="AG787" s="45" t="b">
        <v>1</v>
      </c>
      <c r="AH787" s="45" t="b">
        <v>1</v>
      </c>
    </row>
    <row r="788" spans="22:34" x14ac:dyDescent="0.25">
      <c r="V788" t="s">
        <v>556</v>
      </c>
      <c r="W788" s="45" t="s">
        <v>343</v>
      </c>
      <c r="X788" s="45" t="b">
        <v>0</v>
      </c>
      <c r="Y788" s="45" t="b">
        <v>0</v>
      </c>
      <c r="Z788" s="45" t="b">
        <v>1</v>
      </c>
      <c r="AA788" s="45" t="b">
        <v>0</v>
      </c>
      <c r="AB788" s="45" t="b">
        <v>1</v>
      </c>
      <c r="AC788" s="45" t="b">
        <v>1</v>
      </c>
      <c r="AD788" s="45" t="b">
        <v>1</v>
      </c>
      <c r="AE788" s="45" t="b">
        <v>1</v>
      </c>
      <c r="AF788" s="45" t="s">
        <v>302</v>
      </c>
      <c r="AG788" s="45" t="b">
        <v>1</v>
      </c>
      <c r="AH788" s="45" t="b">
        <v>1</v>
      </c>
    </row>
    <row r="789" spans="22:34" x14ac:dyDescent="0.25">
      <c r="V789" t="s">
        <v>556</v>
      </c>
      <c r="W789" s="45" t="s">
        <v>343</v>
      </c>
      <c r="X789" s="45" t="b">
        <v>0</v>
      </c>
      <c r="Y789" s="45" t="b">
        <v>0</v>
      </c>
      <c r="Z789" s="45" t="b">
        <v>1</v>
      </c>
      <c r="AA789" s="45" t="b">
        <v>0</v>
      </c>
      <c r="AB789" s="45" t="b">
        <v>1</v>
      </c>
      <c r="AC789" s="45" t="b">
        <v>1</v>
      </c>
      <c r="AD789" s="45" t="b">
        <v>1</v>
      </c>
      <c r="AE789" s="45" t="b">
        <v>1</v>
      </c>
      <c r="AF789" s="45" t="s">
        <v>303</v>
      </c>
      <c r="AG789" s="45" t="b">
        <v>1</v>
      </c>
      <c r="AH789" s="45" t="b">
        <v>1</v>
      </c>
    </row>
    <row r="790" spans="22:34" x14ac:dyDescent="0.25">
      <c r="V790" t="s">
        <v>556</v>
      </c>
      <c r="W790" s="45" t="s">
        <v>343</v>
      </c>
      <c r="X790" s="45" t="b">
        <v>0</v>
      </c>
      <c r="Y790" s="45" t="b">
        <v>0</v>
      </c>
      <c r="Z790" s="45" t="b">
        <v>1</v>
      </c>
      <c r="AA790" s="45" t="b">
        <v>0</v>
      </c>
      <c r="AB790" s="45" t="b">
        <v>1</v>
      </c>
      <c r="AC790" s="45" t="b">
        <v>1</v>
      </c>
      <c r="AD790" s="45" t="b">
        <v>1</v>
      </c>
      <c r="AE790" s="45" t="b">
        <v>1</v>
      </c>
      <c r="AF790" s="45" t="s">
        <v>304</v>
      </c>
      <c r="AG790" s="45" t="b">
        <v>1</v>
      </c>
      <c r="AH790" s="45" t="b">
        <v>1</v>
      </c>
    </row>
    <row r="791" spans="22:34" x14ac:dyDescent="0.25">
      <c r="V791" t="s">
        <v>556</v>
      </c>
      <c r="W791" s="45" t="s">
        <v>343</v>
      </c>
      <c r="X791" s="45" t="b">
        <v>0</v>
      </c>
      <c r="Y791" s="45" t="b">
        <v>0</v>
      </c>
      <c r="Z791" s="45" t="b">
        <v>1</v>
      </c>
      <c r="AA791" s="45" t="b">
        <v>0</v>
      </c>
      <c r="AB791" s="45" t="b">
        <v>1</v>
      </c>
      <c r="AC791" s="45" t="b">
        <v>1</v>
      </c>
      <c r="AD791" s="45" t="b">
        <v>1</v>
      </c>
      <c r="AE791" s="45" t="b">
        <v>1</v>
      </c>
      <c r="AF791" s="45" t="s">
        <v>305</v>
      </c>
      <c r="AG791" s="45" t="b">
        <v>1</v>
      </c>
      <c r="AH791" s="45" t="b">
        <v>1</v>
      </c>
    </row>
    <row r="792" spans="22:34" x14ac:dyDescent="0.25">
      <c r="V792" t="s">
        <v>556</v>
      </c>
      <c r="W792" s="45" t="s">
        <v>343</v>
      </c>
      <c r="X792" s="45" t="b">
        <v>0</v>
      </c>
      <c r="Y792" s="45" t="b">
        <v>0</v>
      </c>
      <c r="Z792" s="45" t="b">
        <v>1</v>
      </c>
      <c r="AA792" s="45" t="b">
        <v>0</v>
      </c>
      <c r="AB792" s="45" t="b">
        <v>1</v>
      </c>
      <c r="AC792" s="45" t="b">
        <v>1</v>
      </c>
      <c r="AD792" s="45" t="b">
        <v>1</v>
      </c>
      <c r="AE792" s="45" t="b">
        <v>1</v>
      </c>
      <c r="AF792" s="45" t="s">
        <v>306</v>
      </c>
      <c r="AG792" s="45" t="b">
        <v>1</v>
      </c>
      <c r="AH792" s="45" t="b">
        <v>1</v>
      </c>
    </row>
    <row r="793" spans="22:34" x14ac:dyDescent="0.25">
      <c r="V793" t="s">
        <v>556</v>
      </c>
      <c r="W793" s="45" t="s">
        <v>343</v>
      </c>
      <c r="X793" s="45" t="b">
        <v>0</v>
      </c>
      <c r="Y793" s="45" t="b">
        <v>0</v>
      </c>
      <c r="Z793" s="45" t="b">
        <v>1</v>
      </c>
      <c r="AA793" s="45" t="b">
        <v>0</v>
      </c>
      <c r="AB793" s="45" t="b">
        <v>1</v>
      </c>
      <c r="AC793" s="45" t="b">
        <v>1</v>
      </c>
      <c r="AD793" s="45" t="b">
        <v>1</v>
      </c>
      <c r="AE793" s="45" t="b">
        <v>1</v>
      </c>
      <c r="AF793" s="45" t="s">
        <v>307</v>
      </c>
      <c r="AG793" s="45" t="b">
        <v>1</v>
      </c>
      <c r="AH793" s="45" t="b">
        <v>1</v>
      </c>
    </row>
    <row r="794" spans="22:34" x14ac:dyDescent="0.25">
      <c r="V794" t="s">
        <v>556</v>
      </c>
      <c r="W794" s="45" t="s">
        <v>343</v>
      </c>
      <c r="X794" s="45" t="b">
        <v>0</v>
      </c>
      <c r="Y794" s="45" t="b">
        <v>0</v>
      </c>
      <c r="Z794" s="45" t="b">
        <v>1</v>
      </c>
      <c r="AA794" s="45" t="b">
        <v>0</v>
      </c>
      <c r="AB794" s="45" t="b">
        <v>1</v>
      </c>
      <c r="AC794" s="45" t="b">
        <v>1</v>
      </c>
      <c r="AD794" s="45" t="b">
        <v>1</v>
      </c>
      <c r="AE794" s="45" t="b">
        <v>1</v>
      </c>
      <c r="AF794" s="45" t="s">
        <v>308</v>
      </c>
      <c r="AG794" s="45" t="b">
        <v>1</v>
      </c>
      <c r="AH794" s="45" t="b">
        <v>1</v>
      </c>
    </row>
    <row r="795" spans="22:34" x14ac:dyDescent="0.25">
      <c r="V795" t="s">
        <v>556</v>
      </c>
      <c r="W795" s="45" t="s">
        <v>343</v>
      </c>
      <c r="X795" s="45" t="b">
        <v>0</v>
      </c>
      <c r="Y795" s="45" t="b">
        <v>0</v>
      </c>
      <c r="Z795" s="45" t="b">
        <v>1</v>
      </c>
      <c r="AA795" s="45" t="b">
        <v>0</v>
      </c>
      <c r="AB795" s="45" t="b">
        <v>1</v>
      </c>
      <c r="AC795" s="45" t="b">
        <v>1</v>
      </c>
      <c r="AD795" s="45" t="b">
        <v>1</v>
      </c>
      <c r="AE795" s="45" t="b">
        <v>1</v>
      </c>
      <c r="AF795" s="45" t="s">
        <v>309</v>
      </c>
      <c r="AG795" s="45" t="b">
        <v>1</v>
      </c>
      <c r="AH795" s="45" t="b">
        <v>1</v>
      </c>
    </row>
    <row r="796" spans="22:34" x14ac:dyDescent="0.25">
      <c r="V796" t="s">
        <v>556</v>
      </c>
      <c r="W796" s="45" t="s">
        <v>343</v>
      </c>
      <c r="X796" s="45" t="b">
        <v>0</v>
      </c>
      <c r="Y796" s="45" t="b">
        <v>0</v>
      </c>
      <c r="Z796" s="45" t="b">
        <v>1</v>
      </c>
      <c r="AA796" s="45" t="b">
        <v>0</v>
      </c>
      <c r="AB796" s="45" t="b">
        <v>1</v>
      </c>
      <c r="AC796" s="45" t="b">
        <v>1</v>
      </c>
      <c r="AD796" s="45" t="b">
        <v>1</v>
      </c>
      <c r="AE796" s="45" t="b">
        <v>1</v>
      </c>
      <c r="AF796" s="45" t="s">
        <v>310</v>
      </c>
      <c r="AG796" s="45" t="b">
        <v>1</v>
      </c>
      <c r="AH796" s="45" t="b">
        <v>1</v>
      </c>
    </row>
    <row r="797" spans="22:34" x14ac:dyDescent="0.25">
      <c r="V797" t="s">
        <v>556</v>
      </c>
      <c r="W797" s="45" t="s">
        <v>343</v>
      </c>
      <c r="X797" s="45" t="b">
        <v>0</v>
      </c>
      <c r="Y797" s="45" t="b">
        <v>0</v>
      </c>
      <c r="Z797" s="45" t="b">
        <v>1</v>
      </c>
      <c r="AA797" s="45" t="b">
        <v>0</v>
      </c>
      <c r="AB797" s="45" t="b">
        <v>1</v>
      </c>
      <c r="AC797" s="45" t="b">
        <v>1</v>
      </c>
      <c r="AD797" s="45" t="b">
        <v>1</v>
      </c>
      <c r="AE797" s="45" t="b">
        <v>1</v>
      </c>
      <c r="AF797" s="45" t="s">
        <v>311</v>
      </c>
      <c r="AG797" s="45" t="b">
        <v>1</v>
      </c>
      <c r="AH797" s="45" t="b">
        <v>1</v>
      </c>
    </row>
    <row r="798" spans="22:34" x14ac:dyDescent="0.25">
      <c r="V798" t="s">
        <v>556</v>
      </c>
      <c r="W798" s="45" t="s">
        <v>343</v>
      </c>
      <c r="X798" s="45" t="b">
        <v>0</v>
      </c>
      <c r="Y798" s="45" t="b">
        <v>0</v>
      </c>
      <c r="Z798" s="45" t="b">
        <v>1</v>
      </c>
      <c r="AA798" s="45" t="b">
        <v>0</v>
      </c>
      <c r="AB798" s="45" t="b">
        <v>1</v>
      </c>
      <c r="AC798" s="45" t="b">
        <v>1</v>
      </c>
      <c r="AD798" s="45" t="b">
        <v>1</v>
      </c>
      <c r="AE798" s="45" t="b">
        <v>1</v>
      </c>
      <c r="AF798" s="45" t="s">
        <v>312</v>
      </c>
      <c r="AG798" s="45" t="b">
        <v>1</v>
      </c>
      <c r="AH798" s="45" t="b">
        <v>1</v>
      </c>
    </row>
    <row r="799" spans="22:34" x14ac:dyDescent="0.25">
      <c r="V799" t="s">
        <v>556</v>
      </c>
      <c r="W799" s="45" t="s">
        <v>343</v>
      </c>
      <c r="X799" s="45" t="b">
        <v>0</v>
      </c>
      <c r="Y799" s="45" t="b">
        <v>0</v>
      </c>
      <c r="Z799" s="45" t="b">
        <v>1</v>
      </c>
      <c r="AA799" s="45" t="b">
        <v>0</v>
      </c>
      <c r="AB799" s="45" t="b">
        <v>1</v>
      </c>
      <c r="AC799" s="45" t="b">
        <v>1</v>
      </c>
      <c r="AD799" s="45" t="b">
        <v>1</v>
      </c>
      <c r="AE799" s="45" t="b">
        <v>1</v>
      </c>
      <c r="AF799" s="45" t="s">
        <v>313</v>
      </c>
      <c r="AG799" s="45" t="b">
        <v>1</v>
      </c>
      <c r="AH799" s="45" t="b">
        <v>1</v>
      </c>
    </row>
    <row r="800" spans="22:34" x14ac:dyDescent="0.25">
      <c r="V800" t="s">
        <v>556</v>
      </c>
      <c r="W800" s="45" t="s">
        <v>343</v>
      </c>
      <c r="X800" s="45" t="b">
        <v>0</v>
      </c>
      <c r="Y800" s="45" t="b">
        <v>0</v>
      </c>
      <c r="Z800" s="45" t="b">
        <v>1</v>
      </c>
      <c r="AA800" s="45" t="b">
        <v>0</v>
      </c>
      <c r="AB800" s="45" t="b">
        <v>1</v>
      </c>
      <c r="AC800" s="45" t="b">
        <v>1</v>
      </c>
      <c r="AD800" s="45" t="b">
        <v>1</v>
      </c>
      <c r="AE800" s="45" t="b">
        <v>1</v>
      </c>
      <c r="AF800" s="45" t="s">
        <v>314</v>
      </c>
      <c r="AG800" s="45" t="b">
        <v>1</v>
      </c>
      <c r="AH800" s="45" t="b">
        <v>1</v>
      </c>
    </row>
    <row r="801" spans="22:34" x14ac:dyDescent="0.25">
      <c r="V801" t="s">
        <v>556</v>
      </c>
      <c r="W801" s="45" t="s">
        <v>343</v>
      </c>
      <c r="X801" s="45" t="b">
        <v>0</v>
      </c>
      <c r="Y801" s="45" t="b">
        <v>0</v>
      </c>
      <c r="Z801" s="45" t="b">
        <v>1</v>
      </c>
      <c r="AA801" s="45" t="b">
        <v>0</v>
      </c>
      <c r="AB801" s="45" t="b">
        <v>1</v>
      </c>
      <c r="AC801" s="45" t="b">
        <v>1</v>
      </c>
      <c r="AD801" s="45" t="b">
        <v>1</v>
      </c>
      <c r="AE801" s="45" t="b">
        <v>1</v>
      </c>
      <c r="AF801" s="45" t="s">
        <v>315</v>
      </c>
      <c r="AG801" s="45" t="b">
        <v>1</v>
      </c>
      <c r="AH801" s="45" t="b">
        <v>1</v>
      </c>
    </row>
    <row r="802" spans="22:34" x14ac:dyDescent="0.25">
      <c r="V802" t="s">
        <v>556</v>
      </c>
      <c r="W802" s="45" t="s">
        <v>343</v>
      </c>
      <c r="X802" s="45" t="b">
        <v>0</v>
      </c>
      <c r="Y802" s="45" t="b">
        <v>0</v>
      </c>
      <c r="Z802" s="45" t="b">
        <v>1</v>
      </c>
      <c r="AA802" s="45" t="b">
        <v>0</v>
      </c>
      <c r="AB802" s="45" t="b">
        <v>1</v>
      </c>
      <c r="AC802" s="45" t="b">
        <v>1</v>
      </c>
      <c r="AD802" s="45" t="b">
        <v>1</v>
      </c>
      <c r="AE802" s="45" t="b">
        <v>1</v>
      </c>
      <c r="AF802" s="45" t="s">
        <v>316</v>
      </c>
      <c r="AG802" s="45" t="b">
        <v>1</v>
      </c>
      <c r="AH802" s="45" t="b">
        <v>1</v>
      </c>
    </row>
    <row r="803" spans="22:34" x14ac:dyDescent="0.25">
      <c r="V803" t="s">
        <v>556</v>
      </c>
      <c r="W803" s="45" t="s">
        <v>343</v>
      </c>
      <c r="X803" s="45" t="b">
        <v>0</v>
      </c>
      <c r="Y803" s="45" t="b">
        <v>0</v>
      </c>
      <c r="Z803" s="45" t="b">
        <v>1</v>
      </c>
      <c r="AA803" s="45" t="b">
        <v>0</v>
      </c>
      <c r="AB803" s="45" t="b">
        <v>1</v>
      </c>
      <c r="AC803" s="45" t="b">
        <v>1</v>
      </c>
      <c r="AD803" s="45" t="b">
        <v>1</v>
      </c>
      <c r="AE803" s="45" t="b">
        <v>1</v>
      </c>
      <c r="AF803" s="45" t="s">
        <v>317</v>
      </c>
      <c r="AG803" s="45" t="b">
        <v>1</v>
      </c>
      <c r="AH803" s="45" t="b">
        <v>1</v>
      </c>
    </row>
    <row r="804" spans="22:34" x14ac:dyDescent="0.25">
      <c r="V804" t="s">
        <v>556</v>
      </c>
      <c r="W804" s="45" t="s">
        <v>343</v>
      </c>
      <c r="X804" s="45" t="b">
        <v>0</v>
      </c>
      <c r="Y804" s="45" t="b">
        <v>0</v>
      </c>
      <c r="Z804" s="45" t="b">
        <v>1</v>
      </c>
      <c r="AA804" s="45" t="b">
        <v>0</v>
      </c>
      <c r="AB804" s="45" t="b">
        <v>1</v>
      </c>
      <c r="AC804" s="45" t="b">
        <v>1</v>
      </c>
      <c r="AD804" s="45" t="b">
        <v>1</v>
      </c>
      <c r="AE804" s="45" t="b">
        <v>1</v>
      </c>
      <c r="AF804" s="45" t="s">
        <v>318</v>
      </c>
      <c r="AG804" s="45" t="b">
        <v>1</v>
      </c>
      <c r="AH804" s="45" t="b">
        <v>1</v>
      </c>
    </row>
    <row r="805" spans="22:34" x14ac:dyDescent="0.25">
      <c r="V805" t="s">
        <v>556</v>
      </c>
      <c r="W805" s="45" t="s">
        <v>343</v>
      </c>
      <c r="X805" s="45" t="b">
        <v>0</v>
      </c>
      <c r="Y805" s="45" t="b">
        <v>0</v>
      </c>
      <c r="Z805" s="45" t="b">
        <v>1</v>
      </c>
      <c r="AA805" s="45" t="b">
        <v>0</v>
      </c>
      <c r="AB805" s="45" t="b">
        <v>1</v>
      </c>
      <c r="AC805" s="45" t="b">
        <v>1</v>
      </c>
      <c r="AD805" s="45" t="b">
        <v>1</v>
      </c>
      <c r="AE805" s="45" t="b">
        <v>1</v>
      </c>
      <c r="AF805" s="45" t="s">
        <v>319</v>
      </c>
      <c r="AG805" s="45" t="b">
        <v>1</v>
      </c>
      <c r="AH805" s="45" t="b">
        <v>1</v>
      </c>
    </row>
    <row r="806" spans="22:34" x14ac:dyDescent="0.25">
      <c r="V806" t="s">
        <v>557</v>
      </c>
      <c r="W806" s="45" t="s">
        <v>344</v>
      </c>
      <c r="X806" s="45" t="b">
        <v>0</v>
      </c>
      <c r="Y806" s="45" t="b">
        <v>1</v>
      </c>
      <c r="Z806" s="45" t="b">
        <v>1</v>
      </c>
      <c r="AA806" s="45" t="b">
        <v>0</v>
      </c>
      <c r="AB806" s="45" t="b">
        <v>1</v>
      </c>
      <c r="AC806" s="45" t="b">
        <v>1</v>
      </c>
      <c r="AD806" s="45" t="b">
        <v>1</v>
      </c>
      <c r="AE806" s="45" t="b">
        <v>1</v>
      </c>
      <c r="AF806" s="45" t="s">
        <v>295</v>
      </c>
      <c r="AG806" s="45" t="b">
        <v>1</v>
      </c>
      <c r="AH806" s="45" t="b">
        <v>1</v>
      </c>
    </row>
    <row r="807" spans="22:34" x14ac:dyDescent="0.25">
      <c r="V807" t="s">
        <v>557</v>
      </c>
      <c r="W807" s="45" t="s">
        <v>344</v>
      </c>
      <c r="X807" s="45" t="b">
        <v>0</v>
      </c>
      <c r="Y807" s="45" t="b">
        <v>1</v>
      </c>
      <c r="Z807" s="45" t="b">
        <v>1</v>
      </c>
      <c r="AA807" s="45" t="b">
        <v>0</v>
      </c>
      <c r="AB807" s="45" t="b">
        <v>1</v>
      </c>
      <c r="AC807" s="45" t="b">
        <v>1</v>
      </c>
      <c r="AD807" s="45" t="b">
        <v>1</v>
      </c>
      <c r="AE807" s="45" t="b">
        <v>1</v>
      </c>
      <c r="AF807" s="45" t="s">
        <v>297</v>
      </c>
      <c r="AG807" s="45" t="b">
        <v>1</v>
      </c>
      <c r="AH807" s="45" t="b">
        <v>1</v>
      </c>
    </row>
    <row r="808" spans="22:34" x14ac:dyDescent="0.25">
      <c r="V808" t="s">
        <v>557</v>
      </c>
      <c r="W808" s="45" t="s">
        <v>344</v>
      </c>
      <c r="X808" s="45" t="b">
        <v>0</v>
      </c>
      <c r="Y808" s="45" t="b">
        <v>1</v>
      </c>
      <c r="Z808" s="45" t="b">
        <v>1</v>
      </c>
      <c r="AA808" s="45" t="b">
        <v>0</v>
      </c>
      <c r="AB808" s="45" t="b">
        <v>1</v>
      </c>
      <c r="AC808" s="45" t="b">
        <v>1</v>
      </c>
      <c r="AD808" s="45" t="b">
        <v>1</v>
      </c>
      <c r="AE808" s="45" t="b">
        <v>1</v>
      </c>
      <c r="AF808" s="45" t="s">
        <v>112</v>
      </c>
      <c r="AG808" s="45" t="b">
        <v>1</v>
      </c>
      <c r="AH808" s="45" t="b">
        <v>1</v>
      </c>
    </row>
    <row r="809" spans="22:34" x14ac:dyDescent="0.25">
      <c r="V809" t="s">
        <v>557</v>
      </c>
      <c r="W809" s="45" t="s">
        <v>344</v>
      </c>
      <c r="X809" s="45" t="b">
        <v>0</v>
      </c>
      <c r="Y809" s="45" t="b">
        <v>1</v>
      </c>
      <c r="Z809" s="45" t="b">
        <v>1</v>
      </c>
      <c r="AA809" s="45" t="b">
        <v>0</v>
      </c>
      <c r="AB809" s="45" t="b">
        <v>1</v>
      </c>
      <c r="AC809" s="45" t="b">
        <v>1</v>
      </c>
      <c r="AD809" s="45" t="b">
        <v>1</v>
      </c>
      <c r="AE809" s="45" t="b">
        <v>1</v>
      </c>
      <c r="AF809" s="45" t="s">
        <v>114</v>
      </c>
      <c r="AG809" s="45" t="b">
        <v>0</v>
      </c>
      <c r="AH809" s="45" t="b">
        <v>0</v>
      </c>
    </row>
    <row r="810" spans="22:34" x14ac:dyDescent="0.25">
      <c r="V810" t="s">
        <v>557</v>
      </c>
      <c r="W810" s="45" t="s">
        <v>344</v>
      </c>
      <c r="X810" s="45" t="b">
        <v>0</v>
      </c>
      <c r="Y810" s="45" t="b">
        <v>1</v>
      </c>
      <c r="Z810" s="45" t="b">
        <v>1</v>
      </c>
      <c r="AA810" s="45" t="b">
        <v>0</v>
      </c>
      <c r="AB810" s="45" t="b">
        <v>1</v>
      </c>
      <c r="AC810" s="45" t="b">
        <v>1</v>
      </c>
      <c r="AD810" s="45" t="b">
        <v>1</v>
      </c>
      <c r="AE810" s="45" t="b">
        <v>1</v>
      </c>
      <c r="AF810" s="45" t="s">
        <v>115</v>
      </c>
      <c r="AG810" s="45" t="b">
        <v>1</v>
      </c>
      <c r="AH810" s="45" t="b">
        <v>1</v>
      </c>
    </row>
    <row r="811" spans="22:34" x14ac:dyDescent="0.25">
      <c r="V811" t="s">
        <v>557</v>
      </c>
      <c r="W811" s="45" t="s">
        <v>344</v>
      </c>
      <c r="X811" s="45" t="b">
        <v>0</v>
      </c>
      <c r="Y811" s="45" t="b">
        <v>1</v>
      </c>
      <c r="Z811" s="45" t="b">
        <v>1</v>
      </c>
      <c r="AA811" s="45" t="b">
        <v>0</v>
      </c>
      <c r="AB811" s="45" t="b">
        <v>1</v>
      </c>
      <c r="AC811" s="45" t="b">
        <v>1</v>
      </c>
      <c r="AD811" s="45" t="b">
        <v>1</v>
      </c>
      <c r="AE811" s="45" t="b">
        <v>1</v>
      </c>
      <c r="AF811" s="45" t="s">
        <v>116</v>
      </c>
      <c r="AG811" s="45" t="b">
        <v>1</v>
      </c>
      <c r="AH811" s="45" t="b">
        <v>1</v>
      </c>
    </row>
    <row r="812" spans="22:34" x14ac:dyDescent="0.25">
      <c r="V812" t="s">
        <v>557</v>
      </c>
      <c r="W812" s="45" t="s">
        <v>344</v>
      </c>
      <c r="X812" s="45" t="b">
        <v>0</v>
      </c>
      <c r="Y812" s="45" t="b">
        <v>1</v>
      </c>
      <c r="Z812" s="45" t="b">
        <v>1</v>
      </c>
      <c r="AA812" s="45" t="b">
        <v>0</v>
      </c>
      <c r="AB812" s="45" t="b">
        <v>1</v>
      </c>
      <c r="AC812" s="45" t="b">
        <v>1</v>
      </c>
      <c r="AD812" s="45" t="b">
        <v>1</v>
      </c>
      <c r="AE812" s="45" t="b">
        <v>1</v>
      </c>
      <c r="AF812" s="45" t="s">
        <v>298</v>
      </c>
      <c r="AG812" s="45" t="b">
        <v>1</v>
      </c>
      <c r="AH812" s="45" t="b">
        <v>1</v>
      </c>
    </row>
    <row r="813" spans="22:34" x14ac:dyDescent="0.25">
      <c r="V813" t="s">
        <v>557</v>
      </c>
      <c r="W813" s="45" t="s">
        <v>344</v>
      </c>
      <c r="X813" s="45" t="b">
        <v>0</v>
      </c>
      <c r="Y813" s="45" t="b">
        <v>1</v>
      </c>
      <c r="Z813" s="45" t="b">
        <v>1</v>
      </c>
      <c r="AA813" s="45" t="b">
        <v>0</v>
      </c>
      <c r="AB813" s="45" t="b">
        <v>1</v>
      </c>
      <c r="AC813" s="45" t="b">
        <v>1</v>
      </c>
      <c r="AD813" s="45" t="b">
        <v>1</v>
      </c>
      <c r="AE813" s="45" t="b">
        <v>1</v>
      </c>
      <c r="AF813" s="45" t="s">
        <v>299</v>
      </c>
      <c r="AG813" s="45" t="b">
        <v>1</v>
      </c>
      <c r="AH813" s="45" t="b">
        <v>1</v>
      </c>
    </row>
    <row r="814" spans="22:34" x14ac:dyDescent="0.25">
      <c r="V814" t="s">
        <v>557</v>
      </c>
      <c r="W814" s="45" t="s">
        <v>344</v>
      </c>
      <c r="X814" s="45" t="b">
        <v>0</v>
      </c>
      <c r="Y814" s="45" t="b">
        <v>1</v>
      </c>
      <c r="Z814" s="45" t="b">
        <v>1</v>
      </c>
      <c r="AA814" s="45" t="b">
        <v>0</v>
      </c>
      <c r="AB814" s="45" t="b">
        <v>1</v>
      </c>
      <c r="AC814" s="45" t="b">
        <v>1</v>
      </c>
      <c r="AD814" s="45" t="b">
        <v>1</v>
      </c>
      <c r="AE814" s="45" t="b">
        <v>1</v>
      </c>
      <c r="AF814" s="45" t="s">
        <v>414</v>
      </c>
      <c r="AG814" s="45" t="b">
        <v>1</v>
      </c>
      <c r="AH814" s="45" t="b">
        <v>1</v>
      </c>
    </row>
    <row r="815" spans="22:34" x14ac:dyDescent="0.25">
      <c r="V815" t="s">
        <v>557</v>
      </c>
      <c r="W815" s="45" t="s">
        <v>344</v>
      </c>
      <c r="X815" s="45" t="b">
        <v>0</v>
      </c>
      <c r="Y815" s="45" t="b">
        <v>1</v>
      </c>
      <c r="Z815" s="45" t="b">
        <v>1</v>
      </c>
      <c r="AA815" s="45" t="b">
        <v>0</v>
      </c>
      <c r="AB815" s="45" t="b">
        <v>1</v>
      </c>
      <c r="AC815" s="45" t="b">
        <v>1</v>
      </c>
      <c r="AD815" s="45" t="b">
        <v>1</v>
      </c>
      <c r="AE815" s="45" t="b">
        <v>1</v>
      </c>
      <c r="AF815" s="45" t="s">
        <v>118</v>
      </c>
      <c r="AG815" s="45" t="b">
        <v>1</v>
      </c>
      <c r="AH815" s="45" t="b">
        <v>1</v>
      </c>
    </row>
    <row r="816" spans="22:34" x14ac:dyDescent="0.25">
      <c r="V816" t="s">
        <v>557</v>
      </c>
      <c r="W816" s="45" t="s">
        <v>344</v>
      </c>
      <c r="X816" s="45" t="b">
        <v>0</v>
      </c>
      <c r="Y816" s="45" t="b">
        <v>1</v>
      </c>
      <c r="Z816" s="45" t="b">
        <v>1</v>
      </c>
      <c r="AA816" s="45" t="b">
        <v>0</v>
      </c>
      <c r="AB816" s="45" t="b">
        <v>1</v>
      </c>
      <c r="AC816" s="45" t="b">
        <v>1</v>
      </c>
      <c r="AD816" s="45" t="b">
        <v>1</v>
      </c>
      <c r="AE816" s="45" t="b">
        <v>1</v>
      </c>
      <c r="AF816" s="45" t="s">
        <v>119</v>
      </c>
      <c r="AG816" s="45" t="b">
        <v>1</v>
      </c>
      <c r="AH816" s="45" t="b">
        <v>1</v>
      </c>
    </row>
    <row r="817" spans="22:34" x14ac:dyDescent="0.25">
      <c r="V817" t="s">
        <v>557</v>
      </c>
      <c r="W817" s="45" t="s">
        <v>344</v>
      </c>
      <c r="X817" s="45" t="b">
        <v>0</v>
      </c>
      <c r="Y817" s="45" t="b">
        <v>1</v>
      </c>
      <c r="Z817" s="45" t="b">
        <v>1</v>
      </c>
      <c r="AA817" s="45" t="b">
        <v>0</v>
      </c>
      <c r="AB817" s="45" t="b">
        <v>1</v>
      </c>
      <c r="AC817" s="45" t="b">
        <v>1</v>
      </c>
      <c r="AD817" s="45" t="b">
        <v>1</v>
      </c>
      <c r="AE817" s="45" t="b">
        <v>1</v>
      </c>
      <c r="AF817" s="45" t="s">
        <v>300</v>
      </c>
      <c r="AG817" s="45" t="b">
        <v>1</v>
      </c>
      <c r="AH817" s="45" t="b">
        <v>1</v>
      </c>
    </row>
    <row r="818" spans="22:34" x14ac:dyDescent="0.25">
      <c r="V818" t="s">
        <v>557</v>
      </c>
      <c r="W818" s="45" t="s">
        <v>344</v>
      </c>
      <c r="X818" s="45" t="b">
        <v>0</v>
      </c>
      <c r="Y818" s="45" t="b">
        <v>1</v>
      </c>
      <c r="Z818" s="45" t="b">
        <v>1</v>
      </c>
      <c r="AA818" s="45" t="b">
        <v>0</v>
      </c>
      <c r="AB818" s="45" t="b">
        <v>1</v>
      </c>
      <c r="AC818" s="45" t="b">
        <v>1</v>
      </c>
      <c r="AD818" s="45" t="b">
        <v>1</v>
      </c>
      <c r="AE818" s="45" t="b">
        <v>1</v>
      </c>
      <c r="AF818" s="45" t="s">
        <v>301</v>
      </c>
      <c r="AG818" s="45" t="b">
        <v>0</v>
      </c>
      <c r="AH818" s="45" t="b">
        <v>0</v>
      </c>
    </row>
    <row r="819" spans="22:34" x14ac:dyDescent="0.25">
      <c r="V819" t="s">
        <v>557</v>
      </c>
      <c r="W819" s="45" t="s">
        <v>344</v>
      </c>
      <c r="X819" s="45" t="b">
        <v>0</v>
      </c>
      <c r="Y819" s="45" t="b">
        <v>1</v>
      </c>
      <c r="Z819" s="45" t="b">
        <v>1</v>
      </c>
      <c r="AA819" s="45" t="b">
        <v>0</v>
      </c>
      <c r="AB819" s="45" t="b">
        <v>1</v>
      </c>
      <c r="AC819" s="45" t="b">
        <v>1</v>
      </c>
      <c r="AD819" s="45" t="b">
        <v>1</v>
      </c>
      <c r="AE819" s="45" t="b">
        <v>1</v>
      </c>
      <c r="AF819" s="45" t="s">
        <v>120</v>
      </c>
      <c r="AG819" s="45" t="b">
        <v>1</v>
      </c>
      <c r="AH819" s="45" t="b">
        <v>1</v>
      </c>
    </row>
    <row r="820" spans="22:34" x14ac:dyDescent="0.25">
      <c r="V820" t="s">
        <v>557</v>
      </c>
      <c r="W820" s="45" t="s">
        <v>344</v>
      </c>
      <c r="X820" s="45" t="b">
        <v>0</v>
      </c>
      <c r="Y820" s="45" t="b">
        <v>1</v>
      </c>
      <c r="Z820" s="45" t="b">
        <v>1</v>
      </c>
      <c r="AA820" s="45" t="b">
        <v>0</v>
      </c>
      <c r="AB820" s="45" t="b">
        <v>1</v>
      </c>
      <c r="AC820" s="45" t="b">
        <v>1</v>
      </c>
      <c r="AD820" s="45" t="b">
        <v>1</v>
      </c>
      <c r="AE820" s="45" t="b">
        <v>1</v>
      </c>
      <c r="AF820" s="45" t="s">
        <v>302</v>
      </c>
      <c r="AG820" s="45" t="b">
        <v>0</v>
      </c>
      <c r="AH820" s="45" t="b">
        <v>0</v>
      </c>
    </row>
    <row r="821" spans="22:34" x14ac:dyDescent="0.25">
      <c r="V821" t="s">
        <v>557</v>
      </c>
      <c r="W821" s="45" t="s">
        <v>344</v>
      </c>
      <c r="X821" s="45" t="b">
        <v>0</v>
      </c>
      <c r="Y821" s="45" t="b">
        <v>1</v>
      </c>
      <c r="Z821" s="45" t="b">
        <v>1</v>
      </c>
      <c r="AA821" s="45" t="b">
        <v>0</v>
      </c>
      <c r="AB821" s="45" t="b">
        <v>1</v>
      </c>
      <c r="AC821" s="45" t="b">
        <v>1</v>
      </c>
      <c r="AD821" s="45" t="b">
        <v>1</v>
      </c>
      <c r="AE821" s="45" t="b">
        <v>1</v>
      </c>
      <c r="AF821" s="45" t="s">
        <v>303</v>
      </c>
      <c r="AG821" s="45" t="b">
        <v>1</v>
      </c>
      <c r="AH821" s="45" t="b">
        <v>1</v>
      </c>
    </row>
    <row r="822" spans="22:34" x14ac:dyDescent="0.25">
      <c r="V822" t="s">
        <v>557</v>
      </c>
      <c r="W822" s="45" t="s">
        <v>344</v>
      </c>
      <c r="X822" s="45" t="b">
        <v>0</v>
      </c>
      <c r="Y822" s="45" t="b">
        <v>1</v>
      </c>
      <c r="Z822" s="45" t="b">
        <v>1</v>
      </c>
      <c r="AA822" s="45" t="b">
        <v>0</v>
      </c>
      <c r="AB822" s="45" t="b">
        <v>1</v>
      </c>
      <c r="AC822" s="45" t="b">
        <v>1</v>
      </c>
      <c r="AD822" s="45" t="b">
        <v>1</v>
      </c>
      <c r="AE822" s="45" t="b">
        <v>1</v>
      </c>
      <c r="AF822" s="45" t="s">
        <v>304</v>
      </c>
      <c r="AG822" s="45" t="b">
        <v>1</v>
      </c>
      <c r="AH822" s="45" t="b">
        <v>1</v>
      </c>
    </row>
    <row r="823" spans="22:34" x14ac:dyDescent="0.25">
      <c r="V823" t="s">
        <v>557</v>
      </c>
      <c r="W823" s="45" t="s">
        <v>344</v>
      </c>
      <c r="X823" s="45" t="b">
        <v>0</v>
      </c>
      <c r="Y823" s="45" t="b">
        <v>1</v>
      </c>
      <c r="Z823" s="45" t="b">
        <v>1</v>
      </c>
      <c r="AA823" s="45" t="b">
        <v>0</v>
      </c>
      <c r="AB823" s="45" t="b">
        <v>1</v>
      </c>
      <c r="AC823" s="45" t="b">
        <v>1</v>
      </c>
      <c r="AD823" s="45" t="b">
        <v>1</v>
      </c>
      <c r="AE823" s="45" t="b">
        <v>1</v>
      </c>
      <c r="AF823" s="45" t="s">
        <v>305</v>
      </c>
      <c r="AG823" s="45" t="b">
        <v>1</v>
      </c>
      <c r="AH823" s="45" t="b">
        <v>1</v>
      </c>
    </row>
    <row r="824" spans="22:34" x14ac:dyDescent="0.25">
      <c r="V824" t="s">
        <v>557</v>
      </c>
      <c r="W824" s="45" t="s">
        <v>344</v>
      </c>
      <c r="X824" s="45" t="b">
        <v>0</v>
      </c>
      <c r="Y824" s="45" t="b">
        <v>1</v>
      </c>
      <c r="Z824" s="45" t="b">
        <v>1</v>
      </c>
      <c r="AA824" s="45" t="b">
        <v>0</v>
      </c>
      <c r="AB824" s="45" t="b">
        <v>1</v>
      </c>
      <c r="AC824" s="45" t="b">
        <v>1</v>
      </c>
      <c r="AD824" s="45" t="b">
        <v>1</v>
      </c>
      <c r="AE824" s="45" t="b">
        <v>1</v>
      </c>
      <c r="AF824" s="45" t="s">
        <v>306</v>
      </c>
      <c r="AG824" s="45" t="b">
        <v>1</v>
      </c>
      <c r="AH824" s="45" t="b">
        <v>1</v>
      </c>
    </row>
    <row r="825" spans="22:34" x14ac:dyDescent="0.25">
      <c r="V825" t="s">
        <v>557</v>
      </c>
      <c r="W825" s="45" t="s">
        <v>344</v>
      </c>
      <c r="X825" s="45" t="b">
        <v>0</v>
      </c>
      <c r="Y825" s="45" t="b">
        <v>1</v>
      </c>
      <c r="Z825" s="45" t="b">
        <v>1</v>
      </c>
      <c r="AA825" s="45" t="b">
        <v>0</v>
      </c>
      <c r="AB825" s="45" t="b">
        <v>1</v>
      </c>
      <c r="AC825" s="45" t="b">
        <v>1</v>
      </c>
      <c r="AD825" s="45" t="b">
        <v>1</v>
      </c>
      <c r="AE825" s="45" t="b">
        <v>1</v>
      </c>
      <c r="AF825" s="45" t="s">
        <v>307</v>
      </c>
      <c r="AG825" s="45" t="b">
        <v>1</v>
      </c>
      <c r="AH825" s="45" t="b">
        <v>1</v>
      </c>
    </row>
    <row r="826" spans="22:34" x14ac:dyDescent="0.25">
      <c r="V826" t="s">
        <v>557</v>
      </c>
      <c r="W826" s="45" t="s">
        <v>344</v>
      </c>
      <c r="X826" s="45" t="b">
        <v>0</v>
      </c>
      <c r="Y826" s="45" t="b">
        <v>1</v>
      </c>
      <c r="Z826" s="45" t="b">
        <v>1</v>
      </c>
      <c r="AA826" s="45" t="b">
        <v>0</v>
      </c>
      <c r="AB826" s="45" t="b">
        <v>1</v>
      </c>
      <c r="AC826" s="45" t="b">
        <v>1</v>
      </c>
      <c r="AD826" s="45" t="b">
        <v>1</v>
      </c>
      <c r="AE826" s="45" t="b">
        <v>1</v>
      </c>
      <c r="AF826" s="45" t="s">
        <v>308</v>
      </c>
      <c r="AG826" s="45" t="b">
        <v>1</v>
      </c>
      <c r="AH826" s="45" t="b">
        <v>1</v>
      </c>
    </row>
    <row r="827" spans="22:34" x14ac:dyDescent="0.25">
      <c r="V827" t="s">
        <v>557</v>
      </c>
      <c r="W827" s="45" t="s">
        <v>344</v>
      </c>
      <c r="X827" s="45" t="b">
        <v>0</v>
      </c>
      <c r="Y827" s="45" t="b">
        <v>1</v>
      </c>
      <c r="Z827" s="45" t="b">
        <v>1</v>
      </c>
      <c r="AA827" s="45" t="b">
        <v>0</v>
      </c>
      <c r="AB827" s="45" t="b">
        <v>1</v>
      </c>
      <c r="AC827" s="45" t="b">
        <v>1</v>
      </c>
      <c r="AD827" s="45" t="b">
        <v>1</v>
      </c>
      <c r="AE827" s="45" t="b">
        <v>1</v>
      </c>
      <c r="AF827" s="45" t="s">
        <v>309</v>
      </c>
      <c r="AG827" s="45" t="b">
        <v>1</v>
      </c>
      <c r="AH827" s="45" t="b">
        <v>1</v>
      </c>
    </row>
    <row r="828" spans="22:34" x14ac:dyDescent="0.25">
      <c r="V828" t="s">
        <v>557</v>
      </c>
      <c r="W828" s="45" t="s">
        <v>344</v>
      </c>
      <c r="X828" s="45" t="b">
        <v>0</v>
      </c>
      <c r="Y828" s="45" t="b">
        <v>1</v>
      </c>
      <c r="Z828" s="45" t="b">
        <v>1</v>
      </c>
      <c r="AA828" s="45" t="b">
        <v>0</v>
      </c>
      <c r="AB828" s="45" t="b">
        <v>1</v>
      </c>
      <c r="AC828" s="45" t="b">
        <v>1</v>
      </c>
      <c r="AD828" s="45" t="b">
        <v>1</v>
      </c>
      <c r="AE828" s="45" t="b">
        <v>1</v>
      </c>
      <c r="AF828" s="45" t="s">
        <v>310</v>
      </c>
      <c r="AG828" s="45" t="b">
        <v>1</v>
      </c>
      <c r="AH828" s="45" t="b">
        <v>1</v>
      </c>
    </row>
    <row r="829" spans="22:34" x14ac:dyDescent="0.25">
      <c r="V829" t="s">
        <v>557</v>
      </c>
      <c r="W829" s="45" t="s">
        <v>344</v>
      </c>
      <c r="X829" s="45" t="b">
        <v>0</v>
      </c>
      <c r="Y829" s="45" t="b">
        <v>1</v>
      </c>
      <c r="Z829" s="45" t="b">
        <v>1</v>
      </c>
      <c r="AA829" s="45" t="b">
        <v>0</v>
      </c>
      <c r="AB829" s="45" t="b">
        <v>1</v>
      </c>
      <c r="AC829" s="45" t="b">
        <v>1</v>
      </c>
      <c r="AD829" s="45" t="b">
        <v>1</v>
      </c>
      <c r="AE829" s="45" t="b">
        <v>1</v>
      </c>
      <c r="AF829" s="45" t="s">
        <v>311</v>
      </c>
      <c r="AG829" s="45" t="b">
        <v>1</v>
      </c>
      <c r="AH829" s="45" t="b">
        <v>1</v>
      </c>
    </row>
    <row r="830" spans="22:34" x14ac:dyDescent="0.25">
      <c r="V830" t="s">
        <v>557</v>
      </c>
      <c r="W830" s="45" t="s">
        <v>344</v>
      </c>
      <c r="X830" s="45" t="b">
        <v>0</v>
      </c>
      <c r="Y830" s="45" t="b">
        <v>1</v>
      </c>
      <c r="Z830" s="45" t="b">
        <v>1</v>
      </c>
      <c r="AA830" s="45" t="b">
        <v>0</v>
      </c>
      <c r="AB830" s="45" t="b">
        <v>1</v>
      </c>
      <c r="AC830" s="45" t="b">
        <v>1</v>
      </c>
      <c r="AD830" s="45" t="b">
        <v>1</v>
      </c>
      <c r="AE830" s="45" t="b">
        <v>1</v>
      </c>
      <c r="AF830" s="45" t="s">
        <v>312</v>
      </c>
      <c r="AG830" s="45" t="b">
        <v>1</v>
      </c>
      <c r="AH830" s="45" t="b">
        <v>1</v>
      </c>
    </row>
    <row r="831" spans="22:34" x14ac:dyDescent="0.25">
      <c r="V831" t="s">
        <v>557</v>
      </c>
      <c r="W831" s="45" t="s">
        <v>344</v>
      </c>
      <c r="X831" s="45" t="b">
        <v>0</v>
      </c>
      <c r="Y831" s="45" t="b">
        <v>1</v>
      </c>
      <c r="Z831" s="45" t="b">
        <v>1</v>
      </c>
      <c r="AA831" s="45" t="b">
        <v>0</v>
      </c>
      <c r="AB831" s="45" t="b">
        <v>1</v>
      </c>
      <c r="AC831" s="45" t="b">
        <v>1</v>
      </c>
      <c r="AD831" s="45" t="b">
        <v>1</v>
      </c>
      <c r="AE831" s="45" t="b">
        <v>1</v>
      </c>
      <c r="AF831" s="45" t="s">
        <v>313</v>
      </c>
      <c r="AG831" s="45" t="b">
        <v>1</v>
      </c>
      <c r="AH831" s="45" t="b">
        <v>1</v>
      </c>
    </row>
    <row r="832" spans="22:34" x14ac:dyDescent="0.25">
      <c r="V832" t="s">
        <v>557</v>
      </c>
      <c r="W832" s="45" t="s">
        <v>344</v>
      </c>
      <c r="X832" s="45" t="b">
        <v>0</v>
      </c>
      <c r="Y832" s="45" t="b">
        <v>1</v>
      </c>
      <c r="Z832" s="45" t="b">
        <v>1</v>
      </c>
      <c r="AA832" s="45" t="b">
        <v>0</v>
      </c>
      <c r="AB832" s="45" t="b">
        <v>1</v>
      </c>
      <c r="AC832" s="45" t="b">
        <v>1</v>
      </c>
      <c r="AD832" s="45" t="b">
        <v>1</v>
      </c>
      <c r="AE832" s="45" t="b">
        <v>1</v>
      </c>
      <c r="AF832" s="45" t="s">
        <v>314</v>
      </c>
      <c r="AG832" s="45" t="b">
        <v>1</v>
      </c>
      <c r="AH832" s="45" t="b">
        <v>1</v>
      </c>
    </row>
    <row r="833" spans="22:34" x14ac:dyDescent="0.25">
      <c r="V833" t="s">
        <v>557</v>
      </c>
      <c r="W833" s="45" t="s">
        <v>344</v>
      </c>
      <c r="X833" s="45" t="b">
        <v>0</v>
      </c>
      <c r="Y833" s="45" t="b">
        <v>1</v>
      </c>
      <c r="Z833" s="45" t="b">
        <v>1</v>
      </c>
      <c r="AA833" s="45" t="b">
        <v>0</v>
      </c>
      <c r="AB833" s="45" t="b">
        <v>1</v>
      </c>
      <c r="AC833" s="45" t="b">
        <v>1</v>
      </c>
      <c r="AD833" s="45" t="b">
        <v>1</v>
      </c>
      <c r="AE833" s="45" t="b">
        <v>1</v>
      </c>
      <c r="AF833" s="45" t="s">
        <v>315</v>
      </c>
      <c r="AG833" s="45" t="b">
        <v>1</v>
      </c>
      <c r="AH833" s="45" t="b">
        <v>1</v>
      </c>
    </row>
    <row r="834" spans="22:34" x14ac:dyDescent="0.25">
      <c r="V834" t="s">
        <v>557</v>
      </c>
      <c r="W834" s="45" t="s">
        <v>344</v>
      </c>
      <c r="X834" s="45" t="b">
        <v>0</v>
      </c>
      <c r="Y834" s="45" t="b">
        <v>1</v>
      </c>
      <c r="Z834" s="45" t="b">
        <v>1</v>
      </c>
      <c r="AA834" s="45" t="b">
        <v>0</v>
      </c>
      <c r="AB834" s="45" t="b">
        <v>1</v>
      </c>
      <c r="AC834" s="45" t="b">
        <v>1</v>
      </c>
      <c r="AD834" s="45" t="b">
        <v>1</v>
      </c>
      <c r="AE834" s="45" t="b">
        <v>1</v>
      </c>
      <c r="AF834" s="45" t="s">
        <v>316</v>
      </c>
      <c r="AG834" s="45" t="b">
        <v>1</v>
      </c>
      <c r="AH834" s="45" t="b">
        <v>1</v>
      </c>
    </row>
    <row r="835" spans="22:34" x14ac:dyDescent="0.25">
      <c r="V835" t="s">
        <v>557</v>
      </c>
      <c r="W835" s="45" t="s">
        <v>344</v>
      </c>
      <c r="X835" s="45" t="b">
        <v>0</v>
      </c>
      <c r="Y835" s="45" t="b">
        <v>1</v>
      </c>
      <c r="Z835" s="45" t="b">
        <v>1</v>
      </c>
      <c r="AA835" s="45" t="b">
        <v>0</v>
      </c>
      <c r="AB835" s="45" t="b">
        <v>1</v>
      </c>
      <c r="AC835" s="45" t="b">
        <v>1</v>
      </c>
      <c r="AD835" s="45" t="b">
        <v>1</v>
      </c>
      <c r="AE835" s="45" t="b">
        <v>1</v>
      </c>
      <c r="AF835" s="45" t="s">
        <v>317</v>
      </c>
      <c r="AG835" s="45" t="b">
        <v>1</v>
      </c>
      <c r="AH835" s="45" t="b">
        <v>1</v>
      </c>
    </row>
    <row r="836" spans="22:34" x14ac:dyDescent="0.25">
      <c r="V836" t="s">
        <v>557</v>
      </c>
      <c r="W836" s="45" t="s">
        <v>344</v>
      </c>
      <c r="X836" s="45" t="b">
        <v>0</v>
      </c>
      <c r="Y836" s="45" t="b">
        <v>1</v>
      </c>
      <c r="Z836" s="45" t="b">
        <v>1</v>
      </c>
      <c r="AA836" s="45" t="b">
        <v>0</v>
      </c>
      <c r="AB836" s="45" t="b">
        <v>1</v>
      </c>
      <c r="AC836" s="45" t="b">
        <v>1</v>
      </c>
      <c r="AD836" s="45" t="b">
        <v>1</v>
      </c>
      <c r="AE836" s="45" t="b">
        <v>1</v>
      </c>
      <c r="AF836" s="45" t="s">
        <v>318</v>
      </c>
      <c r="AG836" s="45" t="b">
        <v>1</v>
      </c>
      <c r="AH836" s="45" t="b">
        <v>1</v>
      </c>
    </row>
    <row r="837" spans="22:34" x14ac:dyDescent="0.25">
      <c r="V837" t="s">
        <v>557</v>
      </c>
      <c r="W837" s="45" t="s">
        <v>344</v>
      </c>
      <c r="X837" s="45" t="b">
        <v>0</v>
      </c>
      <c r="Y837" s="45" t="b">
        <v>1</v>
      </c>
      <c r="Z837" s="45" t="b">
        <v>1</v>
      </c>
      <c r="AA837" s="45" t="b">
        <v>0</v>
      </c>
      <c r="AB837" s="45" t="b">
        <v>1</v>
      </c>
      <c r="AC837" s="45" t="b">
        <v>1</v>
      </c>
      <c r="AD837" s="45" t="b">
        <v>1</v>
      </c>
      <c r="AE837" s="45" t="b">
        <v>1</v>
      </c>
      <c r="AF837" s="45" t="s">
        <v>319</v>
      </c>
      <c r="AG837" s="45" t="b">
        <v>1</v>
      </c>
      <c r="AH837" s="45" t="b">
        <v>1</v>
      </c>
    </row>
    <row r="838" spans="22:34" x14ac:dyDescent="0.25">
      <c r="V838" t="s">
        <v>558</v>
      </c>
      <c r="W838" s="45" t="s">
        <v>345</v>
      </c>
      <c r="X838" s="45" t="b">
        <v>0</v>
      </c>
      <c r="Y838" s="45" t="b">
        <v>1</v>
      </c>
      <c r="Z838" s="45" t="b">
        <v>1</v>
      </c>
      <c r="AA838" s="45" t="b">
        <v>0</v>
      </c>
      <c r="AB838" s="45" t="b">
        <v>1</v>
      </c>
      <c r="AC838" s="45" t="b">
        <v>1</v>
      </c>
      <c r="AD838" s="45" t="b">
        <v>1</v>
      </c>
      <c r="AE838" s="45" t="b">
        <v>1</v>
      </c>
      <c r="AF838" s="45" t="s">
        <v>295</v>
      </c>
      <c r="AG838" s="45" t="b">
        <v>1</v>
      </c>
      <c r="AH838" s="45" t="b">
        <v>1</v>
      </c>
    </row>
    <row r="839" spans="22:34" x14ac:dyDescent="0.25">
      <c r="V839" t="s">
        <v>558</v>
      </c>
      <c r="W839" s="45" t="s">
        <v>345</v>
      </c>
      <c r="X839" s="45" t="b">
        <v>0</v>
      </c>
      <c r="Y839" s="45" t="b">
        <v>1</v>
      </c>
      <c r="Z839" s="45" t="b">
        <v>1</v>
      </c>
      <c r="AA839" s="45" t="b">
        <v>0</v>
      </c>
      <c r="AB839" s="45" t="b">
        <v>1</v>
      </c>
      <c r="AC839" s="45" t="b">
        <v>1</v>
      </c>
      <c r="AD839" s="45" t="b">
        <v>1</v>
      </c>
      <c r="AE839" s="45" t="b">
        <v>1</v>
      </c>
      <c r="AF839" s="45" t="s">
        <v>297</v>
      </c>
      <c r="AG839" s="45" t="b">
        <v>1</v>
      </c>
      <c r="AH839" s="45" t="b">
        <v>1</v>
      </c>
    </row>
    <row r="840" spans="22:34" x14ac:dyDescent="0.25">
      <c r="V840" t="s">
        <v>558</v>
      </c>
      <c r="W840" s="45" t="s">
        <v>345</v>
      </c>
      <c r="X840" s="45" t="b">
        <v>0</v>
      </c>
      <c r="Y840" s="45" t="b">
        <v>1</v>
      </c>
      <c r="Z840" s="45" t="b">
        <v>1</v>
      </c>
      <c r="AA840" s="45" t="b">
        <v>0</v>
      </c>
      <c r="AB840" s="45" t="b">
        <v>1</v>
      </c>
      <c r="AC840" s="45" t="b">
        <v>1</v>
      </c>
      <c r="AD840" s="45" t="b">
        <v>1</v>
      </c>
      <c r="AE840" s="45" t="b">
        <v>1</v>
      </c>
      <c r="AF840" s="45" t="s">
        <v>112</v>
      </c>
      <c r="AG840" s="45" t="b">
        <v>1</v>
      </c>
      <c r="AH840" s="45" t="b">
        <v>1</v>
      </c>
    </row>
    <row r="841" spans="22:34" x14ac:dyDescent="0.25">
      <c r="V841" t="s">
        <v>558</v>
      </c>
      <c r="W841" s="45" t="s">
        <v>345</v>
      </c>
      <c r="X841" s="45" t="b">
        <v>0</v>
      </c>
      <c r="Y841" s="45" t="b">
        <v>1</v>
      </c>
      <c r="Z841" s="45" t="b">
        <v>1</v>
      </c>
      <c r="AA841" s="45" t="b">
        <v>0</v>
      </c>
      <c r="AB841" s="45" t="b">
        <v>1</v>
      </c>
      <c r="AC841" s="45" t="b">
        <v>1</v>
      </c>
      <c r="AD841" s="45" t="b">
        <v>1</v>
      </c>
      <c r="AE841" s="45" t="b">
        <v>1</v>
      </c>
      <c r="AF841" s="45" t="s">
        <v>114</v>
      </c>
      <c r="AG841" s="45" t="b">
        <v>1</v>
      </c>
      <c r="AH841" s="45" t="b">
        <v>1</v>
      </c>
    </row>
    <row r="842" spans="22:34" x14ac:dyDescent="0.25">
      <c r="V842" t="s">
        <v>558</v>
      </c>
      <c r="W842" s="45" t="s">
        <v>345</v>
      </c>
      <c r="X842" s="45" t="b">
        <v>0</v>
      </c>
      <c r="Y842" s="45" t="b">
        <v>1</v>
      </c>
      <c r="Z842" s="45" t="b">
        <v>1</v>
      </c>
      <c r="AA842" s="45" t="b">
        <v>0</v>
      </c>
      <c r="AB842" s="45" t="b">
        <v>1</v>
      </c>
      <c r="AC842" s="45" t="b">
        <v>1</v>
      </c>
      <c r="AD842" s="45" t="b">
        <v>1</v>
      </c>
      <c r="AE842" s="45" t="b">
        <v>1</v>
      </c>
      <c r="AF842" s="45" t="s">
        <v>115</v>
      </c>
      <c r="AG842" s="45" t="b">
        <v>1</v>
      </c>
      <c r="AH842" s="45" t="b">
        <v>1</v>
      </c>
    </row>
    <row r="843" spans="22:34" x14ac:dyDescent="0.25">
      <c r="V843" t="s">
        <v>558</v>
      </c>
      <c r="W843" s="45" t="s">
        <v>345</v>
      </c>
      <c r="X843" s="45" t="b">
        <v>0</v>
      </c>
      <c r="Y843" s="45" t="b">
        <v>1</v>
      </c>
      <c r="Z843" s="45" t="b">
        <v>1</v>
      </c>
      <c r="AA843" s="45" t="b">
        <v>0</v>
      </c>
      <c r="AB843" s="45" t="b">
        <v>1</v>
      </c>
      <c r="AC843" s="45" t="b">
        <v>1</v>
      </c>
      <c r="AD843" s="45" t="b">
        <v>1</v>
      </c>
      <c r="AE843" s="45" t="b">
        <v>1</v>
      </c>
      <c r="AF843" s="45" t="s">
        <v>116</v>
      </c>
      <c r="AG843" s="45" t="b">
        <v>1</v>
      </c>
      <c r="AH843" s="45" t="b">
        <v>1</v>
      </c>
    </row>
    <row r="844" spans="22:34" x14ac:dyDescent="0.25">
      <c r="V844" t="s">
        <v>558</v>
      </c>
      <c r="W844" s="45" t="s">
        <v>345</v>
      </c>
      <c r="X844" s="45" t="b">
        <v>0</v>
      </c>
      <c r="Y844" s="45" t="b">
        <v>1</v>
      </c>
      <c r="Z844" s="45" t="b">
        <v>1</v>
      </c>
      <c r="AA844" s="45" t="b">
        <v>0</v>
      </c>
      <c r="AB844" s="45" t="b">
        <v>1</v>
      </c>
      <c r="AC844" s="45" t="b">
        <v>1</v>
      </c>
      <c r="AD844" s="45" t="b">
        <v>1</v>
      </c>
      <c r="AE844" s="45" t="b">
        <v>1</v>
      </c>
      <c r="AF844" s="45" t="s">
        <v>298</v>
      </c>
      <c r="AG844" s="45" t="b">
        <v>1</v>
      </c>
      <c r="AH844" s="45" t="b">
        <v>1</v>
      </c>
    </row>
    <row r="845" spans="22:34" x14ac:dyDescent="0.25">
      <c r="V845" t="s">
        <v>558</v>
      </c>
      <c r="W845" s="45" t="s">
        <v>345</v>
      </c>
      <c r="X845" s="45" t="b">
        <v>0</v>
      </c>
      <c r="Y845" s="45" t="b">
        <v>1</v>
      </c>
      <c r="Z845" s="45" t="b">
        <v>1</v>
      </c>
      <c r="AA845" s="45" t="b">
        <v>0</v>
      </c>
      <c r="AB845" s="45" t="b">
        <v>1</v>
      </c>
      <c r="AC845" s="45" t="b">
        <v>1</v>
      </c>
      <c r="AD845" s="45" t="b">
        <v>1</v>
      </c>
      <c r="AE845" s="45" t="b">
        <v>1</v>
      </c>
      <c r="AF845" s="45" t="s">
        <v>299</v>
      </c>
      <c r="AG845" s="45" t="b">
        <v>1</v>
      </c>
      <c r="AH845" s="45" t="b">
        <v>1</v>
      </c>
    </row>
    <row r="846" spans="22:34" x14ac:dyDescent="0.25">
      <c r="V846" t="s">
        <v>558</v>
      </c>
      <c r="W846" s="45" t="s">
        <v>345</v>
      </c>
      <c r="X846" s="45" t="b">
        <v>0</v>
      </c>
      <c r="Y846" s="45" t="b">
        <v>1</v>
      </c>
      <c r="Z846" s="45" t="b">
        <v>1</v>
      </c>
      <c r="AA846" s="45" t="b">
        <v>0</v>
      </c>
      <c r="AB846" s="45" t="b">
        <v>1</v>
      </c>
      <c r="AC846" s="45" t="b">
        <v>1</v>
      </c>
      <c r="AD846" s="45" t="b">
        <v>1</v>
      </c>
      <c r="AE846" s="45" t="b">
        <v>1</v>
      </c>
      <c r="AF846" s="45" t="s">
        <v>414</v>
      </c>
      <c r="AG846" s="45" t="b">
        <v>1</v>
      </c>
      <c r="AH846" s="45" t="b">
        <v>1</v>
      </c>
    </row>
    <row r="847" spans="22:34" x14ac:dyDescent="0.25">
      <c r="V847" t="s">
        <v>558</v>
      </c>
      <c r="W847" s="45" t="s">
        <v>345</v>
      </c>
      <c r="X847" s="45" t="b">
        <v>0</v>
      </c>
      <c r="Y847" s="45" t="b">
        <v>1</v>
      </c>
      <c r="Z847" s="45" t="b">
        <v>1</v>
      </c>
      <c r="AA847" s="45" t="b">
        <v>0</v>
      </c>
      <c r="AB847" s="45" t="b">
        <v>1</v>
      </c>
      <c r="AC847" s="45" t="b">
        <v>1</v>
      </c>
      <c r="AD847" s="45" t="b">
        <v>1</v>
      </c>
      <c r="AE847" s="45" t="b">
        <v>1</v>
      </c>
      <c r="AF847" s="45" t="s">
        <v>118</v>
      </c>
      <c r="AG847" s="45" t="b">
        <v>1</v>
      </c>
      <c r="AH847" s="45" t="b">
        <v>1</v>
      </c>
    </row>
    <row r="848" spans="22:34" x14ac:dyDescent="0.25">
      <c r="V848" t="s">
        <v>558</v>
      </c>
      <c r="W848" s="45" t="s">
        <v>345</v>
      </c>
      <c r="X848" s="45" t="b">
        <v>0</v>
      </c>
      <c r="Y848" s="45" t="b">
        <v>1</v>
      </c>
      <c r="Z848" s="45" t="b">
        <v>1</v>
      </c>
      <c r="AA848" s="45" t="b">
        <v>0</v>
      </c>
      <c r="AB848" s="45" t="b">
        <v>1</v>
      </c>
      <c r="AC848" s="45" t="b">
        <v>1</v>
      </c>
      <c r="AD848" s="45" t="b">
        <v>1</v>
      </c>
      <c r="AE848" s="45" t="b">
        <v>1</v>
      </c>
      <c r="AF848" s="45" t="s">
        <v>119</v>
      </c>
      <c r="AG848" s="45" t="b">
        <v>1</v>
      </c>
      <c r="AH848" s="45" t="b">
        <v>1</v>
      </c>
    </row>
    <row r="849" spans="22:34" x14ac:dyDescent="0.25">
      <c r="V849" t="s">
        <v>558</v>
      </c>
      <c r="W849" s="45" t="s">
        <v>345</v>
      </c>
      <c r="X849" s="45" t="b">
        <v>0</v>
      </c>
      <c r="Y849" s="45" t="b">
        <v>1</v>
      </c>
      <c r="Z849" s="45" t="b">
        <v>1</v>
      </c>
      <c r="AA849" s="45" t="b">
        <v>0</v>
      </c>
      <c r="AB849" s="45" t="b">
        <v>1</v>
      </c>
      <c r="AC849" s="45" t="b">
        <v>1</v>
      </c>
      <c r="AD849" s="45" t="b">
        <v>1</v>
      </c>
      <c r="AE849" s="45" t="b">
        <v>1</v>
      </c>
      <c r="AF849" s="45" t="s">
        <v>300</v>
      </c>
      <c r="AG849" s="45" t="b">
        <v>1</v>
      </c>
      <c r="AH849" s="45" t="b">
        <v>1</v>
      </c>
    </row>
    <row r="850" spans="22:34" x14ac:dyDescent="0.25">
      <c r="V850" t="s">
        <v>558</v>
      </c>
      <c r="W850" s="45" t="s">
        <v>345</v>
      </c>
      <c r="X850" s="45" t="b">
        <v>0</v>
      </c>
      <c r="Y850" s="45" t="b">
        <v>1</v>
      </c>
      <c r="Z850" s="45" t="b">
        <v>1</v>
      </c>
      <c r="AA850" s="45" t="b">
        <v>0</v>
      </c>
      <c r="AB850" s="45" t="b">
        <v>1</v>
      </c>
      <c r="AC850" s="45" t="b">
        <v>1</v>
      </c>
      <c r="AD850" s="45" t="b">
        <v>1</v>
      </c>
      <c r="AE850" s="45" t="b">
        <v>1</v>
      </c>
      <c r="AF850" s="45" t="s">
        <v>301</v>
      </c>
      <c r="AG850" s="45" t="b">
        <v>1</v>
      </c>
      <c r="AH850" s="45" t="b">
        <v>1</v>
      </c>
    </row>
    <row r="851" spans="22:34" x14ac:dyDescent="0.25">
      <c r="V851" t="s">
        <v>558</v>
      </c>
      <c r="W851" s="45" t="s">
        <v>345</v>
      </c>
      <c r="X851" s="45" t="b">
        <v>0</v>
      </c>
      <c r="Y851" s="45" t="b">
        <v>1</v>
      </c>
      <c r="Z851" s="45" t="b">
        <v>1</v>
      </c>
      <c r="AA851" s="45" t="b">
        <v>0</v>
      </c>
      <c r="AB851" s="45" t="b">
        <v>1</v>
      </c>
      <c r="AC851" s="45" t="b">
        <v>1</v>
      </c>
      <c r="AD851" s="45" t="b">
        <v>1</v>
      </c>
      <c r="AE851" s="45" t="b">
        <v>1</v>
      </c>
      <c r="AF851" s="45" t="s">
        <v>120</v>
      </c>
      <c r="AG851" s="45" t="b">
        <v>1</v>
      </c>
      <c r="AH851" s="45" t="b">
        <v>1</v>
      </c>
    </row>
    <row r="852" spans="22:34" x14ac:dyDescent="0.25">
      <c r="V852" t="s">
        <v>558</v>
      </c>
      <c r="W852" s="45" t="s">
        <v>345</v>
      </c>
      <c r="X852" s="45" t="b">
        <v>0</v>
      </c>
      <c r="Y852" s="45" t="b">
        <v>1</v>
      </c>
      <c r="Z852" s="45" t="b">
        <v>1</v>
      </c>
      <c r="AA852" s="45" t="b">
        <v>0</v>
      </c>
      <c r="AB852" s="45" t="b">
        <v>1</v>
      </c>
      <c r="AC852" s="45" t="b">
        <v>1</v>
      </c>
      <c r="AD852" s="45" t="b">
        <v>1</v>
      </c>
      <c r="AE852" s="45" t="b">
        <v>1</v>
      </c>
      <c r="AF852" s="45" t="s">
        <v>302</v>
      </c>
      <c r="AG852" s="45" t="b">
        <v>1</v>
      </c>
      <c r="AH852" s="45" t="b">
        <v>1</v>
      </c>
    </row>
    <row r="853" spans="22:34" x14ac:dyDescent="0.25">
      <c r="V853" t="s">
        <v>558</v>
      </c>
      <c r="W853" s="45" t="s">
        <v>345</v>
      </c>
      <c r="X853" s="45" t="b">
        <v>0</v>
      </c>
      <c r="Y853" s="45" t="b">
        <v>1</v>
      </c>
      <c r="Z853" s="45" t="b">
        <v>1</v>
      </c>
      <c r="AA853" s="45" t="b">
        <v>0</v>
      </c>
      <c r="AB853" s="45" t="b">
        <v>1</v>
      </c>
      <c r="AC853" s="45" t="b">
        <v>1</v>
      </c>
      <c r="AD853" s="45" t="b">
        <v>1</v>
      </c>
      <c r="AE853" s="45" t="b">
        <v>1</v>
      </c>
      <c r="AF853" s="45" t="s">
        <v>303</v>
      </c>
      <c r="AG853" s="45" t="b">
        <v>1</v>
      </c>
      <c r="AH853" s="45" t="b">
        <v>1</v>
      </c>
    </row>
    <row r="854" spans="22:34" x14ac:dyDescent="0.25">
      <c r="V854" t="s">
        <v>558</v>
      </c>
      <c r="W854" s="45" t="s">
        <v>345</v>
      </c>
      <c r="X854" s="45" t="b">
        <v>0</v>
      </c>
      <c r="Y854" s="45" t="b">
        <v>1</v>
      </c>
      <c r="Z854" s="45" t="b">
        <v>1</v>
      </c>
      <c r="AA854" s="45" t="b">
        <v>0</v>
      </c>
      <c r="AB854" s="45" t="b">
        <v>1</v>
      </c>
      <c r="AC854" s="45" t="b">
        <v>1</v>
      </c>
      <c r="AD854" s="45" t="b">
        <v>1</v>
      </c>
      <c r="AE854" s="45" t="b">
        <v>1</v>
      </c>
      <c r="AF854" s="45" t="s">
        <v>304</v>
      </c>
      <c r="AG854" s="45" t="b">
        <v>1</v>
      </c>
      <c r="AH854" s="45" t="b">
        <v>1</v>
      </c>
    </row>
    <row r="855" spans="22:34" x14ac:dyDescent="0.25">
      <c r="V855" t="s">
        <v>558</v>
      </c>
      <c r="W855" s="45" t="s">
        <v>345</v>
      </c>
      <c r="X855" s="45" t="b">
        <v>0</v>
      </c>
      <c r="Y855" s="45" t="b">
        <v>1</v>
      </c>
      <c r="Z855" s="45" t="b">
        <v>1</v>
      </c>
      <c r="AA855" s="45" t="b">
        <v>0</v>
      </c>
      <c r="AB855" s="45" t="b">
        <v>1</v>
      </c>
      <c r="AC855" s="45" t="b">
        <v>1</v>
      </c>
      <c r="AD855" s="45" t="b">
        <v>1</v>
      </c>
      <c r="AE855" s="45" t="b">
        <v>1</v>
      </c>
      <c r="AF855" s="45" t="s">
        <v>305</v>
      </c>
      <c r="AG855" s="45" t="b">
        <v>1</v>
      </c>
      <c r="AH855" s="45" t="b">
        <v>1</v>
      </c>
    </row>
    <row r="856" spans="22:34" x14ac:dyDescent="0.25">
      <c r="V856" t="s">
        <v>558</v>
      </c>
      <c r="W856" s="45" t="s">
        <v>345</v>
      </c>
      <c r="X856" s="45" t="b">
        <v>0</v>
      </c>
      <c r="Y856" s="45" t="b">
        <v>1</v>
      </c>
      <c r="Z856" s="45" t="b">
        <v>1</v>
      </c>
      <c r="AA856" s="45" t="b">
        <v>0</v>
      </c>
      <c r="AB856" s="45" t="b">
        <v>1</v>
      </c>
      <c r="AC856" s="45" t="b">
        <v>1</v>
      </c>
      <c r="AD856" s="45" t="b">
        <v>1</v>
      </c>
      <c r="AE856" s="45" t="b">
        <v>1</v>
      </c>
      <c r="AF856" s="45" t="s">
        <v>306</v>
      </c>
      <c r="AG856" s="45" t="b">
        <v>1</v>
      </c>
      <c r="AH856" s="45" t="b">
        <v>1</v>
      </c>
    </row>
    <row r="857" spans="22:34" x14ac:dyDescent="0.25">
      <c r="V857" t="s">
        <v>558</v>
      </c>
      <c r="W857" s="45" t="s">
        <v>345</v>
      </c>
      <c r="X857" s="45" t="b">
        <v>0</v>
      </c>
      <c r="Y857" s="45" t="b">
        <v>1</v>
      </c>
      <c r="Z857" s="45" t="b">
        <v>1</v>
      </c>
      <c r="AA857" s="45" t="b">
        <v>0</v>
      </c>
      <c r="AB857" s="45" t="b">
        <v>1</v>
      </c>
      <c r="AC857" s="45" t="b">
        <v>1</v>
      </c>
      <c r="AD857" s="45" t="b">
        <v>1</v>
      </c>
      <c r="AE857" s="45" t="b">
        <v>1</v>
      </c>
      <c r="AF857" s="45" t="s">
        <v>307</v>
      </c>
      <c r="AG857" s="45" t="b">
        <v>1</v>
      </c>
      <c r="AH857" s="45" t="b">
        <v>1</v>
      </c>
    </row>
    <row r="858" spans="22:34" x14ac:dyDescent="0.25">
      <c r="V858" t="s">
        <v>558</v>
      </c>
      <c r="W858" s="45" t="s">
        <v>345</v>
      </c>
      <c r="X858" s="45" t="b">
        <v>0</v>
      </c>
      <c r="Y858" s="45" t="b">
        <v>1</v>
      </c>
      <c r="Z858" s="45" t="b">
        <v>1</v>
      </c>
      <c r="AA858" s="45" t="b">
        <v>0</v>
      </c>
      <c r="AB858" s="45" t="b">
        <v>1</v>
      </c>
      <c r="AC858" s="45" t="b">
        <v>1</v>
      </c>
      <c r="AD858" s="45" t="b">
        <v>1</v>
      </c>
      <c r="AE858" s="45" t="b">
        <v>1</v>
      </c>
      <c r="AF858" s="45" t="s">
        <v>308</v>
      </c>
      <c r="AG858" s="45" t="b">
        <v>1</v>
      </c>
      <c r="AH858" s="45" t="b">
        <v>1</v>
      </c>
    </row>
    <row r="859" spans="22:34" x14ac:dyDescent="0.25">
      <c r="V859" t="s">
        <v>558</v>
      </c>
      <c r="W859" s="45" t="s">
        <v>345</v>
      </c>
      <c r="X859" s="45" t="b">
        <v>0</v>
      </c>
      <c r="Y859" s="45" t="b">
        <v>1</v>
      </c>
      <c r="Z859" s="45" t="b">
        <v>1</v>
      </c>
      <c r="AA859" s="45" t="b">
        <v>0</v>
      </c>
      <c r="AB859" s="45" t="b">
        <v>1</v>
      </c>
      <c r="AC859" s="45" t="b">
        <v>1</v>
      </c>
      <c r="AD859" s="45" t="b">
        <v>1</v>
      </c>
      <c r="AE859" s="45" t="b">
        <v>1</v>
      </c>
      <c r="AF859" s="45" t="s">
        <v>309</v>
      </c>
      <c r="AG859" s="45" t="b">
        <v>1</v>
      </c>
      <c r="AH859" s="45" t="b">
        <v>1</v>
      </c>
    </row>
    <row r="860" spans="22:34" x14ac:dyDescent="0.25">
      <c r="V860" t="s">
        <v>558</v>
      </c>
      <c r="W860" s="45" t="s">
        <v>345</v>
      </c>
      <c r="X860" s="45" t="b">
        <v>0</v>
      </c>
      <c r="Y860" s="45" t="b">
        <v>1</v>
      </c>
      <c r="Z860" s="45" t="b">
        <v>1</v>
      </c>
      <c r="AA860" s="45" t="b">
        <v>0</v>
      </c>
      <c r="AB860" s="45" t="b">
        <v>1</v>
      </c>
      <c r="AC860" s="45" t="b">
        <v>1</v>
      </c>
      <c r="AD860" s="45" t="b">
        <v>1</v>
      </c>
      <c r="AE860" s="45" t="b">
        <v>1</v>
      </c>
      <c r="AF860" s="45" t="s">
        <v>310</v>
      </c>
      <c r="AG860" s="45" t="b">
        <v>1</v>
      </c>
      <c r="AH860" s="45" t="b">
        <v>1</v>
      </c>
    </row>
    <row r="861" spans="22:34" x14ac:dyDescent="0.25">
      <c r="V861" t="s">
        <v>558</v>
      </c>
      <c r="W861" s="45" t="s">
        <v>345</v>
      </c>
      <c r="X861" s="45" t="b">
        <v>0</v>
      </c>
      <c r="Y861" s="45" t="b">
        <v>1</v>
      </c>
      <c r="Z861" s="45" t="b">
        <v>1</v>
      </c>
      <c r="AA861" s="45" t="b">
        <v>0</v>
      </c>
      <c r="AB861" s="45" t="b">
        <v>1</v>
      </c>
      <c r="AC861" s="45" t="b">
        <v>1</v>
      </c>
      <c r="AD861" s="45" t="b">
        <v>1</v>
      </c>
      <c r="AE861" s="45" t="b">
        <v>1</v>
      </c>
      <c r="AF861" s="45" t="s">
        <v>311</v>
      </c>
      <c r="AG861" s="45" t="b">
        <v>1</v>
      </c>
      <c r="AH861" s="45" t="b">
        <v>1</v>
      </c>
    </row>
    <row r="862" spans="22:34" x14ac:dyDescent="0.25">
      <c r="V862" t="s">
        <v>558</v>
      </c>
      <c r="W862" s="45" t="s">
        <v>345</v>
      </c>
      <c r="X862" s="45" t="b">
        <v>0</v>
      </c>
      <c r="Y862" s="45" t="b">
        <v>1</v>
      </c>
      <c r="Z862" s="45" t="b">
        <v>1</v>
      </c>
      <c r="AA862" s="45" t="b">
        <v>0</v>
      </c>
      <c r="AB862" s="45" t="b">
        <v>1</v>
      </c>
      <c r="AC862" s="45" t="b">
        <v>1</v>
      </c>
      <c r="AD862" s="45" t="b">
        <v>1</v>
      </c>
      <c r="AE862" s="45" t="b">
        <v>1</v>
      </c>
      <c r="AF862" s="45" t="s">
        <v>312</v>
      </c>
      <c r="AG862" s="45" t="b">
        <v>1</v>
      </c>
      <c r="AH862" s="45" t="b">
        <v>1</v>
      </c>
    </row>
    <row r="863" spans="22:34" x14ac:dyDescent="0.25">
      <c r="V863" t="s">
        <v>558</v>
      </c>
      <c r="W863" s="45" t="s">
        <v>345</v>
      </c>
      <c r="X863" s="45" t="b">
        <v>0</v>
      </c>
      <c r="Y863" s="45" t="b">
        <v>1</v>
      </c>
      <c r="Z863" s="45" t="b">
        <v>1</v>
      </c>
      <c r="AA863" s="45" t="b">
        <v>0</v>
      </c>
      <c r="AB863" s="45" t="b">
        <v>1</v>
      </c>
      <c r="AC863" s="45" t="b">
        <v>1</v>
      </c>
      <c r="AD863" s="45" t="b">
        <v>1</v>
      </c>
      <c r="AE863" s="45" t="b">
        <v>1</v>
      </c>
      <c r="AF863" s="45" t="s">
        <v>313</v>
      </c>
      <c r="AG863" s="45" t="b">
        <v>1</v>
      </c>
      <c r="AH863" s="45" t="b">
        <v>1</v>
      </c>
    </row>
    <row r="864" spans="22:34" x14ac:dyDescent="0.25">
      <c r="V864" t="s">
        <v>558</v>
      </c>
      <c r="W864" s="45" t="s">
        <v>345</v>
      </c>
      <c r="X864" s="45" t="b">
        <v>0</v>
      </c>
      <c r="Y864" s="45" t="b">
        <v>1</v>
      </c>
      <c r="Z864" s="45" t="b">
        <v>1</v>
      </c>
      <c r="AA864" s="45" t="b">
        <v>0</v>
      </c>
      <c r="AB864" s="45" t="b">
        <v>1</v>
      </c>
      <c r="AC864" s="45" t="b">
        <v>1</v>
      </c>
      <c r="AD864" s="45" t="b">
        <v>1</v>
      </c>
      <c r="AE864" s="45" t="b">
        <v>1</v>
      </c>
      <c r="AF864" s="45" t="s">
        <v>314</v>
      </c>
      <c r="AG864" s="45" t="b">
        <v>1</v>
      </c>
      <c r="AH864" s="45" t="b">
        <v>1</v>
      </c>
    </row>
    <row r="865" spans="22:34" x14ac:dyDescent="0.25">
      <c r="V865" t="s">
        <v>558</v>
      </c>
      <c r="W865" s="45" t="s">
        <v>345</v>
      </c>
      <c r="X865" s="45" t="b">
        <v>0</v>
      </c>
      <c r="Y865" s="45" t="b">
        <v>1</v>
      </c>
      <c r="Z865" s="45" t="b">
        <v>1</v>
      </c>
      <c r="AA865" s="45" t="b">
        <v>0</v>
      </c>
      <c r="AB865" s="45" t="b">
        <v>1</v>
      </c>
      <c r="AC865" s="45" t="b">
        <v>1</v>
      </c>
      <c r="AD865" s="45" t="b">
        <v>1</v>
      </c>
      <c r="AE865" s="45" t="b">
        <v>1</v>
      </c>
      <c r="AF865" s="45" t="s">
        <v>315</v>
      </c>
      <c r="AG865" s="45" t="b">
        <v>1</v>
      </c>
      <c r="AH865" s="45" t="b">
        <v>1</v>
      </c>
    </row>
    <row r="866" spans="22:34" x14ac:dyDescent="0.25">
      <c r="V866" t="s">
        <v>558</v>
      </c>
      <c r="W866" s="45" t="s">
        <v>345</v>
      </c>
      <c r="X866" s="45" t="b">
        <v>0</v>
      </c>
      <c r="Y866" s="45" t="b">
        <v>1</v>
      </c>
      <c r="Z866" s="45" t="b">
        <v>1</v>
      </c>
      <c r="AA866" s="45" t="b">
        <v>0</v>
      </c>
      <c r="AB866" s="45" t="b">
        <v>1</v>
      </c>
      <c r="AC866" s="45" t="b">
        <v>1</v>
      </c>
      <c r="AD866" s="45" t="b">
        <v>1</v>
      </c>
      <c r="AE866" s="45" t="b">
        <v>1</v>
      </c>
      <c r="AF866" s="45" t="s">
        <v>316</v>
      </c>
      <c r="AG866" s="45" t="b">
        <v>1</v>
      </c>
      <c r="AH866" s="45" t="b">
        <v>1</v>
      </c>
    </row>
    <row r="867" spans="22:34" x14ac:dyDescent="0.25">
      <c r="V867" t="s">
        <v>558</v>
      </c>
      <c r="W867" s="45" t="s">
        <v>345</v>
      </c>
      <c r="X867" s="45" t="b">
        <v>0</v>
      </c>
      <c r="Y867" s="45" t="b">
        <v>1</v>
      </c>
      <c r="Z867" s="45" t="b">
        <v>1</v>
      </c>
      <c r="AA867" s="45" t="b">
        <v>0</v>
      </c>
      <c r="AB867" s="45" t="b">
        <v>1</v>
      </c>
      <c r="AC867" s="45" t="b">
        <v>1</v>
      </c>
      <c r="AD867" s="45" t="b">
        <v>1</v>
      </c>
      <c r="AE867" s="45" t="b">
        <v>1</v>
      </c>
      <c r="AF867" s="45" t="s">
        <v>317</v>
      </c>
      <c r="AG867" s="45" t="b">
        <v>1</v>
      </c>
      <c r="AH867" s="45" t="b">
        <v>1</v>
      </c>
    </row>
    <row r="868" spans="22:34" x14ac:dyDescent="0.25">
      <c r="V868" t="s">
        <v>558</v>
      </c>
      <c r="W868" s="45" t="s">
        <v>345</v>
      </c>
      <c r="X868" s="45" t="b">
        <v>0</v>
      </c>
      <c r="Y868" s="45" t="b">
        <v>1</v>
      </c>
      <c r="Z868" s="45" t="b">
        <v>1</v>
      </c>
      <c r="AA868" s="45" t="b">
        <v>0</v>
      </c>
      <c r="AB868" s="45" t="b">
        <v>1</v>
      </c>
      <c r="AC868" s="45" t="b">
        <v>1</v>
      </c>
      <c r="AD868" s="45" t="b">
        <v>1</v>
      </c>
      <c r="AE868" s="45" t="b">
        <v>1</v>
      </c>
      <c r="AF868" s="45" t="s">
        <v>318</v>
      </c>
      <c r="AG868" s="45" t="b">
        <v>1</v>
      </c>
      <c r="AH868" s="45" t="b">
        <v>1</v>
      </c>
    </row>
    <row r="869" spans="22:34" x14ac:dyDescent="0.25">
      <c r="V869" t="s">
        <v>558</v>
      </c>
      <c r="W869" s="45" t="s">
        <v>345</v>
      </c>
      <c r="X869" s="45" t="b">
        <v>0</v>
      </c>
      <c r="Y869" s="45" t="b">
        <v>1</v>
      </c>
      <c r="Z869" s="45" t="b">
        <v>1</v>
      </c>
      <c r="AA869" s="45" t="b">
        <v>0</v>
      </c>
      <c r="AB869" s="45" t="b">
        <v>1</v>
      </c>
      <c r="AC869" s="45" t="b">
        <v>1</v>
      </c>
      <c r="AD869" s="45" t="b">
        <v>1</v>
      </c>
      <c r="AE869" s="45" t="b">
        <v>1</v>
      </c>
      <c r="AF869" s="45" t="s">
        <v>319</v>
      </c>
      <c r="AG869" s="45" t="b">
        <v>1</v>
      </c>
      <c r="AH869" s="45" t="b">
        <v>1</v>
      </c>
    </row>
    <row r="870" spans="22:34" x14ac:dyDescent="0.25">
      <c r="V870" t="s">
        <v>559</v>
      </c>
      <c r="W870" s="45" t="s">
        <v>346</v>
      </c>
      <c r="X870" s="45" t="b">
        <v>0</v>
      </c>
      <c r="Y870" s="45" t="b">
        <v>1</v>
      </c>
      <c r="Z870" s="45" t="b">
        <v>1</v>
      </c>
      <c r="AA870" s="45" t="b">
        <v>0</v>
      </c>
      <c r="AB870" s="45" t="b">
        <v>1</v>
      </c>
      <c r="AC870" s="45" t="b">
        <v>1</v>
      </c>
      <c r="AD870" s="45" t="b">
        <v>1</v>
      </c>
      <c r="AE870" s="45" t="b">
        <v>1</v>
      </c>
      <c r="AF870" s="45" t="s">
        <v>295</v>
      </c>
      <c r="AG870" s="45" t="b">
        <v>1</v>
      </c>
      <c r="AH870" s="45" t="b">
        <v>0</v>
      </c>
    </row>
    <row r="871" spans="22:34" x14ac:dyDescent="0.25">
      <c r="V871" t="s">
        <v>559</v>
      </c>
      <c r="W871" s="45" t="s">
        <v>346</v>
      </c>
      <c r="X871" s="45" t="b">
        <v>0</v>
      </c>
      <c r="Y871" s="45" t="b">
        <v>1</v>
      </c>
      <c r="Z871" s="45" t="b">
        <v>1</v>
      </c>
      <c r="AA871" s="45" t="b">
        <v>0</v>
      </c>
      <c r="AB871" s="45" t="b">
        <v>1</v>
      </c>
      <c r="AC871" s="45" t="b">
        <v>1</v>
      </c>
      <c r="AD871" s="45" t="b">
        <v>1</v>
      </c>
      <c r="AE871" s="45" t="b">
        <v>1</v>
      </c>
      <c r="AF871" s="45" t="s">
        <v>297</v>
      </c>
      <c r="AG871" s="45" t="b">
        <v>1</v>
      </c>
      <c r="AH871" s="45" t="b">
        <v>0</v>
      </c>
    </row>
    <row r="872" spans="22:34" x14ac:dyDescent="0.25">
      <c r="V872" t="s">
        <v>559</v>
      </c>
      <c r="W872" s="45" t="s">
        <v>346</v>
      </c>
      <c r="X872" s="45" t="b">
        <v>0</v>
      </c>
      <c r="Y872" s="45" t="b">
        <v>1</v>
      </c>
      <c r="Z872" s="45" t="b">
        <v>1</v>
      </c>
      <c r="AA872" s="45" t="b">
        <v>0</v>
      </c>
      <c r="AB872" s="45" t="b">
        <v>1</v>
      </c>
      <c r="AC872" s="45" t="b">
        <v>1</v>
      </c>
      <c r="AD872" s="45" t="b">
        <v>1</v>
      </c>
      <c r="AE872" s="45" t="b">
        <v>1</v>
      </c>
      <c r="AF872" s="45" t="s">
        <v>112</v>
      </c>
      <c r="AG872" s="45" t="b">
        <v>0</v>
      </c>
      <c r="AH872" s="45" t="b">
        <v>0</v>
      </c>
    </row>
    <row r="873" spans="22:34" x14ac:dyDescent="0.25">
      <c r="V873" t="s">
        <v>559</v>
      </c>
      <c r="W873" s="45" t="s">
        <v>346</v>
      </c>
      <c r="X873" s="45" t="b">
        <v>0</v>
      </c>
      <c r="Y873" s="45" t="b">
        <v>1</v>
      </c>
      <c r="Z873" s="45" t="b">
        <v>1</v>
      </c>
      <c r="AA873" s="45" t="b">
        <v>0</v>
      </c>
      <c r="AB873" s="45" t="b">
        <v>1</v>
      </c>
      <c r="AC873" s="45" t="b">
        <v>1</v>
      </c>
      <c r="AD873" s="45" t="b">
        <v>1</v>
      </c>
      <c r="AE873" s="45" t="b">
        <v>1</v>
      </c>
      <c r="AF873" s="45" t="s">
        <v>114</v>
      </c>
      <c r="AG873" s="45" t="b">
        <v>0</v>
      </c>
      <c r="AH873" s="45" t="b">
        <v>0</v>
      </c>
    </row>
    <row r="874" spans="22:34" x14ac:dyDescent="0.25">
      <c r="V874" t="s">
        <v>559</v>
      </c>
      <c r="W874" s="45" t="s">
        <v>346</v>
      </c>
      <c r="X874" s="45" t="b">
        <v>0</v>
      </c>
      <c r="Y874" s="45" t="b">
        <v>1</v>
      </c>
      <c r="Z874" s="45" t="b">
        <v>1</v>
      </c>
      <c r="AA874" s="45" t="b">
        <v>0</v>
      </c>
      <c r="AB874" s="45" t="b">
        <v>1</v>
      </c>
      <c r="AC874" s="45" t="b">
        <v>1</v>
      </c>
      <c r="AD874" s="45" t="b">
        <v>1</v>
      </c>
      <c r="AE874" s="45" t="b">
        <v>1</v>
      </c>
      <c r="AF874" s="45" t="s">
        <v>115</v>
      </c>
      <c r="AG874" s="45" t="b">
        <v>1</v>
      </c>
      <c r="AH874" s="45" t="b">
        <v>0</v>
      </c>
    </row>
    <row r="875" spans="22:34" x14ac:dyDescent="0.25">
      <c r="V875" t="s">
        <v>559</v>
      </c>
      <c r="W875" s="45" t="s">
        <v>346</v>
      </c>
      <c r="X875" s="45" t="b">
        <v>0</v>
      </c>
      <c r="Y875" s="45" t="b">
        <v>1</v>
      </c>
      <c r="Z875" s="45" t="b">
        <v>1</v>
      </c>
      <c r="AA875" s="45" t="b">
        <v>0</v>
      </c>
      <c r="AB875" s="45" t="b">
        <v>1</v>
      </c>
      <c r="AC875" s="45" t="b">
        <v>1</v>
      </c>
      <c r="AD875" s="45" t="b">
        <v>1</v>
      </c>
      <c r="AE875" s="45" t="b">
        <v>1</v>
      </c>
      <c r="AF875" s="45" t="s">
        <v>116</v>
      </c>
      <c r="AG875" s="45" t="b">
        <v>0</v>
      </c>
      <c r="AH875" s="45" t="b">
        <v>0</v>
      </c>
    </row>
    <row r="876" spans="22:34" x14ac:dyDescent="0.25">
      <c r="V876" t="s">
        <v>559</v>
      </c>
      <c r="W876" s="45" t="s">
        <v>346</v>
      </c>
      <c r="X876" s="45" t="b">
        <v>0</v>
      </c>
      <c r="Y876" s="45" t="b">
        <v>1</v>
      </c>
      <c r="Z876" s="45" t="b">
        <v>1</v>
      </c>
      <c r="AA876" s="45" t="b">
        <v>0</v>
      </c>
      <c r="AB876" s="45" t="b">
        <v>1</v>
      </c>
      <c r="AC876" s="45" t="b">
        <v>1</v>
      </c>
      <c r="AD876" s="45" t="b">
        <v>1</v>
      </c>
      <c r="AE876" s="45" t="b">
        <v>1</v>
      </c>
      <c r="AF876" s="45" t="s">
        <v>298</v>
      </c>
      <c r="AG876" s="45" t="b">
        <v>1</v>
      </c>
      <c r="AH876" s="45" t="b">
        <v>0</v>
      </c>
    </row>
    <row r="877" spans="22:34" x14ac:dyDescent="0.25">
      <c r="V877" t="s">
        <v>559</v>
      </c>
      <c r="W877" s="45" t="s">
        <v>346</v>
      </c>
      <c r="X877" s="45" t="b">
        <v>0</v>
      </c>
      <c r="Y877" s="45" t="b">
        <v>1</v>
      </c>
      <c r="Z877" s="45" t="b">
        <v>1</v>
      </c>
      <c r="AA877" s="45" t="b">
        <v>0</v>
      </c>
      <c r="AB877" s="45" t="b">
        <v>1</v>
      </c>
      <c r="AC877" s="45" t="b">
        <v>1</v>
      </c>
      <c r="AD877" s="45" t="b">
        <v>1</v>
      </c>
      <c r="AE877" s="45" t="b">
        <v>1</v>
      </c>
      <c r="AF877" s="45" t="s">
        <v>299</v>
      </c>
      <c r="AG877" s="45" t="b">
        <v>1</v>
      </c>
      <c r="AH877" s="45" t="b">
        <v>0</v>
      </c>
    </row>
    <row r="878" spans="22:34" x14ac:dyDescent="0.25">
      <c r="V878" t="s">
        <v>559</v>
      </c>
      <c r="W878" s="45" t="s">
        <v>346</v>
      </c>
      <c r="X878" s="45" t="b">
        <v>0</v>
      </c>
      <c r="Y878" s="45" t="b">
        <v>1</v>
      </c>
      <c r="Z878" s="45" t="b">
        <v>1</v>
      </c>
      <c r="AA878" s="45" t="b">
        <v>0</v>
      </c>
      <c r="AB878" s="45" t="b">
        <v>1</v>
      </c>
      <c r="AC878" s="45" t="b">
        <v>1</v>
      </c>
      <c r="AD878" s="45" t="b">
        <v>1</v>
      </c>
      <c r="AE878" s="45" t="b">
        <v>1</v>
      </c>
      <c r="AF878" s="45" t="s">
        <v>414</v>
      </c>
      <c r="AG878" s="45" t="b">
        <v>1</v>
      </c>
      <c r="AH878" s="45" t="b">
        <v>0</v>
      </c>
    </row>
    <row r="879" spans="22:34" x14ac:dyDescent="0.25">
      <c r="V879" t="s">
        <v>559</v>
      </c>
      <c r="W879" s="45" t="s">
        <v>346</v>
      </c>
      <c r="X879" s="45" t="b">
        <v>0</v>
      </c>
      <c r="Y879" s="45" t="b">
        <v>1</v>
      </c>
      <c r="Z879" s="45" t="b">
        <v>1</v>
      </c>
      <c r="AA879" s="45" t="b">
        <v>0</v>
      </c>
      <c r="AB879" s="45" t="b">
        <v>1</v>
      </c>
      <c r="AC879" s="45" t="b">
        <v>1</v>
      </c>
      <c r="AD879" s="45" t="b">
        <v>1</v>
      </c>
      <c r="AE879" s="45" t="b">
        <v>1</v>
      </c>
      <c r="AF879" s="45" t="s">
        <v>118</v>
      </c>
      <c r="AG879" s="45" t="b">
        <v>1</v>
      </c>
      <c r="AH879" s="45" t="b">
        <v>0</v>
      </c>
    </row>
    <row r="880" spans="22:34" x14ac:dyDescent="0.25">
      <c r="V880" t="s">
        <v>559</v>
      </c>
      <c r="W880" s="45" t="s">
        <v>346</v>
      </c>
      <c r="X880" s="45" t="b">
        <v>0</v>
      </c>
      <c r="Y880" s="45" t="b">
        <v>1</v>
      </c>
      <c r="Z880" s="45" t="b">
        <v>1</v>
      </c>
      <c r="AA880" s="45" t="b">
        <v>0</v>
      </c>
      <c r="AB880" s="45" t="b">
        <v>1</v>
      </c>
      <c r="AC880" s="45" t="b">
        <v>1</v>
      </c>
      <c r="AD880" s="45" t="b">
        <v>1</v>
      </c>
      <c r="AE880" s="45" t="b">
        <v>1</v>
      </c>
      <c r="AF880" s="45" t="s">
        <v>119</v>
      </c>
      <c r="AG880" s="45" t="b">
        <v>1</v>
      </c>
      <c r="AH880" s="45" t="b">
        <v>0</v>
      </c>
    </row>
    <row r="881" spans="22:34" x14ac:dyDescent="0.25">
      <c r="V881" t="s">
        <v>559</v>
      </c>
      <c r="W881" s="45" t="s">
        <v>346</v>
      </c>
      <c r="X881" s="45" t="b">
        <v>0</v>
      </c>
      <c r="Y881" s="45" t="b">
        <v>1</v>
      </c>
      <c r="Z881" s="45" t="b">
        <v>1</v>
      </c>
      <c r="AA881" s="45" t="b">
        <v>0</v>
      </c>
      <c r="AB881" s="45" t="b">
        <v>1</v>
      </c>
      <c r="AC881" s="45" t="b">
        <v>1</v>
      </c>
      <c r="AD881" s="45" t="b">
        <v>1</v>
      </c>
      <c r="AE881" s="45" t="b">
        <v>1</v>
      </c>
      <c r="AF881" s="45" t="s">
        <v>300</v>
      </c>
      <c r="AG881" s="45" t="b">
        <v>1</v>
      </c>
      <c r="AH881" s="45" t="b">
        <v>0</v>
      </c>
    </row>
    <row r="882" spans="22:34" x14ac:dyDescent="0.25">
      <c r="V882" t="s">
        <v>559</v>
      </c>
      <c r="W882" s="45" t="s">
        <v>346</v>
      </c>
      <c r="X882" s="45" t="b">
        <v>0</v>
      </c>
      <c r="Y882" s="45" t="b">
        <v>1</v>
      </c>
      <c r="Z882" s="45" t="b">
        <v>1</v>
      </c>
      <c r="AA882" s="45" t="b">
        <v>0</v>
      </c>
      <c r="AB882" s="45" t="b">
        <v>1</v>
      </c>
      <c r="AC882" s="45" t="b">
        <v>1</v>
      </c>
      <c r="AD882" s="45" t="b">
        <v>1</v>
      </c>
      <c r="AE882" s="45" t="b">
        <v>1</v>
      </c>
      <c r="AF882" s="45" t="s">
        <v>301</v>
      </c>
      <c r="AG882" s="45" t="b">
        <v>0</v>
      </c>
      <c r="AH882" s="45" t="b">
        <v>0</v>
      </c>
    </row>
    <row r="883" spans="22:34" x14ac:dyDescent="0.25">
      <c r="V883" t="s">
        <v>559</v>
      </c>
      <c r="W883" s="45" t="s">
        <v>346</v>
      </c>
      <c r="X883" s="45" t="b">
        <v>0</v>
      </c>
      <c r="Y883" s="45" t="b">
        <v>1</v>
      </c>
      <c r="Z883" s="45" t="b">
        <v>1</v>
      </c>
      <c r="AA883" s="45" t="b">
        <v>0</v>
      </c>
      <c r="AB883" s="45" t="b">
        <v>1</v>
      </c>
      <c r="AC883" s="45" t="b">
        <v>1</v>
      </c>
      <c r="AD883" s="45" t="b">
        <v>1</v>
      </c>
      <c r="AE883" s="45" t="b">
        <v>1</v>
      </c>
      <c r="AF883" s="45" t="s">
        <v>120</v>
      </c>
      <c r="AG883" s="45" t="b">
        <v>1</v>
      </c>
      <c r="AH883" s="45" t="b">
        <v>0</v>
      </c>
    </row>
    <row r="884" spans="22:34" x14ac:dyDescent="0.25">
      <c r="V884" t="s">
        <v>559</v>
      </c>
      <c r="W884" s="45" t="s">
        <v>346</v>
      </c>
      <c r="X884" s="45" t="b">
        <v>0</v>
      </c>
      <c r="Y884" s="45" t="b">
        <v>1</v>
      </c>
      <c r="Z884" s="45" t="b">
        <v>1</v>
      </c>
      <c r="AA884" s="45" t="b">
        <v>0</v>
      </c>
      <c r="AB884" s="45" t="b">
        <v>1</v>
      </c>
      <c r="AC884" s="45" t="b">
        <v>1</v>
      </c>
      <c r="AD884" s="45" t="b">
        <v>1</v>
      </c>
      <c r="AE884" s="45" t="b">
        <v>1</v>
      </c>
      <c r="AF884" s="45" t="s">
        <v>302</v>
      </c>
      <c r="AG884" s="45" t="b">
        <v>0</v>
      </c>
      <c r="AH884" s="45" t="b">
        <v>0</v>
      </c>
    </row>
    <row r="885" spans="22:34" x14ac:dyDescent="0.25">
      <c r="V885" t="s">
        <v>559</v>
      </c>
      <c r="W885" s="45" t="s">
        <v>346</v>
      </c>
      <c r="X885" s="45" t="b">
        <v>0</v>
      </c>
      <c r="Y885" s="45" t="b">
        <v>1</v>
      </c>
      <c r="Z885" s="45" t="b">
        <v>1</v>
      </c>
      <c r="AA885" s="45" t="b">
        <v>0</v>
      </c>
      <c r="AB885" s="45" t="b">
        <v>1</v>
      </c>
      <c r="AC885" s="45" t="b">
        <v>1</v>
      </c>
      <c r="AD885" s="45" t="b">
        <v>1</v>
      </c>
      <c r="AE885" s="45" t="b">
        <v>1</v>
      </c>
      <c r="AF885" s="45" t="s">
        <v>303</v>
      </c>
      <c r="AG885" s="45" t="b">
        <v>1</v>
      </c>
      <c r="AH885" s="45" t="b">
        <v>0</v>
      </c>
    </row>
    <row r="886" spans="22:34" x14ac:dyDescent="0.25">
      <c r="V886" t="s">
        <v>559</v>
      </c>
      <c r="W886" s="45" t="s">
        <v>346</v>
      </c>
      <c r="X886" s="45" t="b">
        <v>0</v>
      </c>
      <c r="Y886" s="45" t="b">
        <v>1</v>
      </c>
      <c r="Z886" s="45" t="b">
        <v>1</v>
      </c>
      <c r="AA886" s="45" t="b">
        <v>0</v>
      </c>
      <c r="AB886" s="45" t="b">
        <v>1</v>
      </c>
      <c r="AC886" s="45" t="b">
        <v>1</v>
      </c>
      <c r="AD886" s="45" t="b">
        <v>1</v>
      </c>
      <c r="AE886" s="45" t="b">
        <v>1</v>
      </c>
      <c r="AF886" s="45" t="s">
        <v>304</v>
      </c>
      <c r="AG886" s="45" t="b">
        <v>1</v>
      </c>
      <c r="AH886" s="45" t="b">
        <v>0</v>
      </c>
    </row>
    <row r="887" spans="22:34" x14ac:dyDescent="0.25">
      <c r="V887" t="s">
        <v>559</v>
      </c>
      <c r="W887" s="45" t="s">
        <v>346</v>
      </c>
      <c r="X887" s="45" t="b">
        <v>0</v>
      </c>
      <c r="Y887" s="45" t="b">
        <v>1</v>
      </c>
      <c r="Z887" s="45" t="b">
        <v>1</v>
      </c>
      <c r="AA887" s="45" t="b">
        <v>0</v>
      </c>
      <c r="AB887" s="45" t="b">
        <v>1</v>
      </c>
      <c r="AC887" s="45" t="b">
        <v>1</v>
      </c>
      <c r="AD887" s="45" t="b">
        <v>1</v>
      </c>
      <c r="AE887" s="45" t="b">
        <v>1</v>
      </c>
      <c r="AF887" s="45" t="s">
        <v>305</v>
      </c>
      <c r="AG887" s="45" t="b">
        <v>1</v>
      </c>
      <c r="AH887" s="45" t="b">
        <v>0</v>
      </c>
    </row>
    <row r="888" spans="22:34" x14ac:dyDescent="0.25">
      <c r="V888" t="s">
        <v>559</v>
      </c>
      <c r="W888" s="45" t="s">
        <v>346</v>
      </c>
      <c r="X888" s="45" t="b">
        <v>0</v>
      </c>
      <c r="Y888" s="45" t="b">
        <v>1</v>
      </c>
      <c r="Z888" s="45" t="b">
        <v>1</v>
      </c>
      <c r="AA888" s="45" t="b">
        <v>0</v>
      </c>
      <c r="AB888" s="45" t="b">
        <v>1</v>
      </c>
      <c r="AC888" s="45" t="b">
        <v>1</v>
      </c>
      <c r="AD888" s="45" t="b">
        <v>1</v>
      </c>
      <c r="AE888" s="45" t="b">
        <v>1</v>
      </c>
      <c r="AF888" s="45" t="s">
        <v>306</v>
      </c>
      <c r="AG888" s="45" t="b">
        <v>1</v>
      </c>
      <c r="AH888" s="45" t="b">
        <v>0</v>
      </c>
    </row>
    <row r="889" spans="22:34" x14ac:dyDescent="0.25">
      <c r="V889" t="s">
        <v>559</v>
      </c>
      <c r="W889" s="45" t="s">
        <v>346</v>
      </c>
      <c r="X889" s="45" t="b">
        <v>0</v>
      </c>
      <c r="Y889" s="45" t="b">
        <v>1</v>
      </c>
      <c r="Z889" s="45" t="b">
        <v>1</v>
      </c>
      <c r="AA889" s="45" t="b">
        <v>0</v>
      </c>
      <c r="AB889" s="45" t="b">
        <v>1</v>
      </c>
      <c r="AC889" s="45" t="b">
        <v>1</v>
      </c>
      <c r="AD889" s="45" t="b">
        <v>1</v>
      </c>
      <c r="AE889" s="45" t="b">
        <v>1</v>
      </c>
      <c r="AF889" s="45" t="s">
        <v>307</v>
      </c>
      <c r="AG889" s="45" t="b">
        <v>1</v>
      </c>
      <c r="AH889" s="45" t="b">
        <v>0</v>
      </c>
    </row>
    <row r="890" spans="22:34" x14ac:dyDescent="0.25">
      <c r="V890" t="s">
        <v>559</v>
      </c>
      <c r="W890" s="45" t="s">
        <v>346</v>
      </c>
      <c r="X890" s="45" t="b">
        <v>0</v>
      </c>
      <c r="Y890" s="45" t="b">
        <v>1</v>
      </c>
      <c r="Z890" s="45" t="b">
        <v>1</v>
      </c>
      <c r="AA890" s="45" t="b">
        <v>0</v>
      </c>
      <c r="AB890" s="45" t="b">
        <v>1</v>
      </c>
      <c r="AC890" s="45" t="b">
        <v>1</v>
      </c>
      <c r="AD890" s="45" t="b">
        <v>1</v>
      </c>
      <c r="AE890" s="45" t="b">
        <v>1</v>
      </c>
      <c r="AF890" s="45" t="s">
        <v>308</v>
      </c>
      <c r="AG890" s="45" t="b">
        <v>1</v>
      </c>
      <c r="AH890" s="45" t="b">
        <v>0</v>
      </c>
    </row>
    <row r="891" spans="22:34" x14ac:dyDescent="0.25">
      <c r="V891" t="s">
        <v>559</v>
      </c>
      <c r="W891" s="45" t="s">
        <v>346</v>
      </c>
      <c r="X891" s="45" t="b">
        <v>0</v>
      </c>
      <c r="Y891" s="45" t="b">
        <v>1</v>
      </c>
      <c r="Z891" s="45" t="b">
        <v>1</v>
      </c>
      <c r="AA891" s="45" t="b">
        <v>0</v>
      </c>
      <c r="AB891" s="45" t="b">
        <v>1</v>
      </c>
      <c r="AC891" s="45" t="b">
        <v>1</v>
      </c>
      <c r="AD891" s="45" t="b">
        <v>1</v>
      </c>
      <c r="AE891" s="45" t="b">
        <v>1</v>
      </c>
      <c r="AF891" s="45" t="s">
        <v>309</v>
      </c>
      <c r="AG891" s="45" t="b">
        <v>1</v>
      </c>
      <c r="AH891" s="45" t="b">
        <v>0</v>
      </c>
    </row>
    <row r="892" spans="22:34" x14ac:dyDescent="0.25">
      <c r="V892" t="s">
        <v>559</v>
      </c>
      <c r="W892" s="45" t="s">
        <v>346</v>
      </c>
      <c r="X892" s="45" t="b">
        <v>0</v>
      </c>
      <c r="Y892" s="45" t="b">
        <v>1</v>
      </c>
      <c r="Z892" s="45" t="b">
        <v>1</v>
      </c>
      <c r="AA892" s="45" t="b">
        <v>0</v>
      </c>
      <c r="AB892" s="45" t="b">
        <v>1</v>
      </c>
      <c r="AC892" s="45" t="b">
        <v>1</v>
      </c>
      <c r="AD892" s="45" t="b">
        <v>1</v>
      </c>
      <c r="AE892" s="45" t="b">
        <v>1</v>
      </c>
      <c r="AF892" s="45" t="s">
        <v>310</v>
      </c>
      <c r="AG892" s="45" t="b">
        <v>1</v>
      </c>
      <c r="AH892" s="45" t="b">
        <v>0</v>
      </c>
    </row>
    <row r="893" spans="22:34" x14ac:dyDescent="0.25">
      <c r="V893" t="s">
        <v>559</v>
      </c>
      <c r="W893" s="45" t="s">
        <v>346</v>
      </c>
      <c r="X893" s="45" t="b">
        <v>0</v>
      </c>
      <c r="Y893" s="45" t="b">
        <v>1</v>
      </c>
      <c r="Z893" s="45" t="b">
        <v>1</v>
      </c>
      <c r="AA893" s="45" t="b">
        <v>0</v>
      </c>
      <c r="AB893" s="45" t="b">
        <v>1</v>
      </c>
      <c r="AC893" s="45" t="b">
        <v>1</v>
      </c>
      <c r="AD893" s="45" t="b">
        <v>1</v>
      </c>
      <c r="AE893" s="45" t="b">
        <v>1</v>
      </c>
      <c r="AF893" s="45" t="s">
        <v>311</v>
      </c>
      <c r="AG893" s="45" t="b">
        <v>1</v>
      </c>
      <c r="AH893" s="45" t="b">
        <v>0</v>
      </c>
    </row>
    <row r="894" spans="22:34" x14ac:dyDescent="0.25">
      <c r="V894" t="s">
        <v>559</v>
      </c>
      <c r="W894" s="45" t="s">
        <v>346</v>
      </c>
      <c r="X894" s="45" t="b">
        <v>0</v>
      </c>
      <c r="Y894" s="45" t="b">
        <v>1</v>
      </c>
      <c r="Z894" s="45" t="b">
        <v>1</v>
      </c>
      <c r="AA894" s="45" t="b">
        <v>0</v>
      </c>
      <c r="AB894" s="45" t="b">
        <v>1</v>
      </c>
      <c r="AC894" s="45" t="b">
        <v>1</v>
      </c>
      <c r="AD894" s="45" t="b">
        <v>1</v>
      </c>
      <c r="AE894" s="45" t="b">
        <v>1</v>
      </c>
      <c r="AF894" s="45" t="s">
        <v>312</v>
      </c>
      <c r="AG894" s="45" t="b">
        <v>1</v>
      </c>
      <c r="AH894" s="45" t="b">
        <v>0</v>
      </c>
    </row>
    <row r="895" spans="22:34" x14ac:dyDescent="0.25">
      <c r="V895" t="s">
        <v>559</v>
      </c>
      <c r="W895" s="45" t="s">
        <v>346</v>
      </c>
      <c r="X895" s="45" t="b">
        <v>0</v>
      </c>
      <c r="Y895" s="45" t="b">
        <v>1</v>
      </c>
      <c r="Z895" s="45" t="b">
        <v>1</v>
      </c>
      <c r="AA895" s="45" t="b">
        <v>0</v>
      </c>
      <c r="AB895" s="45" t="b">
        <v>1</v>
      </c>
      <c r="AC895" s="45" t="b">
        <v>1</v>
      </c>
      <c r="AD895" s="45" t="b">
        <v>1</v>
      </c>
      <c r="AE895" s="45" t="b">
        <v>1</v>
      </c>
      <c r="AF895" s="45" t="s">
        <v>313</v>
      </c>
      <c r="AG895" s="45" t="b">
        <v>1</v>
      </c>
      <c r="AH895" s="45" t="b">
        <v>0</v>
      </c>
    </row>
    <row r="896" spans="22:34" x14ac:dyDescent="0.25">
      <c r="V896" t="s">
        <v>559</v>
      </c>
      <c r="W896" s="45" t="s">
        <v>346</v>
      </c>
      <c r="X896" s="45" t="b">
        <v>0</v>
      </c>
      <c r="Y896" s="45" t="b">
        <v>1</v>
      </c>
      <c r="Z896" s="45" t="b">
        <v>1</v>
      </c>
      <c r="AA896" s="45" t="b">
        <v>0</v>
      </c>
      <c r="AB896" s="45" t="b">
        <v>1</v>
      </c>
      <c r="AC896" s="45" t="b">
        <v>1</v>
      </c>
      <c r="AD896" s="45" t="b">
        <v>1</v>
      </c>
      <c r="AE896" s="45" t="b">
        <v>1</v>
      </c>
      <c r="AF896" s="45" t="s">
        <v>314</v>
      </c>
      <c r="AG896" s="45" t="b">
        <v>1</v>
      </c>
      <c r="AH896" s="45" t="b">
        <v>0</v>
      </c>
    </row>
    <row r="897" spans="22:34" x14ac:dyDescent="0.25">
      <c r="V897" t="s">
        <v>559</v>
      </c>
      <c r="W897" s="45" t="s">
        <v>346</v>
      </c>
      <c r="X897" s="45" t="b">
        <v>0</v>
      </c>
      <c r="Y897" s="45" t="b">
        <v>1</v>
      </c>
      <c r="Z897" s="45" t="b">
        <v>1</v>
      </c>
      <c r="AA897" s="45" t="b">
        <v>0</v>
      </c>
      <c r="AB897" s="45" t="b">
        <v>1</v>
      </c>
      <c r="AC897" s="45" t="b">
        <v>1</v>
      </c>
      <c r="AD897" s="45" t="b">
        <v>1</v>
      </c>
      <c r="AE897" s="45" t="b">
        <v>1</v>
      </c>
      <c r="AF897" s="45" t="s">
        <v>315</v>
      </c>
      <c r="AG897" s="45" t="b">
        <v>1</v>
      </c>
      <c r="AH897" s="45" t="b">
        <v>0</v>
      </c>
    </row>
    <row r="898" spans="22:34" x14ac:dyDescent="0.25">
      <c r="V898" t="s">
        <v>559</v>
      </c>
      <c r="W898" s="45" t="s">
        <v>346</v>
      </c>
      <c r="X898" s="45" t="b">
        <v>0</v>
      </c>
      <c r="Y898" s="45" t="b">
        <v>1</v>
      </c>
      <c r="Z898" s="45" t="b">
        <v>1</v>
      </c>
      <c r="AA898" s="45" t="b">
        <v>0</v>
      </c>
      <c r="AB898" s="45" t="b">
        <v>1</v>
      </c>
      <c r="AC898" s="45" t="b">
        <v>1</v>
      </c>
      <c r="AD898" s="45" t="b">
        <v>1</v>
      </c>
      <c r="AE898" s="45" t="b">
        <v>1</v>
      </c>
      <c r="AF898" s="45" t="s">
        <v>316</v>
      </c>
      <c r="AG898" s="45" t="b">
        <v>1</v>
      </c>
      <c r="AH898" s="45" t="b">
        <v>0</v>
      </c>
    </row>
    <row r="899" spans="22:34" x14ac:dyDescent="0.25">
      <c r="V899" t="s">
        <v>559</v>
      </c>
      <c r="W899" s="45" t="s">
        <v>346</v>
      </c>
      <c r="X899" s="45" t="b">
        <v>0</v>
      </c>
      <c r="Y899" s="45" t="b">
        <v>1</v>
      </c>
      <c r="Z899" s="45" t="b">
        <v>1</v>
      </c>
      <c r="AA899" s="45" t="b">
        <v>0</v>
      </c>
      <c r="AB899" s="45" t="b">
        <v>1</v>
      </c>
      <c r="AC899" s="45" t="b">
        <v>1</v>
      </c>
      <c r="AD899" s="45" t="b">
        <v>1</v>
      </c>
      <c r="AE899" s="45" t="b">
        <v>1</v>
      </c>
      <c r="AF899" s="45" t="s">
        <v>317</v>
      </c>
      <c r="AG899" s="45" t="b">
        <v>1</v>
      </c>
      <c r="AH899" s="45" t="b">
        <v>0</v>
      </c>
    </row>
    <row r="900" spans="22:34" x14ac:dyDescent="0.25">
      <c r="V900" t="s">
        <v>559</v>
      </c>
      <c r="W900" s="45" t="s">
        <v>346</v>
      </c>
      <c r="X900" s="45" t="b">
        <v>0</v>
      </c>
      <c r="Y900" s="45" t="b">
        <v>1</v>
      </c>
      <c r="Z900" s="45" t="b">
        <v>1</v>
      </c>
      <c r="AA900" s="45" t="b">
        <v>0</v>
      </c>
      <c r="AB900" s="45" t="b">
        <v>1</v>
      </c>
      <c r="AC900" s="45" t="b">
        <v>1</v>
      </c>
      <c r="AD900" s="45" t="b">
        <v>1</v>
      </c>
      <c r="AE900" s="45" t="b">
        <v>1</v>
      </c>
      <c r="AF900" s="45" t="s">
        <v>318</v>
      </c>
      <c r="AG900" s="45" t="b">
        <v>1</v>
      </c>
      <c r="AH900" s="45" t="b">
        <v>0</v>
      </c>
    </row>
    <row r="901" spans="22:34" x14ac:dyDescent="0.25">
      <c r="V901" t="s">
        <v>559</v>
      </c>
      <c r="W901" s="45" t="s">
        <v>346</v>
      </c>
      <c r="X901" s="45" t="b">
        <v>0</v>
      </c>
      <c r="Y901" s="45" t="b">
        <v>1</v>
      </c>
      <c r="Z901" s="45" t="b">
        <v>1</v>
      </c>
      <c r="AA901" s="45" t="b">
        <v>0</v>
      </c>
      <c r="AB901" s="45" t="b">
        <v>1</v>
      </c>
      <c r="AC901" s="45" t="b">
        <v>1</v>
      </c>
      <c r="AD901" s="45" t="b">
        <v>1</v>
      </c>
      <c r="AE901" s="45" t="b">
        <v>1</v>
      </c>
      <c r="AF901" s="45" t="s">
        <v>319</v>
      </c>
      <c r="AG901" s="45" t="b">
        <v>1</v>
      </c>
      <c r="AH901" s="45" t="b">
        <v>0</v>
      </c>
    </row>
    <row r="902" spans="22:34" x14ac:dyDescent="0.25">
      <c r="V902" t="s">
        <v>180</v>
      </c>
      <c r="W902" s="45" t="s">
        <v>347</v>
      </c>
      <c r="X902" s="45" t="b">
        <v>1</v>
      </c>
      <c r="Y902" s="45" t="b">
        <v>0</v>
      </c>
      <c r="Z902" s="45" t="b">
        <v>0</v>
      </c>
      <c r="AA902" s="45" t="b">
        <v>0</v>
      </c>
      <c r="AB902" s="45" t="b">
        <v>0</v>
      </c>
      <c r="AC902" s="45" t="b">
        <v>1</v>
      </c>
      <c r="AD902" s="45" t="b">
        <v>0</v>
      </c>
      <c r="AE902" s="45" t="b">
        <v>0</v>
      </c>
      <c r="AF902" s="45" t="s">
        <v>295</v>
      </c>
      <c r="AG902" s="45" t="b">
        <v>0</v>
      </c>
      <c r="AH902" s="45" t="b">
        <v>0</v>
      </c>
    </row>
    <row r="903" spans="22:34" x14ac:dyDescent="0.25">
      <c r="V903" t="s">
        <v>180</v>
      </c>
      <c r="W903" s="45" t="s">
        <v>347</v>
      </c>
      <c r="X903" s="45" t="b">
        <v>1</v>
      </c>
      <c r="Y903" s="45" t="b">
        <v>0</v>
      </c>
      <c r="Z903" s="45" t="b">
        <v>0</v>
      </c>
      <c r="AA903" s="45" t="b">
        <v>0</v>
      </c>
      <c r="AB903" s="45" t="b">
        <v>0</v>
      </c>
      <c r="AC903" s="45" t="b">
        <v>1</v>
      </c>
      <c r="AD903" s="45" t="b">
        <v>0</v>
      </c>
      <c r="AE903" s="45" t="b">
        <v>0</v>
      </c>
      <c r="AF903" s="45" t="s">
        <v>297</v>
      </c>
      <c r="AG903" s="45" t="b">
        <v>0</v>
      </c>
      <c r="AH903" s="45" t="b">
        <v>0</v>
      </c>
    </row>
    <row r="904" spans="22:34" x14ac:dyDescent="0.25">
      <c r="V904" t="s">
        <v>180</v>
      </c>
      <c r="W904" s="45" t="s">
        <v>347</v>
      </c>
      <c r="X904" s="45" t="b">
        <v>1</v>
      </c>
      <c r="Y904" s="45" t="b">
        <v>0</v>
      </c>
      <c r="Z904" s="45" t="b">
        <v>0</v>
      </c>
      <c r="AA904" s="45" t="b">
        <v>0</v>
      </c>
      <c r="AB904" s="45" t="b">
        <v>0</v>
      </c>
      <c r="AC904" s="45" t="b">
        <v>1</v>
      </c>
      <c r="AD904" s="45" t="b">
        <v>0</v>
      </c>
      <c r="AE904" s="45" t="b">
        <v>0</v>
      </c>
      <c r="AF904" s="45" t="s">
        <v>112</v>
      </c>
      <c r="AG904" s="45" t="b">
        <v>1</v>
      </c>
      <c r="AH904" s="45" t="b">
        <v>0</v>
      </c>
    </row>
    <row r="905" spans="22:34" x14ac:dyDescent="0.25">
      <c r="V905" t="s">
        <v>180</v>
      </c>
      <c r="W905" s="45" t="s">
        <v>347</v>
      </c>
      <c r="X905" s="45" t="b">
        <v>1</v>
      </c>
      <c r="Y905" s="45" t="b">
        <v>0</v>
      </c>
      <c r="Z905" s="45" t="b">
        <v>0</v>
      </c>
      <c r="AA905" s="45" t="b">
        <v>0</v>
      </c>
      <c r="AB905" s="45" t="b">
        <v>0</v>
      </c>
      <c r="AC905" s="45" t="b">
        <v>1</v>
      </c>
      <c r="AD905" s="45" t="b">
        <v>0</v>
      </c>
      <c r="AE905" s="45" t="b">
        <v>0</v>
      </c>
      <c r="AF905" s="45" t="s">
        <v>114</v>
      </c>
      <c r="AG905" s="45" t="b">
        <v>1</v>
      </c>
      <c r="AH905" s="45" t="b">
        <v>0</v>
      </c>
    </row>
    <row r="906" spans="22:34" x14ac:dyDescent="0.25">
      <c r="V906" t="s">
        <v>180</v>
      </c>
      <c r="W906" s="45" t="s">
        <v>347</v>
      </c>
      <c r="X906" s="45" t="b">
        <v>1</v>
      </c>
      <c r="Y906" s="45" t="b">
        <v>0</v>
      </c>
      <c r="Z906" s="45" t="b">
        <v>0</v>
      </c>
      <c r="AA906" s="45" t="b">
        <v>0</v>
      </c>
      <c r="AB906" s="45" t="b">
        <v>0</v>
      </c>
      <c r="AC906" s="45" t="b">
        <v>1</v>
      </c>
      <c r="AD906" s="45" t="b">
        <v>0</v>
      </c>
      <c r="AE906" s="45" t="b">
        <v>0</v>
      </c>
      <c r="AF906" s="45" t="s">
        <v>115</v>
      </c>
      <c r="AG906" s="45" t="b">
        <v>1</v>
      </c>
      <c r="AH906" s="45" t="b">
        <v>0</v>
      </c>
    </row>
    <row r="907" spans="22:34" x14ac:dyDescent="0.25">
      <c r="V907" t="s">
        <v>180</v>
      </c>
      <c r="W907" s="45" t="s">
        <v>347</v>
      </c>
      <c r="X907" s="45" t="b">
        <v>1</v>
      </c>
      <c r="Y907" s="45" t="b">
        <v>0</v>
      </c>
      <c r="Z907" s="45" t="b">
        <v>0</v>
      </c>
      <c r="AA907" s="45" t="b">
        <v>0</v>
      </c>
      <c r="AB907" s="45" t="b">
        <v>0</v>
      </c>
      <c r="AC907" s="45" t="b">
        <v>1</v>
      </c>
      <c r="AD907" s="45" t="b">
        <v>0</v>
      </c>
      <c r="AE907" s="45" t="b">
        <v>0</v>
      </c>
      <c r="AF907" s="45" t="s">
        <v>116</v>
      </c>
      <c r="AG907" s="45" t="b">
        <v>1</v>
      </c>
      <c r="AH907" s="45" t="b">
        <v>0</v>
      </c>
    </row>
    <row r="908" spans="22:34" x14ac:dyDescent="0.25">
      <c r="V908" t="s">
        <v>180</v>
      </c>
      <c r="W908" s="45" t="s">
        <v>347</v>
      </c>
      <c r="X908" s="45" t="b">
        <v>1</v>
      </c>
      <c r="Y908" s="45" t="b">
        <v>0</v>
      </c>
      <c r="Z908" s="45" t="b">
        <v>0</v>
      </c>
      <c r="AA908" s="45" t="b">
        <v>0</v>
      </c>
      <c r="AB908" s="45" t="b">
        <v>0</v>
      </c>
      <c r="AC908" s="45" t="b">
        <v>1</v>
      </c>
      <c r="AD908" s="45" t="b">
        <v>0</v>
      </c>
      <c r="AE908" s="45" t="b">
        <v>0</v>
      </c>
      <c r="AF908" s="45" t="s">
        <v>298</v>
      </c>
      <c r="AG908" s="45" t="b">
        <v>1</v>
      </c>
      <c r="AH908" s="45" t="b">
        <v>0</v>
      </c>
    </row>
    <row r="909" spans="22:34" x14ac:dyDescent="0.25">
      <c r="V909" t="s">
        <v>180</v>
      </c>
      <c r="W909" s="45" t="s">
        <v>347</v>
      </c>
      <c r="X909" s="45" t="b">
        <v>1</v>
      </c>
      <c r="Y909" s="45" t="b">
        <v>0</v>
      </c>
      <c r="Z909" s="45" t="b">
        <v>0</v>
      </c>
      <c r="AA909" s="45" t="b">
        <v>0</v>
      </c>
      <c r="AB909" s="45" t="b">
        <v>0</v>
      </c>
      <c r="AC909" s="45" t="b">
        <v>1</v>
      </c>
      <c r="AD909" s="45" t="b">
        <v>0</v>
      </c>
      <c r="AE909" s="45" t="b">
        <v>0</v>
      </c>
      <c r="AF909" s="45" t="s">
        <v>299</v>
      </c>
      <c r="AG909" s="45" t="b">
        <v>1</v>
      </c>
      <c r="AH909" s="45" t="b">
        <v>0</v>
      </c>
    </row>
    <row r="910" spans="22:34" x14ac:dyDescent="0.25">
      <c r="V910" t="s">
        <v>180</v>
      </c>
      <c r="W910" s="45" t="s">
        <v>347</v>
      </c>
      <c r="X910" s="45" t="b">
        <v>1</v>
      </c>
      <c r="Y910" s="45" t="b">
        <v>0</v>
      </c>
      <c r="Z910" s="45" t="b">
        <v>0</v>
      </c>
      <c r="AA910" s="45" t="b">
        <v>0</v>
      </c>
      <c r="AB910" s="45" t="b">
        <v>0</v>
      </c>
      <c r="AC910" s="45" t="b">
        <v>1</v>
      </c>
      <c r="AD910" s="45" t="b">
        <v>0</v>
      </c>
      <c r="AE910" s="45" t="b">
        <v>0</v>
      </c>
      <c r="AF910" s="45" t="s">
        <v>414</v>
      </c>
      <c r="AG910" s="45" t="b">
        <v>1</v>
      </c>
      <c r="AH910" s="45" t="b">
        <v>0</v>
      </c>
    </row>
    <row r="911" spans="22:34" x14ac:dyDescent="0.25">
      <c r="V911" t="s">
        <v>180</v>
      </c>
      <c r="W911" s="45" t="s">
        <v>347</v>
      </c>
      <c r="X911" s="45" t="b">
        <v>1</v>
      </c>
      <c r="Y911" s="45" t="b">
        <v>0</v>
      </c>
      <c r="Z911" s="45" t="b">
        <v>0</v>
      </c>
      <c r="AA911" s="45" t="b">
        <v>0</v>
      </c>
      <c r="AB911" s="45" t="b">
        <v>0</v>
      </c>
      <c r="AC911" s="45" t="b">
        <v>1</v>
      </c>
      <c r="AD911" s="45" t="b">
        <v>0</v>
      </c>
      <c r="AE911" s="45" t="b">
        <v>0</v>
      </c>
      <c r="AF911" s="45" t="s">
        <v>118</v>
      </c>
      <c r="AG911" s="45" t="b">
        <v>1</v>
      </c>
      <c r="AH911" s="45" t="b">
        <v>0</v>
      </c>
    </row>
    <row r="912" spans="22:34" x14ac:dyDescent="0.25">
      <c r="V912" t="s">
        <v>180</v>
      </c>
      <c r="W912" s="45" t="s">
        <v>347</v>
      </c>
      <c r="X912" s="45" t="b">
        <v>1</v>
      </c>
      <c r="Y912" s="45" t="b">
        <v>0</v>
      </c>
      <c r="Z912" s="45" t="b">
        <v>0</v>
      </c>
      <c r="AA912" s="45" t="b">
        <v>0</v>
      </c>
      <c r="AB912" s="45" t="b">
        <v>0</v>
      </c>
      <c r="AC912" s="45" t="b">
        <v>1</v>
      </c>
      <c r="AD912" s="45" t="b">
        <v>0</v>
      </c>
      <c r="AE912" s="45" t="b">
        <v>0</v>
      </c>
      <c r="AF912" s="45" t="s">
        <v>119</v>
      </c>
      <c r="AG912" s="45" t="b">
        <v>1</v>
      </c>
      <c r="AH912" s="45" t="b">
        <v>0</v>
      </c>
    </row>
    <row r="913" spans="22:34" x14ac:dyDescent="0.25">
      <c r="V913" t="s">
        <v>180</v>
      </c>
      <c r="W913" s="45" t="s">
        <v>347</v>
      </c>
      <c r="X913" s="45" t="b">
        <v>1</v>
      </c>
      <c r="Y913" s="45" t="b">
        <v>0</v>
      </c>
      <c r="Z913" s="45" t="b">
        <v>0</v>
      </c>
      <c r="AA913" s="45" t="b">
        <v>0</v>
      </c>
      <c r="AB913" s="45" t="b">
        <v>0</v>
      </c>
      <c r="AC913" s="45" t="b">
        <v>1</v>
      </c>
      <c r="AD913" s="45" t="b">
        <v>0</v>
      </c>
      <c r="AE913" s="45" t="b">
        <v>0</v>
      </c>
      <c r="AF913" s="45" t="s">
        <v>300</v>
      </c>
      <c r="AG913" s="45" t="b">
        <v>1</v>
      </c>
      <c r="AH913" s="45" t="b">
        <v>0</v>
      </c>
    </row>
    <row r="914" spans="22:34" x14ac:dyDescent="0.25">
      <c r="V914" t="s">
        <v>180</v>
      </c>
      <c r="W914" s="45" t="s">
        <v>347</v>
      </c>
      <c r="X914" s="45" t="b">
        <v>1</v>
      </c>
      <c r="Y914" s="45" t="b">
        <v>0</v>
      </c>
      <c r="Z914" s="45" t="b">
        <v>0</v>
      </c>
      <c r="AA914" s="45" t="b">
        <v>0</v>
      </c>
      <c r="AB914" s="45" t="b">
        <v>0</v>
      </c>
      <c r="AC914" s="45" t="b">
        <v>1</v>
      </c>
      <c r="AD914" s="45" t="b">
        <v>0</v>
      </c>
      <c r="AE914" s="45" t="b">
        <v>0</v>
      </c>
      <c r="AF914" s="45" t="s">
        <v>301</v>
      </c>
      <c r="AG914" s="45" t="b">
        <v>1</v>
      </c>
      <c r="AH914" s="45" t="b">
        <v>0</v>
      </c>
    </row>
    <row r="915" spans="22:34" x14ac:dyDescent="0.25">
      <c r="V915" t="s">
        <v>180</v>
      </c>
      <c r="W915" s="45" t="s">
        <v>347</v>
      </c>
      <c r="X915" s="45" t="b">
        <v>1</v>
      </c>
      <c r="Y915" s="45" t="b">
        <v>0</v>
      </c>
      <c r="Z915" s="45" t="b">
        <v>0</v>
      </c>
      <c r="AA915" s="45" t="b">
        <v>0</v>
      </c>
      <c r="AB915" s="45" t="b">
        <v>0</v>
      </c>
      <c r="AC915" s="45" t="b">
        <v>1</v>
      </c>
      <c r="AD915" s="45" t="b">
        <v>0</v>
      </c>
      <c r="AE915" s="45" t="b">
        <v>0</v>
      </c>
      <c r="AF915" s="45" t="s">
        <v>120</v>
      </c>
      <c r="AG915" s="45" t="b">
        <v>1</v>
      </c>
      <c r="AH915" s="45" t="b">
        <v>0</v>
      </c>
    </row>
    <row r="916" spans="22:34" x14ac:dyDescent="0.25">
      <c r="V916" t="s">
        <v>180</v>
      </c>
      <c r="W916" s="45" t="s">
        <v>347</v>
      </c>
      <c r="X916" s="45" t="b">
        <v>1</v>
      </c>
      <c r="Y916" s="45" t="b">
        <v>0</v>
      </c>
      <c r="Z916" s="45" t="b">
        <v>0</v>
      </c>
      <c r="AA916" s="45" t="b">
        <v>0</v>
      </c>
      <c r="AB916" s="45" t="b">
        <v>0</v>
      </c>
      <c r="AC916" s="45" t="b">
        <v>1</v>
      </c>
      <c r="AD916" s="45" t="b">
        <v>0</v>
      </c>
      <c r="AE916" s="45" t="b">
        <v>0</v>
      </c>
      <c r="AF916" s="45" t="s">
        <v>302</v>
      </c>
      <c r="AG916" s="45" t="b">
        <v>1</v>
      </c>
      <c r="AH916" s="45" t="b">
        <v>0</v>
      </c>
    </row>
    <row r="917" spans="22:34" x14ac:dyDescent="0.25">
      <c r="V917" t="s">
        <v>180</v>
      </c>
      <c r="W917" s="45" t="s">
        <v>347</v>
      </c>
      <c r="X917" s="45" t="b">
        <v>1</v>
      </c>
      <c r="Y917" s="45" t="b">
        <v>0</v>
      </c>
      <c r="Z917" s="45" t="b">
        <v>0</v>
      </c>
      <c r="AA917" s="45" t="b">
        <v>0</v>
      </c>
      <c r="AB917" s="45" t="b">
        <v>0</v>
      </c>
      <c r="AC917" s="45" t="b">
        <v>1</v>
      </c>
      <c r="AD917" s="45" t="b">
        <v>0</v>
      </c>
      <c r="AE917" s="45" t="b">
        <v>0</v>
      </c>
      <c r="AF917" s="45" t="s">
        <v>303</v>
      </c>
      <c r="AG917" s="45" t="b">
        <v>1</v>
      </c>
      <c r="AH917" s="45" t="b">
        <v>0</v>
      </c>
    </row>
    <row r="918" spans="22:34" x14ac:dyDescent="0.25">
      <c r="V918" t="s">
        <v>180</v>
      </c>
      <c r="W918" s="45" t="s">
        <v>347</v>
      </c>
      <c r="X918" s="45" t="b">
        <v>1</v>
      </c>
      <c r="Y918" s="45" t="b">
        <v>0</v>
      </c>
      <c r="Z918" s="45" t="b">
        <v>0</v>
      </c>
      <c r="AA918" s="45" t="b">
        <v>0</v>
      </c>
      <c r="AB918" s="45" t="b">
        <v>0</v>
      </c>
      <c r="AC918" s="45" t="b">
        <v>1</v>
      </c>
      <c r="AD918" s="45" t="b">
        <v>0</v>
      </c>
      <c r="AE918" s="45" t="b">
        <v>0</v>
      </c>
      <c r="AF918" s="45" t="s">
        <v>304</v>
      </c>
      <c r="AG918" s="45" t="b">
        <v>1</v>
      </c>
      <c r="AH918" s="45" t="b">
        <v>0</v>
      </c>
    </row>
    <row r="919" spans="22:34" x14ac:dyDescent="0.25">
      <c r="V919" t="s">
        <v>180</v>
      </c>
      <c r="W919" s="45" t="s">
        <v>347</v>
      </c>
      <c r="X919" s="45" t="b">
        <v>1</v>
      </c>
      <c r="Y919" s="45" t="b">
        <v>0</v>
      </c>
      <c r="Z919" s="45" t="b">
        <v>0</v>
      </c>
      <c r="AA919" s="45" t="b">
        <v>0</v>
      </c>
      <c r="AB919" s="45" t="b">
        <v>0</v>
      </c>
      <c r="AC919" s="45" t="b">
        <v>1</v>
      </c>
      <c r="AD919" s="45" t="b">
        <v>0</v>
      </c>
      <c r="AE919" s="45" t="b">
        <v>0</v>
      </c>
      <c r="AF919" s="45" t="s">
        <v>305</v>
      </c>
      <c r="AG919" s="45" t="b">
        <v>0</v>
      </c>
      <c r="AH919" s="45" t="b">
        <v>0</v>
      </c>
    </row>
    <row r="920" spans="22:34" x14ac:dyDescent="0.25">
      <c r="V920" t="s">
        <v>180</v>
      </c>
      <c r="W920" s="45" t="s">
        <v>347</v>
      </c>
      <c r="X920" s="45" t="b">
        <v>1</v>
      </c>
      <c r="Y920" s="45" t="b">
        <v>0</v>
      </c>
      <c r="Z920" s="45" t="b">
        <v>0</v>
      </c>
      <c r="AA920" s="45" t="b">
        <v>0</v>
      </c>
      <c r="AB920" s="45" t="b">
        <v>0</v>
      </c>
      <c r="AC920" s="45" t="b">
        <v>1</v>
      </c>
      <c r="AD920" s="45" t="b">
        <v>0</v>
      </c>
      <c r="AE920" s="45" t="b">
        <v>0</v>
      </c>
      <c r="AF920" s="45" t="s">
        <v>306</v>
      </c>
      <c r="AG920" s="45" t="b">
        <v>0</v>
      </c>
      <c r="AH920" s="45" t="b">
        <v>0</v>
      </c>
    </row>
    <row r="921" spans="22:34" x14ac:dyDescent="0.25">
      <c r="V921" t="s">
        <v>180</v>
      </c>
      <c r="W921" s="45" t="s">
        <v>347</v>
      </c>
      <c r="X921" s="45" t="b">
        <v>1</v>
      </c>
      <c r="Y921" s="45" t="b">
        <v>0</v>
      </c>
      <c r="Z921" s="45" t="b">
        <v>0</v>
      </c>
      <c r="AA921" s="45" t="b">
        <v>0</v>
      </c>
      <c r="AB921" s="45" t="b">
        <v>0</v>
      </c>
      <c r="AC921" s="45" t="b">
        <v>1</v>
      </c>
      <c r="AD921" s="45" t="b">
        <v>0</v>
      </c>
      <c r="AE921" s="45" t="b">
        <v>0</v>
      </c>
      <c r="AF921" s="45" t="s">
        <v>307</v>
      </c>
      <c r="AG921" s="45" t="b">
        <v>0</v>
      </c>
      <c r="AH921" s="45" t="b">
        <v>0</v>
      </c>
    </row>
    <row r="922" spans="22:34" x14ac:dyDescent="0.25">
      <c r="V922" t="s">
        <v>180</v>
      </c>
      <c r="W922" s="45" t="s">
        <v>347</v>
      </c>
      <c r="X922" s="45" t="b">
        <v>1</v>
      </c>
      <c r="Y922" s="45" t="b">
        <v>0</v>
      </c>
      <c r="Z922" s="45" t="b">
        <v>0</v>
      </c>
      <c r="AA922" s="45" t="b">
        <v>0</v>
      </c>
      <c r="AB922" s="45" t="b">
        <v>0</v>
      </c>
      <c r="AC922" s="45" t="b">
        <v>1</v>
      </c>
      <c r="AD922" s="45" t="b">
        <v>0</v>
      </c>
      <c r="AE922" s="45" t="b">
        <v>0</v>
      </c>
      <c r="AF922" s="45" t="s">
        <v>308</v>
      </c>
      <c r="AG922" s="45" t="b">
        <v>0</v>
      </c>
      <c r="AH922" s="45" t="b">
        <v>0</v>
      </c>
    </row>
    <row r="923" spans="22:34" x14ac:dyDescent="0.25">
      <c r="V923" t="s">
        <v>180</v>
      </c>
      <c r="W923" s="45" t="s">
        <v>347</v>
      </c>
      <c r="X923" s="45" t="b">
        <v>1</v>
      </c>
      <c r="Y923" s="45" t="b">
        <v>0</v>
      </c>
      <c r="Z923" s="45" t="b">
        <v>0</v>
      </c>
      <c r="AA923" s="45" t="b">
        <v>0</v>
      </c>
      <c r="AB923" s="45" t="b">
        <v>0</v>
      </c>
      <c r="AC923" s="45" t="b">
        <v>1</v>
      </c>
      <c r="AD923" s="45" t="b">
        <v>0</v>
      </c>
      <c r="AE923" s="45" t="b">
        <v>0</v>
      </c>
      <c r="AF923" s="45" t="s">
        <v>309</v>
      </c>
      <c r="AG923" s="45" t="b">
        <v>0</v>
      </c>
      <c r="AH923" s="45" t="b">
        <v>0</v>
      </c>
    </row>
    <row r="924" spans="22:34" x14ac:dyDescent="0.25">
      <c r="V924" t="s">
        <v>180</v>
      </c>
      <c r="W924" s="45" t="s">
        <v>347</v>
      </c>
      <c r="X924" s="45" t="b">
        <v>1</v>
      </c>
      <c r="Y924" s="45" t="b">
        <v>0</v>
      </c>
      <c r="Z924" s="45" t="b">
        <v>0</v>
      </c>
      <c r="AA924" s="45" t="b">
        <v>0</v>
      </c>
      <c r="AB924" s="45" t="b">
        <v>0</v>
      </c>
      <c r="AC924" s="45" t="b">
        <v>1</v>
      </c>
      <c r="AD924" s="45" t="b">
        <v>0</v>
      </c>
      <c r="AE924" s="45" t="b">
        <v>0</v>
      </c>
      <c r="AF924" s="45" t="s">
        <v>310</v>
      </c>
      <c r="AG924" s="45" t="b">
        <v>0</v>
      </c>
      <c r="AH924" s="45" t="b">
        <v>0</v>
      </c>
    </row>
    <row r="925" spans="22:34" x14ac:dyDescent="0.25">
      <c r="V925" t="s">
        <v>180</v>
      </c>
      <c r="W925" s="45" t="s">
        <v>347</v>
      </c>
      <c r="X925" s="45" t="b">
        <v>1</v>
      </c>
      <c r="Y925" s="45" t="b">
        <v>0</v>
      </c>
      <c r="Z925" s="45" t="b">
        <v>0</v>
      </c>
      <c r="AA925" s="45" t="b">
        <v>0</v>
      </c>
      <c r="AB925" s="45" t="b">
        <v>0</v>
      </c>
      <c r="AC925" s="45" t="b">
        <v>1</v>
      </c>
      <c r="AD925" s="45" t="b">
        <v>0</v>
      </c>
      <c r="AE925" s="45" t="b">
        <v>0</v>
      </c>
      <c r="AF925" s="45" t="s">
        <v>311</v>
      </c>
      <c r="AG925" s="45" t="b">
        <v>0</v>
      </c>
      <c r="AH925" s="45" t="b">
        <v>0</v>
      </c>
    </row>
    <row r="926" spans="22:34" x14ac:dyDescent="0.25">
      <c r="V926" t="s">
        <v>180</v>
      </c>
      <c r="W926" s="45" t="s">
        <v>347</v>
      </c>
      <c r="X926" s="45" t="b">
        <v>1</v>
      </c>
      <c r="Y926" s="45" t="b">
        <v>0</v>
      </c>
      <c r="Z926" s="45" t="b">
        <v>0</v>
      </c>
      <c r="AA926" s="45" t="b">
        <v>0</v>
      </c>
      <c r="AB926" s="45" t="b">
        <v>0</v>
      </c>
      <c r="AC926" s="45" t="b">
        <v>1</v>
      </c>
      <c r="AD926" s="45" t="b">
        <v>0</v>
      </c>
      <c r="AE926" s="45" t="b">
        <v>0</v>
      </c>
      <c r="AF926" s="45" t="s">
        <v>312</v>
      </c>
      <c r="AG926" s="45" t="b">
        <v>0</v>
      </c>
      <c r="AH926" s="45" t="b">
        <v>0</v>
      </c>
    </row>
    <row r="927" spans="22:34" x14ac:dyDescent="0.25">
      <c r="V927" t="s">
        <v>180</v>
      </c>
      <c r="W927" s="45" t="s">
        <v>347</v>
      </c>
      <c r="X927" s="45" t="b">
        <v>1</v>
      </c>
      <c r="Y927" s="45" t="b">
        <v>0</v>
      </c>
      <c r="Z927" s="45" t="b">
        <v>0</v>
      </c>
      <c r="AA927" s="45" t="b">
        <v>0</v>
      </c>
      <c r="AB927" s="45" t="b">
        <v>0</v>
      </c>
      <c r="AC927" s="45" t="b">
        <v>1</v>
      </c>
      <c r="AD927" s="45" t="b">
        <v>0</v>
      </c>
      <c r="AE927" s="45" t="b">
        <v>0</v>
      </c>
      <c r="AF927" s="45" t="s">
        <v>313</v>
      </c>
      <c r="AG927" s="45" t="b">
        <v>0</v>
      </c>
      <c r="AH927" s="45" t="b">
        <v>0</v>
      </c>
    </row>
    <row r="928" spans="22:34" x14ac:dyDescent="0.25">
      <c r="V928" t="s">
        <v>180</v>
      </c>
      <c r="W928" s="45" t="s">
        <v>347</v>
      </c>
      <c r="X928" s="45" t="b">
        <v>1</v>
      </c>
      <c r="Y928" s="45" t="b">
        <v>0</v>
      </c>
      <c r="Z928" s="45" t="b">
        <v>0</v>
      </c>
      <c r="AA928" s="45" t="b">
        <v>0</v>
      </c>
      <c r="AB928" s="45" t="b">
        <v>0</v>
      </c>
      <c r="AC928" s="45" t="b">
        <v>1</v>
      </c>
      <c r="AD928" s="45" t="b">
        <v>0</v>
      </c>
      <c r="AE928" s="45" t="b">
        <v>0</v>
      </c>
      <c r="AF928" s="45" t="s">
        <v>314</v>
      </c>
      <c r="AG928" s="45" t="b">
        <v>0</v>
      </c>
      <c r="AH928" s="45" t="b">
        <v>0</v>
      </c>
    </row>
    <row r="929" spans="22:34" x14ac:dyDescent="0.25">
      <c r="V929" t="s">
        <v>180</v>
      </c>
      <c r="W929" s="45" t="s">
        <v>347</v>
      </c>
      <c r="X929" s="45" t="b">
        <v>1</v>
      </c>
      <c r="Y929" s="45" t="b">
        <v>0</v>
      </c>
      <c r="Z929" s="45" t="b">
        <v>0</v>
      </c>
      <c r="AA929" s="45" t="b">
        <v>0</v>
      </c>
      <c r="AB929" s="45" t="b">
        <v>0</v>
      </c>
      <c r="AC929" s="45" t="b">
        <v>1</v>
      </c>
      <c r="AD929" s="45" t="b">
        <v>0</v>
      </c>
      <c r="AE929" s="45" t="b">
        <v>0</v>
      </c>
      <c r="AF929" s="45" t="s">
        <v>315</v>
      </c>
      <c r="AG929" s="45" t="b">
        <v>0</v>
      </c>
      <c r="AH929" s="45" t="b">
        <v>0</v>
      </c>
    </row>
    <row r="930" spans="22:34" x14ac:dyDescent="0.25">
      <c r="V930" t="s">
        <v>180</v>
      </c>
      <c r="W930" s="45" t="s">
        <v>347</v>
      </c>
      <c r="X930" s="45" t="b">
        <v>1</v>
      </c>
      <c r="Y930" s="45" t="b">
        <v>0</v>
      </c>
      <c r="Z930" s="45" t="b">
        <v>0</v>
      </c>
      <c r="AA930" s="45" t="b">
        <v>0</v>
      </c>
      <c r="AB930" s="45" t="b">
        <v>0</v>
      </c>
      <c r="AC930" s="45" t="b">
        <v>1</v>
      </c>
      <c r="AD930" s="45" t="b">
        <v>0</v>
      </c>
      <c r="AE930" s="45" t="b">
        <v>0</v>
      </c>
      <c r="AF930" s="45" t="s">
        <v>316</v>
      </c>
      <c r="AG930" s="45" t="b">
        <v>0</v>
      </c>
      <c r="AH930" s="45" t="b">
        <v>0</v>
      </c>
    </row>
    <row r="931" spans="22:34" x14ac:dyDescent="0.25">
      <c r="V931" t="s">
        <v>180</v>
      </c>
      <c r="W931" s="45" t="s">
        <v>347</v>
      </c>
      <c r="X931" s="45" t="b">
        <v>1</v>
      </c>
      <c r="Y931" s="45" t="b">
        <v>0</v>
      </c>
      <c r="Z931" s="45" t="b">
        <v>0</v>
      </c>
      <c r="AA931" s="45" t="b">
        <v>0</v>
      </c>
      <c r="AB931" s="45" t="b">
        <v>0</v>
      </c>
      <c r="AC931" s="45" t="b">
        <v>1</v>
      </c>
      <c r="AD931" s="45" t="b">
        <v>0</v>
      </c>
      <c r="AE931" s="45" t="b">
        <v>0</v>
      </c>
      <c r="AF931" s="45" t="s">
        <v>317</v>
      </c>
      <c r="AG931" s="45" t="b">
        <v>0</v>
      </c>
      <c r="AH931" s="45" t="b">
        <v>0</v>
      </c>
    </row>
    <row r="932" spans="22:34" x14ac:dyDescent="0.25">
      <c r="V932" t="s">
        <v>180</v>
      </c>
      <c r="W932" s="45" t="s">
        <v>347</v>
      </c>
      <c r="X932" s="45" t="b">
        <v>1</v>
      </c>
      <c r="Y932" s="45" t="b">
        <v>0</v>
      </c>
      <c r="Z932" s="45" t="b">
        <v>0</v>
      </c>
      <c r="AA932" s="45" t="b">
        <v>0</v>
      </c>
      <c r="AB932" s="45" t="b">
        <v>0</v>
      </c>
      <c r="AC932" s="45" t="b">
        <v>1</v>
      </c>
      <c r="AD932" s="45" t="b">
        <v>0</v>
      </c>
      <c r="AE932" s="45" t="b">
        <v>0</v>
      </c>
      <c r="AF932" s="45" t="s">
        <v>318</v>
      </c>
      <c r="AG932" s="45" t="b">
        <v>0</v>
      </c>
      <c r="AH932" s="45" t="b">
        <v>0</v>
      </c>
    </row>
    <row r="933" spans="22:34" x14ac:dyDescent="0.25">
      <c r="V933" t="s">
        <v>180</v>
      </c>
      <c r="W933" s="45" t="s">
        <v>347</v>
      </c>
      <c r="X933" s="45" t="b">
        <v>1</v>
      </c>
      <c r="Y933" s="45" t="b">
        <v>0</v>
      </c>
      <c r="Z933" s="45" t="b">
        <v>0</v>
      </c>
      <c r="AA933" s="45" t="b">
        <v>0</v>
      </c>
      <c r="AB933" s="45" t="b">
        <v>0</v>
      </c>
      <c r="AC933" s="45" t="b">
        <v>1</v>
      </c>
      <c r="AD933" s="45" t="b">
        <v>0</v>
      </c>
      <c r="AE933" s="45" t="b">
        <v>0</v>
      </c>
      <c r="AF933" s="45" t="s">
        <v>319</v>
      </c>
      <c r="AG933" s="45" t="b">
        <v>0</v>
      </c>
      <c r="AH933" s="45" t="b">
        <v>0</v>
      </c>
    </row>
    <row r="934" spans="22:34" x14ac:dyDescent="0.25">
      <c r="V934" t="s">
        <v>398</v>
      </c>
      <c r="W934" s="45" t="s">
        <v>560</v>
      </c>
      <c r="X934" s="45" t="b">
        <v>1</v>
      </c>
      <c r="Y934" s="45" t="b">
        <v>0</v>
      </c>
      <c r="Z934" s="45" t="b">
        <v>0</v>
      </c>
      <c r="AA934" s="45" t="b">
        <v>0</v>
      </c>
      <c r="AB934" s="45" t="b">
        <v>0</v>
      </c>
      <c r="AC934" s="45" t="b">
        <v>1</v>
      </c>
      <c r="AD934" s="45" t="b">
        <v>0</v>
      </c>
      <c r="AE934" s="45" t="b">
        <v>0</v>
      </c>
      <c r="AF934" s="45" t="s">
        <v>295</v>
      </c>
      <c r="AG934" s="45" t="b">
        <v>0</v>
      </c>
      <c r="AH934" s="45" t="b">
        <v>0</v>
      </c>
    </row>
    <row r="935" spans="22:34" x14ac:dyDescent="0.25">
      <c r="V935" t="s">
        <v>398</v>
      </c>
      <c r="W935" s="45" t="s">
        <v>560</v>
      </c>
      <c r="X935" s="45" t="b">
        <v>1</v>
      </c>
      <c r="Y935" s="45" t="b">
        <v>0</v>
      </c>
      <c r="Z935" s="45" t="b">
        <v>0</v>
      </c>
      <c r="AA935" s="45" t="b">
        <v>0</v>
      </c>
      <c r="AB935" s="45" t="b">
        <v>0</v>
      </c>
      <c r="AC935" s="45" t="b">
        <v>1</v>
      </c>
      <c r="AD935" s="45" t="b">
        <v>0</v>
      </c>
      <c r="AE935" s="45" t="b">
        <v>0</v>
      </c>
      <c r="AF935" s="45" t="s">
        <v>297</v>
      </c>
      <c r="AG935" s="45" t="b">
        <v>0</v>
      </c>
      <c r="AH935" s="45" t="b">
        <v>0</v>
      </c>
    </row>
    <row r="936" spans="22:34" x14ac:dyDescent="0.25">
      <c r="V936" t="s">
        <v>398</v>
      </c>
      <c r="W936" s="45" t="s">
        <v>560</v>
      </c>
      <c r="X936" s="45" t="b">
        <v>1</v>
      </c>
      <c r="Y936" s="45" t="b">
        <v>0</v>
      </c>
      <c r="Z936" s="45" t="b">
        <v>0</v>
      </c>
      <c r="AA936" s="45" t="b">
        <v>0</v>
      </c>
      <c r="AB936" s="45" t="b">
        <v>0</v>
      </c>
      <c r="AC936" s="45" t="b">
        <v>1</v>
      </c>
      <c r="AD936" s="45" t="b">
        <v>0</v>
      </c>
      <c r="AE936" s="45" t="b">
        <v>0</v>
      </c>
      <c r="AF936" s="45" t="s">
        <v>112</v>
      </c>
      <c r="AG936" s="45" t="b">
        <v>1</v>
      </c>
      <c r="AH936" s="45" t="b">
        <v>0</v>
      </c>
    </row>
    <row r="937" spans="22:34" x14ac:dyDescent="0.25">
      <c r="V937" t="s">
        <v>398</v>
      </c>
      <c r="W937" s="45" t="s">
        <v>560</v>
      </c>
      <c r="X937" s="45" t="b">
        <v>1</v>
      </c>
      <c r="Y937" s="45" t="b">
        <v>0</v>
      </c>
      <c r="Z937" s="45" t="b">
        <v>0</v>
      </c>
      <c r="AA937" s="45" t="b">
        <v>0</v>
      </c>
      <c r="AB937" s="45" t="b">
        <v>0</v>
      </c>
      <c r="AC937" s="45" t="b">
        <v>1</v>
      </c>
      <c r="AD937" s="45" t="b">
        <v>0</v>
      </c>
      <c r="AE937" s="45" t="b">
        <v>0</v>
      </c>
      <c r="AF937" s="45" t="s">
        <v>114</v>
      </c>
      <c r="AG937" s="45" t="b">
        <v>1</v>
      </c>
      <c r="AH937" s="45" t="b">
        <v>0</v>
      </c>
    </row>
    <row r="938" spans="22:34" x14ac:dyDescent="0.25">
      <c r="V938" t="s">
        <v>398</v>
      </c>
      <c r="W938" s="45" t="s">
        <v>560</v>
      </c>
      <c r="X938" s="45" t="b">
        <v>1</v>
      </c>
      <c r="Y938" s="45" t="b">
        <v>0</v>
      </c>
      <c r="Z938" s="45" t="b">
        <v>0</v>
      </c>
      <c r="AA938" s="45" t="b">
        <v>0</v>
      </c>
      <c r="AB938" s="45" t="b">
        <v>0</v>
      </c>
      <c r="AC938" s="45" t="b">
        <v>1</v>
      </c>
      <c r="AD938" s="45" t="b">
        <v>0</v>
      </c>
      <c r="AE938" s="45" t="b">
        <v>0</v>
      </c>
      <c r="AF938" s="45" t="s">
        <v>115</v>
      </c>
      <c r="AG938" s="45" t="b">
        <v>1</v>
      </c>
      <c r="AH938" s="45" t="b">
        <v>0</v>
      </c>
    </row>
    <row r="939" spans="22:34" x14ac:dyDescent="0.25">
      <c r="V939" t="s">
        <v>398</v>
      </c>
      <c r="W939" s="45" t="s">
        <v>560</v>
      </c>
      <c r="X939" s="45" t="b">
        <v>1</v>
      </c>
      <c r="Y939" s="45" t="b">
        <v>0</v>
      </c>
      <c r="Z939" s="45" t="b">
        <v>0</v>
      </c>
      <c r="AA939" s="45" t="b">
        <v>0</v>
      </c>
      <c r="AB939" s="45" t="b">
        <v>0</v>
      </c>
      <c r="AC939" s="45" t="b">
        <v>1</v>
      </c>
      <c r="AD939" s="45" t="b">
        <v>0</v>
      </c>
      <c r="AE939" s="45" t="b">
        <v>0</v>
      </c>
      <c r="AF939" s="45" t="s">
        <v>116</v>
      </c>
      <c r="AG939" s="45" t="b">
        <v>1</v>
      </c>
      <c r="AH939" s="45" t="b">
        <v>0</v>
      </c>
    </row>
    <row r="940" spans="22:34" x14ac:dyDescent="0.25">
      <c r="V940" t="s">
        <v>398</v>
      </c>
      <c r="W940" s="45" t="s">
        <v>560</v>
      </c>
      <c r="X940" s="45" t="b">
        <v>1</v>
      </c>
      <c r="Y940" s="45" t="b">
        <v>0</v>
      </c>
      <c r="Z940" s="45" t="b">
        <v>0</v>
      </c>
      <c r="AA940" s="45" t="b">
        <v>0</v>
      </c>
      <c r="AB940" s="45" t="b">
        <v>0</v>
      </c>
      <c r="AC940" s="45" t="b">
        <v>1</v>
      </c>
      <c r="AD940" s="45" t="b">
        <v>0</v>
      </c>
      <c r="AE940" s="45" t="b">
        <v>0</v>
      </c>
      <c r="AF940" s="45" t="s">
        <v>298</v>
      </c>
      <c r="AG940" s="45" t="b">
        <v>1</v>
      </c>
      <c r="AH940" s="45" t="b">
        <v>0</v>
      </c>
    </row>
    <row r="941" spans="22:34" x14ac:dyDescent="0.25">
      <c r="V941" t="s">
        <v>398</v>
      </c>
      <c r="W941" s="45" t="s">
        <v>560</v>
      </c>
      <c r="X941" s="45" t="b">
        <v>1</v>
      </c>
      <c r="Y941" s="45" t="b">
        <v>0</v>
      </c>
      <c r="Z941" s="45" t="b">
        <v>0</v>
      </c>
      <c r="AA941" s="45" t="b">
        <v>0</v>
      </c>
      <c r="AB941" s="45" t="b">
        <v>0</v>
      </c>
      <c r="AC941" s="45" t="b">
        <v>1</v>
      </c>
      <c r="AD941" s="45" t="b">
        <v>0</v>
      </c>
      <c r="AE941" s="45" t="b">
        <v>0</v>
      </c>
      <c r="AF941" s="45" t="s">
        <v>299</v>
      </c>
      <c r="AG941" s="45" t="b">
        <v>1</v>
      </c>
      <c r="AH941" s="45" t="b">
        <v>0</v>
      </c>
    </row>
    <row r="942" spans="22:34" x14ac:dyDescent="0.25">
      <c r="V942" t="s">
        <v>398</v>
      </c>
      <c r="W942" s="45" t="s">
        <v>560</v>
      </c>
      <c r="X942" s="45" t="b">
        <v>1</v>
      </c>
      <c r="Y942" s="45" t="b">
        <v>0</v>
      </c>
      <c r="Z942" s="45" t="b">
        <v>0</v>
      </c>
      <c r="AA942" s="45" t="b">
        <v>0</v>
      </c>
      <c r="AB942" s="45" t="b">
        <v>0</v>
      </c>
      <c r="AC942" s="45" t="b">
        <v>1</v>
      </c>
      <c r="AD942" s="45" t="b">
        <v>0</v>
      </c>
      <c r="AE942" s="45" t="b">
        <v>0</v>
      </c>
      <c r="AF942" s="45" t="s">
        <v>414</v>
      </c>
      <c r="AG942" s="45" t="b">
        <v>1</v>
      </c>
      <c r="AH942" s="45" t="b">
        <v>0</v>
      </c>
    </row>
    <row r="943" spans="22:34" x14ac:dyDescent="0.25">
      <c r="V943" t="s">
        <v>398</v>
      </c>
      <c r="W943" s="45" t="s">
        <v>560</v>
      </c>
      <c r="X943" s="45" t="b">
        <v>1</v>
      </c>
      <c r="Y943" s="45" t="b">
        <v>0</v>
      </c>
      <c r="Z943" s="45" t="b">
        <v>0</v>
      </c>
      <c r="AA943" s="45" t="b">
        <v>0</v>
      </c>
      <c r="AB943" s="45" t="b">
        <v>0</v>
      </c>
      <c r="AC943" s="45" t="b">
        <v>1</v>
      </c>
      <c r="AD943" s="45" t="b">
        <v>0</v>
      </c>
      <c r="AE943" s="45" t="b">
        <v>0</v>
      </c>
      <c r="AF943" s="45" t="s">
        <v>118</v>
      </c>
      <c r="AG943" s="45" t="b">
        <v>1</v>
      </c>
      <c r="AH943" s="45" t="b">
        <v>0</v>
      </c>
    </row>
    <row r="944" spans="22:34" x14ac:dyDescent="0.25">
      <c r="V944" t="s">
        <v>398</v>
      </c>
      <c r="W944" s="45" t="s">
        <v>560</v>
      </c>
      <c r="X944" s="45" t="b">
        <v>1</v>
      </c>
      <c r="Y944" s="45" t="b">
        <v>0</v>
      </c>
      <c r="Z944" s="45" t="b">
        <v>0</v>
      </c>
      <c r="AA944" s="45" t="b">
        <v>0</v>
      </c>
      <c r="AB944" s="45" t="b">
        <v>0</v>
      </c>
      <c r="AC944" s="45" t="b">
        <v>1</v>
      </c>
      <c r="AD944" s="45" t="b">
        <v>0</v>
      </c>
      <c r="AE944" s="45" t="b">
        <v>0</v>
      </c>
      <c r="AF944" s="45" t="s">
        <v>119</v>
      </c>
      <c r="AG944" s="45" t="b">
        <v>1</v>
      </c>
      <c r="AH944" s="45" t="b">
        <v>0</v>
      </c>
    </row>
    <row r="945" spans="22:34" x14ac:dyDescent="0.25">
      <c r="V945" t="s">
        <v>398</v>
      </c>
      <c r="W945" s="45" t="s">
        <v>560</v>
      </c>
      <c r="X945" s="45" t="b">
        <v>1</v>
      </c>
      <c r="Y945" s="45" t="b">
        <v>0</v>
      </c>
      <c r="Z945" s="45" t="b">
        <v>0</v>
      </c>
      <c r="AA945" s="45" t="b">
        <v>0</v>
      </c>
      <c r="AB945" s="45" t="b">
        <v>0</v>
      </c>
      <c r="AC945" s="45" t="b">
        <v>1</v>
      </c>
      <c r="AD945" s="45" t="b">
        <v>0</v>
      </c>
      <c r="AE945" s="45" t="b">
        <v>0</v>
      </c>
      <c r="AF945" s="45" t="s">
        <v>300</v>
      </c>
      <c r="AG945" s="45" t="b">
        <v>1</v>
      </c>
      <c r="AH945" s="45" t="b">
        <v>0</v>
      </c>
    </row>
    <row r="946" spans="22:34" x14ac:dyDescent="0.25">
      <c r="V946" t="s">
        <v>398</v>
      </c>
      <c r="W946" s="45" t="s">
        <v>560</v>
      </c>
      <c r="X946" s="45" t="b">
        <v>1</v>
      </c>
      <c r="Y946" s="45" t="b">
        <v>0</v>
      </c>
      <c r="Z946" s="45" t="b">
        <v>0</v>
      </c>
      <c r="AA946" s="45" t="b">
        <v>0</v>
      </c>
      <c r="AB946" s="45" t="b">
        <v>0</v>
      </c>
      <c r="AC946" s="45" t="b">
        <v>1</v>
      </c>
      <c r="AD946" s="45" t="b">
        <v>0</v>
      </c>
      <c r="AE946" s="45" t="b">
        <v>0</v>
      </c>
      <c r="AF946" s="45" t="s">
        <v>301</v>
      </c>
      <c r="AG946" s="45" t="b">
        <v>1</v>
      </c>
      <c r="AH946" s="45" t="b">
        <v>0</v>
      </c>
    </row>
    <row r="947" spans="22:34" x14ac:dyDescent="0.25">
      <c r="V947" t="s">
        <v>398</v>
      </c>
      <c r="W947" s="45" t="s">
        <v>560</v>
      </c>
      <c r="X947" s="45" t="b">
        <v>1</v>
      </c>
      <c r="Y947" s="45" t="b">
        <v>0</v>
      </c>
      <c r="Z947" s="45" t="b">
        <v>0</v>
      </c>
      <c r="AA947" s="45" t="b">
        <v>0</v>
      </c>
      <c r="AB947" s="45" t="b">
        <v>0</v>
      </c>
      <c r="AC947" s="45" t="b">
        <v>1</v>
      </c>
      <c r="AD947" s="45" t="b">
        <v>0</v>
      </c>
      <c r="AE947" s="45" t="b">
        <v>0</v>
      </c>
      <c r="AF947" s="45" t="s">
        <v>120</v>
      </c>
      <c r="AG947" s="45" t="b">
        <v>1</v>
      </c>
      <c r="AH947" s="45" t="b">
        <v>0</v>
      </c>
    </row>
    <row r="948" spans="22:34" x14ac:dyDescent="0.25">
      <c r="V948" t="s">
        <v>398</v>
      </c>
      <c r="W948" s="45" t="s">
        <v>560</v>
      </c>
      <c r="X948" s="45" t="b">
        <v>1</v>
      </c>
      <c r="Y948" s="45" t="b">
        <v>0</v>
      </c>
      <c r="Z948" s="45" t="b">
        <v>0</v>
      </c>
      <c r="AA948" s="45" t="b">
        <v>0</v>
      </c>
      <c r="AB948" s="45" t="b">
        <v>0</v>
      </c>
      <c r="AC948" s="45" t="b">
        <v>1</v>
      </c>
      <c r="AD948" s="45" t="b">
        <v>0</v>
      </c>
      <c r="AE948" s="45" t="b">
        <v>0</v>
      </c>
      <c r="AF948" s="45" t="s">
        <v>302</v>
      </c>
      <c r="AG948" s="45" t="b">
        <v>1</v>
      </c>
      <c r="AH948" s="45" t="b">
        <v>0</v>
      </c>
    </row>
    <row r="949" spans="22:34" x14ac:dyDescent="0.25">
      <c r="V949" t="s">
        <v>398</v>
      </c>
      <c r="W949" s="45" t="s">
        <v>560</v>
      </c>
      <c r="X949" s="45" t="b">
        <v>1</v>
      </c>
      <c r="Y949" s="45" t="b">
        <v>0</v>
      </c>
      <c r="Z949" s="45" t="b">
        <v>0</v>
      </c>
      <c r="AA949" s="45" t="b">
        <v>0</v>
      </c>
      <c r="AB949" s="45" t="b">
        <v>0</v>
      </c>
      <c r="AC949" s="45" t="b">
        <v>1</v>
      </c>
      <c r="AD949" s="45" t="b">
        <v>0</v>
      </c>
      <c r="AE949" s="45" t="b">
        <v>0</v>
      </c>
      <c r="AF949" s="45" t="s">
        <v>303</v>
      </c>
      <c r="AG949" s="45" t="b">
        <v>1</v>
      </c>
      <c r="AH949" s="45" t="b">
        <v>0</v>
      </c>
    </row>
    <row r="950" spans="22:34" x14ac:dyDescent="0.25">
      <c r="V950" t="s">
        <v>398</v>
      </c>
      <c r="W950" s="45" t="s">
        <v>560</v>
      </c>
      <c r="X950" s="45" t="b">
        <v>1</v>
      </c>
      <c r="Y950" s="45" t="b">
        <v>0</v>
      </c>
      <c r="Z950" s="45" t="b">
        <v>0</v>
      </c>
      <c r="AA950" s="45" t="b">
        <v>0</v>
      </c>
      <c r="AB950" s="45" t="b">
        <v>0</v>
      </c>
      <c r="AC950" s="45" t="b">
        <v>1</v>
      </c>
      <c r="AD950" s="45" t="b">
        <v>0</v>
      </c>
      <c r="AE950" s="45" t="b">
        <v>0</v>
      </c>
      <c r="AF950" s="45" t="s">
        <v>304</v>
      </c>
      <c r="AG950" s="45" t="b">
        <v>1</v>
      </c>
      <c r="AH950" s="45" t="b">
        <v>0</v>
      </c>
    </row>
    <row r="951" spans="22:34" x14ac:dyDescent="0.25">
      <c r="V951" t="s">
        <v>398</v>
      </c>
      <c r="W951" s="45" t="s">
        <v>560</v>
      </c>
      <c r="X951" s="45" t="b">
        <v>1</v>
      </c>
      <c r="Y951" s="45" t="b">
        <v>0</v>
      </c>
      <c r="Z951" s="45" t="b">
        <v>0</v>
      </c>
      <c r="AA951" s="45" t="b">
        <v>0</v>
      </c>
      <c r="AB951" s="45" t="b">
        <v>0</v>
      </c>
      <c r="AC951" s="45" t="b">
        <v>1</v>
      </c>
      <c r="AD951" s="45" t="b">
        <v>0</v>
      </c>
      <c r="AE951" s="45" t="b">
        <v>0</v>
      </c>
      <c r="AF951" s="45" t="s">
        <v>305</v>
      </c>
      <c r="AG951" s="45" t="b">
        <v>0</v>
      </c>
      <c r="AH951" s="45" t="b">
        <v>0</v>
      </c>
    </row>
    <row r="952" spans="22:34" x14ac:dyDescent="0.25">
      <c r="V952" t="s">
        <v>398</v>
      </c>
      <c r="W952" s="45" t="s">
        <v>560</v>
      </c>
      <c r="X952" s="45" t="b">
        <v>1</v>
      </c>
      <c r="Y952" s="45" t="b">
        <v>0</v>
      </c>
      <c r="Z952" s="45" t="b">
        <v>0</v>
      </c>
      <c r="AA952" s="45" t="b">
        <v>0</v>
      </c>
      <c r="AB952" s="45" t="b">
        <v>0</v>
      </c>
      <c r="AC952" s="45" t="b">
        <v>1</v>
      </c>
      <c r="AD952" s="45" t="b">
        <v>0</v>
      </c>
      <c r="AE952" s="45" t="b">
        <v>0</v>
      </c>
      <c r="AF952" s="45" t="s">
        <v>306</v>
      </c>
      <c r="AG952" s="45" t="b">
        <v>0</v>
      </c>
      <c r="AH952" s="45" t="b">
        <v>0</v>
      </c>
    </row>
    <row r="953" spans="22:34" x14ac:dyDescent="0.25">
      <c r="V953" t="s">
        <v>398</v>
      </c>
      <c r="W953" s="45" t="s">
        <v>560</v>
      </c>
      <c r="X953" s="45" t="b">
        <v>1</v>
      </c>
      <c r="Y953" s="45" t="b">
        <v>0</v>
      </c>
      <c r="Z953" s="45" t="b">
        <v>0</v>
      </c>
      <c r="AA953" s="45" t="b">
        <v>0</v>
      </c>
      <c r="AB953" s="45" t="b">
        <v>0</v>
      </c>
      <c r="AC953" s="45" t="b">
        <v>1</v>
      </c>
      <c r="AD953" s="45" t="b">
        <v>0</v>
      </c>
      <c r="AE953" s="45" t="b">
        <v>0</v>
      </c>
      <c r="AF953" s="45" t="s">
        <v>307</v>
      </c>
      <c r="AG953" s="45" t="b">
        <v>0</v>
      </c>
      <c r="AH953" s="45" t="b">
        <v>0</v>
      </c>
    </row>
    <row r="954" spans="22:34" x14ac:dyDescent="0.25">
      <c r="V954" t="s">
        <v>398</v>
      </c>
      <c r="W954" s="45" t="s">
        <v>560</v>
      </c>
      <c r="X954" s="45" t="b">
        <v>1</v>
      </c>
      <c r="Y954" s="45" t="b">
        <v>0</v>
      </c>
      <c r="Z954" s="45" t="b">
        <v>0</v>
      </c>
      <c r="AA954" s="45" t="b">
        <v>0</v>
      </c>
      <c r="AB954" s="45" t="b">
        <v>0</v>
      </c>
      <c r="AC954" s="45" t="b">
        <v>1</v>
      </c>
      <c r="AD954" s="45" t="b">
        <v>0</v>
      </c>
      <c r="AE954" s="45" t="b">
        <v>0</v>
      </c>
      <c r="AF954" s="45" t="s">
        <v>308</v>
      </c>
      <c r="AG954" s="45" t="b">
        <v>0</v>
      </c>
      <c r="AH954" s="45" t="b">
        <v>0</v>
      </c>
    </row>
    <row r="955" spans="22:34" x14ac:dyDescent="0.25">
      <c r="V955" t="s">
        <v>398</v>
      </c>
      <c r="W955" s="45" t="s">
        <v>560</v>
      </c>
      <c r="X955" s="45" t="b">
        <v>1</v>
      </c>
      <c r="Y955" s="45" t="b">
        <v>0</v>
      </c>
      <c r="Z955" s="45" t="b">
        <v>0</v>
      </c>
      <c r="AA955" s="45" t="b">
        <v>0</v>
      </c>
      <c r="AB955" s="45" t="b">
        <v>0</v>
      </c>
      <c r="AC955" s="45" t="b">
        <v>1</v>
      </c>
      <c r="AD955" s="45" t="b">
        <v>0</v>
      </c>
      <c r="AE955" s="45" t="b">
        <v>0</v>
      </c>
      <c r="AF955" s="45" t="s">
        <v>309</v>
      </c>
      <c r="AG955" s="45" t="b">
        <v>0</v>
      </c>
      <c r="AH955" s="45" t="b">
        <v>0</v>
      </c>
    </row>
    <row r="956" spans="22:34" x14ac:dyDescent="0.25">
      <c r="V956" t="s">
        <v>398</v>
      </c>
      <c r="W956" s="45" t="s">
        <v>560</v>
      </c>
      <c r="X956" s="45" t="b">
        <v>1</v>
      </c>
      <c r="Y956" s="45" t="b">
        <v>0</v>
      </c>
      <c r="Z956" s="45" t="b">
        <v>0</v>
      </c>
      <c r="AA956" s="45" t="b">
        <v>0</v>
      </c>
      <c r="AB956" s="45" t="b">
        <v>0</v>
      </c>
      <c r="AC956" s="45" t="b">
        <v>1</v>
      </c>
      <c r="AD956" s="45" t="b">
        <v>0</v>
      </c>
      <c r="AE956" s="45" t="b">
        <v>0</v>
      </c>
      <c r="AF956" s="45" t="s">
        <v>310</v>
      </c>
      <c r="AG956" s="45" t="b">
        <v>0</v>
      </c>
      <c r="AH956" s="45" t="b">
        <v>0</v>
      </c>
    </row>
    <row r="957" spans="22:34" x14ac:dyDescent="0.25">
      <c r="V957" t="s">
        <v>398</v>
      </c>
      <c r="W957" s="45" t="s">
        <v>560</v>
      </c>
      <c r="X957" s="45" t="b">
        <v>1</v>
      </c>
      <c r="Y957" s="45" t="b">
        <v>0</v>
      </c>
      <c r="Z957" s="45" t="b">
        <v>0</v>
      </c>
      <c r="AA957" s="45" t="b">
        <v>0</v>
      </c>
      <c r="AB957" s="45" t="b">
        <v>0</v>
      </c>
      <c r="AC957" s="45" t="b">
        <v>1</v>
      </c>
      <c r="AD957" s="45" t="b">
        <v>0</v>
      </c>
      <c r="AE957" s="45" t="b">
        <v>0</v>
      </c>
      <c r="AF957" s="45" t="s">
        <v>311</v>
      </c>
      <c r="AG957" s="45" t="b">
        <v>0</v>
      </c>
      <c r="AH957" s="45" t="b">
        <v>0</v>
      </c>
    </row>
    <row r="958" spans="22:34" x14ac:dyDescent="0.25">
      <c r="V958" t="s">
        <v>398</v>
      </c>
      <c r="W958" s="45" t="s">
        <v>560</v>
      </c>
      <c r="X958" s="45" t="b">
        <v>1</v>
      </c>
      <c r="Y958" s="45" t="b">
        <v>0</v>
      </c>
      <c r="Z958" s="45" t="b">
        <v>0</v>
      </c>
      <c r="AA958" s="45" t="b">
        <v>0</v>
      </c>
      <c r="AB958" s="45" t="b">
        <v>0</v>
      </c>
      <c r="AC958" s="45" t="b">
        <v>1</v>
      </c>
      <c r="AD958" s="45" t="b">
        <v>0</v>
      </c>
      <c r="AE958" s="45" t="b">
        <v>0</v>
      </c>
      <c r="AF958" s="45" t="s">
        <v>312</v>
      </c>
      <c r="AG958" s="45" t="b">
        <v>0</v>
      </c>
      <c r="AH958" s="45" t="b">
        <v>0</v>
      </c>
    </row>
    <row r="959" spans="22:34" x14ac:dyDescent="0.25">
      <c r="V959" t="s">
        <v>398</v>
      </c>
      <c r="W959" s="45" t="s">
        <v>560</v>
      </c>
      <c r="X959" s="45" t="b">
        <v>1</v>
      </c>
      <c r="Y959" s="45" t="b">
        <v>0</v>
      </c>
      <c r="Z959" s="45" t="b">
        <v>0</v>
      </c>
      <c r="AA959" s="45" t="b">
        <v>0</v>
      </c>
      <c r="AB959" s="45" t="b">
        <v>0</v>
      </c>
      <c r="AC959" s="45" t="b">
        <v>1</v>
      </c>
      <c r="AD959" s="45" t="b">
        <v>0</v>
      </c>
      <c r="AE959" s="45" t="b">
        <v>0</v>
      </c>
      <c r="AF959" s="45" t="s">
        <v>313</v>
      </c>
      <c r="AG959" s="45" t="b">
        <v>0</v>
      </c>
      <c r="AH959" s="45" t="b">
        <v>0</v>
      </c>
    </row>
    <row r="960" spans="22:34" x14ac:dyDescent="0.25">
      <c r="V960" t="s">
        <v>398</v>
      </c>
      <c r="W960" s="45" t="s">
        <v>560</v>
      </c>
      <c r="X960" s="45" t="b">
        <v>1</v>
      </c>
      <c r="Y960" s="45" t="b">
        <v>0</v>
      </c>
      <c r="Z960" s="45" t="b">
        <v>0</v>
      </c>
      <c r="AA960" s="45" t="b">
        <v>0</v>
      </c>
      <c r="AB960" s="45" t="b">
        <v>0</v>
      </c>
      <c r="AC960" s="45" t="b">
        <v>1</v>
      </c>
      <c r="AD960" s="45" t="b">
        <v>0</v>
      </c>
      <c r="AE960" s="45" t="b">
        <v>0</v>
      </c>
      <c r="AF960" s="45" t="s">
        <v>314</v>
      </c>
      <c r="AG960" s="45" t="b">
        <v>0</v>
      </c>
      <c r="AH960" s="45" t="b">
        <v>0</v>
      </c>
    </row>
    <row r="961" spans="22:34" x14ac:dyDescent="0.25">
      <c r="V961" t="s">
        <v>398</v>
      </c>
      <c r="W961" s="45" t="s">
        <v>560</v>
      </c>
      <c r="X961" s="45" t="b">
        <v>1</v>
      </c>
      <c r="Y961" s="45" t="b">
        <v>0</v>
      </c>
      <c r="Z961" s="45" t="b">
        <v>0</v>
      </c>
      <c r="AA961" s="45" t="b">
        <v>0</v>
      </c>
      <c r="AB961" s="45" t="b">
        <v>0</v>
      </c>
      <c r="AC961" s="45" t="b">
        <v>1</v>
      </c>
      <c r="AD961" s="45" t="b">
        <v>0</v>
      </c>
      <c r="AE961" s="45" t="b">
        <v>0</v>
      </c>
      <c r="AF961" s="45" t="s">
        <v>315</v>
      </c>
      <c r="AG961" s="45" t="b">
        <v>0</v>
      </c>
      <c r="AH961" s="45" t="b">
        <v>0</v>
      </c>
    </row>
    <row r="962" spans="22:34" x14ac:dyDescent="0.25">
      <c r="V962" t="s">
        <v>398</v>
      </c>
      <c r="W962" s="45" t="s">
        <v>560</v>
      </c>
      <c r="X962" s="45" t="b">
        <v>1</v>
      </c>
      <c r="Y962" s="45" t="b">
        <v>0</v>
      </c>
      <c r="Z962" s="45" t="b">
        <v>0</v>
      </c>
      <c r="AA962" s="45" t="b">
        <v>0</v>
      </c>
      <c r="AB962" s="45" t="b">
        <v>0</v>
      </c>
      <c r="AC962" s="45" t="b">
        <v>1</v>
      </c>
      <c r="AD962" s="45" t="b">
        <v>0</v>
      </c>
      <c r="AE962" s="45" t="b">
        <v>0</v>
      </c>
      <c r="AF962" s="45" t="s">
        <v>316</v>
      </c>
      <c r="AG962" s="45" t="b">
        <v>0</v>
      </c>
      <c r="AH962" s="45" t="b">
        <v>0</v>
      </c>
    </row>
    <row r="963" spans="22:34" x14ac:dyDescent="0.25">
      <c r="V963" t="s">
        <v>398</v>
      </c>
      <c r="W963" s="45" t="s">
        <v>560</v>
      </c>
      <c r="X963" s="45" t="b">
        <v>1</v>
      </c>
      <c r="Y963" s="45" t="b">
        <v>0</v>
      </c>
      <c r="Z963" s="45" t="b">
        <v>0</v>
      </c>
      <c r="AA963" s="45" t="b">
        <v>0</v>
      </c>
      <c r="AB963" s="45" t="b">
        <v>0</v>
      </c>
      <c r="AC963" s="45" t="b">
        <v>1</v>
      </c>
      <c r="AD963" s="45" t="b">
        <v>0</v>
      </c>
      <c r="AE963" s="45" t="b">
        <v>0</v>
      </c>
      <c r="AF963" s="45" t="s">
        <v>317</v>
      </c>
      <c r="AG963" s="45" t="b">
        <v>0</v>
      </c>
      <c r="AH963" s="45" t="b">
        <v>0</v>
      </c>
    </row>
    <row r="964" spans="22:34" x14ac:dyDescent="0.25">
      <c r="V964" t="s">
        <v>398</v>
      </c>
      <c r="W964" s="45" t="s">
        <v>560</v>
      </c>
      <c r="X964" s="45" t="b">
        <v>1</v>
      </c>
      <c r="Y964" s="45" t="b">
        <v>0</v>
      </c>
      <c r="Z964" s="45" t="b">
        <v>0</v>
      </c>
      <c r="AA964" s="45" t="b">
        <v>0</v>
      </c>
      <c r="AB964" s="45" t="b">
        <v>0</v>
      </c>
      <c r="AC964" s="45" t="b">
        <v>1</v>
      </c>
      <c r="AD964" s="45" t="b">
        <v>0</v>
      </c>
      <c r="AE964" s="45" t="b">
        <v>0</v>
      </c>
      <c r="AF964" s="45" t="s">
        <v>318</v>
      </c>
      <c r="AG964" s="45" t="b">
        <v>0</v>
      </c>
      <c r="AH964" s="45" t="b">
        <v>0</v>
      </c>
    </row>
    <row r="965" spans="22:34" x14ac:dyDescent="0.25">
      <c r="V965" t="s">
        <v>398</v>
      </c>
      <c r="W965" s="45" t="s">
        <v>560</v>
      </c>
      <c r="X965" s="45" t="b">
        <v>1</v>
      </c>
      <c r="Y965" s="45" t="b">
        <v>0</v>
      </c>
      <c r="Z965" s="45" t="b">
        <v>0</v>
      </c>
      <c r="AA965" s="45" t="b">
        <v>0</v>
      </c>
      <c r="AB965" s="45" t="b">
        <v>0</v>
      </c>
      <c r="AC965" s="45" t="b">
        <v>1</v>
      </c>
      <c r="AD965" s="45" t="b">
        <v>0</v>
      </c>
      <c r="AE965" s="45" t="b">
        <v>0</v>
      </c>
      <c r="AF965" s="45" t="s">
        <v>319</v>
      </c>
      <c r="AG965" s="45" t="b">
        <v>0</v>
      </c>
      <c r="AH965" s="45" t="b">
        <v>0</v>
      </c>
    </row>
    <row r="966" spans="22:34" x14ac:dyDescent="0.25">
      <c r="V966" t="s">
        <v>561</v>
      </c>
      <c r="W966" s="45" t="s">
        <v>348</v>
      </c>
      <c r="X966" s="45" t="b">
        <v>0</v>
      </c>
      <c r="Y966" s="45" t="b">
        <v>1</v>
      </c>
      <c r="Z966" s="45" t="b">
        <v>1</v>
      </c>
      <c r="AA966" s="45" t="b">
        <v>0</v>
      </c>
      <c r="AB966" s="45" t="b">
        <v>0</v>
      </c>
      <c r="AC966" s="45" t="b">
        <v>1</v>
      </c>
      <c r="AD966" s="45" t="b">
        <v>0</v>
      </c>
      <c r="AE966" s="45" t="b">
        <v>0</v>
      </c>
      <c r="AF966" s="45" t="s">
        <v>295</v>
      </c>
      <c r="AG966" s="45" t="b">
        <v>1</v>
      </c>
      <c r="AH966" s="45" t="b">
        <v>0</v>
      </c>
    </row>
    <row r="967" spans="22:34" x14ac:dyDescent="0.25">
      <c r="V967" t="s">
        <v>561</v>
      </c>
      <c r="W967" s="45" t="s">
        <v>348</v>
      </c>
      <c r="X967" s="45" t="b">
        <v>0</v>
      </c>
      <c r="Y967" s="45" t="b">
        <v>1</v>
      </c>
      <c r="Z967" s="45" t="b">
        <v>1</v>
      </c>
      <c r="AA967" s="45" t="b">
        <v>0</v>
      </c>
      <c r="AB967" s="45" t="b">
        <v>0</v>
      </c>
      <c r="AC967" s="45" t="b">
        <v>1</v>
      </c>
      <c r="AD967" s="45" t="b">
        <v>0</v>
      </c>
      <c r="AE967" s="45" t="b">
        <v>0</v>
      </c>
      <c r="AF967" s="45" t="s">
        <v>297</v>
      </c>
      <c r="AG967" s="45" t="b">
        <v>1</v>
      </c>
      <c r="AH967" s="45" t="b">
        <v>0</v>
      </c>
    </row>
    <row r="968" spans="22:34" x14ac:dyDescent="0.25">
      <c r="V968" t="s">
        <v>561</v>
      </c>
      <c r="W968" s="45" t="s">
        <v>348</v>
      </c>
      <c r="X968" s="45" t="b">
        <v>0</v>
      </c>
      <c r="Y968" s="45" t="b">
        <v>1</v>
      </c>
      <c r="Z968" s="45" t="b">
        <v>1</v>
      </c>
      <c r="AA968" s="45" t="b">
        <v>0</v>
      </c>
      <c r="AB968" s="45" t="b">
        <v>0</v>
      </c>
      <c r="AC968" s="45" t="b">
        <v>1</v>
      </c>
      <c r="AD968" s="45" t="b">
        <v>0</v>
      </c>
      <c r="AE968" s="45" t="b">
        <v>0</v>
      </c>
      <c r="AF968" s="45" t="s">
        <v>112</v>
      </c>
      <c r="AG968" s="45" t="b">
        <v>0</v>
      </c>
      <c r="AH968" s="45" t="b">
        <v>0</v>
      </c>
    </row>
    <row r="969" spans="22:34" x14ac:dyDescent="0.25">
      <c r="V969" t="s">
        <v>561</v>
      </c>
      <c r="W969" s="45" t="s">
        <v>348</v>
      </c>
      <c r="X969" s="45" t="b">
        <v>0</v>
      </c>
      <c r="Y969" s="45" t="b">
        <v>1</v>
      </c>
      <c r="Z969" s="45" t="b">
        <v>1</v>
      </c>
      <c r="AA969" s="45" t="b">
        <v>0</v>
      </c>
      <c r="AB969" s="45" t="b">
        <v>0</v>
      </c>
      <c r="AC969" s="45" t="b">
        <v>1</v>
      </c>
      <c r="AD969" s="45" t="b">
        <v>0</v>
      </c>
      <c r="AE969" s="45" t="b">
        <v>0</v>
      </c>
      <c r="AF969" s="45" t="s">
        <v>114</v>
      </c>
      <c r="AG969" s="45" t="b">
        <v>0</v>
      </c>
      <c r="AH969" s="45" t="b">
        <v>0</v>
      </c>
    </row>
    <row r="970" spans="22:34" x14ac:dyDescent="0.25">
      <c r="V970" t="s">
        <v>561</v>
      </c>
      <c r="W970" s="45" t="s">
        <v>348</v>
      </c>
      <c r="X970" s="45" t="b">
        <v>0</v>
      </c>
      <c r="Y970" s="45" t="b">
        <v>1</v>
      </c>
      <c r="Z970" s="45" t="b">
        <v>1</v>
      </c>
      <c r="AA970" s="45" t="b">
        <v>0</v>
      </c>
      <c r="AB970" s="45" t="b">
        <v>0</v>
      </c>
      <c r="AC970" s="45" t="b">
        <v>1</v>
      </c>
      <c r="AD970" s="45" t="b">
        <v>0</v>
      </c>
      <c r="AE970" s="45" t="b">
        <v>0</v>
      </c>
      <c r="AF970" s="45" t="s">
        <v>115</v>
      </c>
      <c r="AG970" s="45" t="b">
        <v>1</v>
      </c>
      <c r="AH970" s="45" t="b">
        <v>0</v>
      </c>
    </row>
    <row r="971" spans="22:34" x14ac:dyDescent="0.25">
      <c r="V971" t="s">
        <v>561</v>
      </c>
      <c r="W971" s="45" t="s">
        <v>348</v>
      </c>
      <c r="X971" s="45" t="b">
        <v>0</v>
      </c>
      <c r="Y971" s="45" t="b">
        <v>1</v>
      </c>
      <c r="Z971" s="45" t="b">
        <v>1</v>
      </c>
      <c r="AA971" s="45" t="b">
        <v>0</v>
      </c>
      <c r="AB971" s="45" t="b">
        <v>0</v>
      </c>
      <c r="AC971" s="45" t="b">
        <v>1</v>
      </c>
      <c r="AD971" s="45" t="b">
        <v>0</v>
      </c>
      <c r="AE971" s="45" t="b">
        <v>0</v>
      </c>
      <c r="AF971" s="45" t="s">
        <v>116</v>
      </c>
      <c r="AG971" s="45" t="b">
        <v>1</v>
      </c>
      <c r="AH971" s="45" t="b">
        <v>0</v>
      </c>
    </row>
    <row r="972" spans="22:34" x14ac:dyDescent="0.25">
      <c r="V972" t="s">
        <v>561</v>
      </c>
      <c r="W972" s="45" t="s">
        <v>348</v>
      </c>
      <c r="X972" s="45" t="b">
        <v>0</v>
      </c>
      <c r="Y972" s="45" t="b">
        <v>1</v>
      </c>
      <c r="Z972" s="45" t="b">
        <v>1</v>
      </c>
      <c r="AA972" s="45" t="b">
        <v>0</v>
      </c>
      <c r="AB972" s="45" t="b">
        <v>0</v>
      </c>
      <c r="AC972" s="45" t="b">
        <v>1</v>
      </c>
      <c r="AD972" s="45" t="b">
        <v>0</v>
      </c>
      <c r="AE972" s="45" t="b">
        <v>0</v>
      </c>
      <c r="AF972" s="45" t="s">
        <v>298</v>
      </c>
      <c r="AG972" s="45" t="b">
        <v>1</v>
      </c>
      <c r="AH972" s="45" t="b">
        <v>0</v>
      </c>
    </row>
    <row r="973" spans="22:34" x14ac:dyDescent="0.25">
      <c r="V973" t="s">
        <v>561</v>
      </c>
      <c r="W973" s="45" t="s">
        <v>348</v>
      </c>
      <c r="X973" s="45" t="b">
        <v>0</v>
      </c>
      <c r="Y973" s="45" t="b">
        <v>1</v>
      </c>
      <c r="Z973" s="45" t="b">
        <v>1</v>
      </c>
      <c r="AA973" s="45" t="b">
        <v>0</v>
      </c>
      <c r="AB973" s="45" t="b">
        <v>0</v>
      </c>
      <c r="AC973" s="45" t="b">
        <v>1</v>
      </c>
      <c r="AD973" s="45" t="b">
        <v>0</v>
      </c>
      <c r="AE973" s="45" t="b">
        <v>0</v>
      </c>
      <c r="AF973" s="45" t="s">
        <v>299</v>
      </c>
      <c r="AG973" s="45" t="b">
        <v>1</v>
      </c>
      <c r="AH973" s="45" t="b">
        <v>0</v>
      </c>
    </row>
    <row r="974" spans="22:34" x14ac:dyDescent="0.25">
      <c r="V974" t="s">
        <v>561</v>
      </c>
      <c r="W974" s="45" t="s">
        <v>348</v>
      </c>
      <c r="X974" s="45" t="b">
        <v>0</v>
      </c>
      <c r="Y974" s="45" t="b">
        <v>1</v>
      </c>
      <c r="Z974" s="45" t="b">
        <v>1</v>
      </c>
      <c r="AA974" s="45" t="b">
        <v>0</v>
      </c>
      <c r="AB974" s="45" t="b">
        <v>0</v>
      </c>
      <c r="AC974" s="45" t="b">
        <v>1</v>
      </c>
      <c r="AD974" s="45" t="b">
        <v>0</v>
      </c>
      <c r="AE974" s="45" t="b">
        <v>0</v>
      </c>
      <c r="AF974" s="45" t="s">
        <v>414</v>
      </c>
      <c r="AG974" s="45" t="b">
        <v>1</v>
      </c>
      <c r="AH974" s="45" t="b">
        <v>0</v>
      </c>
    </row>
    <row r="975" spans="22:34" x14ac:dyDescent="0.25">
      <c r="V975" t="s">
        <v>561</v>
      </c>
      <c r="W975" s="45" t="s">
        <v>348</v>
      </c>
      <c r="X975" s="45" t="b">
        <v>0</v>
      </c>
      <c r="Y975" s="45" t="b">
        <v>1</v>
      </c>
      <c r="Z975" s="45" t="b">
        <v>1</v>
      </c>
      <c r="AA975" s="45" t="b">
        <v>0</v>
      </c>
      <c r="AB975" s="45" t="b">
        <v>0</v>
      </c>
      <c r="AC975" s="45" t="b">
        <v>1</v>
      </c>
      <c r="AD975" s="45" t="b">
        <v>0</v>
      </c>
      <c r="AE975" s="45" t="b">
        <v>0</v>
      </c>
      <c r="AF975" s="45" t="s">
        <v>118</v>
      </c>
      <c r="AG975" s="45" t="b">
        <v>1</v>
      </c>
      <c r="AH975" s="45" t="b">
        <v>0</v>
      </c>
    </row>
    <row r="976" spans="22:34" x14ac:dyDescent="0.25">
      <c r="V976" t="s">
        <v>561</v>
      </c>
      <c r="W976" s="45" t="s">
        <v>348</v>
      </c>
      <c r="X976" s="45" t="b">
        <v>0</v>
      </c>
      <c r="Y976" s="45" t="b">
        <v>1</v>
      </c>
      <c r="Z976" s="45" t="b">
        <v>1</v>
      </c>
      <c r="AA976" s="45" t="b">
        <v>0</v>
      </c>
      <c r="AB976" s="45" t="b">
        <v>0</v>
      </c>
      <c r="AC976" s="45" t="b">
        <v>1</v>
      </c>
      <c r="AD976" s="45" t="b">
        <v>0</v>
      </c>
      <c r="AE976" s="45" t="b">
        <v>0</v>
      </c>
      <c r="AF976" s="45" t="s">
        <v>119</v>
      </c>
      <c r="AG976" s="45" t="b">
        <v>1</v>
      </c>
      <c r="AH976" s="45" t="b">
        <v>0</v>
      </c>
    </row>
    <row r="977" spans="22:34" x14ac:dyDescent="0.25">
      <c r="V977" t="s">
        <v>561</v>
      </c>
      <c r="W977" s="45" t="s">
        <v>348</v>
      </c>
      <c r="X977" s="45" t="b">
        <v>0</v>
      </c>
      <c r="Y977" s="45" t="b">
        <v>1</v>
      </c>
      <c r="Z977" s="45" t="b">
        <v>1</v>
      </c>
      <c r="AA977" s="45" t="b">
        <v>0</v>
      </c>
      <c r="AB977" s="45" t="b">
        <v>0</v>
      </c>
      <c r="AC977" s="45" t="b">
        <v>1</v>
      </c>
      <c r="AD977" s="45" t="b">
        <v>0</v>
      </c>
      <c r="AE977" s="45" t="b">
        <v>0</v>
      </c>
      <c r="AF977" s="45" t="s">
        <v>300</v>
      </c>
      <c r="AG977" s="45" t="b">
        <v>1</v>
      </c>
      <c r="AH977" s="45" t="b">
        <v>0</v>
      </c>
    </row>
    <row r="978" spans="22:34" x14ac:dyDescent="0.25">
      <c r="V978" t="s">
        <v>561</v>
      </c>
      <c r="W978" s="45" t="s">
        <v>348</v>
      </c>
      <c r="X978" s="45" t="b">
        <v>0</v>
      </c>
      <c r="Y978" s="45" t="b">
        <v>1</v>
      </c>
      <c r="Z978" s="45" t="b">
        <v>1</v>
      </c>
      <c r="AA978" s="45" t="b">
        <v>0</v>
      </c>
      <c r="AB978" s="45" t="b">
        <v>0</v>
      </c>
      <c r="AC978" s="45" t="b">
        <v>1</v>
      </c>
      <c r="AD978" s="45" t="b">
        <v>0</v>
      </c>
      <c r="AE978" s="45" t="b">
        <v>0</v>
      </c>
      <c r="AF978" s="45" t="s">
        <v>301</v>
      </c>
      <c r="AG978" s="45" t="b">
        <v>0</v>
      </c>
      <c r="AH978" s="45" t="b">
        <v>0</v>
      </c>
    </row>
    <row r="979" spans="22:34" x14ac:dyDescent="0.25">
      <c r="V979" t="s">
        <v>561</v>
      </c>
      <c r="W979" s="45" t="s">
        <v>348</v>
      </c>
      <c r="X979" s="45" t="b">
        <v>0</v>
      </c>
      <c r="Y979" s="45" t="b">
        <v>1</v>
      </c>
      <c r="Z979" s="45" t="b">
        <v>1</v>
      </c>
      <c r="AA979" s="45" t="b">
        <v>0</v>
      </c>
      <c r="AB979" s="45" t="b">
        <v>0</v>
      </c>
      <c r="AC979" s="45" t="b">
        <v>1</v>
      </c>
      <c r="AD979" s="45" t="b">
        <v>0</v>
      </c>
      <c r="AE979" s="45" t="b">
        <v>0</v>
      </c>
      <c r="AF979" s="45" t="s">
        <v>120</v>
      </c>
      <c r="AG979" s="45" t="b">
        <v>1</v>
      </c>
      <c r="AH979" s="45" t="b">
        <v>0</v>
      </c>
    </row>
    <row r="980" spans="22:34" x14ac:dyDescent="0.25">
      <c r="V980" t="s">
        <v>561</v>
      </c>
      <c r="W980" s="45" t="s">
        <v>348</v>
      </c>
      <c r="X980" s="45" t="b">
        <v>0</v>
      </c>
      <c r="Y980" s="45" t="b">
        <v>1</v>
      </c>
      <c r="Z980" s="45" t="b">
        <v>1</v>
      </c>
      <c r="AA980" s="45" t="b">
        <v>0</v>
      </c>
      <c r="AB980" s="45" t="b">
        <v>0</v>
      </c>
      <c r="AC980" s="45" t="b">
        <v>1</v>
      </c>
      <c r="AD980" s="45" t="b">
        <v>0</v>
      </c>
      <c r="AE980" s="45" t="b">
        <v>0</v>
      </c>
      <c r="AF980" s="45" t="s">
        <v>302</v>
      </c>
      <c r="AG980" s="45" t="b">
        <v>0</v>
      </c>
      <c r="AH980" s="45" t="b">
        <v>0</v>
      </c>
    </row>
    <row r="981" spans="22:34" x14ac:dyDescent="0.25">
      <c r="V981" t="s">
        <v>561</v>
      </c>
      <c r="W981" s="45" t="s">
        <v>348</v>
      </c>
      <c r="X981" s="45" t="b">
        <v>0</v>
      </c>
      <c r="Y981" s="45" t="b">
        <v>1</v>
      </c>
      <c r="Z981" s="45" t="b">
        <v>1</v>
      </c>
      <c r="AA981" s="45" t="b">
        <v>0</v>
      </c>
      <c r="AB981" s="45" t="b">
        <v>0</v>
      </c>
      <c r="AC981" s="45" t="b">
        <v>1</v>
      </c>
      <c r="AD981" s="45" t="b">
        <v>0</v>
      </c>
      <c r="AE981" s="45" t="b">
        <v>0</v>
      </c>
      <c r="AF981" s="45" t="s">
        <v>303</v>
      </c>
      <c r="AG981" s="45" t="b">
        <v>1</v>
      </c>
      <c r="AH981" s="45" t="b">
        <v>0</v>
      </c>
    </row>
    <row r="982" spans="22:34" x14ac:dyDescent="0.25">
      <c r="V982" t="s">
        <v>561</v>
      </c>
      <c r="W982" s="45" t="s">
        <v>348</v>
      </c>
      <c r="X982" s="45" t="b">
        <v>0</v>
      </c>
      <c r="Y982" s="45" t="b">
        <v>1</v>
      </c>
      <c r="Z982" s="45" t="b">
        <v>1</v>
      </c>
      <c r="AA982" s="45" t="b">
        <v>0</v>
      </c>
      <c r="AB982" s="45" t="b">
        <v>0</v>
      </c>
      <c r="AC982" s="45" t="b">
        <v>1</v>
      </c>
      <c r="AD982" s="45" t="b">
        <v>0</v>
      </c>
      <c r="AE982" s="45" t="b">
        <v>0</v>
      </c>
      <c r="AF982" s="45" t="s">
        <v>304</v>
      </c>
      <c r="AG982" s="45" t="b">
        <v>1</v>
      </c>
      <c r="AH982" s="45" t="b">
        <v>0</v>
      </c>
    </row>
    <row r="983" spans="22:34" x14ac:dyDescent="0.25">
      <c r="V983" t="s">
        <v>561</v>
      </c>
      <c r="W983" s="45" t="s">
        <v>348</v>
      </c>
      <c r="X983" s="45" t="b">
        <v>0</v>
      </c>
      <c r="Y983" s="45" t="b">
        <v>1</v>
      </c>
      <c r="Z983" s="45" t="b">
        <v>1</v>
      </c>
      <c r="AA983" s="45" t="b">
        <v>0</v>
      </c>
      <c r="AB983" s="45" t="b">
        <v>0</v>
      </c>
      <c r="AC983" s="45" t="b">
        <v>1</v>
      </c>
      <c r="AD983" s="45" t="b">
        <v>0</v>
      </c>
      <c r="AE983" s="45" t="b">
        <v>0</v>
      </c>
      <c r="AF983" s="45" t="s">
        <v>305</v>
      </c>
      <c r="AG983" s="45" t="b">
        <v>1</v>
      </c>
      <c r="AH983" s="45" t="b">
        <v>0</v>
      </c>
    </row>
    <row r="984" spans="22:34" x14ac:dyDescent="0.25">
      <c r="V984" t="s">
        <v>561</v>
      </c>
      <c r="W984" s="45" t="s">
        <v>348</v>
      </c>
      <c r="X984" s="45" t="b">
        <v>0</v>
      </c>
      <c r="Y984" s="45" t="b">
        <v>1</v>
      </c>
      <c r="Z984" s="45" t="b">
        <v>1</v>
      </c>
      <c r="AA984" s="45" t="b">
        <v>0</v>
      </c>
      <c r="AB984" s="45" t="b">
        <v>0</v>
      </c>
      <c r="AC984" s="45" t="b">
        <v>1</v>
      </c>
      <c r="AD984" s="45" t="b">
        <v>0</v>
      </c>
      <c r="AE984" s="45" t="b">
        <v>0</v>
      </c>
      <c r="AF984" s="45" t="s">
        <v>306</v>
      </c>
      <c r="AG984" s="45" t="b">
        <v>1</v>
      </c>
      <c r="AH984" s="45" t="b">
        <v>0</v>
      </c>
    </row>
    <row r="985" spans="22:34" x14ac:dyDescent="0.25">
      <c r="V985" t="s">
        <v>561</v>
      </c>
      <c r="W985" s="45" t="s">
        <v>348</v>
      </c>
      <c r="X985" s="45" t="b">
        <v>0</v>
      </c>
      <c r="Y985" s="45" t="b">
        <v>1</v>
      </c>
      <c r="Z985" s="45" t="b">
        <v>1</v>
      </c>
      <c r="AA985" s="45" t="b">
        <v>0</v>
      </c>
      <c r="AB985" s="45" t="b">
        <v>0</v>
      </c>
      <c r="AC985" s="45" t="b">
        <v>1</v>
      </c>
      <c r="AD985" s="45" t="b">
        <v>0</v>
      </c>
      <c r="AE985" s="45" t="b">
        <v>0</v>
      </c>
      <c r="AF985" s="45" t="s">
        <v>307</v>
      </c>
      <c r="AG985" s="45" t="b">
        <v>1</v>
      </c>
      <c r="AH985" s="45" t="b">
        <v>0</v>
      </c>
    </row>
    <row r="986" spans="22:34" x14ac:dyDescent="0.25">
      <c r="V986" t="s">
        <v>561</v>
      </c>
      <c r="W986" s="45" t="s">
        <v>348</v>
      </c>
      <c r="X986" s="45" t="b">
        <v>0</v>
      </c>
      <c r="Y986" s="45" t="b">
        <v>1</v>
      </c>
      <c r="Z986" s="45" t="b">
        <v>1</v>
      </c>
      <c r="AA986" s="45" t="b">
        <v>0</v>
      </c>
      <c r="AB986" s="45" t="b">
        <v>0</v>
      </c>
      <c r="AC986" s="45" t="b">
        <v>1</v>
      </c>
      <c r="AD986" s="45" t="b">
        <v>0</v>
      </c>
      <c r="AE986" s="45" t="b">
        <v>0</v>
      </c>
      <c r="AF986" s="45" t="s">
        <v>308</v>
      </c>
      <c r="AG986" s="45" t="b">
        <v>1</v>
      </c>
      <c r="AH986" s="45" t="b">
        <v>0</v>
      </c>
    </row>
    <row r="987" spans="22:34" x14ac:dyDescent="0.25">
      <c r="V987" t="s">
        <v>561</v>
      </c>
      <c r="W987" s="45" t="s">
        <v>348</v>
      </c>
      <c r="X987" s="45" t="b">
        <v>0</v>
      </c>
      <c r="Y987" s="45" t="b">
        <v>1</v>
      </c>
      <c r="Z987" s="45" t="b">
        <v>1</v>
      </c>
      <c r="AA987" s="45" t="b">
        <v>0</v>
      </c>
      <c r="AB987" s="45" t="b">
        <v>0</v>
      </c>
      <c r="AC987" s="45" t="b">
        <v>1</v>
      </c>
      <c r="AD987" s="45" t="b">
        <v>0</v>
      </c>
      <c r="AE987" s="45" t="b">
        <v>0</v>
      </c>
      <c r="AF987" s="45" t="s">
        <v>309</v>
      </c>
      <c r="AG987" s="45" t="b">
        <v>1</v>
      </c>
      <c r="AH987" s="45" t="b">
        <v>0</v>
      </c>
    </row>
    <row r="988" spans="22:34" x14ac:dyDescent="0.25">
      <c r="V988" t="s">
        <v>561</v>
      </c>
      <c r="W988" s="45" t="s">
        <v>348</v>
      </c>
      <c r="X988" s="45" t="b">
        <v>0</v>
      </c>
      <c r="Y988" s="45" t="b">
        <v>1</v>
      </c>
      <c r="Z988" s="45" t="b">
        <v>1</v>
      </c>
      <c r="AA988" s="45" t="b">
        <v>0</v>
      </c>
      <c r="AB988" s="45" t="b">
        <v>0</v>
      </c>
      <c r="AC988" s="45" t="b">
        <v>1</v>
      </c>
      <c r="AD988" s="45" t="b">
        <v>0</v>
      </c>
      <c r="AE988" s="45" t="b">
        <v>0</v>
      </c>
      <c r="AF988" s="45" t="s">
        <v>310</v>
      </c>
      <c r="AG988" s="45" t="b">
        <v>1</v>
      </c>
      <c r="AH988" s="45" t="b">
        <v>0</v>
      </c>
    </row>
    <row r="989" spans="22:34" x14ac:dyDescent="0.25">
      <c r="V989" t="s">
        <v>561</v>
      </c>
      <c r="W989" s="45" t="s">
        <v>348</v>
      </c>
      <c r="X989" s="45" t="b">
        <v>0</v>
      </c>
      <c r="Y989" s="45" t="b">
        <v>1</v>
      </c>
      <c r="Z989" s="45" t="b">
        <v>1</v>
      </c>
      <c r="AA989" s="45" t="b">
        <v>0</v>
      </c>
      <c r="AB989" s="45" t="b">
        <v>0</v>
      </c>
      <c r="AC989" s="45" t="b">
        <v>1</v>
      </c>
      <c r="AD989" s="45" t="b">
        <v>0</v>
      </c>
      <c r="AE989" s="45" t="b">
        <v>0</v>
      </c>
      <c r="AF989" s="45" t="s">
        <v>311</v>
      </c>
      <c r="AG989" s="45" t="b">
        <v>1</v>
      </c>
      <c r="AH989" s="45" t="b">
        <v>0</v>
      </c>
    </row>
    <row r="990" spans="22:34" x14ac:dyDescent="0.25">
      <c r="V990" t="s">
        <v>561</v>
      </c>
      <c r="W990" s="45" t="s">
        <v>348</v>
      </c>
      <c r="X990" s="45" t="b">
        <v>0</v>
      </c>
      <c r="Y990" s="45" t="b">
        <v>1</v>
      </c>
      <c r="Z990" s="45" t="b">
        <v>1</v>
      </c>
      <c r="AA990" s="45" t="b">
        <v>0</v>
      </c>
      <c r="AB990" s="45" t="b">
        <v>0</v>
      </c>
      <c r="AC990" s="45" t="b">
        <v>1</v>
      </c>
      <c r="AD990" s="45" t="b">
        <v>0</v>
      </c>
      <c r="AE990" s="45" t="b">
        <v>0</v>
      </c>
      <c r="AF990" s="45" t="s">
        <v>312</v>
      </c>
      <c r="AG990" s="45" t="b">
        <v>1</v>
      </c>
      <c r="AH990" s="45" t="b">
        <v>0</v>
      </c>
    </row>
    <row r="991" spans="22:34" x14ac:dyDescent="0.25">
      <c r="V991" t="s">
        <v>561</v>
      </c>
      <c r="W991" s="45" t="s">
        <v>348</v>
      </c>
      <c r="X991" s="45" t="b">
        <v>0</v>
      </c>
      <c r="Y991" s="45" t="b">
        <v>1</v>
      </c>
      <c r="Z991" s="45" t="b">
        <v>1</v>
      </c>
      <c r="AA991" s="45" t="b">
        <v>0</v>
      </c>
      <c r="AB991" s="45" t="b">
        <v>0</v>
      </c>
      <c r="AC991" s="45" t="b">
        <v>1</v>
      </c>
      <c r="AD991" s="45" t="b">
        <v>0</v>
      </c>
      <c r="AE991" s="45" t="b">
        <v>0</v>
      </c>
      <c r="AF991" s="45" t="s">
        <v>313</v>
      </c>
      <c r="AG991" s="45" t="b">
        <v>1</v>
      </c>
      <c r="AH991" s="45" t="b">
        <v>0</v>
      </c>
    </row>
    <row r="992" spans="22:34" x14ac:dyDescent="0.25">
      <c r="V992" t="s">
        <v>561</v>
      </c>
      <c r="W992" s="45" t="s">
        <v>348</v>
      </c>
      <c r="X992" s="45" t="b">
        <v>0</v>
      </c>
      <c r="Y992" s="45" t="b">
        <v>1</v>
      </c>
      <c r="Z992" s="45" t="b">
        <v>1</v>
      </c>
      <c r="AA992" s="45" t="b">
        <v>0</v>
      </c>
      <c r="AB992" s="45" t="b">
        <v>0</v>
      </c>
      <c r="AC992" s="45" t="b">
        <v>1</v>
      </c>
      <c r="AD992" s="45" t="b">
        <v>0</v>
      </c>
      <c r="AE992" s="45" t="b">
        <v>0</v>
      </c>
      <c r="AF992" s="45" t="s">
        <v>314</v>
      </c>
      <c r="AG992" s="45" t="b">
        <v>1</v>
      </c>
      <c r="AH992" s="45" t="b">
        <v>0</v>
      </c>
    </row>
    <row r="993" spans="22:34" x14ac:dyDescent="0.25">
      <c r="V993" t="s">
        <v>561</v>
      </c>
      <c r="W993" s="45" t="s">
        <v>348</v>
      </c>
      <c r="X993" s="45" t="b">
        <v>0</v>
      </c>
      <c r="Y993" s="45" t="b">
        <v>1</v>
      </c>
      <c r="Z993" s="45" t="b">
        <v>1</v>
      </c>
      <c r="AA993" s="45" t="b">
        <v>0</v>
      </c>
      <c r="AB993" s="45" t="b">
        <v>0</v>
      </c>
      <c r="AC993" s="45" t="b">
        <v>1</v>
      </c>
      <c r="AD993" s="45" t="b">
        <v>0</v>
      </c>
      <c r="AE993" s="45" t="b">
        <v>0</v>
      </c>
      <c r="AF993" s="45" t="s">
        <v>315</v>
      </c>
      <c r="AG993" s="45" t="b">
        <v>1</v>
      </c>
      <c r="AH993" s="45" t="b">
        <v>0</v>
      </c>
    </row>
    <row r="994" spans="22:34" x14ac:dyDescent="0.25">
      <c r="V994" t="s">
        <v>561</v>
      </c>
      <c r="W994" s="45" t="s">
        <v>348</v>
      </c>
      <c r="X994" s="45" t="b">
        <v>0</v>
      </c>
      <c r="Y994" s="45" t="b">
        <v>1</v>
      </c>
      <c r="Z994" s="45" t="b">
        <v>1</v>
      </c>
      <c r="AA994" s="45" t="b">
        <v>0</v>
      </c>
      <c r="AB994" s="45" t="b">
        <v>0</v>
      </c>
      <c r="AC994" s="45" t="b">
        <v>1</v>
      </c>
      <c r="AD994" s="45" t="b">
        <v>0</v>
      </c>
      <c r="AE994" s="45" t="b">
        <v>0</v>
      </c>
      <c r="AF994" s="45" t="s">
        <v>316</v>
      </c>
      <c r="AG994" s="45" t="b">
        <v>1</v>
      </c>
      <c r="AH994" s="45" t="b">
        <v>0</v>
      </c>
    </row>
    <row r="995" spans="22:34" x14ac:dyDescent="0.25">
      <c r="V995" t="s">
        <v>561</v>
      </c>
      <c r="W995" s="45" t="s">
        <v>348</v>
      </c>
      <c r="X995" s="45" t="b">
        <v>0</v>
      </c>
      <c r="Y995" s="45" t="b">
        <v>1</v>
      </c>
      <c r="Z995" s="45" t="b">
        <v>1</v>
      </c>
      <c r="AA995" s="45" t="b">
        <v>0</v>
      </c>
      <c r="AB995" s="45" t="b">
        <v>0</v>
      </c>
      <c r="AC995" s="45" t="b">
        <v>1</v>
      </c>
      <c r="AD995" s="45" t="b">
        <v>0</v>
      </c>
      <c r="AE995" s="45" t="b">
        <v>0</v>
      </c>
      <c r="AF995" s="45" t="s">
        <v>317</v>
      </c>
      <c r="AG995" s="45" t="b">
        <v>1</v>
      </c>
      <c r="AH995" s="45" t="b">
        <v>0</v>
      </c>
    </row>
    <row r="996" spans="22:34" x14ac:dyDescent="0.25">
      <c r="V996" t="s">
        <v>561</v>
      </c>
      <c r="W996" s="45" t="s">
        <v>348</v>
      </c>
      <c r="X996" s="45" t="b">
        <v>0</v>
      </c>
      <c r="Y996" s="45" t="b">
        <v>1</v>
      </c>
      <c r="Z996" s="45" t="b">
        <v>1</v>
      </c>
      <c r="AA996" s="45" t="b">
        <v>0</v>
      </c>
      <c r="AB996" s="45" t="b">
        <v>0</v>
      </c>
      <c r="AC996" s="45" t="b">
        <v>1</v>
      </c>
      <c r="AD996" s="45" t="b">
        <v>0</v>
      </c>
      <c r="AE996" s="45" t="b">
        <v>0</v>
      </c>
      <c r="AF996" s="45" t="s">
        <v>318</v>
      </c>
      <c r="AG996" s="45" t="b">
        <v>1</v>
      </c>
      <c r="AH996" s="45" t="b">
        <v>0</v>
      </c>
    </row>
    <row r="997" spans="22:34" x14ac:dyDescent="0.25">
      <c r="V997" t="s">
        <v>561</v>
      </c>
      <c r="W997" s="45" t="s">
        <v>348</v>
      </c>
      <c r="X997" s="45" t="b">
        <v>0</v>
      </c>
      <c r="Y997" s="45" t="b">
        <v>1</v>
      </c>
      <c r="Z997" s="45" t="b">
        <v>1</v>
      </c>
      <c r="AA997" s="45" t="b">
        <v>0</v>
      </c>
      <c r="AB997" s="45" t="b">
        <v>0</v>
      </c>
      <c r="AC997" s="45" t="b">
        <v>1</v>
      </c>
      <c r="AD997" s="45" t="b">
        <v>0</v>
      </c>
      <c r="AE997" s="45" t="b">
        <v>0</v>
      </c>
      <c r="AF997" s="45" t="s">
        <v>319</v>
      </c>
      <c r="AG997" s="45" t="b">
        <v>1</v>
      </c>
      <c r="AH997" s="45" t="b">
        <v>0</v>
      </c>
    </row>
    <row r="998" spans="22:34" x14ac:dyDescent="0.25">
      <c r="V998" t="s">
        <v>562</v>
      </c>
      <c r="W998" s="45" t="s">
        <v>349</v>
      </c>
      <c r="X998" s="45" t="b">
        <v>0</v>
      </c>
      <c r="Y998" s="45" t="b">
        <v>1</v>
      </c>
      <c r="Z998" s="45" t="b">
        <v>1</v>
      </c>
      <c r="AA998" s="45" t="b">
        <v>0</v>
      </c>
      <c r="AB998" s="45" t="b">
        <v>1</v>
      </c>
      <c r="AC998" s="45" t="b">
        <v>1</v>
      </c>
      <c r="AD998" s="45" t="b">
        <v>1</v>
      </c>
      <c r="AE998" s="45" t="b">
        <v>1</v>
      </c>
      <c r="AF998" s="45" t="s">
        <v>295</v>
      </c>
      <c r="AG998" s="45" t="b">
        <v>0</v>
      </c>
      <c r="AH998" s="45" t="b">
        <v>0</v>
      </c>
    </row>
    <row r="999" spans="22:34" x14ac:dyDescent="0.25">
      <c r="V999" t="s">
        <v>562</v>
      </c>
      <c r="W999" s="45" t="s">
        <v>349</v>
      </c>
      <c r="X999" s="45" t="b">
        <v>0</v>
      </c>
      <c r="Y999" s="45" t="b">
        <v>1</v>
      </c>
      <c r="Z999" s="45" t="b">
        <v>1</v>
      </c>
      <c r="AA999" s="45" t="b">
        <v>0</v>
      </c>
      <c r="AB999" s="45" t="b">
        <v>1</v>
      </c>
      <c r="AC999" s="45" t="b">
        <v>1</v>
      </c>
      <c r="AD999" s="45" t="b">
        <v>1</v>
      </c>
      <c r="AE999" s="45" t="b">
        <v>1</v>
      </c>
      <c r="AF999" s="45" t="s">
        <v>297</v>
      </c>
      <c r="AG999" s="45" t="b">
        <v>0</v>
      </c>
      <c r="AH999" s="45" t="b">
        <v>0</v>
      </c>
    </row>
    <row r="1000" spans="22:34" x14ac:dyDescent="0.25">
      <c r="V1000" t="s">
        <v>562</v>
      </c>
      <c r="W1000" s="45" t="s">
        <v>349</v>
      </c>
      <c r="X1000" s="45" t="b">
        <v>0</v>
      </c>
      <c r="Y1000" s="45" t="b">
        <v>1</v>
      </c>
      <c r="Z1000" s="45" t="b">
        <v>1</v>
      </c>
      <c r="AA1000" s="45" t="b">
        <v>0</v>
      </c>
      <c r="AB1000" s="45" t="b">
        <v>1</v>
      </c>
      <c r="AC1000" s="45" t="b">
        <v>1</v>
      </c>
      <c r="AD1000" s="45" t="b">
        <v>1</v>
      </c>
      <c r="AE1000" s="45" t="b">
        <v>1</v>
      </c>
      <c r="AF1000" s="45" t="s">
        <v>112</v>
      </c>
      <c r="AG1000" s="45" t="b">
        <v>1</v>
      </c>
      <c r="AH1000" s="45" t="b">
        <v>1</v>
      </c>
    </row>
    <row r="1001" spans="22:34" x14ac:dyDescent="0.25">
      <c r="V1001" t="s">
        <v>562</v>
      </c>
      <c r="W1001" s="45" t="s">
        <v>349</v>
      </c>
      <c r="X1001" s="45" t="b">
        <v>0</v>
      </c>
      <c r="Y1001" s="45" t="b">
        <v>1</v>
      </c>
      <c r="Z1001" s="45" t="b">
        <v>1</v>
      </c>
      <c r="AA1001" s="45" t="b">
        <v>0</v>
      </c>
      <c r="AB1001" s="45" t="b">
        <v>1</v>
      </c>
      <c r="AC1001" s="45" t="b">
        <v>1</v>
      </c>
      <c r="AD1001" s="45" t="b">
        <v>1</v>
      </c>
      <c r="AE1001" s="45" t="b">
        <v>1</v>
      </c>
      <c r="AF1001" s="45" t="s">
        <v>114</v>
      </c>
      <c r="AG1001" s="45" t="b">
        <v>0</v>
      </c>
      <c r="AH1001" s="45" t="b">
        <v>0</v>
      </c>
    </row>
    <row r="1002" spans="22:34" x14ac:dyDescent="0.25">
      <c r="V1002" t="s">
        <v>562</v>
      </c>
      <c r="W1002" s="45" t="s">
        <v>349</v>
      </c>
      <c r="X1002" s="45" t="b">
        <v>0</v>
      </c>
      <c r="Y1002" s="45" t="b">
        <v>1</v>
      </c>
      <c r="Z1002" s="45" t="b">
        <v>1</v>
      </c>
      <c r="AA1002" s="45" t="b">
        <v>0</v>
      </c>
      <c r="AB1002" s="45" t="b">
        <v>1</v>
      </c>
      <c r="AC1002" s="45" t="b">
        <v>1</v>
      </c>
      <c r="AD1002" s="45" t="b">
        <v>1</v>
      </c>
      <c r="AE1002" s="45" t="b">
        <v>1</v>
      </c>
      <c r="AF1002" s="45" t="s">
        <v>115</v>
      </c>
      <c r="AG1002" s="45" t="b">
        <v>1</v>
      </c>
      <c r="AH1002" s="45" t="b">
        <v>1</v>
      </c>
    </row>
    <row r="1003" spans="22:34" x14ac:dyDescent="0.25">
      <c r="V1003" t="s">
        <v>562</v>
      </c>
      <c r="W1003" s="45" t="s">
        <v>349</v>
      </c>
      <c r="X1003" s="45" t="b">
        <v>0</v>
      </c>
      <c r="Y1003" s="45" t="b">
        <v>1</v>
      </c>
      <c r="Z1003" s="45" t="b">
        <v>1</v>
      </c>
      <c r="AA1003" s="45" t="b">
        <v>0</v>
      </c>
      <c r="AB1003" s="45" t="b">
        <v>1</v>
      </c>
      <c r="AC1003" s="45" t="b">
        <v>1</v>
      </c>
      <c r="AD1003" s="45" t="b">
        <v>1</v>
      </c>
      <c r="AE1003" s="45" t="b">
        <v>1</v>
      </c>
      <c r="AF1003" s="45" t="s">
        <v>116</v>
      </c>
      <c r="AG1003" s="45" t="b">
        <v>1</v>
      </c>
      <c r="AH1003" s="45" t="b">
        <v>1</v>
      </c>
    </row>
    <row r="1004" spans="22:34" x14ac:dyDescent="0.25">
      <c r="V1004" t="s">
        <v>562</v>
      </c>
      <c r="W1004" s="45" t="s">
        <v>349</v>
      </c>
      <c r="X1004" s="45" t="b">
        <v>0</v>
      </c>
      <c r="Y1004" s="45" t="b">
        <v>1</v>
      </c>
      <c r="Z1004" s="45" t="b">
        <v>1</v>
      </c>
      <c r="AA1004" s="45" t="b">
        <v>0</v>
      </c>
      <c r="AB1004" s="45" t="b">
        <v>1</v>
      </c>
      <c r="AC1004" s="45" t="b">
        <v>1</v>
      </c>
      <c r="AD1004" s="45" t="b">
        <v>1</v>
      </c>
      <c r="AE1004" s="45" t="b">
        <v>1</v>
      </c>
      <c r="AF1004" s="45" t="s">
        <v>298</v>
      </c>
      <c r="AG1004" s="45" t="b">
        <v>1</v>
      </c>
      <c r="AH1004" s="45" t="b">
        <v>1</v>
      </c>
    </row>
    <row r="1005" spans="22:34" x14ac:dyDescent="0.25">
      <c r="V1005" t="s">
        <v>562</v>
      </c>
      <c r="W1005" s="45" t="s">
        <v>349</v>
      </c>
      <c r="X1005" s="45" t="b">
        <v>0</v>
      </c>
      <c r="Y1005" s="45" t="b">
        <v>1</v>
      </c>
      <c r="Z1005" s="45" t="b">
        <v>1</v>
      </c>
      <c r="AA1005" s="45" t="b">
        <v>0</v>
      </c>
      <c r="AB1005" s="45" t="b">
        <v>1</v>
      </c>
      <c r="AC1005" s="45" t="b">
        <v>1</v>
      </c>
      <c r="AD1005" s="45" t="b">
        <v>1</v>
      </c>
      <c r="AE1005" s="45" t="b">
        <v>1</v>
      </c>
      <c r="AF1005" s="45" t="s">
        <v>299</v>
      </c>
      <c r="AG1005" s="45" t="b">
        <v>1</v>
      </c>
      <c r="AH1005" s="45" t="b">
        <v>1</v>
      </c>
    </row>
    <row r="1006" spans="22:34" x14ac:dyDescent="0.25">
      <c r="V1006" t="s">
        <v>562</v>
      </c>
      <c r="W1006" s="45" t="s">
        <v>349</v>
      </c>
      <c r="X1006" s="45" t="b">
        <v>0</v>
      </c>
      <c r="Y1006" s="45" t="b">
        <v>1</v>
      </c>
      <c r="Z1006" s="45" t="b">
        <v>1</v>
      </c>
      <c r="AA1006" s="45" t="b">
        <v>0</v>
      </c>
      <c r="AB1006" s="45" t="b">
        <v>1</v>
      </c>
      <c r="AC1006" s="45" t="b">
        <v>1</v>
      </c>
      <c r="AD1006" s="45" t="b">
        <v>1</v>
      </c>
      <c r="AE1006" s="45" t="b">
        <v>1</v>
      </c>
      <c r="AF1006" s="45" t="s">
        <v>414</v>
      </c>
      <c r="AG1006" s="45" t="b">
        <v>1</v>
      </c>
      <c r="AH1006" s="45" t="b">
        <v>1</v>
      </c>
    </row>
    <row r="1007" spans="22:34" x14ac:dyDescent="0.25">
      <c r="V1007" t="s">
        <v>562</v>
      </c>
      <c r="W1007" s="45" t="s">
        <v>349</v>
      </c>
      <c r="X1007" s="45" t="b">
        <v>0</v>
      </c>
      <c r="Y1007" s="45" t="b">
        <v>1</v>
      </c>
      <c r="Z1007" s="45" t="b">
        <v>1</v>
      </c>
      <c r="AA1007" s="45" t="b">
        <v>0</v>
      </c>
      <c r="AB1007" s="45" t="b">
        <v>1</v>
      </c>
      <c r="AC1007" s="45" t="b">
        <v>1</v>
      </c>
      <c r="AD1007" s="45" t="b">
        <v>1</v>
      </c>
      <c r="AE1007" s="45" t="b">
        <v>1</v>
      </c>
      <c r="AF1007" s="45" t="s">
        <v>118</v>
      </c>
      <c r="AG1007" s="45" t="b">
        <v>1</v>
      </c>
      <c r="AH1007" s="45" t="b">
        <v>1</v>
      </c>
    </row>
    <row r="1008" spans="22:34" x14ac:dyDescent="0.25">
      <c r="V1008" t="s">
        <v>562</v>
      </c>
      <c r="W1008" s="45" t="s">
        <v>349</v>
      </c>
      <c r="X1008" s="45" t="b">
        <v>0</v>
      </c>
      <c r="Y1008" s="45" t="b">
        <v>1</v>
      </c>
      <c r="Z1008" s="45" t="b">
        <v>1</v>
      </c>
      <c r="AA1008" s="45" t="b">
        <v>0</v>
      </c>
      <c r="AB1008" s="45" t="b">
        <v>1</v>
      </c>
      <c r="AC1008" s="45" t="b">
        <v>1</v>
      </c>
      <c r="AD1008" s="45" t="b">
        <v>1</v>
      </c>
      <c r="AE1008" s="45" t="b">
        <v>1</v>
      </c>
      <c r="AF1008" s="45" t="s">
        <v>119</v>
      </c>
      <c r="AG1008" s="45" t="b">
        <v>1</v>
      </c>
      <c r="AH1008" s="45" t="b">
        <v>1</v>
      </c>
    </row>
    <row r="1009" spans="22:34" x14ac:dyDescent="0.25">
      <c r="V1009" t="s">
        <v>562</v>
      </c>
      <c r="W1009" s="45" t="s">
        <v>349</v>
      </c>
      <c r="X1009" s="45" t="b">
        <v>0</v>
      </c>
      <c r="Y1009" s="45" t="b">
        <v>1</v>
      </c>
      <c r="Z1009" s="45" t="b">
        <v>1</v>
      </c>
      <c r="AA1009" s="45" t="b">
        <v>0</v>
      </c>
      <c r="AB1009" s="45" t="b">
        <v>1</v>
      </c>
      <c r="AC1009" s="45" t="b">
        <v>1</v>
      </c>
      <c r="AD1009" s="45" t="b">
        <v>1</v>
      </c>
      <c r="AE1009" s="45" t="b">
        <v>1</v>
      </c>
      <c r="AF1009" s="45" t="s">
        <v>300</v>
      </c>
      <c r="AG1009" s="45" t="b">
        <v>1</v>
      </c>
      <c r="AH1009" s="45" t="b">
        <v>1</v>
      </c>
    </row>
    <row r="1010" spans="22:34" x14ac:dyDescent="0.25">
      <c r="V1010" t="s">
        <v>562</v>
      </c>
      <c r="W1010" s="45" t="s">
        <v>349</v>
      </c>
      <c r="X1010" s="45" t="b">
        <v>0</v>
      </c>
      <c r="Y1010" s="45" t="b">
        <v>1</v>
      </c>
      <c r="Z1010" s="45" t="b">
        <v>1</v>
      </c>
      <c r="AA1010" s="45" t="b">
        <v>0</v>
      </c>
      <c r="AB1010" s="45" t="b">
        <v>1</v>
      </c>
      <c r="AC1010" s="45" t="b">
        <v>1</v>
      </c>
      <c r="AD1010" s="45" t="b">
        <v>1</v>
      </c>
      <c r="AE1010" s="45" t="b">
        <v>1</v>
      </c>
      <c r="AF1010" s="45" t="s">
        <v>301</v>
      </c>
      <c r="AG1010" s="45" t="b">
        <v>0</v>
      </c>
      <c r="AH1010" s="45" t="b">
        <v>0</v>
      </c>
    </row>
    <row r="1011" spans="22:34" x14ac:dyDescent="0.25">
      <c r="V1011" t="s">
        <v>562</v>
      </c>
      <c r="W1011" s="45" t="s">
        <v>349</v>
      </c>
      <c r="X1011" s="45" t="b">
        <v>0</v>
      </c>
      <c r="Y1011" s="45" t="b">
        <v>1</v>
      </c>
      <c r="Z1011" s="45" t="b">
        <v>1</v>
      </c>
      <c r="AA1011" s="45" t="b">
        <v>0</v>
      </c>
      <c r="AB1011" s="45" t="b">
        <v>1</v>
      </c>
      <c r="AC1011" s="45" t="b">
        <v>1</v>
      </c>
      <c r="AD1011" s="45" t="b">
        <v>1</v>
      </c>
      <c r="AE1011" s="45" t="b">
        <v>1</v>
      </c>
      <c r="AF1011" s="45" t="s">
        <v>120</v>
      </c>
      <c r="AG1011" s="45" t="b">
        <v>1</v>
      </c>
      <c r="AH1011" s="45" t="b">
        <v>1</v>
      </c>
    </row>
    <row r="1012" spans="22:34" x14ac:dyDescent="0.25">
      <c r="V1012" t="s">
        <v>562</v>
      </c>
      <c r="W1012" s="45" t="s">
        <v>349</v>
      </c>
      <c r="X1012" s="45" t="b">
        <v>0</v>
      </c>
      <c r="Y1012" s="45" t="b">
        <v>1</v>
      </c>
      <c r="Z1012" s="45" t="b">
        <v>1</v>
      </c>
      <c r="AA1012" s="45" t="b">
        <v>0</v>
      </c>
      <c r="AB1012" s="45" t="b">
        <v>1</v>
      </c>
      <c r="AC1012" s="45" t="b">
        <v>1</v>
      </c>
      <c r="AD1012" s="45" t="b">
        <v>1</v>
      </c>
      <c r="AE1012" s="45" t="b">
        <v>1</v>
      </c>
      <c r="AF1012" s="45" t="s">
        <v>302</v>
      </c>
      <c r="AG1012" s="45" t="b">
        <v>0</v>
      </c>
      <c r="AH1012" s="45" t="b">
        <v>0</v>
      </c>
    </row>
    <row r="1013" spans="22:34" x14ac:dyDescent="0.25">
      <c r="V1013" t="s">
        <v>562</v>
      </c>
      <c r="W1013" s="45" t="s">
        <v>349</v>
      </c>
      <c r="X1013" s="45" t="b">
        <v>0</v>
      </c>
      <c r="Y1013" s="45" t="b">
        <v>1</v>
      </c>
      <c r="Z1013" s="45" t="b">
        <v>1</v>
      </c>
      <c r="AA1013" s="45" t="b">
        <v>0</v>
      </c>
      <c r="AB1013" s="45" t="b">
        <v>1</v>
      </c>
      <c r="AC1013" s="45" t="b">
        <v>1</v>
      </c>
      <c r="AD1013" s="45" t="b">
        <v>1</v>
      </c>
      <c r="AE1013" s="45" t="b">
        <v>1</v>
      </c>
      <c r="AF1013" s="45" t="s">
        <v>303</v>
      </c>
      <c r="AG1013" s="45" t="b">
        <v>1</v>
      </c>
      <c r="AH1013" s="45" t="b">
        <v>1</v>
      </c>
    </row>
    <row r="1014" spans="22:34" x14ac:dyDescent="0.25">
      <c r="V1014" t="s">
        <v>562</v>
      </c>
      <c r="W1014" s="45" t="s">
        <v>349</v>
      </c>
      <c r="X1014" s="45" t="b">
        <v>0</v>
      </c>
      <c r="Y1014" s="45" t="b">
        <v>1</v>
      </c>
      <c r="Z1014" s="45" t="b">
        <v>1</v>
      </c>
      <c r="AA1014" s="45" t="b">
        <v>0</v>
      </c>
      <c r="AB1014" s="45" t="b">
        <v>1</v>
      </c>
      <c r="AC1014" s="45" t="b">
        <v>1</v>
      </c>
      <c r="AD1014" s="45" t="b">
        <v>1</v>
      </c>
      <c r="AE1014" s="45" t="b">
        <v>1</v>
      </c>
      <c r="AF1014" s="45" t="s">
        <v>304</v>
      </c>
      <c r="AG1014" s="45" t="b">
        <v>1</v>
      </c>
      <c r="AH1014" s="45" t="b">
        <v>1</v>
      </c>
    </row>
    <row r="1015" spans="22:34" x14ac:dyDescent="0.25">
      <c r="V1015" t="s">
        <v>562</v>
      </c>
      <c r="W1015" s="45" t="s">
        <v>349</v>
      </c>
      <c r="X1015" s="45" t="b">
        <v>0</v>
      </c>
      <c r="Y1015" s="45" t="b">
        <v>1</v>
      </c>
      <c r="Z1015" s="45" t="b">
        <v>1</v>
      </c>
      <c r="AA1015" s="45" t="b">
        <v>0</v>
      </c>
      <c r="AB1015" s="45" t="b">
        <v>1</v>
      </c>
      <c r="AC1015" s="45" t="b">
        <v>1</v>
      </c>
      <c r="AD1015" s="45" t="b">
        <v>1</v>
      </c>
      <c r="AE1015" s="45" t="b">
        <v>1</v>
      </c>
      <c r="AF1015" s="45" t="s">
        <v>305</v>
      </c>
      <c r="AG1015" s="45" t="b">
        <v>1</v>
      </c>
      <c r="AH1015" s="45" t="b">
        <v>1</v>
      </c>
    </row>
    <row r="1016" spans="22:34" x14ac:dyDescent="0.25">
      <c r="V1016" t="s">
        <v>562</v>
      </c>
      <c r="W1016" s="45" t="s">
        <v>349</v>
      </c>
      <c r="X1016" s="45" t="b">
        <v>0</v>
      </c>
      <c r="Y1016" s="45" t="b">
        <v>1</v>
      </c>
      <c r="Z1016" s="45" t="b">
        <v>1</v>
      </c>
      <c r="AA1016" s="45" t="b">
        <v>0</v>
      </c>
      <c r="AB1016" s="45" t="b">
        <v>1</v>
      </c>
      <c r="AC1016" s="45" t="b">
        <v>1</v>
      </c>
      <c r="AD1016" s="45" t="b">
        <v>1</v>
      </c>
      <c r="AE1016" s="45" t="b">
        <v>1</v>
      </c>
      <c r="AF1016" s="45" t="s">
        <v>306</v>
      </c>
      <c r="AG1016" s="45" t="b">
        <v>1</v>
      </c>
      <c r="AH1016" s="45" t="b">
        <v>1</v>
      </c>
    </row>
    <row r="1017" spans="22:34" x14ac:dyDescent="0.25">
      <c r="V1017" t="s">
        <v>562</v>
      </c>
      <c r="W1017" s="45" t="s">
        <v>349</v>
      </c>
      <c r="X1017" s="45" t="b">
        <v>0</v>
      </c>
      <c r="Y1017" s="45" t="b">
        <v>1</v>
      </c>
      <c r="Z1017" s="45" t="b">
        <v>1</v>
      </c>
      <c r="AA1017" s="45" t="b">
        <v>0</v>
      </c>
      <c r="AB1017" s="45" t="b">
        <v>1</v>
      </c>
      <c r="AC1017" s="45" t="b">
        <v>1</v>
      </c>
      <c r="AD1017" s="45" t="b">
        <v>1</v>
      </c>
      <c r="AE1017" s="45" t="b">
        <v>1</v>
      </c>
      <c r="AF1017" s="45" t="s">
        <v>307</v>
      </c>
      <c r="AG1017" s="45" t="b">
        <v>1</v>
      </c>
      <c r="AH1017" s="45" t="b">
        <v>1</v>
      </c>
    </row>
    <row r="1018" spans="22:34" x14ac:dyDescent="0.25">
      <c r="V1018" t="s">
        <v>562</v>
      </c>
      <c r="W1018" s="45" t="s">
        <v>349</v>
      </c>
      <c r="X1018" s="45" t="b">
        <v>0</v>
      </c>
      <c r="Y1018" s="45" t="b">
        <v>1</v>
      </c>
      <c r="Z1018" s="45" t="b">
        <v>1</v>
      </c>
      <c r="AA1018" s="45" t="b">
        <v>0</v>
      </c>
      <c r="AB1018" s="45" t="b">
        <v>1</v>
      </c>
      <c r="AC1018" s="45" t="b">
        <v>1</v>
      </c>
      <c r="AD1018" s="45" t="b">
        <v>1</v>
      </c>
      <c r="AE1018" s="45" t="b">
        <v>1</v>
      </c>
      <c r="AF1018" s="45" t="s">
        <v>308</v>
      </c>
      <c r="AG1018" s="45" t="b">
        <v>1</v>
      </c>
      <c r="AH1018" s="45" t="b">
        <v>1</v>
      </c>
    </row>
    <row r="1019" spans="22:34" x14ac:dyDescent="0.25">
      <c r="V1019" t="s">
        <v>562</v>
      </c>
      <c r="W1019" s="45" t="s">
        <v>349</v>
      </c>
      <c r="X1019" s="45" t="b">
        <v>0</v>
      </c>
      <c r="Y1019" s="45" t="b">
        <v>1</v>
      </c>
      <c r="Z1019" s="45" t="b">
        <v>1</v>
      </c>
      <c r="AA1019" s="45" t="b">
        <v>0</v>
      </c>
      <c r="AB1019" s="45" t="b">
        <v>1</v>
      </c>
      <c r="AC1019" s="45" t="b">
        <v>1</v>
      </c>
      <c r="AD1019" s="45" t="b">
        <v>1</v>
      </c>
      <c r="AE1019" s="45" t="b">
        <v>1</v>
      </c>
      <c r="AF1019" s="45" t="s">
        <v>309</v>
      </c>
      <c r="AG1019" s="45" t="b">
        <v>1</v>
      </c>
      <c r="AH1019" s="45" t="b">
        <v>1</v>
      </c>
    </row>
    <row r="1020" spans="22:34" x14ac:dyDescent="0.25">
      <c r="V1020" t="s">
        <v>562</v>
      </c>
      <c r="W1020" s="45" t="s">
        <v>349</v>
      </c>
      <c r="X1020" s="45" t="b">
        <v>0</v>
      </c>
      <c r="Y1020" s="45" t="b">
        <v>1</v>
      </c>
      <c r="Z1020" s="45" t="b">
        <v>1</v>
      </c>
      <c r="AA1020" s="45" t="b">
        <v>0</v>
      </c>
      <c r="AB1020" s="45" t="b">
        <v>1</v>
      </c>
      <c r="AC1020" s="45" t="b">
        <v>1</v>
      </c>
      <c r="AD1020" s="45" t="b">
        <v>1</v>
      </c>
      <c r="AE1020" s="45" t="b">
        <v>1</v>
      </c>
      <c r="AF1020" s="45" t="s">
        <v>310</v>
      </c>
      <c r="AG1020" s="45" t="b">
        <v>1</v>
      </c>
      <c r="AH1020" s="45" t="b">
        <v>1</v>
      </c>
    </row>
    <row r="1021" spans="22:34" x14ac:dyDescent="0.25">
      <c r="V1021" t="s">
        <v>562</v>
      </c>
      <c r="W1021" s="45" t="s">
        <v>349</v>
      </c>
      <c r="X1021" s="45" t="b">
        <v>0</v>
      </c>
      <c r="Y1021" s="45" t="b">
        <v>1</v>
      </c>
      <c r="Z1021" s="45" t="b">
        <v>1</v>
      </c>
      <c r="AA1021" s="45" t="b">
        <v>0</v>
      </c>
      <c r="AB1021" s="45" t="b">
        <v>1</v>
      </c>
      <c r="AC1021" s="45" t="b">
        <v>1</v>
      </c>
      <c r="AD1021" s="45" t="b">
        <v>1</v>
      </c>
      <c r="AE1021" s="45" t="b">
        <v>1</v>
      </c>
      <c r="AF1021" s="45" t="s">
        <v>311</v>
      </c>
      <c r="AG1021" s="45" t="b">
        <v>1</v>
      </c>
      <c r="AH1021" s="45" t="b">
        <v>1</v>
      </c>
    </row>
    <row r="1022" spans="22:34" x14ac:dyDescent="0.25">
      <c r="V1022" t="s">
        <v>562</v>
      </c>
      <c r="W1022" s="45" t="s">
        <v>349</v>
      </c>
      <c r="X1022" s="45" t="b">
        <v>0</v>
      </c>
      <c r="Y1022" s="45" t="b">
        <v>1</v>
      </c>
      <c r="Z1022" s="45" t="b">
        <v>1</v>
      </c>
      <c r="AA1022" s="45" t="b">
        <v>0</v>
      </c>
      <c r="AB1022" s="45" t="b">
        <v>1</v>
      </c>
      <c r="AC1022" s="45" t="b">
        <v>1</v>
      </c>
      <c r="AD1022" s="45" t="b">
        <v>1</v>
      </c>
      <c r="AE1022" s="45" t="b">
        <v>1</v>
      </c>
      <c r="AF1022" s="45" t="s">
        <v>312</v>
      </c>
      <c r="AG1022" s="45" t="b">
        <v>1</v>
      </c>
      <c r="AH1022" s="45" t="b">
        <v>1</v>
      </c>
    </row>
    <row r="1023" spans="22:34" x14ac:dyDescent="0.25">
      <c r="V1023" t="s">
        <v>562</v>
      </c>
      <c r="W1023" s="45" t="s">
        <v>349</v>
      </c>
      <c r="X1023" s="45" t="b">
        <v>0</v>
      </c>
      <c r="Y1023" s="45" t="b">
        <v>1</v>
      </c>
      <c r="Z1023" s="45" t="b">
        <v>1</v>
      </c>
      <c r="AA1023" s="45" t="b">
        <v>0</v>
      </c>
      <c r="AB1023" s="45" t="b">
        <v>1</v>
      </c>
      <c r="AC1023" s="45" t="b">
        <v>1</v>
      </c>
      <c r="AD1023" s="45" t="b">
        <v>1</v>
      </c>
      <c r="AE1023" s="45" t="b">
        <v>1</v>
      </c>
      <c r="AF1023" s="45" t="s">
        <v>313</v>
      </c>
      <c r="AG1023" s="45" t="b">
        <v>1</v>
      </c>
      <c r="AH1023" s="45" t="b">
        <v>1</v>
      </c>
    </row>
    <row r="1024" spans="22:34" x14ac:dyDescent="0.25">
      <c r="V1024" t="s">
        <v>562</v>
      </c>
      <c r="W1024" s="45" t="s">
        <v>349</v>
      </c>
      <c r="X1024" s="45" t="b">
        <v>0</v>
      </c>
      <c r="Y1024" s="45" t="b">
        <v>1</v>
      </c>
      <c r="Z1024" s="45" t="b">
        <v>1</v>
      </c>
      <c r="AA1024" s="45" t="b">
        <v>0</v>
      </c>
      <c r="AB1024" s="45" t="b">
        <v>1</v>
      </c>
      <c r="AC1024" s="45" t="b">
        <v>1</v>
      </c>
      <c r="AD1024" s="45" t="b">
        <v>1</v>
      </c>
      <c r="AE1024" s="45" t="b">
        <v>1</v>
      </c>
      <c r="AF1024" s="45" t="s">
        <v>314</v>
      </c>
      <c r="AG1024" s="45" t="b">
        <v>1</v>
      </c>
      <c r="AH1024" s="45" t="b">
        <v>1</v>
      </c>
    </row>
    <row r="1025" spans="22:34" x14ac:dyDescent="0.25">
      <c r="V1025" t="s">
        <v>562</v>
      </c>
      <c r="W1025" s="45" t="s">
        <v>349</v>
      </c>
      <c r="X1025" s="45" t="b">
        <v>0</v>
      </c>
      <c r="Y1025" s="45" t="b">
        <v>1</v>
      </c>
      <c r="Z1025" s="45" t="b">
        <v>1</v>
      </c>
      <c r="AA1025" s="45" t="b">
        <v>0</v>
      </c>
      <c r="AB1025" s="45" t="b">
        <v>1</v>
      </c>
      <c r="AC1025" s="45" t="b">
        <v>1</v>
      </c>
      <c r="AD1025" s="45" t="b">
        <v>1</v>
      </c>
      <c r="AE1025" s="45" t="b">
        <v>1</v>
      </c>
      <c r="AF1025" s="45" t="s">
        <v>315</v>
      </c>
      <c r="AG1025" s="45" t="b">
        <v>1</v>
      </c>
      <c r="AH1025" s="45" t="b">
        <v>1</v>
      </c>
    </row>
    <row r="1026" spans="22:34" x14ac:dyDescent="0.25">
      <c r="V1026" t="s">
        <v>562</v>
      </c>
      <c r="W1026" s="45" t="s">
        <v>349</v>
      </c>
      <c r="X1026" s="45" t="b">
        <v>0</v>
      </c>
      <c r="Y1026" s="45" t="b">
        <v>1</v>
      </c>
      <c r="Z1026" s="45" t="b">
        <v>1</v>
      </c>
      <c r="AA1026" s="45" t="b">
        <v>0</v>
      </c>
      <c r="AB1026" s="45" t="b">
        <v>1</v>
      </c>
      <c r="AC1026" s="45" t="b">
        <v>1</v>
      </c>
      <c r="AD1026" s="45" t="b">
        <v>1</v>
      </c>
      <c r="AE1026" s="45" t="b">
        <v>1</v>
      </c>
      <c r="AF1026" s="45" t="s">
        <v>316</v>
      </c>
      <c r="AG1026" s="45" t="b">
        <v>1</v>
      </c>
      <c r="AH1026" s="45" t="b">
        <v>1</v>
      </c>
    </row>
    <row r="1027" spans="22:34" x14ac:dyDescent="0.25">
      <c r="V1027" t="s">
        <v>562</v>
      </c>
      <c r="W1027" s="45" t="s">
        <v>349</v>
      </c>
      <c r="X1027" s="45" t="b">
        <v>0</v>
      </c>
      <c r="Y1027" s="45" t="b">
        <v>1</v>
      </c>
      <c r="Z1027" s="45" t="b">
        <v>1</v>
      </c>
      <c r="AA1027" s="45" t="b">
        <v>0</v>
      </c>
      <c r="AB1027" s="45" t="b">
        <v>1</v>
      </c>
      <c r="AC1027" s="45" t="b">
        <v>1</v>
      </c>
      <c r="AD1027" s="45" t="b">
        <v>1</v>
      </c>
      <c r="AE1027" s="45" t="b">
        <v>1</v>
      </c>
      <c r="AF1027" s="45" t="s">
        <v>317</v>
      </c>
      <c r="AG1027" s="45" t="b">
        <v>1</v>
      </c>
      <c r="AH1027" s="45" t="b">
        <v>1</v>
      </c>
    </row>
    <row r="1028" spans="22:34" x14ac:dyDescent="0.25">
      <c r="V1028" t="s">
        <v>562</v>
      </c>
      <c r="W1028" s="45" t="s">
        <v>349</v>
      </c>
      <c r="X1028" s="45" t="b">
        <v>0</v>
      </c>
      <c r="Y1028" s="45" t="b">
        <v>1</v>
      </c>
      <c r="Z1028" s="45" t="b">
        <v>1</v>
      </c>
      <c r="AA1028" s="45" t="b">
        <v>0</v>
      </c>
      <c r="AB1028" s="45" t="b">
        <v>1</v>
      </c>
      <c r="AC1028" s="45" t="b">
        <v>1</v>
      </c>
      <c r="AD1028" s="45" t="b">
        <v>1</v>
      </c>
      <c r="AE1028" s="45" t="b">
        <v>1</v>
      </c>
      <c r="AF1028" s="45" t="s">
        <v>318</v>
      </c>
      <c r="AG1028" s="45" t="b">
        <v>1</v>
      </c>
      <c r="AH1028" s="45" t="b">
        <v>1</v>
      </c>
    </row>
    <row r="1029" spans="22:34" x14ac:dyDescent="0.25">
      <c r="V1029" t="s">
        <v>562</v>
      </c>
      <c r="W1029" s="45" t="s">
        <v>349</v>
      </c>
      <c r="X1029" s="45" t="b">
        <v>0</v>
      </c>
      <c r="Y1029" s="45" t="b">
        <v>1</v>
      </c>
      <c r="Z1029" s="45" t="b">
        <v>1</v>
      </c>
      <c r="AA1029" s="45" t="b">
        <v>0</v>
      </c>
      <c r="AB1029" s="45" t="b">
        <v>1</v>
      </c>
      <c r="AC1029" s="45" t="b">
        <v>1</v>
      </c>
      <c r="AD1029" s="45" t="b">
        <v>1</v>
      </c>
      <c r="AE1029" s="45" t="b">
        <v>1</v>
      </c>
      <c r="AF1029" s="45" t="s">
        <v>319</v>
      </c>
      <c r="AG1029" s="45" t="b">
        <v>0</v>
      </c>
      <c r="AH1029" s="45" t="b">
        <v>0</v>
      </c>
    </row>
    <row r="1030" spans="22:34" x14ac:dyDescent="0.25">
      <c r="V1030" t="s">
        <v>563</v>
      </c>
      <c r="W1030" s="45" t="s">
        <v>350</v>
      </c>
      <c r="X1030" s="45" t="b">
        <v>0</v>
      </c>
      <c r="Y1030" s="45" t="b">
        <v>0</v>
      </c>
      <c r="Z1030" s="45" t="b">
        <v>0</v>
      </c>
      <c r="AA1030" s="45" t="b">
        <v>0</v>
      </c>
      <c r="AB1030" s="45" t="b">
        <v>0</v>
      </c>
      <c r="AC1030" s="45" t="b">
        <v>1</v>
      </c>
      <c r="AD1030" s="45" t="b">
        <v>0</v>
      </c>
      <c r="AE1030" s="45" t="b">
        <v>0</v>
      </c>
      <c r="AF1030" s="45" t="s">
        <v>295</v>
      </c>
      <c r="AG1030" s="45" t="b">
        <v>0</v>
      </c>
      <c r="AH1030" s="45" t="b">
        <v>0</v>
      </c>
    </row>
    <row r="1031" spans="22:34" x14ac:dyDescent="0.25">
      <c r="V1031" t="s">
        <v>563</v>
      </c>
      <c r="W1031" s="45" t="s">
        <v>350</v>
      </c>
      <c r="X1031" s="45" t="b">
        <v>0</v>
      </c>
      <c r="Y1031" s="45" t="b">
        <v>0</v>
      </c>
      <c r="Z1031" s="45" t="b">
        <v>0</v>
      </c>
      <c r="AA1031" s="45" t="b">
        <v>0</v>
      </c>
      <c r="AB1031" s="45" t="b">
        <v>0</v>
      </c>
      <c r="AC1031" s="45" t="b">
        <v>1</v>
      </c>
      <c r="AD1031" s="45" t="b">
        <v>0</v>
      </c>
      <c r="AE1031" s="45" t="b">
        <v>0</v>
      </c>
      <c r="AF1031" s="45" t="s">
        <v>297</v>
      </c>
      <c r="AG1031" s="45" t="b">
        <v>0</v>
      </c>
      <c r="AH1031" s="45" t="b">
        <v>0</v>
      </c>
    </row>
    <row r="1032" spans="22:34" x14ac:dyDescent="0.25">
      <c r="V1032" t="s">
        <v>563</v>
      </c>
      <c r="W1032" s="45" t="s">
        <v>350</v>
      </c>
      <c r="X1032" s="45" t="b">
        <v>0</v>
      </c>
      <c r="Y1032" s="45" t="b">
        <v>0</v>
      </c>
      <c r="Z1032" s="45" t="b">
        <v>0</v>
      </c>
      <c r="AA1032" s="45" t="b">
        <v>0</v>
      </c>
      <c r="AB1032" s="45" t="b">
        <v>0</v>
      </c>
      <c r="AC1032" s="45" t="b">
        <v>1</v>
      </c>
      <c r="AD1032" s="45" t="b">
        <v>0</v>
      </c>
      <c r="AE1032" s="45" t="b">
        <v>0</v>
      </c>
      <c r="AF1032" s="45" t="s">
        <v>112</v>
      </c>
      <c r="AG1032" s="45" t="b">
        <v>0</v>
      </c>
      <c r="AH1032" s="45" t="b">
        <v>0</v>
      </c>
    </row>
    <row r="1033" spans="22:34" x14ac:dyDescent="0.25">
      <c r="V1033" t="s">
        <v>563</v>
      </c>
      <c r="W1033" s="45" t="s">
        <v>350</v>
      </c>
      <c r="X1033" s="45" t="b">
        <v>0</v>
      </c>
      <c r="Y1033" s="45" t="b">
        <v>0</v>
      </c>
      <c r="Z1033" s="45" t="b">
        <v>0</v>
      </c>
      <c r="AA1033" s="45" t="b">
        <v>0</v>
      </c>
      <c r="AB1033" s="45" t="b">
        <v>0</v>
      </c>
      <c r="AC1033" s="45" t="b">
        <v>1</v>
      </c>
      <c r="AD1033" s="45" t="b">
        <v>0</v>
      </c>
      <c r="AE1033" s="45" t="b">
        <v>0</v>
      </c>
      <c r="AF1033" s="45" t="s">
        <v>114</v>
      </c>
      <c r="AG1033" s="45" t="b">
        <v>0</v>
      </c>
      <c r="AH1033" s="45" t="b">
        <v>0</v>
      </c>
    </row>
    <row r="1034" spans="22:34" x14ac:dyDescent="0.25">
      <c r="V1034" t="s">
        <v>563</v>
      </c>
      <c r="W1034" s="45" t="s">
        <v>350</v>
      </c>
      <c r="X1034" s="45" t="b">
        <v>0</v>
      </c>
      <c r="Y1034" s="45" t="b">
        <v>0</v>
      </c>
      <c r="Z1034" s="45" t="b">
        <v>0</v>
      </c>
      <c r="AA1034" s="45" t="b">
        <v>0</v>
      </c>
      <c r="AB1034" s="45" t="b">
        <v>0</v>
      </c>
      <c r="AC1034" s="45" t="b">
        <v>1</v>
      </c>
      <c r="AD1034" s="45" t="b">
        <v>0</v>
      </c>
      <c r="AE1034" s="45" t="b">
        <v>0</v>
      </c>
      <c r="AF1034" s="45" t="s">
        <v>115</v>
      </c>
      <c r="AG1034" s="45" t="b">
        <v>1</v>
      </c>
      <c r="AH1034" s="45" t="b">
        <v>0</v>
      </c>
    </row>
    <row r="1035" spans="22:34" x14ac:dyDescent="0.25">
      <c r="V1035" t="s">
        <v>563</v>
      </c>
      <c r="W1035" s="45" t="s">
        <v>350</v>
      </c>
      <c r="X1035" s="45" t="b">
        <v>0</v>
      </c>
      <c r="Y1035" s="45" t="b">
        <v>0</v>
      </c>
      <c r="Z1035" s="45" t="b">
        <v>0</v>
      </c>
      <c r="AA1035" s="45" t="b">
        <v>0</v>
      </c>
      <c r="AB1035" s="45" t="b">
        <v>0</v>
      </c>
      <c r="AC1035" s="45" t="b">
        <v>1</v>
      </c>
      <c r="AD1035" s="45" t="b">
        <v>0</v>
      </c>
      <c r="AE1035" s="45" t="b">
        <v>0</v>
      </c>
      <c r="AF1035" s="45" t="s">
        <v>116</v>
      </c>
      <c r="AG1035" s="45" t="b">
        <v>0</v>
      </c>
      <c r="AH1035" s="45" t="b">
        <v>0</v>
      </c>
    </row>
    <row r="1036" spans="22:34" x14ac:dyDescent="0.25">
      <c r="V1036" t="s">
        <v>563</v>
      </c>
      <c r="W1036" s="45" t="s">
        <v>350</v>
      </c>
      <c r="X1036" s="45" t="b">
        <v>0</v>
      </c>
      <c r="Y1036" s="45" t="b">
        <v>0</v>
      </c>
      <c r="Z1036" s="45" t="b">
        <v>0</v>
      </c>
      <c r="AA1036" s="45" t="b">
        <v>0</v>
      </c>
      <c r="AB1036" s="45" t="b">
        <v>0</v>
      </c>
      <c r="AC1036" s="45" t="b">
        <v>1</v>
      </c>
      <c r="AD1036" s="45" t="b">
        <v>0</v>
      </c>
      <c r="AE1036" s="45" t="b">
        <v>0</v>
      </c>
      <c r="AF1036" s="45" t="s">
        <v>298</v>
      </c>
      <c r="AG1036" s="45" t="b">
        <v>1</v>
      </c>
      <c r="AH1036" s="45" t="b">
        <v>0</v>
      </c>
    </row>
    <row r="1037" spans="22:34" x14ac:dyDescent="0.25">
      <c r="V1037" t="s">
        <v>563</v>
      </c>
      <c r="W1037" s="45" t="s">
        <v>350</v>
      </c>
      <c r="X1037" s="45" t="b">
        <v>0</v>
      </c>
      <c r="Y1037" s="45" t="b">
        <v>0</v>
      </c>
      <c r="Z1037" s="45" t="b">
        <v>0</v>
      </c>
      <c r="AA1037" s="45" t="b">
        <v>0</v>
      </c>
      <c r="AB1037" s="45" t="b">
        <v>0</v>
      </c>
      <c r="AC1037" s="45" t="b">
        <v>1</v>
      </c>
      <c r="AD1037" s="45" t="b">
        <v>0</v>
      </c>
      <c r="AE1037" s="45" t="b">
        <v>0</v>
      </c>
      <c r="AF1037" s="45" t="s">
        <v>299</v>
      </c>
      <c r="AG1037" s="45" t="b">
        <v>1</v>
      </c>
      <c r="AH1037" s="45" t="b">
        <v>0</v>
      </c>
    </row>
    <row r="1038" spans="22:34" x14ac:dyDescent="0.25">
      <c r="V1038" t="s">
        <v>563</v>
      </c>
      <c r="W1038" s="45" t="s">
        <v>350</v>
      </c>
      <c r="X1038" s="45" t="b">
        <v>0</v>
      </c>
      <c r="Y1038" s="45" t="b">
        <v>0</v>
      </c>
      <c r="Z1038" s="45" t="b">
        <v>0</v>
      </c>
      <c r="AA1038" s="45" t="b">
        <v>0</v>
      </c>
      <c r="AB1038" s="45" t="b">
        <v>0</v>
      </c>
      <c r="AC1038" s="45" t="b">
        <v>1</v>
      </c>
      <c r="AD1038" s="45" t="b">
        <v>0</v>
      </c>
      <c r="AE1038" s="45" t="b">
        <v>0</v>
      </c>
      <c r="AF1038" s="45" t="s">
        <v>414</v>
      </c>
      <c r="AG1038" s="45" t="b">
        <v>1</v>
      </c>
      <c r="AH1038" s="45" t="b">
        <v>0</v>
      </c>
    </row>
    <row r="1039" spans="22:34" x14ac:dyDescent="0.25">
      <c r="V1039" t="s">
        <v>563</v>
      </c>
      <c r="W1039" s="45" t="s">
        <v>350</v>
      </c>
      <c r="X1039" s="45" t="b">
        <v>0</v>
      </c>
      <c r="Y1039" s="45" t="b">
        <v>0</v>
      </c>
      <c r="Z1039" s="45" t="b">
        <v>0</v>
      </c>
      <c r="AA1039" s="45" t="b">
        <v>0</v>
      </c>
      <c r="AB1039" s="45" t="b">
        <v>0</v>
      </c>
      <c r="AC1039" s="45" t="b">
        <v>1</v>
      </c>
      <c r="AD1039" s="45" t="b">
        <v>0</v>
      </c>
      <c r="AE1039" s="45" t="b">
        <v>0</v>
      </c>
      <c r="AF1039" s="45" t="s">
        <v>118</v>
      </c>
      <c r="AG1039" s="45" t="b">
        <v>1</v>
      </c>
      <c r="AH1039" s="45" t="b">
        <v>0</v>
      </c>
    </row>
    <row r="1040" spans="22:34" x14ac:dyDescent="0.25">
      <c r="V1040" t="s">
        <v>563</v>
      </c>
      <c r="W1040" s="45" t="s">
        <v>350</v>
      </c>
      <c r="X1040" s="45" t="b">
        <v>0</v>
      </c>
      <c r="Y1040" s="45" t="b">
        <v>0</v>
      </c>
      <c r="Z1040" s="45" t="b">
        <v>0</v>
      </c>
      <c r="AA1040" s="45" t="b">
        <v>0</v>
      </c>
      <c r="AB1040" s="45" t="b">
        <v>0</v>
      </c>
      <c r="AC1040" s="45" t="b">
        <v>1</v>
      </c>
      <c r="AD1040" s="45" t="b">
        <v>0</v>
      </c>
      <c r="AE1040" s="45" t="b">
        <v>0</v>
      </c>
      <c r="AF1040" s="45" t="s">
        <v>119</v>
      </c>
      <c r="AG1040" s="45" t="b">
        <v>1</v>
      </c>
      <c r="AH1040" s="45" t="b">
        <v>0</v>
      </c>
    </row>
    <row r="1041" spans="22:34" x14ac:dyDescent="0.25">
      <c r="V1041" t="s">
        <v>563</v>
      </c>
      <c r="W1041" s="45" t="s">
        <v>350</v>
      </c>
      <c r="X1041" s="45" t="b">
        <v>0</v>
      </c>
      <c r="Y1041" s="45" t="b">
        <v>0</v>
      </c>
      <c r="Z1041" s="45" t="b">
        <v>0</v>
      </c>
      <c r="AA1041" s="45" t="b">
        <v>0</v>
      </c>
      <c r="AB1041" s="45" t="b">
        <v>0</v>
      </c>
      <c r="AC1041" s="45" t="b">
        <v>1</v>
      </c>
      <c r="AD1041" s="45" t="b">
        <v>0</v>
      </c>
      <c r="AE1041" s="45" t="b">
        <v>0</v>
      </c>
      <c r="AF1041" s="45" t="s">
        <v>300</v>
      </c>
      <c r="AG1041" s="45" t="b">
        <v>1</v>
      </c>
      <c r="AH1041" s="45" t="b">
        <v>0</v>
      </c>
    </row>
    <row r="1042" spans="22:34" x14ac:dyDescent="0.25">
      <c r="V1042" t="s">
        <v>563</v>
      </c>
      <c r="W1042" s="45" t="s">
        <v>350</v>
      </c>
      <c r="X1042" s="45" t="b">
        <v>0</v>
      </c>
      <c r="Y1042" s="45" t="b">
        <v>0</v>
      </c>
      <c r="Z1042" s="45" t="b">
        <v>0</v>
      </c>
      <c r="AA1042" s="45" t="b">
        <v>0</v>
      </c>
      <c r="AB1042" s="45" t="b">
        <v>0</v>
      </c>
      <c r="AC1042" s="45" t="b">
        <v>1</v>
      </c>
      <c r="AD1042" s="45" t="b">
        <v>0</v>
      </c>
      <c r="AE1042" s="45" t="b">
        <v>0</v>
      </c>
      <c r="AF1042" s="45" t="s">
        <v>301</v>
      </c>
      <c r="AG1042" s="45" t="b">
        <v>0</v>
      </c>
      <c r="AH1042" s="45" t="b">
        <v>0</v>
      </c>
    </row>
    <row r="1043" spans="22:34" x14ac:dyDescent="0.25">
      <c r="V1043" t="s">
        <v>563</v>
      </c>
      <c r="W1043" s="45" t="s">
        <v>350</v>
      </c>
      <c r="X1043" s="45" t="b">
        <v>0</v>
      </c>
      <c r="Y1043" s="45" t="b">
        <v>0</v>
      </c>
      <c r="Z1043" s="45" t="b">
        <v>0</v>
      </c>
      <c r="AA1043" s="45" t="b">
        <v>0</v>
      </c>
      <c r="AB1043" s="45" t="b">
        <v>0</v>
      </c>
      <c r="AC1043" s="45" t="b">
        <v>1</v>
      </c>
      <c r="AD1043" s="45" t="b">
        <v>0</v>
      </c>
      <c r="AE1043" s="45" t="b">
        <v>0</v>
      </c>
      <c r="AF1043" s="45" t="s">
        <v>120</v>
      </c>
      <c r="AG1043" s="45" t="b">
        <v>1</v>
      </c>
      <c r="AH1043" s="45" t="b">
        <v>0</v>
      </c>
    </row>
    <row r="1044" spans="22:34" x14ac:dyDescent="0.25">
      <c r="V1044" t="s">
        <v>563</v>
      </c>
      <c r="W1044" s="45" t="s">
        <v>350</v>
      </c>
      <c r="X1044" s="45" t="b">
        <v>0</v>
      </c>
      <c r="Y1044" s="45" t="b">
        <v>0</v>
      </c>
      <c r="Z1044" s="45" t="b">
        <v>0</v>
      </c>
      <c r="AA1044" s="45" t="b">
        <v>0</v>
      </c>
      <c r="AB1044" s="45" t="b">
        <v>0</v>
      </c>
      <c r="AC1044" s="45" t="b">
        <v>1</v>
      </c>
      <c r="AD1044" s="45" t="b">
        <v>0</v>
      </c>
      <c r="AE1044" s="45" t="b">
        <v>0</v>
      </c>
      <c r="AF1044" s="45" t="s">
        <v>302</v>
      </c>
      <c r="AG1044" s="45" t="b">
        <v>0</v>
      </c>
      <c r="AH1044" s="45" t="b">
        <v>0</v>
      </c>
    </row>
    <row r="1045" spans="22:34" x14ac:dyDescent="0.25">
      <c r="V1045" t="s">
        <v>563</v>
      </c>
      <c r="W1045" s="45" t="s">
        <v>350</v>
      </c>
      <c r="X1045" s="45" t="b">
        <v>0</v>
      </c>
      <c r="Y1045" s="45" t="b">
        <v>0</v>
      </c>
      <c r="Z1045" s="45" t="b">
        <v>0</v>
      </c>
      <c r="AA1045" s="45" t="b">
        <v>0</v>
      </c>
      <c r="AB1045" s="45" t="b">
        <v>0</v>
      </c>
      <c r="AC1045" s="45" t="b">
        <v>1</v>
      </c>
      <c r="AD1045" s="45" t="b">
        <v>0</v>
      </c>
      <c r="AE1045" s="45" t="b">
        <v>0</v>
      </c>
      <c r="AF1045" s="45" t="s">
        <v>303</v>
      </c>
      <c r="AG1045" s="45" t="b">
        <v>1</v>
      </c>
      <c r="AH1045" s="45" t="b">
        <v>0</v>
      </c>
    </row>
    <row r="1046" spans="22:34" x14ac:dyDescent="0.25">
      <c r="V1046" t="s">
        <v>563</v>
      </c>
      <c r="W1046" s="45" t="s">
        <v>350</v>
      </c>
      <c r="X1046" s="45" t="b">
        <v>0</v>
      </c>
      <c r="Y1046" s="45" t="b">
        <v>0</v>
      </c>
      <c r="Z1046" s="45" t="b">
        <v>0</v>
      </c>
      <c r="AA1046" s="45" t="b">
        <v>0</v>
      </c>
      <c r="AB1046" s="45" t="b">
        <v>0</v>
      </c>
      <c r="AC1046" s="45" t="b">
        <v>1</v>
      </c>
      <c r="AD1046" s="45" t="b">
        <v>0</v>
      </c>
      <c r="AE1046" s="45" t="b">
        <v>0</v>
      </c>
      <c r="AF1046" s="45" t="s">
        <v>304</v>
      </c>
      <c r="AG1046" s="45" t="b">
        <v>1</v>
      </c>
      <c r="AH1046" s="45" t="b">
        <v>0</v>
      </c>
    </row>
    <row r="1047" spans="22:34" x14ac:dyDescent="0.25">
      <c r="V1047" t="s">
        <v>563</v>
      </c>
      <c r="W1047" s="45" t="s">
        <v>350</v>
      </c>
      <c r="X1047" s="45" t="b">
        <v>0</v>
      </c>
      <c r="Y1047" s="45" t="b">
        <v>0</v>
      </c>
      <c r="Z1047" s="45" t="b">
        <v>0</v>
      </c>
      <c r="AA1047" s="45" t="b">
        <v>0</v>
      </c>
      <c r="AB1047" s="45" t="b">
        <v>0</v>
      </c>
      <c r="AC1047" s="45" t="b">
        <v>1</v>
      </c>
      <c r="AD1047" s="45" t="b">
        <v>0</v>
      </c>
      <c r="AE1047" s="45" t="b">
        <v>0</v>
      </c>
      <c r="AF1047" s="45" t="s">
        <v>305</v>
      </c>
      <c r="AG1047" s="45" t="b">
        <v>0</v>
      </c>
      <c r="AH1047" s="45" t="b">
        <v>0</v>
      </c>
    </row>
    <row r="1048" spans="22:34" x14ac:dyDescent="0.25">
      <c r="V1048" t="s">
        <v>563</v>
      </c>
      <c r="W1048" s="45" t="s">
        <v>350</v>
      </c>
      <c r="X1048" s="45" t="b">
        <v>0</v>
      </c>
      <c r="Y1048" s="45" t="b">
        <v>0</v>
      </c>
      <c r="Z1048" s="45" t="b">
        <v>0</v>
      </c>
      <c r="AA1048" s="45" t="b">
        <v>0</v>
      </c>
      <c r="AB1048" s="45" t="b">
        <v>0</v>
      </c>
      <c r="AC1048" s="45" t="b">
        <v>1</v>
      </c>
      <c r="AD1048" s="45" t="b">
        <v>0</v>
      </c>
      <c r="AE1048" s="45" t="b">
        <v>0</v>
      </c>
      <c r="AF1048" s="45" t="s">
        <v>306</v>
      </c>
      <c r="AG1048" s="45" t="b">
        <v>0</v>
      </c>
      <c r="AH1048" s="45" t="b">
        <v>0</v>
      </c>
    </row>
    <row r="1049" spans="22:34" x14ac:dyDescent="0.25">
      <c r="V1049" t="s">
        <v>563</v>
      </c>
      <c r="W1049" s="45" t="s">
        <v>350</v>
      </c>
      <c r="X1049" s="45" t="b">
        <v>0</v>
      </c>
      <c r="Y1049" s="45" t="b">
        <v>0</v>
      </c>
      <c r="Z1049" s="45" t="b">
        <v>0</v>
      </c>
      <c r="AA1049" s="45" t="b">
        <v>0</v>
      </c>
      <c r="AB1049" s="45" t="b">
        <v>0</v>
      </c>
      <c r="AC1049" s="45" t="b">
        <v>1</v>
      </c>
      <c r="AD1049" s="45" t="b">
        <v>0</v>
      </c>
      <c r="AE1049" s="45" t="b">
        <v>0</v>
      </c>
      <c r="AF1049" s="45" t="s">
        <v>307</v>
      </c>
      <c r="AG1049" s="45" t="b">
        <v>0</v>
      </c>
      <c r="AH1049" s="45" t="b">
        <v>0</v>
      </c>
    </row>
    <row r="1050" spans="22:34" x14ac:dyDescent="0.25">
      <c r="V1050" t="s">
        <v>563</v>
      </c>
      <c r="W1050" s="45" t="s">
        <v>350</v>
      </c>
      <c r="X1050" s="45" t="b">
        <v>0</v>
      </c>
      <c r="Y1050" s="45" t="b">
        <v>0</v>
      </c>
      <c r="Z1050" s="45" t="b">
        <v>0</v>
      </c>
      <c r="AA1050" s="45" t="b">
        <v>0</v>
      </c>
      <c r="AB1050" s="45" t="b">
        <v>0</v>
      </c>
      <c r="AC1050" s="45" t="b">
        <v>1</v>
      </c>
      <c r="AD1050" s="45" t="b">
        <v>0</v>
      </c>
      <c r="AE1050" s="45" t="b">
        <v>0</v>
      </c>
      <c r="AF1050" s="45" t="s">
        <v>308</v>
      </c>
      <c r="AG1050" s="45" t="b">
        <v>0</v>
      </c>
      <c r="AH1050" s="45" t="b">
        <v>0</v>
      </c>
    </row>
    <row r="1051" spans="22:34" x14ac:dyDescent="0.25">
      <c r="V1051" t="s">
        <v>563</v>
      </c>
      <c r="W1051" s="45" t="s">
        <v>350</v>
      </c>
      <c r="X1051" s="45" t="b">
        <v>0</v>
      </c>
      <c r="Y1051" s="45" t="b">
        <v>0</v>
      </c>
      <c r="Z1051" s="45" t="b">
        <v>0</v>
      </c>
      <c r="AA1051" s="45" t="b">
        <v>0</v>
      </c>
      <c r="AB1051" s="45" t="b">
        <v>0</v>
      </c>
      <c r="AC1051" s="45" t="b">
        <v>1</v>
      </c>
      <c r="AD1051" s="45" t="b">
        <v>0</v>
      </c>
      <c r="AE1051" s="45" t="b">
        <v>0</v>
      </c>
      <c r="AF1051" s="45" t="s">
        <v>309</v>
      </c>
      <c r="AG1051" s="45" t="b">
        <v>0</v>
      </c>
      <c r="AH1051" s="45" t="b">
        <v>0</v>
      </c>
    </row>
    <row r="1052" spans="22:34" x14ac:dyDescent="0.25">
      <c r="V1052" t="s">
        <v>563</v>
      </c>
      <c r="W1052" s="45" t="s">
        <v>350</v>
      </c>
      <c r="X1052" s="45" t="b">
        <v>0</v>
      </c>
      <c r="Y1052" s="45" t="b">
        <v>0</v>
      </c>
      <c r="Z1052" s="45" t="b">
        <v>0</v>
      </c>
      <c r="AA1052" s="45" t="b">
        <v>0</v>
      </c>
      <c r="AB1052" s="45" t="b">
        <v>0</v>
      </c>
      <c r="AC1052" s="45" t="b">
        <v>1</v>
      </c>
      <c r="AD1052" s="45" t="b">
        <v>0</v>
      </c>
      <c r="AE1052" s="45" t="b">
        <v>0</v>
      </c>
      <c r="AF1052" s="45" t="s">
        <v>310</v>
      </c>
      <c r="AG1052" s="45" t="b">
        <v>0</v>
      </c>
      <c r="AH1052" s="45" t="b">
        <v>0</v>
      </c>
    </row>
    <row r="1053" spans="22:34" x14ac:dyDescent="0.25">
      <c r="V1053" t="s">
        <v>563</v>
      </c>
      <c r="W1053" s="45" t="s">
        <v>350</v>
      </c>
      <c r="X1053" s="45" t="b">
        <v>0</v>
      </c>
      <c r="Y1053" s="45" t="b">
        <v>0</v>
      </c>
      <c r="Z1053" s="45" t="b">
        <v>0</v>
      </c>
      <c r="AA1053" s="45" t="b">
        <v>0</v>
      </c>
      <c r="AB1053" s="45" t="b">
        <v>0</v>
      </c>
      <c r="AC1053" s="45" t="b">
        <v>1</v>
      </c>
      <c r="AD1053" s="45" t="b">
        <v>0</v>
      </c>
      <c r="AE1053" s="45" t="b">
        <v>0</v>
      </c>
      <c r="AF1053" s="45" t="s">
        <v>311</v>
      </c>
      <c r="AG1053" s="45" t="b">
        <v>0</v>
      </c>
      <c r="AH1053" s="45" t="b">
        <v>0</v>
      </c>
    </row>
    <row r="1054" spans="22:34" x14ac:dyDescent="0.25">
      <c r="V1054" t="s">
        <v>563</v>
      </c>
      <c r="W1054" s="45" t="s">
        <v>350</v>
      </c>
      <c r="X1054" s="45" t="b">
        <v>0</v>
      </c>
      <c r="Y1054" s="45" t="b">
        <v>0</v>
      </c>
      <c r="Z1054" s="45" t="b">
        <v>0</v>
      </c>
      <c r="AA1054" s="45" t="b">
        <v>0</v>
      </c>
      <c r="AB1054" s="45" t="b">
        <v>0</v>
      </c>
      <c r="AC1054" s="45" t="b">
        <v>1</v>
      </c>
      <c r="AD1054" s="45" t="b">
        <v>0</v>
      </c>
      <c r="AE1054" s="45" t="b">
        <v>0</v>
      </c>
      <c r="AF1054" s="45" t="s">
        <v>312</v>
      </c>
      <c r="AG1054" s="45" t="b">
        <v>0</v>
      </c>
      <c r="AH1054" s="45" t="b">
        <v>0</v>
      </c>
    </row>
    <row r="1055" spans="22:34" x14ac:dyDescent="0.25">
      <c r="V1055" t="s">
        <v>563</v>
      </c>
      <c r="W1055" s="45" t="s">
        <v>350</v>
      </c>
      <c r="X1055" s="45" t="b">
        <v>0</v>
      </c>
      <c r="Y1055" s="45" t="b">
        <v>0</v>
      </c>
      <c r="Z1055" s="45" t="b">
        <v>0</v>
      </c>
      <c r="AA1055" s="45" t="b">
        <v>0</v>
      </c>
      <c r="AB1055" s="45" t="b">
        <v>0</v>
      </c>
      <c r="AC1055" s="45" t="b">
        <v>1</v>
      </c>
      <c r="AD1055" s="45" t="b">
        <v>0</v>
      </c>
      <c r="AE1055" s="45" t="b">
        <v>0</v>
      </c>
      <c r="AF1055" s="45" t="s">
        <v>313</v>
      </c>
      <c r="AG1055" s="45" t="b">
        <v>0</v>
      </c>
      <c r="AH1055" s="45" t="b">
        <v>0</v>
      </c>
    </row>
    <row r="1056" spans="22:34" x14ac:dyDescent="0.25">
      <c r="V1056" t="s">
        <v>563</v>
      </c>
      <c r="W1056" s="45" t="s">
        <v>350</v>
      </c>
      <c r="X1056" s="45" t="b">
        <v>0</v>
      </c>
      <c r="Y1056" s="45" t="b">
        <v>0</v>
      </c>
      <c r="Z1056" s="45" t="b">
        <v>0</v>
      </c>
      <c r="AA1056" s="45" t="b">
        <v>0</v>
      </c>
      <c r="AB1056" s="45" t="b">
        <v>0</v>
      </c>
      <c r="AC1056" s="45" t="b">
        <v>1</v>
      </c>
      <c r="AD1056" s="45" t="b">
        <v>0</v>
      </c>
      <c r="AE1056" s="45" t="b">
        <v>0</v>
      </c>
      <c r="AF1056" s="45" t="s">
        <v>314</v>
      </c>
      <c r="AG1056" s="45" t="b">
        <v>0</v>
      </c>
      <c r="AH1056" s="45" t="b">
        <v>0</v>
      </c>
    </row>
    <row r="1057" spans="22:34" x14ac:dyDescent="0.25">
      <c r="V1057" t="s">
        <v>563</v>
      </c>
      <c r="W1057" s="45" t="s">
        <v>350</v>
      </c>
      <c r="X1057" s="45" t="b">
        <v>0</v>
      </c>
      <c r="Y1057" s="45" t="b">
        <v>0</v>
      </c>
      <c r="Z1057" s="45" t="b">
        <v>0</v>
      </c>
      <c r="AA1057" s="45" t="b">
        <v>0</v>
      </c>
      <c r="AB1057" s="45" t="b">
        <v>0</v>
      </c>
      <c r="AC1057" s="45" t="b">
        <v>1</v>
      </c>
      <c r="AD1057" s="45" t="b">
        <v>0</v>
      </c>
      <c r="AE1057" s="45" t="b">
        <v>0</v>
      </c>
      <c r="AF1057" s="45" t="s">
        <v>315</v>
      </c>
      <c r="AG1057" s="45" t="b">
        <v>0</v>
      </c>
      <c r="AH1057" s="45" t="b">
        <v>0</v>
      </c>
    </row>
    <row r="1058" spans="22:34" x14ac:dyDescent="0.25">
      <c r="V1058" t="s">
        <v>563</v>
      </c>
      <c r="W1058" s="45" t="s">
        <v>350</v>
      </c>
      <c r="X1058" s="45" t="b">
        <v>0</v>
      </c>
      <c r="Y1058" s="45" t="b">
        <v>0</v>
      </c>
      <c r="Z1058" s="45" t="b">
        <v>0</v>
      </c>
      <c r="AA1058" s="45" t="b">
        <v>0</v>
      </c>
      <c r="AB1058" s="45" t="b">
        <v>0</v>
      </c>
      <c r="AC1058" s="45" t="b">
        <v>1</v>
      </c>
      <c r="AD1058" s="45" t="b">
        <v>0</v>
      </c>
      <c r="AE1058" s="45" t="b">
        <v>0</v>
      </c>
      <c r="AF1058" s="45" t="s">
        <v>316</v>
      </c>
      <c r="AG1058" s="45" t="b">
        <v>0</v>
      </c>
      <c r="AH1058" s="45" t="b">
        <v>0</v>
      </c>
    </row>
    <row r="1059" spans="22:34" x14ac:dyDescent="0.25">
      <c r="V1059" t="s">
        <v>563</v>
      </c>
      <c r="W1059" s="45" t="s">
        <v>350</v>
      </c>
      <c r="X1059" s="45" t="b">
        <v>0</v>
      </c>
      <c r="Y1059" s="45" t="b">
        <v>0</v>
      </c>
      <c r="Z1059" s="45" t="b">
        <v>0</v>
      </c>
      <c r="AA1059" s="45" t="b">
        <v>0</v>
      </c>
      <c r="AB1059" s="45" t="b">
        <v>0</v>
      </c>
      <c r="AC1059" s="45" t="b">
        <v>1</v>
      </c>
      <c r="AD1059" s="45" t="b">
        <v>0</v>
      </c>
      <c r="AE1059" s="45" t="b">
        <v>0</v>
      </c>
      <c r="AF1059" s="45" t="s">
        <v>317</v>
      </c>
      <c r="AG1059" s="45" t="b">
        <v>1</v>
      </c>
      <c r="AH1059" s="45" t="b">
        <v>0</v>
      </c>
    </row>
    <row r="1060" spans="22:34" x14ac:dyDescent="0.25">
      <c r="V1060" t="s">
        <v>563</v>
      </c>
      <c r="W1060" s="45" t="s">
        <v>350</v>
      </c>
      <c r="X1060" s="45" t="b">
        <v>0</v>
      </c>
      <c r="Y1060" s="45" t="b">
        <v>0</v>
      </c>
      <c r="Z1060" s="45" t="b">
        <v>0</v>
      </c>
      <c r="AA1060" s="45" t="b">
        <v>0</v>
      </c>
      <c r="AB1060" s="45" t="b">
        <v>0</v>
      </c>
      <c r="AC1060" s="45" t="b">
        <v>1</v>
      </c>
      <c r="AD1060" s="45" t="b">
        <v>0</v>
      </c>
      <c r="AE1060" s="45" t="b">
        <v>0</v>
      </c>
      <c r="AF1060" s="45" t="s">
        <v>318</v>
      </c>
      <c r="AG1060" s="45" t="b">
        <v>1</v>
      </c>
      <c r="AH1060" s="45" t="b">
        <v>0</v>
      </c>
    </row>
    <row r="1061" spans="22:34" x14ac:dyDescent="0.25">
      <c r="V1061" t="s">
        <v>563</v>
      </c>
      <c r="W1061" s="45" t="s">
        <v>350</v>
      </c>
      <c r="X1061" s="45" t="b">
        <v>0</v>
      </c>
      <c r="Y1061" s="45" t="b">
        <v>0</v>
      </c>
      <c r="Z1061" s="45" t="b">
        <v>0</v>
      </c>
      <c r="AA1061" s="45" t="b">
        <v>0</v>
      </c>
      <c r="AB1061" s="45" t="b">
        <v>0</v>
      </c>
      <c r="AC1061" s="45" t="b">
        <v>1</v>
      </c>
      <c r="AD1061" s="45" t="b">
        <v>0</v>
      </c>
      <c r="AE1061" s="45" t="b">
        <v>0</v>
      </c>
      <c r="AF1061" s="45" t="s">
        <v>319</v>
      </c>
      <c r="AG1061" s="45" t="b">
        <v>0</v>
      </c>
      <c r="AH1061" s="45" t="b">
        <v>0</v>
      </c>
    </row>
    <row r="1062" spans="22:34" x14ac:dyDescent="0.25">
      <c r="V1062" t="s">
        <v>181</v>
      </c>
      <c r="W1062" s="45" t="s">
        <v>351</v>
      </c>
      <c r="X1062" s="45" t="b">
        <v>1</v>
      </c>
      <c r="Y1062" s="45" t="b">
        <v>0</v>
      </c>
      <c r="Z1062" s="45" t="b">
        <v>1</v>
      </c>
      <c r="AA1062" s="45" t="b">
        <v>0</v>
      </c>
      <c r="AB1062" s="45" t="b">
        <v>1</v>
      </c>
      <c r="AC1062" s="45" t="b">
        <v>1</v>
      </c>
      <c r="AD1062" s="45" t="b">
        <v>0</v>
      </c>
      <c r="AE1062" s="45" t="b">
        <v>1</v>
      </c>
      <c r="AF1062" s="45" t="s">
        <v>295</v>
      </c>
      <c r="AG1062" s="45" t="b">
        <v>0</v>
      </c>
      <c r="AH1062" s="45" t="b">
        <v>0</v>
      </c>
    </row>
    <row r="1063" spans="22:34" x14ac:dyDescent="0.25">
      <c r="V1063" t="s">
        <v>181</v>
      </c>
      <c r="W1063" s="45" t="s">
        <v>351</v>
      </c>
      <c r="X1063" s="45" t="b">
        <v>1</v>
      </c>
      <c r="Y1063" s="45" t="b">
        <v>0</v>
      </c>
      <c r="Z1063" s="45" t="b">
        <v>1</v>
      </c>
      <c r="AA1063" s="45" t="b">
        <v>0</v>
      </c>
      <c r="AB1063" s="45" t="b">
        <v>1</v>
      </c>
      <c r="AC1063" s="45" t="b">
        <v>1</v>
      </c>
      <c r="AD1063" s="45" t="b">
        <v>0</v>
      </c>
      <c r="AE1063" s="45" t="b">
        <v>1</v>
      </c>
      <c r="AF1063" s="45" t="s">
        <v>297</v>
      </c>
      <c r="AG1063" s="45" t="b">
        <v>0</v>
      </c>
      <c r="AH1063" s="45" t="b">
        <v>0</v>
      </c>
    </row>
    <row r="1064" spans="22:34" x14ac:dyDescent="0.25">
      <c r="V1064" t="s">
        <v>181</v>
      </c>
      <c r="W1064" s="45" t="s">
        <v>351</v>
      </c>
      <c r="X1064" s="45" t="b">
        <v>1</v>
      </c>
      <c r="Y1064" s="45" t="b">
        <v>0</v>
      </c>
      <c r="Z1064" s="45" t="b">
        <v>1</v>
      </c>
      <c r="AA1064" s="45" t="b">
        <v>0</v>
      </c>
      <c r="AB1064" s="45" t="b">
        <v>1</v>
      </c>
      <c r="AC1064" s="45" t="b">
        <v>1</v>
      </c>
      <c r="AD1064" s="45" t="b">
        <v>0</v>
      </c>
      <c r="AE1064" s="45" t="b">
        <v>1</v>
      </c>
      <c r="AF1064" s="45" t="s">
        <v>112</v>
      </c>
      <c r="AG1064" s="45" t="b">
        <v>1</v>
      </c>
      <c r="AH1064" s="45" t="b">
        <v>1</v>
      </c>
    </row>
    <row r="1065" spans="22:34" x14ac:dyDescent="0.25">
      <c r="V1065" t="s">
        <v>181</v>
      </c>
      <c r="W1065" s="45" t="s">
        <v>351</v>
      </c>
      <c r="X1065" s="45" t="b">
        <v>1</v>
      </c>
      <c r="Y1065" s="45" t="b">
        <v>0</v>
      </c>
      <c r="Z1065" s="45" t="b">
        <v>1</v>
      </c>
      <c r="AA1065" s="45" t="b">
        <v>0</v>
      </c>
      <c r="AB1065" s="45" t="b">
        <v>1</v>
      </c>
      <c r="AC1065" s="45" t="b">
        <v>1</v>
      </c>
      <c r="AD1065" s="45" t="b">
        <v>0</v>
      </c>
      <c r="AE1065" s="45" t="b">
        <v>1</v>
      </c>
      <c r="AF1065" s="45" t="s">
        <v>114</v>
      </c>
      <c r="AG1065" s="45" t="b">
        <v>1</v>
      </c>
      <c r="AH1065" s="45" t="b">
        <v>1</v>
      </c>
    </row>
    <row r="1066" spans="22:34" x14ac:dyDescent="0.25">
      <c r="V1066" t="s">
        <v>181</v>
      </c>
      <c r="W1066" s="45" t="s">
        <v>351</v>
      </c>
      <c r="X1066" s="45" t="b">
        <v>1</v>
      </c>
      <c r="Y1066" s="45" t="b">
        <v>0</v>
      </c>
      <c r="Z1066" s="45" t="b">
        <v>1</v>
      </c>
      <c r="AA1066" s="45" t="b">
        <v>0</v>
      </c>
      <c r="AB1066" s="45" t="b">
        <v>1</v>
      </c>
      <c r="AC1066" s="45" t="b">
        <v>1</v>
      </c>
      <c r="AD1066" s="45" t="b">
        <v>0</v>
      </c>
      <c r="AE1066" s="45" t="b">
        <v>1</v>
      </c>
      <c r="AF1066" s="45" t="s">
        <v>115</v>
      </c>
      <c r="AG1066" s="45" t="b">
        <v>1</v>
      </c>
      <c r="AH1066" s="45" t="b">
        <v>1</v>
      </c>
    </row>
    <row r="1067" spans="22:34" x14ac:dyDescent="0.25">
      <c r="V1067" t="s">
        <v>181</v>
      </c>
      <c r="W1067" s="45" t="s">
        <v>351</v>
      </c>
      <c r="X1067" s="45" t="b">
        <v>1</v>
      </c>
      <c r="Y1067" s="45" t="b">
        <v>0</v>
      </c>
      <c r="Z1067" s="45" t="b">
        <v>1</v>
      </c>
      <c r="AA1067" s="45" t="b">
        <v>0</v>
      </c>
      <c r="AB1067" s="45" t="b">
        <v>1</v>
      </c>
      <c r="AC1067" s="45" t="b">
        <v>1</v>
      </c>
      <c r="AD1067" s="45" t="b">
        <v>0</v>
      </c>
      <c r="AE1067" s="45" t="b">
        <v>1</v>
      </c>
      <c r="AF1067" s="45" t="s">
        <v>116</v>
      </c>
      <c r="AG1067" s="45" t="b">
        <v>1</v>
      </c>
      <c r="AH1067" s="45" t="b">
        <v>1</v>
      </c>
    </row>
    <row r="1068" spans="22:34" x14ac:dyDescent="0.25">
      <c r="V1068" t="s">
        <v>181</v>
      </c>
      <c r="W1068" s="45" t="s">
        <v>351</v>
      </c>
      <c r="X1068" s="45" t="b">
        <v>1</v>
      </c>
      <c r="Y1068" s="45" t="b">
        <v>0</v>
      </c>
      <c r="Z1068" s="45" t="b">
        <v>1</v>
      </c>
      <c r="AA1068" s="45" t="b">
        <v>0</v>
      </c>
      <c r="AB1068" s="45" t="b">
        <v>1</v>
      </c>
      <c r="AC1068" s="45" t="b">
        <v>1</v>
      </c>
      <c r="AD1068" s="45" t="b">
        <v>0</v>
      </c>
      <c r="AE1068" s="45" t="b">
        <v>1</v>
      </c>
      <c r="AF1068" s="45" t="s">
        <v>298</v>
      </c>
      <c r="AG1068" s="45" t="b">
        <v>1</v>
      </c>
      <c r="AH1068" s="45" t="b">
        <v>1</v>
      </c>
    </row>
    <row r="1069" spans="22:34" x14ac:dyDescent="0.25">
      <c r="V1069" t="s">
        <v>181</v>
      </c>
      <c r="W1069" s="45" t="s">
        <v>351</v>
      </c>
      <c r="X1069" s="45" t="b">
        <v>1</v>
      </c>
      <c r="Y1069" s="45" t="b">
        <v>0</v>
      </c>
      <c r="Z1069" s="45" t="b">
        <v>1</v>
      </c>
      <c r="AA1069" s="45" t="b">
        <v>0</v>
      </c>
      <c r="AB1069" s="45" t="b">
        <v>1</v>
      </c>
      <c r="AC1069" s="45" t="b">
        <v>1</v>
      </c>
      <c r="AD1069" s="45" t="b">
        <v>0</v>
      </c>
      <c r="AE1069" s="45" t="b">
        <v>1</v>
      </c>
      <c r="AF1069" s="45" t="s">
        <v>299</v>
      </c>
      <c r="AG1069" s="45" t="b">
        <v>1</v>
      </c>
      <c r="AH1069" s="45" t="b">
        <v>1</v>
      </c>
    </row>
    <row r="1070" spans="22:34" x14ac:dyDescent="0.25">
      <c r="V1070" t="s">
        <v>181</v>
      </c>
      <c r="W1070" s="45" t="s">
        <v>351</v>
      </c>
      <c r="X1070" s="45" t="b">
        <v>1</v>
      </c>
      <c r="Y1070" s="45" t="b">
        <v>0</v>
      </c>
      <c r="Z1070" s="45" t="b">
        <v>1</v>
      </c>
      <c r="AA1070" s="45" t="b">
        <v>0</v>
      </c>
      <c r="AB1070" s="45" t="b">
        <v>1</v>
      </c>
      <c r="AC1070" s="45" t="b">
        <v>1</v>
      </c>
      <c r="AD1070" s="45" t="b">
        <v>0</v>
      </c>
      <c r="AE1070" s="45" t="b">
        <v>1</v>
      </c>
      <c r="AF1070" s="45" t="s">
        <v>414</v>
      </c>
      <c r="AG1070" s="45" t="b">
        <v>1</v>
      </c>
      <c r="AH1070" s="45" t="b">
        <v>1</v>
      </c>
    </row>
    <row r="1071" spans="22:34" x14ac:dyDescent="0.25">
      <c r="V1071" t="s">
        <v>181</v>
      </c>
      <c r="W1071" s="45" t="s">
        <v>351</v>
      </c>
      <c r="X1071" s="45" t="b">
        <v>1</v>
      </c>
      <c r="Y1071" s="45" t="b">
        <v>0</v>
      </c>
      <c r="Z1071" s="45" t="b">
        <v>1</v>
      </c>
      <c r="AA1071" s="45" t="b">
        <v>0</v>
      </c>
      <c r="AB1071" s="45" t="b">
        <v>1</v>
      </c>
      <c r="AC1071" s="45" t="b">
        <v>1</v>
      </c>
      <c r="AD1071" s="45" t="b">
        <v>0</v>
      </c>
      <c r="AE1071" s="45" t="b">
        <v>1</v>
      </c>
      <c r="AF1071" s="45" t="s">
        <v>118</v>
      </c>
      <c r="AG1071" s="45" t="b">
        <v>1</v>
      </c>
      <c r="AH1071" s="45" t="b">
        <v>1</v>
      </c>
    </row>
    <row r="1072" spans="22:34" x14ac:dyDescent="0.25">
      <c r="V1072" t="s">
        <v>181</v>
      </c>
      <c r="W1072" s="45" t="s">
        <v>351</v>
      </c>
      <c r="X1072" s="45" t="b">
        <v>1</v>
      </c>
      <c r="Y1072" s="45" t="b">
        <v>0</v>
      </c>
      <c r="Z1072" s="45" t="b">
        <v>1</v>
      </c>
      <c r="AA1072" s="45" t="b">
        <v>0</v>
      </c>
      <c r="AB1072" s="45" t="b">
        <v>1</v>
      </c>
      <c r="AC1072" s="45" t="b">
        <v>1</v>
      </c>
      <c r="AD1072" s="45" t="b">
        <v>0</v>
      </c>
      <c r="AE1072" s="45" t="b">
        <v>1</v>
      </c>
      <c r="AF1072" s="45" t="s">
        <v>119</v>
      </c>
      <c r="AG1072" s="45" t="b">
        <v>1</v>
      </c>
      <c r="AH1072" s="45" t="b">
        <v>1</v>
      </c>
    </row>
    <row r="1073" spans="22:34" x14ac:dyDescent="0.25">
      <c r="V1073" t="s">
        <v>181</v>
      </c>
      <c r="W1073" s="45" t="s">
        <v>351</v>
      </c>
      <c r="X1073" s="45" t="b">
        <v>1</v>
      </c>
      <c r="Y1073" s="45" t="b">
        <v>0</v>
      </c>
      <c r="Z1073" s="45" t="b">
        <v>1</v>
      </c>
      <c r="AA1073" s="45" t="b">
        <v>0</v>
      </c>
      <c r="AB1073" s="45" t="b">
        <v>1</v>
      </c>
      <c r="AC1073" s="45" t="b">
        <v>1</v>
      </c>
      <c r="AD1073" s="45" t="b">
        <v>0</v>
      </c>
      <c r="AE1073" s="45" t="b">
        <v>1</v>
      </c>
      <c r="AF1073" s="45" t="s">
        <v>300</v>
      </c>
      <c r="AG1073" s="45" t="b">
        <v>1</v>
      </c>
      <c r="AH1073" s="45" t="b">
        <v>1</v>
      </c>
    </row>
    <row r="1074" spans="22:34" x14ac:dyDescent="0.25">
      <c r="V1074" t="s">
        <v>181</v>
      </c>
      <c r="W1074" s="45" t="s">
        <v>351</v>
      </c>
      <c r="X1074" s="45" t="b">
        <v>1</v>
      </c>
      <c r="Y1074" s="45" t="b">
        <v>0</v>
      </c>
      <c r="Z1074" s="45" t="b">
        <v>1</v>
      </c>
      <c r="AA1074" s="45" t="b">
        <v>0</v>
      </c>
      <c r="AB1074" s="45" t="b">
        <v>1</v>
      </c>
      <c r="AC1074" s="45" t="b">
        <v>1</v>
      </c>
      <c r="AD1074" s="45" t="b">
        <v>0</v>
      </c>
      <c r="AE1074" s="45" t="b">
        <v>1</v>
      </c>
      <c r="AF1074" s="45" t="s">
        <v>301</v>
      </c>
      <c r="AG1074" s="45" t="b">
        <v>1</v>
      </c>
      <c r="AH1074" s="45" t="b">
        <v>1</v>
      </c>
    </row>
    <row r="1075" spans="22:34" x14ac:dyDescent="0.25">
      <c r="V1075" t="s">
        <v>181</v>
      </c>
      <c r="W1075" s="45" t="s">
        <v>351</v>
      </c>
      <c r="X1075" s="45" t="b">
        <v>1</v>
      </c>
      <c r="Y1075" s="45" t="b">
        <v>0</v>
      </c>
      <c r="Z1075" s="45" t="b">
        <v>1</v>
      </c>
      <c r="AA1075" s="45" t="b">
        <v>0</v>
      </c>
      <c r="AB1075" s="45" t="b">
        <v>1</v>
      </c>
      <c r="AC1075" s="45" t="b">
        <v>1</v>
      </c>
      <c r="AD1075" s="45" t="b">
        <v>0</v>
      </c>
      <c r="AE1075" s="45" t="b">
        <v>1</v>
      </c>
      <c r="AF1075" s="45" t="s">
        <v>120</v>
      </c>
      <c r="AG1075" s="45" t="b">
        <v>1</v>
      </c>
      <c r="AH1075" s="45" t="b">
        <v>1</v>
      </c>
    </row>
    <row r="1076" spans="22:34" x14ac:dyDescent="0.25">
      <c r="V1076" t="s">
        <v>181</v>
      </c>
      <c r="W1076" s="45" t="s">
        <v>351</v>
      </c>
      <c r="X1076" s="45" t="b">
        <v>1</v>
      </c>
      <c r="Y1076" s="45" t="b">
        <v>0</v>
      </c>
      <c r="Z1076" s="45" t="b">
        <v>1</v>
      </c>
      <c r="AA1076" s="45" t="b">
        <v>0</v>
      </c>
      <c r="AB1076" s="45" t="b">
        <v>1</v>
      </c>
      <c r="AC1076" s="45" t="b">
        <v>1</v>
      </c>
      <c r="AD1076" s="45" t="b">
        <v>0</v>
      </c>
      <c r="AE1076" s="45" t="b">
        <v>1</v>
      </c>
      <c r="AF1076" s="45" t="s">
        <v>302</v>
      </c>
      <c r="AG1076" s="45" t="b">
        <v>1</v>
      </c>
      <c r="AH1076" s="45" t="b">
        <v>1</v>
      </c>
    </row>
    <row r="1077" spans="22:34" x14ac:dyDescent="0.25">
      <c r="V1077" t="s">
        <v>181</v>
      </c>
      <c r="W1077" s="45" t="s">
        <v>351</v>
      </c>
      <c r="X1077" s="45" t="b">
        <v>1</v>
      </c>
      <c r="Y1077" s="45" t="b">
        <v>0</v>
      </c>
      <c r="Z1077" s="45" t="b">
        <v>1</v>
      </c>
      <c r="AA1077" s="45" t="b">
        <v>0</v>
      </c>
      <c r="AB1077" s="45" t="b">
        <v>1</v>
      </c>
      <c r="AC1077" s="45" t="b">
        <v>1</v>
      </c>
      <c r="AD1077" s="45" t="b">
        <v>0</v>
      </c>
      <c r="AE1077" s="45" t="b">
        <v>1</v>
      </c>
      <c r="AF1077" s="45" t="s">
        <v>303</v>
      </c>
      <c r="AG1077" s="45" t="b">
        <v>1</v>
      </c>
      <c r="AH1077" s="45" t="b">
        <v>1</v>
      </c>
    </row>
    <row r="1078" spans="22:34" x14ac:dyDescent="0.25">
      <c r="V1078" t="s">
        <v>181</v>
      </c>
      <c r="W1078" s="45" t="s">
        <v>351</v>
      </c>
      <c r="X1078" s="45" t="b">
        <v>1</v>
      </c>
      <c r="Y1078" s="45" t="b">
        <v>0</v>
      </c>
      <c r="Z1078" s="45" t="b">
        <v>1</v>
      </c>
      <c r="AA1078" s="45" t="b">
        <v>0</v>
      </c>
      <c r="AB1078" s="45" t="b">
        <v>1</v>
      </c>
      <c r="AC1078" s="45" t="b">
        <v>1</v>
      </c>
      <c r="AD1078" s="45" t="b">
        <v>0</v>
      </c>
      <c r="AE1078" s="45" t="b">
        <v>1</v>
      </c>
      <c r="AF1078" s="45" t="s">
        <v>304</v>
      </c>
      <c r="AG1078" s="45" t="b">
        <v>1</v>
      </c>
      <c r="AH1078" s="45" t="b">
        <v>1</v>
      </c>
    </row>
    <row r="1079" spans="22:34" x14ac:dyDescent="0.25">
      <c r="V1079" t="s">
        <v>181</v>
      </c>
      <c r="W1079" s="45" t="s">
        <v>351</v>
      </c>
      <c r="X1079" s="45" t="b">
        <v>1</v>
      </c>
      <c r="Y1079" s="45" t="b">
        <v>0</v>
      </c>
      <c r="Z1079" s="45" t="b">
        <v>1</v>
      </c>
      <c r="AA1079" s="45" t="b">
        <v>0</v>
      </c>
      <c r="AB1079" s="45" t="b">
        <v>1</v>
      </c>
      <c r="AC1079" s="45" t="b">
        <v>1</v>
      </c>
      <c r="AD1079" s="45" t="b">
        <v>0</v>
      </c>
      <c r="AE1079" s="45" t="b">
        <v>1</v>
      </c>
      <c r="AF1079" s="45" t="s">
        <v>305</v>
      </c>
      <c r="AG1079" s="45" t="b">
        <v>1</v>
      </c>
      <c r="AH1079" s="45" t="b">
        <v>1</v>
      </c>
    </row>
    <row r="1080" spans="22:34" x14ac:dyDescent="0.25">
      <c r="V1080" t="s">
        <v>181</v>
      </c>
      <c r="W1080" s="45" t="s">
        <v>351</v>
      </c>
      <c r="X1080" s="45" t="b">
        <v>1</v>
      </c>
      <c r="Y1080" s="45" t="b">
        <v>0</v>
      </c>
      <c r="Z1080" s="45" t="b">
        <v>1</v>
      </c>
      <c r="AA1080" s="45" t="b">
        <v>0</v>
      </c>
      <c r="AB1080" s="45" t="b">
        <v>1</v>
      </c>
      <c r="AC1080" s="45" t="b">
        <v>1</v>
      </c>
      <c r="AD1080" s="45" t="b">
        <v>0</v>
      </c>
      <c r="AE1080" s="45" t="b">
        <v>1</v>
      </c>
      <c r="AF1080" s="45" t="s">
        <v>306</v>
      </c>
      <c r="AG1080" s="45" t="b">
        <v>1</v>
      </c>
      <c r="AH1080" s="45" t="b">
        <v>1</v>
      </c>
    </row>
    <row r="1081" spans="22:34" x14ac:dyDescent="0.25">
      <c r="V1081" t="s">
        <v>181</v>
      </c>
      <c r="W1081" s="45" t="s">
        <v>351</v>
      </c>
      <c r="X1081" s="45" t="b">
        <v>1</v>
      </c>
      <c r="Y1081" s="45" t="b">
        <v>0</v>
      </c>
      <c r="Z1081" s="45" t="b">
        <v>1</v>
      </c>
      <c r="AA1081" s="45" t="b">
        <v>0</v>
      </c>
      <c r="AB1081" s="45" t="b">
        <v>1</v>
      </c>
      <c r="AC1081" s="45" t="b">
        <v>1</v>
      </c>
      <c r="AD1081" s="45" t="b">
        <v>0</v>
      </c>
      <c r="AE1081" s="45" t="b">
        <v>1</v>
      </c>
      <c r="AF1081" s="45" t="s">
        <v>307</v>
      </c>
      <c r="AG1081" s="45" t="b">
        <v>1</v>
      </c>
      <c r="AH1081" s="45" t="b">
        <v>1</v>
      </c>
    </row>
    <row r="1082" spans="22:34" x14ac:dyDescent="0.25">
      <c r="V1082" t="s">
        <v>181</v>
      </c>
      <c r="W1082" s="45" t="s">
        <v>351</v>
      </c>
      <c r="X1082" s="45" t="b">
        <v>1</v>
      </c>
      <c r="Y1082" s="45" t="b">
        <v>0</v>
      </c>
      <c r="Z1082" s="45" t="b">
        <v>1</v>
      </c>
      <c r="AA1082" s="45" t="b">
        <v>0</v>
      </c>
      <c r="AB1082" s="45" t="b">
        <v>1</v>
      </c>
      <c r="AC1082" s="45" t="b">
        <v>1</v>
      </c>
      <c r="AD1082" s="45" t="b">
        <v>0</v>
      </c>
      <c r="AE1082" s="45" t="b">
        <v>1</v>
      </c>
      <c r="AF1082" s="45" t="s">
        <v>308</v>
      </c>
      <c r="AG1082" s="45" t="b">
        <v>1</v>
      </c>
      <c r="AH1082" s="45" t="b">
        <v>1</v>
      </c>
    </row>
    <row r="1083" spans="22:34" x14ac:dyDescent="0.25">
      <c r="V1083" t="s">
        <v>181</v>
      </c>
      <c r="W1083" s="45" t="s">
        <v>351</v>
      </c>
      <c r="X1083" s="45" t="b">
        <v>1</v>
      </c>
      <c r="Y1083" s="45" t="b">
        <v>0</v>
      </c>
      <c r="Z1083" s="45" t="b">
        <v>1</v>
      </c>
      <c r="AA1083" s="45" t="b">
        <v>0</v>
      </c>
      <c r="AB1083" s="45" t="b">
        <v>1</v>
      </c>
      <c r="AC1083" s="45" t="b">
        <v>1</v>
      </c>
      <c r="AD1083" s="45" t="b">
        <v>0</v>
      </c>
      <c r="AE1083" s="45" t="b">
        <v>1</v>
      </c>
      <c r="AF1083" s="45" t="s">
        <v>309</v>
      </c>
      <c r="AG1083" s="45" t="b">
        <v>1</v>
      </c>
      <c r="AH1083" s="45" t="b">
        <v>1</v>
      </c>
    </row>
    <row r="1084" spans="22:34" x14ac:dyDescent="0.25">
      <c r="V1084" t="s">
        <v>181</v>
      </c>
      <c r="W1084" s="45" t="s">
        <v>351</v>
      </c>
      <c r="X1084" s="45" t="b">
        <v>1</v>
      </c>
      <c r="Y1084" s="45" t="b">
        <v>0</v>
      </c>
      <c r="Z1084" s="45" t="b">
        <v>1</v>
      </c>
      <c r="AA1084" s="45" t="b">
        <v>0</v>
      </c>
      <c r="AB1084" s="45" t="b">
        <v>1</v>
      </c>
      <c r="AC1084" s="45" t="b">
        <v>1</v>
      </c>
      <c r="AD1084" s="45" t="b">
        <v>0</v>
      </c>
      <c r="AE1084" s="45" t="b">
        <v>1</v>
      </c>
      <c r="AF1084" s="45" t="s">
        <v>310</v>
      </c>
      <c r="AG1084" s="45" t="b">
        <v>1</v>
      </c>
      <c r="AH1084" s="45" t="b">
        <v>1</v>
      </c>
    </row>
    <row r="1085" spans="22:34" x14ac:dyDescent="0.25">
      <c r="V1085" t="s">
        <v>181</v>
      </c>
      <c r="W1085" s="45" t="s">
        <v>351</v>
      </c>
      <c r="X1085" s="45" t="b">
        <v>1</v>
      </c>
      <c r="Y1085" s="45" t="b">
        <v>0</v>
      </c>
      <c r="Z1085" s="45" t="b">
        <v>1</v>
      </c>
      <c r="AA1085" s="45" t="b">
        <v>0</v>
      </c>
      <c r="AB1085" s="45" t="b">
        <v>1</v>
      </c>
      <c r="AC1085" s="45" t="b">
        <v>1</v>
      </c>
      <c r="AD1085" s="45" t="b">
        <v>0</v>
      </c>
      <c r="AE1085" s="45" t="b">
        <v>1</v>
      </c>
      <c r="AF1085" s="45" t="s">
        <v>311</v>
      </c>
      <c r="AG1085" s="45" t="b">
        <v>1</v>
      </c>
      <c r="AH1085" s="45" t="b">
        <v>1</v>
      </c>
    </row>
    <row r="1086" spans="22:34" x14ac:dyDescent="0.25">
      <c r="V1086" t="s">
        <v>181</v>
      </c>
      <c r="W1086" s="45" t="s">
        <v>351</v>
      </c>
      <c r="X1086" s="45" t="b">
        <v>1</v>
      </c>
      <c r="Y1086" s="45" t="b">
        <v>0</v>
      </c>
      <c r="Z1086" s="45" t="b">
        <v>1</v>
      </c>
      <c r="AA1086" s="45" t="b">
        <v>0</v>
      </c>
      <c r="AB1086" s="45" t="b">
        <v>1</v>
      </c>
      <c r="AC1086" s="45" t="b">
        <v>1</v>
      </c>
      <c r="AD1086" s="45" t="b">
        <v>0</v>
      </c>
      <c r="AE1086" s="45" t="b">
        <v>1</v>
      </c>
      <c r="AF1086" s="45" t="s">
        <v>312</v>
      </c>
      <c r="AG1086" s="45" t="b">
        <v>1</v>
      </c>
      <c r="AH1086" s="45" t="b">
        <v>1</v>
      </c>
    </row>
    <row r="1087" spans="22:34" x14ac:dyDescent="0.25">
      <c r="V1087" t="s">
        <v>181</v>
      </c>
      <c r="W1087" s="45" t="s">
        <v>351</v>
      </c>
      <c r="X1087" s="45" t="b">
        <v>1</v>
      </c>
      <c r="Y1087" s="45" t="b">
        <v>0</v>
      </c>
      <c r="Z1087" s="45" t="b">
        <v>1</v>
      </c>
      <c r="AA1087" s="45" t="b">
        <v>0</v>
      </c>
      <c r="AB1087" s="45" t="b">
        <v>1</v>
      </c>
      <c r="AC1087" s="45" t="b">
        <v>1</v>
      </c>
      <c r="AD1087" s="45" t="b">
        <v>0</v>
      </c>
      <c r="AE1087" s="45" t="b">
        <v>1</v>
      </c>
      <c r="AF1087" s="45" t="s">
        <v>313</v>
      </c>
      <c r="AG1087" s="45" t="b">
        <v>1</v>
      </c>
      <c r="AH1087" s="45" t="b">
        <v>1</v>
      </c>
    </row>
    <row r="1088" spans="22:34" x14ac:dyDescent="0.25">
      <c r="V1088" t="s">
        <v>181</v>
      </c>
      <c r="W1088" s="45" t="s">
        <v>351</v>
      </c>
      <c r="X1088" s="45" t="b">
        <v>1</v>
      </c>
      <c r="Y1088" s="45" t="b">
        <v>0</v>
      </c>
      <c r="Z1088" s="45" t="b">
        <v>1</v>
      </c>
      <c r="AA1088" s="45" t="b">
        <v>0</v>
      </c>
      <c r="AB1088" s="45" t="b">
        <v>1</v>
      </c>
      <c r="AC1088" s="45" t="b">
        <v>1</v>
      </c>
      <c r="AD1088" s="45" t="b">
        <v>0</v>
      </c>
      <c r="AE1088" s="45" t="b">
        <v>1</v>
      </c>
      <c r="AF1088" s="45" t="s">
        <v>314</v>
      </c>
      <c r="AG1088" s="45" t="b">
        <v>1</v>
      </c>
      <c r="AH1088" s="45" t="b">
        <v>1</v>
      </c>
    </row>
    <row r="1089" spans="22:34" x14ac:dyDescent="0.25">
      <c r="V1089" t="s">
        <v>181</v>
      </c>
      <c r="W1089" s="45" t="s">
        <v>351</v>
      </c>
      <c r="X1089" s="45" t="b">
        <v>1</v>
      </c>
      <c r="Y1089" s="45" t="b">
        <v>0</v>
      </c>
      <c r="Z1089" s="45" t="b">
        <v>1</v>
      </c>
      <c r="AA1089" s="45" t="b">
        <v>0</v>
      </c>
      <c r="AB1089" s="45" t="b">
        <v>1</v>
      </c>
      <c r="AC1089" s="45" t="b">
        <v>1</v>
      </c>
      <c r="AD1089" s="45" t="b">
        <v>0</v>
      </c>
      <c r="AE1089" s="45" t="b">
        <v>1</v>
      </c>
      <c r="AF1089" s="45" t="s">
        <v>315</v>
      </c>
      <c r="AG1089" s="45" t="b">
        <v>1</v>
      </c>
      <c r="AH1089" s="45" t="b">
        <v>1</v>
      </c>
    </row>
    <row r="1090" spans="22:34" x14ac:dyDescent="0.25">
      <c r="V1090" t="s">
        <v>181</v>
      </c>
      <c r="W1090" s="45" t="s">
        <v>351</v>
      </c>
      <c r="X1090" s="45" t="b">
        <v>1</v>
      </c>
      <c r="Y1090" s="45" t="b">
        <v>0</v>
      </c>
      <c r="Z1090" s="45" t="b">
        <v>1</v>
      </c>
      <c r="AA1090" s="45" t="b">
        <v>0</v>
      </c>
      <c r="AB1090" s="45" t="b">
        <v>1</v>
      </c>
      <c r="AC1090" s="45" t="b">
        <v>1</v>
      </c>
      <c r="AD1090" s="45" t="b">
        <v>0</v>
      </c>
      <c r="AE1090" s="45" t="b">
        <v>1</v>
      </c>
      <c r="AF1090" s="45" t="s">
        <v>316</v>
      </c>
      <c r="AG1090" s="45" t="b">
        <v>1</v>
      </c>
      <c r="AH1090" s="45" t="b">
        <v>1</v>
      </c>
    </row>
    <row r="1091" spans="22:34" x14ac:dyDescent="0.25">
      <c r="V1091" t="s">
        <v>181</v>
      </c>
      <c r="W1091" s="45" t="s">
        <v>351</v>
      </c>
      <c r="X1091" s="45" t="b">
        <v>1</v>
      </c>
      <c r="Y1091" s="45" t="b">
        <v>0</v>
      </c>
      <c r="Z1091" s="45" t="b">
        <v>1</v>
      </c>
      <c r="AA1091" s="45" t="b">
        <v>0</v>
      </c>
      <c r="AB1091" s="45" t="b">
        <v>1</v>
      </c>
      <c r="AC1091" s="45" t="b">
        <v>1</v>
      </c>
      <c r="AD1091" s="45" t="b">
        <v>0</v>
      </c>
      <c r="AE1091" s="45" t="b">
        <v>1</v>
      </c>
      <c r="AF1091" s="45" t="s">
        <v>317</v>
      </c>
      <c r="AG1091" s="45" t="b">
        <v>1</v>
      </c>
      <c r="AH1091" s="45" t="b">
        <v>1</v>
      </c>
    </row>
    <row r="1092" spans="22:34" x14ac:dyDescent="0.25">
      <c r="V1092" t="s">
        <v>181</v>
      </c>
      <c r="W1092" s="45" t="s">
        <v>351</v>
      </c>
      <c r="X1092" s="45" t="b">
        <v>1</v>
      </c>
      <c r="Y1092" s="45" t="b">
        <v>0</v>
      </c>
      <c r="Z1092" s="45" t="b">
        <v>1</v>
      </c>
      <c r="AA1092" s="45" t="b">
        <v>0</v>
      </c>
      <c r="AB1092" s="45" t="b">
        <v>1</v>
      </c>
      <c r="AC1092" s="45" t="b">
        <v>1</v>
      </c>
      <c r="AD1092" s="45" t="b">
        <v>0</v>
      </c>
      <c r="AE1092" s="45" t="b">
        <v>1</v>
      </c>
      <c r="AF1092" s="45" t="s">
        <v>318</v>
      </c>
      <c r="AG1092" s="45" t="b">
        <v>1</v>
      </c>
      <c r="AH1092" s="45" t="b">
        <v>1</v>
      </c>
    </row>
    <row r="1093" spans="22:34" x14ac:dyDescent="0.25">
      <c r="V1093" t="s">
        <v>181</v>
      </c>
      <c r="W1093" s="45" t="s">
        <v>351</v>
      </c>
      <c r="X1093" s="45" t="b">
        <v>1</v>
      </c>
      <c r="Y1093" s="45" t="b">
        <v>0</v>
      </c>
      <c r="Z1093" s="45" t="b">
        <v>1</v>
      </c>
      <c r="AA1093" s="45" t="b">
        <v>0</v>
      </c>
      <c r="AB1093" s="45" t="b">
        <v>1</v>
      </c>
      <c r="AC1093" s="45" t="b">
        <v>1</v>
      </c>
      <c r="AD1093" s="45" t="b">
        <v>0</v>
      </c>
      <c r="AE1093" s="45" t="b">
        <v>1</v>
      </c>
      <c r="AF1093" s="45" t="s">
        <v>319</v>
      </c>
      <c r="AG1093" s="45" t="b">
        <v>1</v>
      </c>
      <c r="AH1093" s="45" t="b">
        <v>1</v>
      </c>
    </row>
    <row r="1094" spans="22:34" x14ac:dyDescent="0.25">
      <c r="V1094" t="s">
        <v>564</v>
      </c>
      <c r="W1094" s="45" t="s">
        <v>352</v>
      </c>
      <c r="X1094" s="45" t="b">
        <v>0</v>
      </c>
      <c r="Y1094" s="45" t="b">
        <v>1</v>
      </c>
      <c r="Z1094" s="45" t="b">
        <v>1</v>
      </c>
      <c r="AA1094" s="45" t="b">
        <v>0</v>
      </c>
      <c r="AB1094" s="45" t="b">
        <v>0</v>
      </c>
      <c r="AC1094" s="45" t="b">
        <v>1</v>
      </c>
      <c r="AD1094" s="45" t="b">
        <v>0</v>
      </c>
      <c r="AE1094" s="45" t="b">
        <v>1</v>
      </c>
      <c r="AF1094" s="45" t="s">
        <v>295</v>
      </c>
      <c r="AG1094" s="45" t="b">
        <v>1</v>
      </c>
      <c r="AH1094" s="45" t="b">
        <v>1</v>
      </c>
    </row>
    <row r="1095" spans="22:34" x14ac:dyDescent="0.25">
      <c r="V1095" t="s">
        <v>564</v>
      </c>
      <c r="W1095" s="45" t="s">
        <v>352</v>
      </c>
      <c r="X1095" s="45" t="b">
        <v>0</v>
      </c>
      <c r="Y1095" s="45" t="b">
        <v>1</v>
      </c>
      <c r="Z1095" s="45" t="b">
        <v>1</v>
      </c>
      <c r="AA1095" s="45" t="b">
        <v>0</v>
      </c>
      <c r="AB1095" s="45" t="b">
        <v>0</v>
      </c>
      <c r="AC1095" s="45" t="b">
        <v>1</v>
      </c>
      <c r="AD1095" s="45" t="b">
        <v>0</v>
      </c>
      <c r="AE1095" s="45" t="b">
        <v>1</v>
      </c>
      <c r="AF1095" s="45" t="s">
        <v>297</v>
      </c>
      <c r="AG1095" s="45" t="b">
        <v>1</v>
      </c>
      <c r="AH1095" s="45" t="b">
        <v>1</v>
      </c>
    </row>
    <row r="1096" spans="22:34" x14ac:dyDescent="0.25">
      <c r="V1096" t="s">
        <v>564</v>
      </c>
      <c r="W1096" s="45" t="s">
        <v>352</v>
      </c>
      <c r="X1096" s="45" t="b">
        <v>0</v>
      </c>
      <c r="Y1096" s="45" t="b">
        <v>1</v>
      </c>
      <c r="Z1096" s="45" t="b">
        <v>1</v>
      </c>
      <c r="AA1096" s="45" t="b">
        <v>0</v>
      </c>
      <c r="AB1096" s="45" t="b">
        <v>0</v>
      </c>
      <c r="AC1096" s="45" t="b">
        <v>1</v>
      </c>
      <c r="AD1096" s="45" t="b">
        <v>0</v>
      </c>
      <c r="AE1096" s="45" t="b">
        <v>1</v>
      </c>
      <c r="AF1096" s="45" t="s">
        <v>112</v>
      </c>
      <c r="AG1096" s="45" t="b">
        <v>1</v>
      </c>
      <c r="AH1096" s="45" t="b">
        <v>1</v>
      </c>
    </row>
    <row r="1097" spans="22:34" x14ac:dyDescent="0.25">
      <c r="V1097" t="s">
        <v>564</v>
      </c>
      <c r="W1097" s="45" t="s">
        <v>352</v>
      </c>
      <c r="X1097" s="45" t="b">
        <v>0</v>
      </c>
      <c r="Y1097" s="45" t="b">
        <v>1</v>
      </c>
      <c r="Z1097" s="45" t="b">
        <v>1</v>
      </c>
      <c r="AA1097" s="45" t="b">
        <v>0</v>
      </c>
      <c r="AB1097" s="45" t="b">
        <v>0</v>
      </c>
      <c r="AC1097" s="45" t="b">
        <v>1</v>
      </c>
      <c r="AD1097" s="45" t="b">
        <v>0</v>
      </c>
      <c r="AE1097" s="45" t="b">
        <v>1</v>
      </c>
      <c r="AF1097" s="45" t="s">
        <v>114</v>
      </c>
      <c r="AG1097" s="45" t="b">
        <v>1</v>
      </c>
      <c r="AH1097" s="45" t="b">
        <v>1</v>
      </c>
    </row>
    <row r="1098" spans="22:34" x14ac:dyDescent="0.25">
      <c r="V1098" t="s">
        <v>564</v>
      </c>
      <c r="W1098" s="45" t="s">
        <v>352</v>
      </c>
      <c r="X1098" s="45" t="b">
        <v>0</v>
      </c>
      <c r="Y1098" s="45" t="b">
        <v>1</v>
      </c>
      <c r="Z1098" s="45" t="b">
        <v>1</v>
      </c>
      <c r="AA1098" s="45" t="b">
        <v>0</v>
      </c>
      <c r="AB1098" s="45" t="b">
        <v>0</v>
      </c>
      <c r="AC1098" s="45" t="b">
        <v>1</v>
      </c>
      <c r="AD1098" s="45" t="b">
        <v>0</v>
      </c>
      <c r="AE1098" s="45" t="b">
        <v>1</v>
      </c>
      <c r="AF1098" s="45" t="s">
        <v>115</v>
      </c>
      <c r="AG1098" s="45" t="b">
        <v>1</v>
      </c>
      <c r="AH1098" s="45" t="b">
        <v>1</v>
      </c>
    </row>
    <row r="1099" spans="22:34" x14ac:dyDescent="0.25">
      <c r="V1099" t="s">
        <v>564</v>
      </c>
      <c r="W1099" s="45" t="s">
        <v>352</v>
      </c>
      <c r="X1099" s="45" t="b">
        <v>0</v>
      </c>
      <c r="Y1099" s="45" t="b">
        <v>1</v>
      </c>
      <c r="Z1099" s="45" t="b">
        <v>1</v>
      </c>
      <c r="AA1099" s="45" t="b">
        <v>0</v>
      </c>
      <c r="AB1099" s="45" t="b">
        <v>0</v>
      </c>
      <c r="AC1099" s="45" t="b">
        <v>1</v>
      </c>
      <c r="AD1099" s="45" t="b">
        <v>0</v>
      </c>
      <c r="AE1099" s="45" t="b">
        <v>1</v>
      </c>
      <c r="AF1099" s="45" t="s">
        <v>116</v>
      </c>
      <c r="AG1099" s="45" t="b">
        <v>1</v>
      </c>
      <c r="AH1099" s="45" t="b">
        <v>1</v>
      </c>
    </row>
    <row r="1100" spans="22:34" x14ac:dyDescent="0.25">
      <c r="V1100" t="s">
        <v>564</v>
      </c>
      <c r="W1100" s="45" t="s">
        <v>352</v>
      </c>
      <c r="X1100" s="45" t="b">
        <v>0</v>
      </c>
      <c r="Y1100" s="45" t="b">
        <v>1</v>
      </c>
      <c r="Z1100" s="45" t="b">
        <v>1</v>
      </c>
      <c r="AA1100" s="45" t="b">
        <v>0</v>
      </c>
      <c r="AB1100" s="45" t="b">
        <v>0</v>
      </c>
      <c r="AC1100" s="45" t="b">
        <v>1</v>
      </c>
      <c r="AD1100" s="45" t="b">
        <v>0</v>
      </c>
      <c r="AE1100" s="45" t="b">
        <v>1</v>
      </c>
      <c r="AF1100" s="45" t="s">
        <v>298</v>
      </c>
      <c r="AG1100" s="45" t="b">
        <v>1</v>
      </c>
      <c r="AH1100" s="45" t="b">
        <v>1</v>
      </c>
    </row>
    <row r="1101" spans="22:34" x14ac:dyDescent="0.25">
      <c r="V1101" t="s">
        <v>564</v>
      </c>
      <c r="W1101" s="45" t="s">
        <v>352</v>
      </c>
      <c r="X1101" s="45" t="b">
        <v>0</v>
      </c>
      <c r="Y1101" s="45" t="b">
        <v>1</v>
      </c>
      <c r="Z1101" s="45" t="b">
        <v>1</v>
      </c>
      <c r="AA1101" s="45" t="b">
        <v>0</v>
      </c>
      <c r="AB1101" s="45" t="b">
        <v>0</v>
      </c>
      <c r="AC1101" s="45" t="b">
        <v>1</v>
      </c>
      <c r="AD1101" s="45" t="b">
        <v>0</v>
      </c>
      <c r="AE1101" s="45" t="b">
        <v>1</v>
      </c>
      <c r="AF1101" s="45" t="s">
        <v>299</v>
      </c>
      <c r="AG1101" s="45" t="b">
        <v>1</v>
      </c>
      <c r="AH1101" s="45" t="b">
        <v>1</v>
      </c>
    </row>
    <row r="1102" spans="22:34" x14ac:dyDescent="0.25">
      <c r="V1102" t="s">
        <v>564</v>
      </c>
      <c r="W1102" s="45" t="s">
        <v>352</v>
      </c>
      <c r="X1102" s="45" t="b">
        <v>0</v>
      </c>
      <c r="Y1102" s="45" t="b">
        <v>1</v>
      </c>
      <c r="Z1102" s="45" t="b">
        <v>1</v>
      </c>
      <c r="AA1102" s="45" t="b">
        <v>0</v>
      </c>
      <c r="AB1102" s="45" t="b">
        <v>0</v>
      </c>
      <c r="AC1102" s="45" t="b">
        <v>1</v>
      </c>
      <c r="AD1102" s="45" t="b">
        <v>0</v>
      </c>
      <c r="AE1102" s="45" t="b">
        <v>1</v>
      </c>
      <c r="AF1102" s="45" t="s">
        <v>414</v>
      </c>
      <c r="AG1102" s="45" t="b">
        <v>1</v>
      </c>
      <c r="AH1102" s="45" t="b">
        <v>1</v>
      </c>
    </row>
    <row r="1103" spans="22:34" x14ac:dyDescent="0.25">
      <c r="V1103" t="s">
        <v>564</v>
      </c>
      <c r="W1103" s="45" t="s">
        <v>352</v>
      </c>
      <c r="X1103" s="45" t="b">
        <v>0</v>
      </c>
      <c r="Y1103" s="45" t="b">
        <v>1</v>
      </c>
      <c r="Z1103" s="45" t="b">
        <v>1</v>
      </c>
      <c r="AA1103" s="45" t="b">
        <v>0</v>
      </c>
      <c r="AB1103" s="45" t="b">
        <v>0</v>
      </c>
      <c r="AC1103" s="45" t="b">
        <v>1</v>
      </c>
      <c r="AD1103" s="45" t="b">
        <v>0</v>
      </c>
      <c r="AE1103" s="45" t="b">
        <v>1</v>
      </c>
      <c r="AF1103" s="45" t="s">
        <v>118</v>
      </c>
      <c r="AG1103" s="45" t="b">
        <v>1</v>
      </c>
      <c r="AH1103" s="45" t="b">
        <v>1</v>
      </c>
    </row>
    <row r="1104" spans="22:34" x14ac:dyDescent="0.25">
      <c r="V1104" t="s">
        <v>564</v>
      </c>
      <c r="W1104" s="45" t="s">
        <v>352</v>
      </c>
      <c r="X1104" s="45" t="b">
        <v>0</v>
      </c>
      <c r="Y1104" s="45" t="b">
        <v>1</v>
      </c>
      <c r="Z1104" s="45" t="b">
        <v>1</v>
      </c>
      <c r="AA1104" s="45" t="b">
        <v>0</v>
      </c>
      <c r="AB1104" s="45" t="b">
        <v>0</v>
      </c>
      <c r="AC1104" s="45" t="b">
        <v>1</v>
      </c>
      <c r="AD1104" s="45" t="b">
        <v>0</v>
      </c>
      <c r="AE1104" s="45" t="b">
        <v>1</v>
      </c>
      <c r="AF1104" s="45" t="s">
        <v>119</v>
      </c>
      <c r="AG1104" s="45" t="b">
        <v>1</v>
      </c>
      <c r="AH1104" s="45" t="b">
        <v>1</v>
      </c>
    </row>
    <row r="1105" spans="22:34" x14ac:dyDescent="0.25">
      <c r="V1105" t="s">
        <v>564</v>
      </c>
      <c r="W1105" s="45" t="s">
        <v>352</v>
      </c>
      <c r="X1105" s="45" t="b">
        <v>0</v>
      </c>
      <c r="Y1105" s="45" t="b">
        <v>1</v>
      </c>
      <c r="Z1105" s="45" t="b">
        <v>1</v>
      </c>
      <c r="AA1105" s="45" t="b">
        <v>0</v>
      </c>
      <c r="AB1105" s="45" t="b">
        <v>0</v>
      </c>
      <c r="AC1105" s="45" t="b">
        <v>1</v>
      </c>
      <c r="AD1105" s="45" t="b">
        <v>0</v>
      </c>
      <c r="AE1105" s="45" t="b">
        <v>1</v>
      </c>
      <c r="AF1105" s="45" t="s">
        <v>300</v>
      </c>
      <c r="AG1105" s="45" t="b">
        <v>1</v>
      </c>
      <c r="AH1105" s="45" t="b">
        <v>1</v>
      </c>
    </row>
    <row r="1106" spans="22:34" x14ac:dyDescent="0.25">
      <c r="V1106" t="s">
        <v>564</v>
      </c>
      <c r="W1106" s="45" t="s">
        <v>352</v>
      </c>
      <c r="X1106" s="45" t="b">
        <v>0</v>
      </c>
      <c r="Y1106" s="45" t="b">
        <v>1</v>
      </c>
      <c r="Z1106" s="45" t="b">
        <v>1</v>
      </c>
      <c r="AA1106" s="45" t="b">
        <v>0</v>
      </c>
      <c r="AB1106" s="45" t="b">
        <v>0</v>
      </c>
      <c r="AC1106" s="45" t="b">
        <v>1</v>
      </c>
      <c r="AD1106" s="45" t="b">
        <v>0</v>
      </c>
      <c r="AE1106" s="45" t="b">
        <v>1</v>
      </c>
      <c r="AF1106" s="45" t="s">
        <v>301</v>
      </c>
      <c r="AG1106" s="45" t="b">
        <v>1</v>
      </c>
      <c r="AH1106" s="45" t="b">
        <v>1</v>
      </c>
    </row>
    <row r="1107" spans="22:34" x14ac:dyDescent="0.25">
      <c r="V1107" t="s">
        <v>564</v>
      </c>
      <c r="W1107" s="45" t="s">
        <v>352</v>
      </c>
      <c r="X1107" s="45" t="b">
        <v>0</v>
      </c>
      <c r="Y1107" s="45" t="b">
        <v>1</v>
      </c>
      <c r="Z1107" s="45" t="b">
        <v>1</v>
      </c>
      <c r="AA1107" s="45" t="b">
        <v>0</v>
      </c>
      <c r="AB1107" s="45" t="b">
        <v>0</v>
      </c>
      <c r="AC1107" s="45" t="b">
        <v>1</v>
      </c>
      <c r="AD1107" s="45" t="b">
        <v>0</v>
      </c>
      <c r="AE1107" s="45" t="b">
        <v>1</v>
      </c>
      <c r="AF1107" s="45" t="s">
        <v>120</v>
      </c>
      <c r="AG1107" s="45" t="b">
        <v>1</v>
      </c>
      <c r="AH1107" s="45" t="b">
        <v>1</v>
      </c>
    </row>
    <row r="1108" spans="22:34" x14ac:dyDescent="0.25">
      <c r="V1108" t="s">
        <v>564</v>
      </c>
      <c r="W1108" s="45" t="s">
        <v>352</v>
      </c>
      <c r="X1108" s="45" t="b">
        <v>0</v>
      </c>
      <c r="Y1108" s="45" t="b">
        <v>1</v>
      </c>
      <c r="Z1108" s="45" t="b">
        <v>1</v>
      </c>
      <c r="AA1108" s="45" t="b">
        <v>0</v>
      </c>
      <c r="AB1108" s="45" t="b">
        <v>0</v>
      </c>
      <c r="AC1108" s="45" t="b">
        <v>1</v>
      </c>
      <c r="AD1108" s="45" t="b">
        <v>0</v>
      </c>
      <c r="AE1108" s="45" t="b">
        <v>1</v>
      </c>
      <c r="AF1108" s="45" t="s">
        <v>302</v>
      </c>
      <c r="AG1108" s="45" t="b">
        <v>1</v>
      </c>
      <c r="AH1108" s="45" t="b">
        <v>1</v>
      </c>
    </row>
    <row r="1109" spans="22:34" x14ac:dyDescent="0.25">
      <c r="V1109" t="s">
        <v>564</v>
      </c>
      <c r="W1109" s="45" t="s">
        <v>352</v>
      </c>
      <c r="X1109" s="45" t="b">
        <v>0</v>
      </c>
      <c r="Y1109" s="45" t="b">
        <v>1</v>
      </c>
      <c r="Z1109" s="45" t="b">
        <v>1</v>
      </c>
      <c r="AA1109" s="45" t="b">
        <v>0</v>
      </c>
      <c r="AB1109" s="45" t="b">
        <v>0</v>
      </c>
      <c r="AC1109" s="45" t="b">
        <v>1</v>
      </c>
      <c r="AD1109" s="45" t="b">
        <v>0</v>
      </c>
      <c r="AE1109" s="45" t="b">
        <v>1</v>
      </c>
      <c r="AF1109" s="45" t="s">
        <v>303</v>
      </c>
      <c r="AG1109" s="45" t="b">
        <v>1</v>
      </c>
      <c r="AH1109" s="45" t="b">
        <v>1</v>
      </c>
    </row>
    <row r="1110" spans="22:34" x14ac:dyDescent="0.25">
      <c r="V1110" t="s">
        <v>564</v>
      </c>
      <c r="W1110" s="45" t="s">
        <v>352</v>
      </c>
      <c r="X1110" s="45" t="b">
        <v>0</v>
      </c>
      <c r="Y1110" s="45" t="b">
        <v>1</v>
      </c>
      <c r="Z1110" s="45" t="b">
        <v>1</v>
      </c>
      <c r="AA1110" s="45" t="b">
        <v>0</v>
      </c>
      <c r="AB1110" s="45" t="b">
        <v>0</v>
      </c>
      <c r="AC1110" s="45" t="b">
        <v>1</v>
      </c>
      <c r="AD1110" s="45" t="b">
        <v>0</v>
      </c>
      <c r="AE1110" s="45" t="b">
        <v>1</v>
      </c>
      <c r="AF1110" s="45" t="s">
        <v>304</v>
      </c>
      <c r="AG1110" s="45" t="b">
        <v>1</v>
      </c>
      <c r="AH1110" s="45" t="b">
        <v>1</v>
      </c>
    </row>
    <row r="1111" spans="22:34" x14ac:dyDescent="0.25">
      <c r="V1111" t="s">
        <v>564</v>
      </c>
      <c r="W1111" s="45" t="s">
        <v>352</v>
      </c>
      <c r="X1111" s="45" t="b">
        <v>0</v>
      </c>
      <c r="Y1111" s="45" t="b">
        <v>1</v>
      </c>
      <c r="Z1111" s="45" t="b">
        <v>1</v>
      </c>
      <c r="AA1111" s="45" t="b">
        <v>0</v>
      </c>
      <c r="AB1111" s="45" t="b">
        <v>0</v>
      </c>
      <c r="AC1111" s="45" t="b">
        <v>1</v>
      </c>
      <c r="AD1111" s="45" t="b">
        <v>0</v>
      </c>
      <c r="AE1111" s="45" t="b">
        <v>1</v>
      </c>
      <c r="AF1111" s="45" t="s">
        <v>305</v>
      </c>
      <c r="AG1111" s="45" t="b">
        <v>1</v>
      </c>
      <c r="AH1111" s="45" t="b">
        <v>1</v>
      </c>
    </row>
    <row r="1112" spans="22:34" x14ac:dyDescent="0.25">
      <c r="V1112" t="s">
        <v>564</v>
      </c>
      <c r="W1112" s="45" t="s">
        <v>352</v>
      </c>
      <c r="X1112" s="45" t="b">
        <v>0</v>
      </c>
      <c r="Y1112" s="45" t="b">
        <v>1</v>
      </c>
      <c r="Z1112" s="45" t="b">
        <v>1</v>
      </c>
      <c r="AA1112" s="45" t="b">
        <v>0</v>
      </c>
      <c r="AB1112" s="45" t="b">
        <v>0</v>
      </c>
      <c r="AC1112" s="45" t="b">
        <v>1</v>
      </c>
      <c r="AD1112" s="45" t="b">
        <v>0</v>
      </c>
      <c r="AE1112" s="45" t="b">
        <v>1</v>
      </c>
      <c r="AF1112" s="45" t="s">
        <v>306</v>
      </c>
      <c r="AG1112" s="45" t="b">
        <v>1</v>
      </c>
      <c r="AH1112" s="45" t="b">
        <v>1</v>
      </c>
    </row>
    <row r="1113" spans="22:34" x14ac:dyDescent="0.25">
      <c r="V1113" t="s">
        <v>564</v>
      </c>
      <c r="W1113" s="45" t="s">
        <v>352</v>
      </c>
      <c r="X1113" s="45" t="b">
        <v>0</v>
      </c>
      <c r="Y1113" s="45" t="b">
        <v>1</v>
      </c>
      <c r="Z1113" s="45" t="b">
        <v>1</v>
      </c>
      <c r="AA1113" s="45" t="b">
        <v>0</v>
      </c>
      <c r="AB1113" s="45" t="b">
        <v>0</v>
      </c>
      <c r="AC1113" s="45" t="b">
        <v>1</v>
      </c>
      <c r="AD1113" s="45" t="b">
        <v>0</v>
      </c>
      <c r="AE1113" s="45" t="b">
        <v>1</v>
      </c>
      <c r="AF1113" s="45" t="s">
        <v>307</v>
      </c>
      <c r="AG1113" s="45" t="b">
        <v>1</v>
      </c>
      <c r="AH1113" s="45" t="b">
        <v>1</v>
      </c>
    </row>
    <row r="1114" spans="22:34" x14ac:dyDescent="0.25">
      <c r="V1114" t="s">
        <v>564</v>
      </c>
      <c r="W1114" s="45" t="s">
        <v>352</v>
      </c>
      <c r="X1114" s="45" t="b">
        <v>0</v>
      </c>
      <c r="Y1114" s="45" t="b">
        <v>1</v>
      </c>
      <c r="Z1114" s="45" t="b">
        <v>1</v>
      </c>
      <c r="AA1114" s="45" t="b">
        <v>0</v>
      </c>
      <c r="AB1114" s="45" t="b">
        <v>0</v>
      </c>
      <c r="AC1114" s="45" t="b">
        <v>1</v>
      </c>
      <c r="AD1114" s="45" t="b">
        <v>0</v>
      </c>
      <c r="AE1114" s="45" t="b">
        <v>1</v>
      </c>
      <c r="AF1114" s="45" t="s">
        <v>308</v>
      </c>
      <c r="AG1114" s="45" t="b">
        <v>1</v>
      </c>
      <c r="AH1114" s="45" t="b">
        <v>1</v>
      </c>
    </row>
    <row r="1115" spans="22:34" x14ac:dyDescent="0.25">
      <c r="V1115" t="s">
        <v>564</v>
      </c>
      <c r="W1115" s="45" t="s">
        <v>352</v>
      </c>
      <c r="X1115" s="45" t="b">
        <v>0</v>
      </c>
      <c r="Y1115" s="45" t="b">
        <v>1</v>
      </c>
      <c r="Z1115" s="45" t="b">
        <v>1</v>
      </c>
      <c r="AA1115" s="45" t="b">
        <v>0</v>
      </c>
      <c r="AB1115" s="45" t="b">
        <v>0</v>
      </c>
      <c r="AC1115" s="45" t="b">
        <v>1</v>
      </c>
      <c r="AD1115" s="45" t="b">
        <v>0</v>
      </c>
      <c r="AE1115" s="45" t="b">
        <v>1</v>
      </c>
      <c r="AF1115" s="45" t="s">
        <v>309</v>
      </c>
      <c r="AG1115" s="45" t="b">
        <v>1</v>
      </c>
      <c r="AH1115" s="45" t="b">
        <v>1</v>
      </c>
    </row>
    <row r="1116" spans="22:34" x14ac:dyDescent="0.25">
      <c r="V1116" t="s">
        <v>564</v>
      </c>
      <c r="W1116" s="45" t="s">
        <v>352</v>
      </c>
      <c r="X1116" s="45" t="b">
        <v>0</v>
      </c>
      <c r="Y1116" s="45" t="b">
        <v>1</v>
      </c>
      <c r="Z1116" s="45" t="b">
        <v>1</v>
      </c>
      <c r="AA1116" s="45" t="b">
        <v>0</v>
      </c>
      <c r="AB1116" s="45" t="b">
        <v>0</v>
      </c>
      <c r="AC1116" s="45" t="b">
        <v>1</v>
      </c>
      <c r="AD1116" s="45" t="b">
        <v>0</v>
      </c>
      <c r="AE1116" s="45" t="b">
        <v>1</v>
      </c>
      <c r="AF1116" s="45" t="s">
        <v>310</v>
      </c>
      <c r="AG1116" s="45" t="b">
        <v>1</v>
      </c>
      <c r="AH1116" s="45" t="b">
        <v>1</v>
      </c>
    </row>
    <row r="1117" spans="22:34" x14ac:dyDescent="0.25">
      <c r="V1117" t="s">
        <v>564</v>
      </c>
      <c r="W1117" s="45" t="s">
        <v>352</v>
      </c>
      <c r="X1117" s="45" t="b">
        <v>0</v>
      </c>
      <c r="Y1117" s="45" t="b">
        <v>1</v>
      </c>
      <c r="Z1117" s="45" t="b">
        <v>1</v>
      </c>
      <c r="AA1117" s="45" t="b">
        <v>0</v>
      </c>
      <c r="AB1117" s="45" t="b">
        <v>0</v>
      </c>
      <c r="AC1117" s="45" t="b">
        <v>1</v>
      </c>
      <c r="AD1117" s="45" t="b">
        <v>0</v>
      </c>
      <c r="AE1117" s="45" t="b">
        <v>1</v>
      </c>
      <c r="AF1117" s="45" t="s">
        <v>311</v>
      </c>
      <c r="AG1117" s="45" t="b">
        <v>1</v>
      </c>
      <c r="AH1117" s="45" t="b">
        <v>1</v>
      </c>
    </row>
    <row r="1118" spans="22:34" x14ac:dyDescent="0.25">
      <c r="V1118" t="s">
        <v>564</v>
      </c>
      <c r="W1118" s="45" t="s">
        <v>352</v>
      </c>
      <c r="X1118" s="45" t="b">
        <v>0</v>
      </c>
      <c r="Y1118" s="45" t="b">
        <v>1</v>
      </c>
      <c r="Z1118" s="45" t="b">
        <v>1</v>
      </c>
      <c r="AA1118" s="45" t="b">
        <v>0</v>
      </c>
      <c r="AB1118" s="45" t="b">
        <v>0</v>
      </c>
      <c r="AC1118" s="45" t="b">
        <v>1</v>
      </c>
      <c r="AD1118" s="45" t="b">
        <v>0</v>
      </c>
      <c r="AE1118" s="45" t="b">
        <v>1</v>
      </c>
      <c r="AF1118" s="45" t="s">
        <v>312</v>
      </c>
      <c r="AG1118" s="45" t="b">
        <v>1</v>
      </c>
      <c r="AH1118" s="45" t="b">
        <v>1</v>
      </c>
    </row>
    <row r="1119" spans="22:34" x14ac:dyDescent="0.25">
      <c r="V1119" t="s">
        <v>564</v>
      </c>
      <c r="W1119" s="45" t="s">
        <v>352</v>
      </c>
      <c r="X1119" s="45" t="b">
        <v>0</v>
      </c>
      <c r="Y1119" s="45" t="b">
        <v>1</v>
      </c>
      <c r="Z1119" s="45" t="b">
        <v>1</v>
      </c>
      <c r="AA1119" s="45" t="b">
        <v>0</v>
      </c>
      <c r="AB1119" s="45" t="b">
        <v>0</v>
      </c>
      <c r="AC1119" s="45" t="b">
        <v>1</v>
      </c>
      <c r="AD1119" s="45" t="b">
        <v>0</v>
      </c>
      <c r="AE1119" s="45" t="b">
        <v>1</v>
      </c>
      <c r="AF1119" s="45" t="s">
        <v>313</v>
      </c>
      <c r="AG1119" s="45" t="b">
        <v>1</v>
      </c>
      <c r="AH1119" s="45" t="b">
        <v>1</v>
      </c>
    </row>
    <row r="1120" spans="22:34" x14ac:dyDescent="0.25">
      <c r="V1120" t="s">
        <v>564</v>
      </c>
      <c r="W1120" s="45" t="s">
        <v>352</v>
      </c>
      <c r="X1120" s="45" t="b">
        <v>0</v>
      </c>
      <c r="Y1120" s="45" t="b">
        <v>1</v>
      </c>
      <c r="Z1120" s="45" t="b">
        <v>1</v>
      </c>
      <c r="AA1120" s="45" t="b">
        <v>0</v>
      </c>
      <c r="AB1120" s="45" t="b">
        <v>0</v>
      </c>
      <c r="AC1120" s="45" t="b">
        <v>1</v>
      </c>
      <c r="AD1120" s="45" t="b">
        <v>0</v>
      </c>
      <c r="AE1120" s="45" t="b">
        <v>1</v>
      </c>
      <c r="AF1120" s="45" t="s">
        <v>314</v>
      </c>
      <c r="AG1120" s="45" t="b">
        <v>1</v>
      </c>
      <c r="AH1120" s="45" t="b">
        <v>1</v>
      </c>
    </row>
    <row r="1121" spans="22:34" x14ac:dyDescent="0.25">
      <c r="V1121" t="s">
        <v>564</v>
      </c>
      <c r="W1121" s="45" t="s">
        <v>352</v>
      </c>
      <c r="X1121" s="45" t="b">
        <v>0</v>
      </c>
      <c r="Y1121" s="45" t="b">
        <v>1</v>
      </c>
      <c r="Z1121" s="45" t="b">
        <v>1</v>
      </c>
      <c r="AA1121" s="45" t="b">
        <v>0</v>
      </c>
      <c r="AB1121" s="45" t="b">
        <v>0</v>
      </c>
      <c r="AC1121" s="45" t="b">
        <v>1</v>
      </c>
      <c r="AD1121" s="45" t="b">
        <v>0</v>
      </c>
      <c r="AE1121" s="45" t="b">
        <v>1</v>
      </c>
      <c r="AF1121" s="45" t="s">
        <v>315</v>
      </c>
      <c r="AG1121" s="45" t="b">
        <v>1</v>
      </c>
      <c r="AH1121" s="45" t="b">
        <v>1</v>
      </c>
    </row>
    <row r="1122" spans="22:34" x14ac:dyDescent="0.25">
      <c r="V1122" t="s">
        <v>564</v>
      </c>
      <c r="W1122" s="45" t="s">
        <v>352</v>
      </c>
      <c r="X1122" s="45" t="b">
        <v>0</v>
      </c>
      <c r="Y1122" s="45" t="b">
        <v>1</v>
      </c>
      <c r="Z1122" s="45" t="b">
        <v>1</v>
      </c>
      <c r="AA1122" s="45" t="b">
        <v>0</v>
      </c>
      <c r="AB1122" s="45" t="b">
        <v>0</v>
      </c>
      <c r="AC1122" s="45" t="b">
        <v>1</v>
      </c>
      <c r="AD1122" s="45" t="b">
        <v>0</v>
      </c>
      <c r="AE1122" s="45" t="b">
        <v>1</v>
      </c>
      <c r="AF1122" s="45" t="s">
        <v>316</v>
      </c>
      <c r="AG1122" s="45" t="b">
        <v>1</v>
      </c>
      <c r="AH1122" s="45" t="b">
        <v>1</v>
      </c>
    </row>
    <row r="1123" spans="22:34" x14ac:dyDescent="0.25">
      <c r="V1123" t="s">
        <v>564</v>
      </c>
      <c r="W1123" s="45" t="s">
        <v>352</v>
      </c>
      <c r="X1123" s="45" t="b">
        <v>0</v>
      </c>
      <c r="Y1123" s="45" t="b">
        <v>1</v>
      </c>
      <c r="Z1123" s="45" t="b">
        <v>1</v>
      </c>
      <c r="AA1123" s="45" t="b">
        <v>0</v>
      </c>
      <c r="AB1123" s="45" t="b">
        <v>0</v>
      </c>
      <c r="AC1123" s="45" t="b">
        <v>1</v>
      </c>
      <c r="AD1123" s="45" t="b">
        <v>0</v>
      </c>
      <c r="AE1123" s="45" t="b">
        <v>1</v>
      </c>
      <c r="AF1123" s="45" t="s">
        <v>317</v>
      </c>
      <c r="AG1123" s="45" t="b">
        <v>1</v>
      </c>
      <c r="AH1123" s="45" t="b">
        <v>1</v>
      </c>
    </row>
    <row r="1124" spans="22:34" x14ac:dyDescent="0.25">
      <c r="V1124" t="s">
        <v>564</v>
      </c>
      <c r="W1124" s="45" t="s">
        <v>352</v>
      </c>
      <c r="X1124" s="45" t="b">
        <v>0</v>
      </c>
      <c r="Y1124" s="45" t="b">
        <v>1</v>
      </c>
      <c r="Z1124" s="45" t="b">
        <v>1</v>
      </c>
      <c r="AA1124" s="45" t="b">
        <v>0</v>
      </c>
      <c r="AB1124" s="45" t="b">
        <v>0</v>
      </c>
      <c r="AC1124" s="45" t="b">
        <v>1</v>
      </c>
      <c r="AD1124" s="45" t="b">
        <v>0</v>
      </c>
      <c r="AE1124" s="45" t="b">
        <v>1</v>
      </c>
      <c r="AF1124" s="45" t="s">
        <v>318</v>
      </c>
      <c r="AG1124" s="45" t="b">
        <v>1</v>
      </c>
      <c r="AH1124" s="45" t="b">
        <v>1</v>
      </c>
    </row>
    <row r="1125" spans="22:34" x14ac:dyDescent="0.25">
      <c r="V1125" t="s">
        <v>564</v>
      </c>
      <c r="W1125" s="45" t="s">
        <v>352</v>
      </c>
      <c r="X1125" s="45" t="b">
        <v>0</v>
      </c>
      <c r="Y1125" s="45" t="b">
        <v>1</v>
      </c>
      <c r="Z1125" s="45" t="b">
        <v>1</v>
      </c>
      <c r="AA1125" s="45" t="b">
        <v>0</v>
      </c>
      <c r="AB1125" s="45" t="b">
        <v>0</v>
      </c>
      <c r="AC1125" s="45" t="b">
        <v>1</v>
      </c>
      <c r="AD1125" s="45" t="b">
        <v>0</v>
      </c>
      <c r="AE1125" s="45" t="b">
        <v>1</v>
      </c>
      <c r="AF1125" s="45" t="s">
        <v>319</v>
      </c>
      <c r="AG1125" s="45" t="b">
        <v>1</v>
      </c>
      <c r="AH1125" s="45" t="b">
        <v>1</v>
      </c>
    </row>
    <row r="1126" spans="22:34" x14ac:dyDescent="0.25">
      <c r="V1126" t="s">
        <v>565</v>
      </c>
      <c r="W1126" s="45" t="s">
        <v>353</v>
      </c>
      <c r="X1126" s="45" t="b">
        <v>1</v>
      </c>
      <c r="Y1126" s="45" t="b">
        <v>1</v>
      </c>
      <c r="Z1126" s="45" t="b">
        <v>1</v>
      </c>
      <c r="AA1126" s="45" t="b">
        <v>0</v>
      </c>
      <c r="AB1126" s="45" t="b">
        <v>0</v>
      </c>
      <c r="AC1126" s="45" t="b">
        <v>1</v>
      </c>
      <c r="AD1126" s="45" t="b">
        <v>0</v>
      </c>
      <c r="AE1126" s="45" t="b">
        <v>1</v>
      </c>
      <c r="AF1126" s="45" t="s">
        <v>295</v>
      </c>
      <c r="AG1126" s="45" t="b">
        <v>0</v>
      </c>
      <c r="AH1126" s="45" t="b">
        <v>0</v>
      </c>
    </row>
    <row r="1127" spans="22:34" x14ac:dyDescent="0.25">
      <c r="V1127" t="s">
        <v>565</v>
      </c>
      <c r="W1127" s="45" t="s">
        <v>353</v>
      </c>
      <c r="X1127" s="45" t="b">
        <v>1</v>
      </c>
      <c r="Y1127" s="45" t="b">
        <v>1</v>
      </c>
      <c r="Z1127" s="45" t="b">
        <v>1</v>
      </c>
      <c r="AA1127" s="45" t="b">
        <v>0</v>
      </c>
      <c r="AB1127" s="45" t="b">
        <v>0</v>
      </c>
      <c r="AC1127" s="45" t="b">
        <v>1</v>
      </c>
      <c r="AD1127" s="45" t="b">
        <v>0</v>
      </c>
      <c r="AE1127" s="45" t="b">
        <v>1</v>
      </c>
      <c r="AF1127" s="45" t="s">
        <v>297</v>
      </c>
      <c r="AG1127" s="45" t="b">
        <v>1</v>
      </c>
      <c r="AH1127" s="45" t="b">
        <v>1</v>
      </c>
    </row>
    <row r="1128" spans="22:34" x14ac:dyDescent="0.25">
      <c r="V1128" t="s">
        <v>565</v>
      </c>
      <c r="W1128" s="45" t="s">
        <v>353</v>
      </c>
      <c r="X1128" s="45" t="b">
        <v>1</v>
      </c>
      <c r="Y1128" s="45" t="b">
        <v>1</v>
      </c>
      <c r="Z1128" s="45" t="b">
        <v>1</v>
      </c>
      <c r="AA1128" s="45" t="b">
        <v>0</v>
      </c>
      <c r="AB1128" s="45" t="b">
        <v>0</v>
      </c>
      <c r="AC1128" s="45" t="b">
        <v>1</v>
      </c>
      <c r="AD1128" s="45" t="b">
        <v>0</v>
      </c>
      <c r="AE1128" s="45" t="b">
        <v>1</v>
      </c>
      <c r="AF1128" s="45" t="s">
        <v>112</v>
      </c>
      <c r="AG1128" s="45" t="b">
        <v>1</v>
      </c>
      <c r="AH1128" s="45" t="b">
        <v>1</v>
      </c>
    </row>
    <row r="1129" spans="22:34" x14ac:dyDescent="0.25">
      <c r="V1129" t="s">
        <v>565</v>
      </c>
      <c r="W1129" s="45" t="s">
        <v>353</v>
      </c>
      <c r="X1129" s="45" t="b">
        <v>1</v>
      </c>
      <c r="Y1129" s="45" t="b">
        <v>1</v>
      </c>
      <c r="Z1129" s="45" t="b">
        <v>1</v>
      </c>
      <c r="AA1129" s="45" t="b">
        <v>0</v>
      </c>
      <c r="AB1129" s="45" t="b">
        <v>0</v>
      </c>
      <c r="AC1129" s="45" t="b">
        <v>1</v>
      </c>
      <c r="AD1129" s="45" t="b">
        <v>0</v>
      </c>
      <c r="AE1129" s="45" t="b">
        <v>1</v>
      </c>
      <c r="AF1129" s="45" t="s">
        <v>114</v>
      </c>
      <c r="AG1129" s="45" t="b">
        <v>1</v>
      </c>
      <c r="AH1129" s="45" t="b">
        <v>1</v>
      </c>
    </row>
    <row r="1130" spans="22:34" x14ac:dyDescent="0.25">
      <c r="V1130" t="s">
        <v>565</v>
      </c>
      <c r="W1130" s="45" t="s">
        <v>353</v>
      </c>
      <c r="X1130" s="45" t="b">
        <v>1</v>
      </c>
      <c r="Y1130" s="45" t="b">
        <v>1</v>
      </c>
      <c r="Z1130" s="45" t="b">
        <v>1</v>
      </c>
      <c r="AA1130" s="45" t="b">
        <v>0</v>
      </c>
      <c r="AB1130" s="45" t="b">
        <v>0</v>
      </c>
      <c r="AC1130" s="45" t="b">
        <v>1</v>
      </c>
      <c r="AD1130" s="45" t="b">
        <v>0</v>
      </c>
      <c r="AE1130" s="45" t="b">
        <v>1</v>
      </c>
      <c r="AF1130" s="45" t="s">
        <v>115</v>
      </c>
      <c r="AG1130" s="45" t="b">
        <v>1</v>
      </c>
      <c r="AH1130" s="45" t="b">
        <v>1</v>
      </c>
    </row>
    <row r="1131" spans="22:34" x14ac:dyDescent="0.25">
      <c r="V1131" t="s">
        <v>565</v>
      </c>
      <c r="W1131" s="45" t="s">
        <v>353</v>
      </c>
      <c r="X1131" s="45" t="b">
        <v>1</v>
      </c>
      <c r="Y1131" s="45" t="b">
        <v>1</v>
      </c>
      <c r="Z1131" s="45" t="b">
        <v>1</v>
      </c>
      <c r="AA1131" s="45" t="b">
        <v>0</v>
      </c>
      <c r="AB1131" s="45" t="b">
        <v>0</v>
      </c>
      <c r="AC1131" s="45" t="b">
        <v>1</v>
      </c>
      <c r="AD1131" s="45" t="b">
        <v>0</v>
      </c>
      <c r="AE1131" s="45" t="b">
        <v>1</v>
      </c>
      <c r="AF1131" s="45" t="s">
        <v>116</v>
      </c>
      <c r="AG1131" s="45" t="b">
        <v>1</v>
      </c>
      <c r="AH1131" s="45" t="b">
        <v>1</v>
      </c>
    </row>
    <row r="1132" spans="22:34" x14ac:dyDescent="0.25">
      <c r="V1132" t="s">
        <v>565</v>
      </c>
      <c r="W1132" s="45" t="s">
        <v>353</v>
      </c>
      <c r="X1132" s="45" t="b">
        <v>1</v>
      </c>
      <c r="Y1132" s="45" t="b">
        <v>1</v>
      </c>
      <c r="Z1132" s="45" t="b">
        <v>1</v>
      </c>
      <c r="AA1132" s="45" t="b">
        <v>0</v>
      </c>
      <c r="AB1132" s="45" t="b">
        <v>0</v>
      </c>
      <c r="AC1132" s="45" t="b">
        <v>1</v>
      </c>
      <c r="AD1132" s="45" t="b">
        <v>0</v>
      </c>
      <c r="AE1132" s="45" t="b">
        <v>1</v>
      </c>
      <c r="AF1132" s="45" t="s">
        <v>298</v>
      </c>
      <c r="AG1132" s="45" t="b">
        <v>1</v>
      </c>
      <c r="AH1132" s="45" t="b">
        <v>1</v>
      </c>
    </row>
    <row r="1133" spans="22:34" x14ac:dyDescent="0.25">
      <c r="V1133" t="s">
        <v>565</v>
      </c>
      <c r="W1133" s="45" t="s">
        <v>353</v>
      </c>
      <c r="X1133" s="45" t="b">
        <v>1</v>
      </c>
      <c r="Y1133" s="45" t="b">
        <v>1</v>
      </c>
      <c r="Z1133" s="45" t="b">
        <v>1</v>
      </c>
      <c r="AA1133" s="45" t="b">
        <v>0</v>
      </c>
      <c r="AB1133" s="45" t="b">
        <v>0</v>
      </c>
      <c r="AC1133" s="45" t="b">
        <v>1</v>
      </c>
      <c r="AD1133" s="45" t="b">
        <v>0</v>
      </c>
      <c r="AE1133" s="45" t="b">
        <v>1</v>
      </c>
      <c r="AF1133" s="45" t="s">
        <v>299</v>
      </c>
      <c r="AG1133" s="45" t="b">
        <v>1</v>
      </c>
      <c r="AH1133" s="45" t="b">
        <v>1</v>
      </c>
    </row>
    <row r="1134" spans="22:34" x14ac:dyDescent="0.25">
      <c r="V1134" t="s">
        <v>565</v>
      </c>
      <c r="W1134" s="45" t="s">
        <v>353</v>
      </c>
      <c r="X1134" s="45" t="b">
        <v>1</v>
      </c>
      <c r="Y1134" s="45" t="b">
        <v>1</v>
      </c>
      <c r="Z1134" s="45" t="b">
        <v>1</v>
      </c>
      <c r="AA1134" s="45" t="b">
        <v>0</v>
      </c>
      <c r="AB1134" s="45" t="b">
        <v>0</v>
      </c>
      <c r="AC1134" s="45" t="b">
        <v>1</v>
      </c>
      <c r="AD1134" s="45" t="b">
        <v>0</v>
      </c>
      <c r="AE1134" s="45" t="b">
        <v>1</v>
      </c>
      <c r="AF1134" s="45" t="s">
        <v>414</v>
      </c>
      <c r="AG1134" s="45" t="b">
        <v>1</v>
      </c>
      <c r="AH1134" s="45" t="b">
        <v>1</v>
      </c>
    </row>
    <row r="1135" spans="22:34" x14ac:dyDescent="0.25">
      <c r="V1135" t="s">
        <v>565</v>
      </c>
      <c r="W1135" s="45" t="s">
        <v>353</v>
      </c>
      <c r="X1135" s="45" t="b">
        <v>1</v>
      </c>
      <c r="Y1135" s="45" t="b">
        <v>1</v>
      </c>
      <c r="Z1135" s="45" t="b">
        <v>1</v>
      </c>
      <c r="AA1135" s="45" t="b">
        <v>0</v>
      </c>
      <c r="AB1135" s="45" t="b">
        <v>0</v>
      </c>
      <c r="AC1135" s="45" t="b">
        <v>1</v>
      </c>
      <c r="AD1135" s="45" t="b">
        <v>0</v>
      </c>
      <c r="AE1135" s="45" t="b">
        <v>1</v>
      </c>
      <c r="AF1135" s="45" t="s">
        <v>118</v>
      </c>
      <c r="AG1135" s="45" t="b">
        <v>1</v>
      </c>
      <c r="AH1135" s="45" t="b">
        <v>1</v>
      </c>
    </row>
    <row r="1136" spans="22:34" x14ac:dyDescent="0.25">
      <c r="V1136" t="s">
        <v>565</v>
      </c>
      <c r="W1136" s="45" t="s">
        <v>353</v>
      </c>
      <c r="X1136" s="45" t="b">
        <v>1</v>
      </c>
      <c r="Y1136" s="45" t="b">
        <v>1</v>
      </c>
      <c r="Z1136" s="45" t="b">
        <v>1</v>
      </c>
      <c r="AA1136" s="45" t="b">
        <v>0</v>
      </c>
      <c r="AB1136" s="45" t="b">
        <v>0</v>
      </c>
      <c r="AC1136" s="45" t="b">
        <v>1</v>
      </c>
      <c r="AD1136" s="45" t="b">
        <v>0</v>
      </c>
      <c r="AE1136" s="45" t="b">
        <v>1</v>
      </c>
      <c r="AF1136" s="45" t="s">
        <v>119</v>
      </c>
      <c r="AG1136" s="45" t="b">
        <v>1</v>
      </c>
      <c r="AH1136" s="45" t="b">
        <v>1</v>
      </c>
    </row>
    <row r="1137" spans="22:34" x14ac:dyDescent="0.25">
      <c r="V1137" t="s">
        <v>565</v>
      </c>
      <c r="W1137" s="45" t="s">
        <v>353</v>
      </c>
      <c r="X1137" s="45" t="b">
        <v>1</v>
      </c>
      <c r="Y1137" s="45" t="b">
        <v>1</v>
      </c>
      <c r="Z1137" s="45" t="b">
        <v>1</v>
      </c>
      <c r="AA1137" s="45" t="b">
        <v>0</v>
      </c>
      <c r="AB1137" s="45" t="b">
        <v>0</v>
      </c>
      <c r="AC1137" s="45" t="b">
        <v>1</v>
      </c>
      <c r="AD1137" s="45" t="b">
        <v>0</v>
      </c>
      <c r="AE1137" s="45" t="b">
        <v>1</v>
      </c>
      <c r="AF1137" s="45" t="s">
        <v>300</v>
      </c>
      <c r="AG1137" s="45" t="b">
        <v>1</v>
      </c>
      <c r="AH1137" s="45" t="b">
        <v>1</v>
      </c>
    </row>
    <row r="1138" spans="22:34" x14ac:dyDescent="0.25">
      <c r="V1138" t="s">
        <v>565</v>
      </c>
      <c r="W1138" s="45" t="s">
        <v>353</v>
      </c>
      <c r="X1138" s="45" t="b">
        <v>1</v>
      </c>
      <c r="Y1138" s="45" t="b">
        <v>1</v>
      </c>
      <c r="Z1138" s="45" t="b">
        <v>1</v>
      </c>
      <c r="AA1138" s="45" t="b">
        <v>0</v>
      </c>
      <c r="AB1138" s="45" t="b">
        <v>0</v>
      </c>
      <c r="AC1138" s="45" t="b">
        <v>1</v>
      </c>
      <c r="AD1138" s="45" t="b">
        <v>0</v>
      </c>
      <c r="AE1138" s="45" t="b">
        <v>1</v>
      </c>
      <c r="AF1138" s="45" t="s">
        <v>301</v>
      </c>
      <c r="AG1138" s="45" t="b">
        <v>1</v>
      </c>
      <c r="AH1138" s="45" t="b">
        <v>1</v>
      </c>
    </row>
    <row r="1139" spans="22:34" x14ac:dyDescent="0.25">
      <c r="V1139" t="s">
        <v>565</v>
      </c>
      <c r="W1139" s="45" t="s">
        <v>353</v>
      </c>
      <c r="X1139" s="45" t="b">
        <v>1</v>
      </c>
      <c r="Y1139" s="45" t="b">
        <v>1</v>
      </c>
      <c r="Z1139" s="45" t="b">
        <v>1</v>
      </c>
      <c r="AA1139" s="45" t="b">
        <v>0</v>
      </c>
      <c r="AB1139" s="45" t="b">
        <v>0</v>
      </c>
      <c r="AC1139" s="45" t="b">
        <v>1</v>
      </c>
      <c r="AD1139" s="45" t="b">
        <v>0</v>
      </c>
      <c r="AE1139" s="45" t="b">
        <v>1</v>
      </c>
      <c r="AF1139" s="45" t="s">
        <v>120</v>
      </c>
      <c r="AG1139" s="45" t="b">
        <v>1</v>
      </c>
      <c r="AH1139" s="45" t="b">
        <v>1</v>
      </c>
    </row>
    <row r="1140" spans="22:34" x14ac:dyDescent="0.25">
      <c r="V1140" t="s">
        <v>565</v>
      </c>
      <c r="W1140" s="45" t="s">
        <v>353</v>
      </c>
      <c r="X1140" s="45" t="b">
        <v>1</v>
      </c>
      <c r="Y1140" s="45" t="b">
        <v>1</v>
      </c>
      <c r="Z1140" s="45" t="b">
        <v>1</v>
      </c>
      <c r="AA1140" s="45" t="b">
        <v>0</v>
      </c>
      <c r="AB1140" s="45" t="b">
        <v>0</v>
      </c>
      <c r="AC1140" s="45" t="b">
        <v>1</v>
      </c>
      <c r="AD1140" s="45" t="b">
        <v>0</v>
      </c>
      <c r="AE1140" s="45" t="b">
        <v>1</v>
      </c>
      <c r="AF1140" s="45" t="s">
        <v>302</v>
      </c>
      <c r="AG1140" s="45" t="b">
        <v>1</v>
      </c>
      <c r="AH1140" s="45" t="b">
        <v>1</v>
      </c>
    </row>
    <row r="1141" spans="22:34" x14ac:dyDescent="0.25">
      <c r="V1141" t="s">
        <v>565</v>
      </c>
      <c r="W1141" s="45" t="s">
        <v>353</v>
      </c>
      <c r="X1141" s="45" t="b">
        <v>1</v>
      </c>
      <c r="Y1141" s="45" t="b">
        <v>1</v>
      </c>
      <c r="Z1141" s="45" t="b">
        <v>1</v>
      </c>
      <c r="AA1141" s="45" t="b">
        <v>0</v>
      </c>
      <c r="AB1141" s="45" t="b">
        <v>0</v>
      </c>
      <c r="AC1141" s="45" t="b">
        <v>1</v>
      </c>
      <c r="AD1141" s="45" t="b">
        <v>0</v>
      </c>
      <c r="AE1141" s="45" t="b">
        <v>1</v>
      </c>
      <c r="AF1141" s="45" t="s">
        <v>303</v>
      </c>
      <c r="AG1141" s="45" t="b">
        <v>1</v>
      </c>
      <c r="AH1141" s="45" t="b">
        <v>1</v>
      </c>
    </row>
    <row r="1142" spans="22:34" x14ac:dyDescent="0.25">
      <c r="V1142" t="s">
        <v>565</v>
      </c>
      <c r="W1142" s="45" t="s">
        <v>353</v>
      </c>
      <c r="X1142" s="45" t="b">
        <v>1</v>
      </c>
      <c r="Y1142" s="45" t="b">
        <v>1</v>
      </c>
      <c r="Z1142" s="45" t="b">
        <v>1</v>
      </c>
      <c r="AA1142" s="45" t="b">
        <v>0</v>
      </c>
      <c r="AB1142" s="45" t="b">
        <v>0</v>
      </c>
      <c r="AC1142" s="45" t="b">
        <v>1</v>
      </c>
      <c r="AD1142" s="45" t="b">
        <v>0</v>
      </c>
      <c r="AE1142" s="45" t="b">
        <v>1</v>
      </c>
      <c r="AF1142" s="45" t="s">
        <v>304</v>
      </c>
      <c r="AG1142" s="45" t="b">
        <v>1</v>
      </c>
      <c r="AH1142" s="45" t="b">
        <v>1</v>
      </c>
    </row>
    <row r="1143" spans="22:34" x14ac:dyDescent="0.25">
      <c r="V1143" t="s">
        <v>565</v>
      </c>
      <c r="W1143" s="45" t="s">
        <v>353</v>
      </c>
      <c r="X1143" s="45" t="b">
        <v>1</v>
      </c>
      <c r="Y1143" s="45" t="b">
        <v>1</v>
      </c>
      <c r="Z1143" s="45" t="b">
        <v>1</v>
      </c>
      <c r="AA1143" s="45" t="b">
        <v>0</v>
      </c>
      <c r="AB1143" s="45" t="b">
        <v>0</v>
      </c>
      <c r="AC1143" s="45" t="b">
        <v>1</v>
      </c>
      <c r="AD1143" s="45" t="b">
        <v>0</v>
      </c>
      <c r="AE1143" s="45" t="b">
        <v>1</v>
      </c>
      <c r="AF1143" s="45" t="s">
        <v>305</v>
      </c>
      <c r="AG1143" s="45" t="b">
        <v>1</v>
      </c>
      <c r="AH1143" s="45" t="b">
        <v>1</v>
      </c>
    </row>
    <row r="1144" spans="22:34" x14ac:dyDescent="0.25">
      <c r="V1144" t="s">
        <v>565</v>
      </c>
      <c r="W1144" s="45" t="s">
        <v>353</v>
      </c>
      <c r="X1144" s="45" t="b">
        <v>1</v>
      </c>
      <c r="Y1144" s="45" t="b">
        <v>1</v>
      </c>
      <c r="Z1144" s="45" t="b">
        <v>1</v>
      </c>
      <c r="AA1144" s="45" t="b">
        <v>0</v>
      </c>
      <c r="AB1144" s="45" t="b">
        <v>0</v>
      </c>
      <c r="AC1144" s="45" t="b">
        <v>1</v>
      </c>
      <c r="AD1144" s="45" t="b">
        <v>0</v>
      </c>
      <c r="AE1144" s="45" t="b">
        <v>1</v>
      </c>
      <c r="AF1144" s="45" t="s">
        <v>306</v>
      </c>
      <c r="AG1144" s="45" t="b">
        <v>1</v>
      </c>
      <c r="AH1144" s="45" t="b">
        <v>1</v>
      </c>
    </row>
    <row r="1145" spans="22:34" x14ac:dyDescent="0.25">
      <c r="V1145" t="s">
        <v>565</v>
      </c>
      <c r="W1145" s="45" t="s">
        <v>353</v>
      </c>
      <c r="X1145" s="45" t="b">
        <v>1</v>
      </c>
      <c r="Y1145" s="45" t="b">
        <v>1</v>
      </c>
      <c r="Z1145" s="45" t="b">
        <v>1</v>
      </c>
      <c r="AA1145" s="45" t="b">
        <v>0</v>
      </c>
      <c r="AB1145" s="45" t="b">
        <v>0</v>
      </c>
      <c r="AC1145" s="45" t="b">
        <v>1</v>
      </c>
      <c r="AD1145" s="45" t="b">
        <v>0</v>
      </c>
      <c r="AE1145" s="45" t="b">
        <v>1</v>
      </c>
      <c r="AF1145" s="45" t="s">
        <v>307</v>
      </c>
      <c r="AG1145" s="45" t="b">
        <v>1</v>
      </c>
      <c r="AH1145" s="45" t="b">
        <v>1</v>
      </c>
    </row>
    <row r="1146" spans="22:34" x14ac:dyDescent="0.25">
      <c r="V1146" t="s">
        <v>565</v>
      </c>
      <c r="W1146" s="45" t="s">
        <v>353</v>
      </c>
      <c r="X1146" s="45" t="b">
        <v>1</v>
      </c>
      <c r="Y1146" s="45" t="b">
        <v>1</v>
      </c>
      <c r="Z1146" s="45" t="b">
        <v>1</v>
      </c>
      <c r="AA1146" s="45" t="b">
        <v>0</v>
      </c>
      <c r="AB1146" s="45" t="b">
        <v>0</v>
      </c>
      <c r="AC1146" s="45" t="b">
        <v>1</v>
      </c>
      <c r="AD1146" s="45" t="b">
        <v>0</v>
      </c>
      <c r="AE1146" s="45" t="b">
        <v>1</v>
      </c>
      <c r="AF1146" s="45" t="s">
        <v>308</v>
      </c>
      <c r="AG1146" s="45" t="b">
        <v>1</v>
      </c>
      <c r="AH1146" s="45" t="b">
        <v>1</v>
      </c>
    </row>
    <row r="1147" spans="22:34" x14ac:dyDescent="0.25">
      <c r="V1147" t="s">
        <v>565</v>
      </c>
      <c r="W1147" s="45" t="s">
        <v>353</v>
      </c>
      <c r="X1147" s="45" t="b">
        <v>1</v>
      </c>
      <c r="Y1147" s="45" t="b">
        <v>1</v>
      </c>
      <c r="Z1147" s="45" t="b">
        <v>1</v>
      </c>
      <c r="AA1147" s="45" t="b">
        <v>0</v>
      </c>
      <c r="AB1147" s="45" t="b">
        <v>0</v>
      </c>
      <c r="AC1147" s="45" t="b">
        <v>1</v>
      </c>
      <c r="AD1147" s="45" t="b">
        <v>0</v>
      </c>
      <c r="AE1147" s="45" t="b">
        <v>1</v>
      </c>
      <c r="AF1147" s="45" t="s">
        <v>309</v>
      </c>
      <c r="AG1147" s="45" t="b">
        <v>1</v>
      </c>
      <c r="AH1147" s="45" t="b">
        <v>1</v>
      </c>
    </row>
    <row r="1148" spans="22:34" x14ac:dyDescent="0.25">
      <c r="V1148" t="s">
        <v>565</v>
      </c>
      <c r="W1148" s="45" t="s">
        <v>353</v>
      </c>
      <c r="X1148" s="45" t="b">
        <v>1</v>
      </c>
      <c r="Y1148" s="45" t="b">
        <v>1</v>
      </c>
      <c r="Z1148" s="45" t="b">
        <v>1</v>
      </c>
      <c r="AA1148" s="45" t="b">
        <v>0</v>
      </c>
      <c r="AB1148" s="45" t="b">
        <v>0</v>
      </c>
      <c r="AC1148" s="45" t="b">
        <v>1</v>
      </c>
      <c r="AD1148" s="45" t="b">
        <v>0</v>
      </c>
      <c r="AE1148" s="45" t="b">
        <v>1</v>
      </c>
      <c r="AF1148" s="45" t="s">
        <v>310</v>
      </c>
      <c r="AG1148" s="45" t="b">
        <v>1</v>
      </c>
      <c r="AH1148" s="45" t="b">
        <v>1</v>
      </c>
    </row>
    <row r="1149" spans="22:34" x14ac:dyDescent="0.25">
      <c r="V1149" t="s">
        <v>565</v>
      </c>
      <c r="W1149" s="45" t="s">
        <v>353</v>
      </c>
      <c r="X1149" s="45" t="b">
        <v>1</v>
      </c>
      <c r="Y1149" s="45" t="b">
        <v>1</v>
      </c>
      <c r="Z1149" s="45" t="b">
        <v>1</v>
      </c>
      <c r="AA1149" s="45" t="b">
        <v>0</v>
      </c>
      <c r="AB1149" s="45" t="b">
        <v>0</v>
      </c>
      <c r="AC1149" s="45" t="b">
        <v>1</v>
      </c>
      <c r="AD1149" s="45" t="b">
        <v>0</v>
      </c>
      <c r="AE1149" s="45" t="b">
        <v>1</v>
      </c>
      <c r="AF1149" s="45" t="s">
        <v>311</v>
      </c>
      <c r="AG1149" s="45" t="b">
        <v>1</v>
      </c>
      <c r="AH1149" s="45" t="b">
        <v>1</v>
      </c>
    </row>
    <row r="1150" spans="22:34" x14ac:dyDescent="0.25">
      <c r="V1150" t="s">
        <v>565</v>
      </c>
      <c r="W1150" s="45" t="s">
        <v>353</v>
      </c>
      <c r="X1150" s="45" t="b">
        <v>1</v>
      </c>
      <c r="Y1150" s="45" t="b">
        <v>1</v>
      </c>
      <c r="Z1150" s="45" t="b">
        <v>1</v>
      </c>
      <c r="AA1150" s="45" t="b">
        <v>0</v>
      </c>
      <c r="AB1150" s="45" t="b">
        <v>0</v>
      </c>
      <c r="AC1150" s="45" t="b">
        <v>1</v>
      </c>
      <c r="AD1150" s="45" t="b">
        <v>0</v>
      </c>
      <c r="AE1150" s="45" t="b">
        <v>1</v>
      </c>
      <c r="AF1150" s="45" t="s">
        <v>312</v>
      </c>
      <c r="AG1150" s="45" t="b">
        <v>1</v>
      </c>
      <c r="AH1150" s="45" t="b">
        <v>1</v>
      </c>
    </row>
    <row r="1151" spans="22:34" x14ac:dyDescent="0.25">
      <c r="V1151" t="s">
        <v>565</v>
      </c>
      <c r="W1151" s="45" t="s">
        <v>353</v>
      </c>
      <c r="X1151" s="45" t="b">
        <v>1</v>
      </c>
      <c r="Y1151" s="45" t="b">
        <v>1</v>
      </c>
      <c r="Z1151" s="45" t="b">
        <v>1</v>
      </c>
      <c r="AA1151" s="45" t="b">
        <v>0</v>
      </c>
      <c r="AB1151" s="45" t="b">
        <v>0</v>
      </c>
      <c r="AC1151" s="45" t="b">
        <v>1</v>
      </c>
      <c r="AD1151" s="45" t="b">
        <v>0</v>
      </c>
      <c r="AE1151" s="45" t="b">
        <v>1</v>
      </c>
      <c r="AF1151" s="45" t="s">
        <v>313</v>
      </c>
      <c r="AG1151" s="45" t="b">
        <v>1</v>
      </c>
      <c r="AH1151" s="45" t="b">
        <v>1</v>
      </c>
    </row>
    <row r="1152" spans="22:34" x14ac:dyDescent="0.25">
      <c r="V1152" t="s">
        <v>565</v>
      </c>
      <c r="W1152" s="45" t="s">
        <v>353</v>
      </c>
      <c r="X1152" s="45" t="b">
        <v>1</v>
      </c>
      <c r="Y1152" s="45" t="b">
        <v>1</v>
      </c>
      <c r="Z1152" s="45" t="b">
        <v>1</v>
      </c>
      <c r="AA1152" s="45" t="b">
        <v>0</v>
      </c>
      <c r="AB1152" s="45" t="b">
        <v>0</v>
      </c>
      <c r="AC1152" s="45" t="b">
        <v>1</v>
      </c>
      <c r="AD1152" s="45" t="b">
        <v>0</v>
      </c>
      <c r="AE1152" s="45" t="b">
        <v>1</v>
      </c>
      <c r="AF1152" s="45" t="s">
        <v>314</v>
      </c>
      <c r="AG1152" s="45" t="b">
        <v>1</v>
      </c>
      <c r="AH1152" s="45" t="b">
        <v>1</v>
      </c>
    </row>
    <row r="1153" spans="22:34" x14ac:dyDescent="0.25">
      <c r="V1153" t="s">
        <v>565</v>
      </c>
      <c r="W1153" s="45" t="s">
        <v>353</v>
      </c>
      <c r="X1153" s="45" t="b">
        <v>1</v>
      </c>
      <c r="Y1153" s="45" t="b">
        <v>1</v>
      </c>
      <c r="Z1153" s="45" t="b">
        <v>1</v>
      </c>
      <c r="AA1153" s="45" t="b">
        <v>0</v>
      </c>
      <c r="AB1153" s="45" t="b">
        <v>0</v>
      </c>
      <c r="AC1153" s="45" t="b">
        <v>1</v>
      </c>
      <c r="AD1153" s="45" t="b">
        <v>0</v>
      </c>
      <c r="AE1153" s="45" t="b">
        <v>1</v>
      </c>
      <c r="AF1153" s="45" t="s">
        <v>315</v>
      </c>
      <c r="AG1153" s="45" t="b">
        <v>1</v>
      </c>
      <c r="AH1153" s="45" t="b">
        <v>1</v>
      </c>
    </row>
    <row r="1154" spans="22:34" x14ac:dyDescent="0.25">
      <c r="V1154" t="s">
        <v>565</v>
      </c>
      <c r="W1154" s="45" t="s">
        <v>353</v>
      </c>
      <c r="X1154" s="45" t="b">
        <v>1</v>
      </c>
      <c r="Y1154" s="45" t="b">
        <v>1</v>
      </c>
      <c r="Z1154" s="45" t="b">
        <v>1</v>
      </c>
      <c r="AA1154" s="45" t="b">
        <v>0</v>
      </c>
      <c r="AB1154" s="45" t="b">
        <v>0</v>
      </c>
      <c r="AC1154" s="45" t="b">
        <v>1</v>
      </c>
      <c r="AD1154" s="45" t="b">
        <v>0</v>
      </c>
      <c r="AE1154" s="45" t="b">
        <v>1</v>
      </c>
      <c r="AF1154" s="45" t="s">
        <v>316</v>
      </c>
      <c r="AG1154" s="45" t="b">
        <v>1</v>
      </c>
      <c r="AH1154" s="45" t="b">
        <v>1</v>
      </c>
    </row>
    <row r="1155" spans="22:34" x14ac:dyDescent="0.25">
      <c r="V1155" t="s">
        <v>565</v>
      </c>
      <c r="W1155" s="45" t="s">
        <v>353</v>
      </c>
      <c r="X1155" s="45" t="b">
        <v>1</v>
      </c>
      <c r="Y1155" s="45" t="b">
        <v>1</v>
      </c>
      <c r="Z1155" s="45" t="b">
        <v>1</v>
      </c>
      <c r="AA1155" s="45" t="b">
        <v>0</v>
      </c>
      <c r="AB1155" s="45" t="b">
        <v>0</v>
      </c>
      <c r="AC1155" s="45" t="b">
        <v>1</v>
      </c>
      <c r="AD1155" s="45" t="b">
        <v>0</v>
      </c>
      <c r="AE1155" s="45" t="b">
        <v>1</v>
      </c>
      <c r="AF1155" s="45" t="s">
        <v>317</v>
      </c>
      <c r="AG1155" s="45" t="b">
        <v>1</v>
      </c>
      <c r="AH1155" s="45" t="b">
        <v>1</v>
      </c>
    </row>
    <row r="1156" spans="22:34" x14ac:dyDescent="0.25">
      <c r="V1156" t="s">
        <v>565</v>
      </c>
      <c r="W1156" s="45" t="s">
        <v>353</v>
      </c>
      <c r="X1156" s="45" t="b">
        <v>1</v>
      </c>
      <c r="Y1156" s="45" t="b">
        <v>1</v>
      </c>
      <c r="Z1156" s="45" t="b">
        <v>1</v>
      </c>
      <c r="AA1156" s="45" t="b">
        <v>0</v>
      </c>
      <c r="AB1156" s="45" t="b">
        <v>0</v>
      </c>
      <c r="AC1156" s="45" t="b">
        <v>1</v>
      </c>
      <c r="AD1156" s="45" t="b">
        <v>0</v>
      </c>
      <c r="AE1156" s="45" t="b">
        <v>1</v>
      </c>
      <c r="AF1156" s="45" t="s">
        <v>318</v>
      </c>
      <c r="AG1156" s="45" t="b">
        <v>1</v>
      </c>
      <c r="AH1156" s="45" t="b">
        <v>1</v>
      </c>
    </row>
    <row r="1157" spans="22:34" x14ac:dyDescent="0.25">
      <c r="V1157" t="s">
        <v>565</v>
      </c>
      <c r="W1157" s="45" t="s">
        <v>353</v>
      </c>
      <c r="X1157" s="45" t="b">
        <v>1</v>
      </c>
      <c r="Y1157" s="45" t="b">
        <v>1</v>
      </c>
      <c r="Z1157" s="45" t="b">
        <v>1</v>
      </c>
      <c r="AA1157" s="45" t="b">
        <v>0</v>
      </c>
      <c r="AB1157" s="45" t="b">
        <v>0</v>
      </c>
      <c r="AC1157" s="45" t="b">
        <v>1</v>
      </c>
      <c r="AD1157" s="45" t="b">
        <v>0</v>
      </c>
      <c r="AE1157" s="45" t="b">
        <v>1</v>
      </c>
      <c r="AF1157" s="45" t="s">
        <v>319</v>
      </c>
      <c r="AG1157" s="45" t="b">
        <v>1</v>
      </c>
      <c r="AH1157" s="45" t="b">
        <v>1</v>
      </c>
    </row>
    <row r="1158" spans="22:34" x14ac:dyDescent="0.25">
      <c r="V1158" t="s">
        <v>566</v>
      </c>
      <c r="W1158" s="45" t="s">
        <v>354</v>
      </c>
      <c r="X1158" s="45" t="b">
        <v>1</v>
      </c>
      <c r="Y1158" s="45" t="b">
        <v>1</v>
      </c>
      <c r="Z1158" s="45" t="b">
        <v>1</v>
      </c>
      <c r="AA1158" s="45" t="b">
        <v>0</v>
      </c>
      <c r="AB1158" s="45" t="b">
        <v>0</v>
      </c>
      <c r="AC1158" s="45" t="b">
        <v>1</v>
      </c>
      <c r="AD1158" s="45" t="b">
        <v>0</v>
      </c>
      <c r="AE1158" s="45" t="b">
        <v>1</v>
      </c>
      <c r="AF1158" s="45" t="s">
        <v>295</v>
      </c>
      <c r="AG1158" s="45" t="b">
        <v>0</v>
      </c>
      <c r="AH1158" s="45" t="b">
        <v>0</v>
      </c>
    </row>
    <row r="1159" spans="22:34" x14ac:dyDescent="0.25">
      <c r="V1159" t="s">
        <v>566</v>
      </c>
      <c r="W1159" s="45" t="s">
        <v>354</v>
      </c>
      <c r="X1159" s="45" t="b">
        <v>1</v>
      </c>
      <c r="Y1159" s="45" t="b">
        <v>1</v>
      </c>
      <c r="Z1159" s="45" t="b">
        <v>1</v>
      </c>
      <c r="AA1159" s="45" t="b">
        <v>0</v>
      </c>
      <c r="AB1159" s="45" t="b">
        <v>0</v>
      </c>
      <c r="AC1159" s="45" t="b">
        <v>1</v>
      </c>
      <c r="AD1159" s="45" t="b">
        <v>0</v>
      </c>
      <c r="AE1159" s="45" t="b">
        <v>1</v>
      </c>
      <c r="AF1159" s="45" t="s">
        <v>297</v>
      </c>
      <c r="AG1159" s="45" t="b">
        <v>1</v>
      </c>
      <c r="AH1159" s="45" t="b">
        <v>1</v>
      </c>
    </row>
    <row r="1160" spans="22:34" x14ac:dyDescent="0.25">
      <c r="V1160" t="s">
        <v>566</v>
      </c>
      <c r="W1160" s="45" t="s">
        <v>354</v>
      </c>
      <c r="X1160" s="45" t="b">
        <v>1</v>
      </c>
      <c r="Y1160" s="45" t="b">
        <v>1</v>
      </c>
      <c r="Z1160" s="45" t="b">
        <v>1</v>
      </c>
      <c r="AA1160" s="45" t="b">
        <v>0</v>
      </c>
      <c r="AB1160" s="45" t="b">
        <v>0</v>
      </c>
      <c r="AC1160" s="45" t="b">
        <v>1</v>
      </c>
      <c r="AD1160" s="45" t="b">
        <v>0</v>
      </c>
      <c r="AE1160" s="45" t="b">
        <v>1</v>
      </c>
      <c r="AF1160" s="45" t="s">
        <v>112</v>
      </c>
      <c r="AG1160" s="45" t="b">
        <v>1</v>
      </c>
      <c r="AH1160" s="45" t="b">
        <v>1</v>
      </c>
    </row>
    <row r="1161" spans="22:34" x14ac:dyDescent="0.25">
      <c r="V1161" t="s">
        <v>566</v>
      </c>
      <c r="W1161" s="45" t="s">
        <v>354</v>
      </c>
      <c r="X1161" s="45" t="b">
        <v>1</v>
      </c>
      <c r="Y1161" s="45" t="b">
        <v>1</v>
      </c>
      <c r="Z1161" s="45" t="b">
        <v>1</v>
      </c>
      <c r="AA1161" s="45" t="b">
        <v>0</v>
      </c>
      <c r="AB1161" s="45" t="b">
        <v>0</v>
      </c>
      <c r="AC1161" s="45" t="b">
        <v>1</v>
      </c>
      <c r="AD1161" s="45" t="b">
        <v>0</v>
      </c>
      <c r="AE1161" s="45" t="b">
        <v>1</v>
      </c>
      <c r="AF1161" s="45" t="s">
        <v>114</v>
      </c>
      <c r="AG1161" s="45" t="b">
        <v>1</v>
      </c>
      <c r="AH1161" s="45" t="b">
        <v>1</v>
      </c>
    </row>
    <row r="1162" spans="22:34" x14ac:dyDescent="0.25">
      <c r="V1162" t="s">
        <v>566</v>
      </c>
      <c r="W1162" s="45" t="s">
        <v>354</v>
      </c>
      <c r="X1162" s="45" t="b">
        <v>1</v>
      </c>
      <c r="Y1162" s="45" t="b">
        <v>1</v>
      </c>
      <c r="Z1162" s="45" t="b">
        <v>1</v>
      </c>
      <c r="AA1162" s="45" t="b">
        <v>0</v>
      </c>
      <c r="AB1162" s="45" t="b">
        <v>0</v>
      </c>
      <c r="AC1162" s="45" t="b">
        <v>1</v>
      </c>
      <c r="AD1162" s="45" t="b">
        <v>0</v>
      </c>
      <c r="AE1162" s="45" t="b">
        <v>1</v>
      </c>
      <c r="AF1162" s="45" t="s">
        <v>115</v>
      </c>
      <c r="AG1162" s="45" t="b">
        <v>1</v>
      </c>
      <c r="AH1162" s="45" t="b">
        <v>1</v>
      </c>
    </row>
    <row r="1163" spans="22:34" x14ac:dyDescent="0.25">
      <c r="V1163" t="s">
        <v>566</v>
      </c>
      <c r="W1163" s="45" t="s">
        <v>354</v>
      </c>
      <c r="X1163" s="45" t="b">
        <v>1</v>
      </c>
      <c r="Y1163" s="45" t="b">
        <v>1</v>
      </c>
      <c r="Z1163" s="45" t="b">
        <v>1</v>
      </c>
      <c r="AA1163" s="45" t="b">
        <v>0</v>
      </c>
      <c r="AB1163" s="45" t="b">
        <v>0</v>
      </c>
      <c r="AC1163" s="45" t="b">
        <v>1</v>
      </c>
      <c r="AD1163" s="45" t="b">
        <v>0</v>
      </c>
      <c r="AE1163" s="45" t="b">
        <v>1</v>
      </c>
      <c r="AF1163" s="45" t="s">
        <v>116</v>
      </c>
      <c r="AG1163" s="45" t="b">
        <v>1</v>
      </c>
      <c r="AH1163" s="45" t="b">
        <v>1</v>
      </c>
    </row>
    <row r="1164" spans="22:34" x14ac:dyDescent="0.25">
      <c r="V1164" t="s">
        <v>566</v>
      </c>
      <c r="W1164" s="45" t="s">
        <v>354</v>
      </c>
      <c r="X1164" s="45" t="b">
        <v>1</v>
      </c>
      <c r="Y1164" s="45" t="b">
        <v>1</v>
      </c>
      <c r="Z1164" s="45" t="b">
        <v>1</v>
      </c>
      <c r="AA1164" s="45" t="b">
        <v>0</v>
      </c>
      <c r="AB1164" s="45" t="b">
        <v>0</v>
      </c>
      <c r="AC1164" s="45" t="b">
        <v>1</v>
      </c>
      <c r="AD1164" s="45" t="b">
        <v>0</v>
      </c>
      <c r="AE1164" s="45" t="b">
        <v>1</v>
      </c>
      <c r="AF1164" s="45" t="s">
        <v>298</v>
      </c>
      <c r="AG1164" s="45" t="b">
        <v>1</v>
      </c>
      <c r="AH1164" s="45" t="b">
        <v>1</v>
      </c>
    </row>
    <row r="1165" spans="22:34" x14ac:dyDescent="0.25">
      <c r="V1165" t="s">
        <v>566</v>
      </c>
      <c r="W1165" s="45" t="s">
        <v>354</v>
      </c>
      <c r="X1165" s="45" t="b">
        <v>1</v>
      </c>
      <c r="Y1165" s="45" t="b">
        <v>1</v>
      </c>
      <c r="Z1165" s="45" t="b">
        <v>1</v>
      </c>
      <c r="AA1165" s="45" t="b">
        <v>0</v>
      </c>
      <c r="AB1165" s="45" t="b">
        <v>0</v>
      </c>
      <c r="AC1165" s="45" t="b">
        <v>1</v>
      </c>
      <c r="AD1165" s="45" t="b">
        <v>0</v>
      </c>
      <c r="AE1165" s="45" t="b">
        <v>1</v>
      </c>
      <c r="AF1165" s="45" t="s">
        <v>299</v>
      </c>
      <c r="AG1165" s="45" t="b">
        <v>1</v>
      </c>
      <c r="AH1165" s="45" t="b">
        <v>1</v>
      </c>
    </row>
    <row r="1166" spans="22:34" x14ac:dyDescent="0.25">
      <c r="V1166" t="s">
        <v>566</v>
      </c>
      <c r="W1166" s="45" t="s">
        <v>354</v>
      </c>
      <c r="X1166" s="45" t="b">
        <v>1</v>
      </c>
      <c r="Y1166" s="45" t="b">
        <v>1</v>
      </c>
      <c r="Z1166" s="45" t="b">
        <v>1</v>
      </c>
      <c r="AA1166" s="45" t="b">
        <v>0</v>
      </c>
      <c r="AB1166" s="45" t="b">
        <v>0</v>
      </c>
      <c r="AC1166" s="45" t="b">
        <v>1</v>
      </c>
      <c r="AD1166" s="45" t="b">
        <v>0</v>
      </c>
      <c r="AE1166" s="45" t="b">
        <v>1</v>
      </c>
      <c r="AF1166" s="45" t="s">
        <v>414</v>
      </c>
      <c r="AG1166" s="45" t="b">
        <v>1</v>
      </c>
      <c r="AH1166" s="45" t="b">
        <v>1</v>
      </c>
    </row>
    <row r="1167" spans="22:34" x14ac:dyDescent="0.25">
      <c r="V1167" t="s">
        <v>566</v>
      </c>
      <c r="W1167" s="45" t="s">
        <v>354</v>
      </c>
      <c r="X1167" s="45" t="b">
        <v>1</v>
      </c>
      <c r="Y1167" s="45" t="b">
        <v>1</v>
      </c>
      <c r="Z1167" s="45" t="b">
        <v>1</v>
      </c>
      <c r="AA1167" s="45" t="b">
        <v>0</v>
      </c>
      <c r="AB1167" s="45" t="b">
        <v>0</v>
      </c>
      <c r="AC1167" s="45" t="b">
        <v>1</v>
      </c>
      <c r="AD1167" s="45" t="b">
        <v>0</v>
      </c>
      <c r="AE1167" s="45" t="b">
        <v>1</v>
      </c>
      <c r="AF1167" s="45" t="s">
        <v>118</v>
      </c>
      <c r="AG1167" s="45" t="b">
        <v>1</v>
      </c>
      <c r="AH1167" s="45" t="b">
        <v>1</v>
      </c>
    </row>
    <row r="1168" spans="22:34" x14ac:dyDescent="0.25">
      <c r="V1168" t="s">
        <v>566</v>
      </c>
      <c r="W1168" s="45" t="s">
        <v>354</v>
      </c>
      <c r="X1168" s="45" t="b">
        <v>1</v>
      </c>
      <c r="Y1168" s="45" t="b">
        <v>1</v>
      </c>
      <c r="Z1168" s="45" t="b">
        <v>1</v>
      </c>
      <c r="AA1168" s="45" t="b">
        <v>0</v>
      </c>
      <c r="AB1168" s="45" t="b">
        <v>0</v>
      </c>
      <c r="AC1168" s="45" t="b">
        <v>1</v>
      </c>
      <c r="AD1168" s="45" t="b">
        <v>0</v>
      </c>
      <c r="AE1168" s="45" t="b">
        <v>1</v>
      </c>
      <c r="AF1168" s="45" t="s">
        <v>119</v>
      </c>
      <c r="AG1168" s="45" t="b">
        <v>1</v>
      </c>
      <c r="AH1168" s="45" t="b">
        <v>1</v>
      </c>
    </row>
    <row r="1169" spans="22:34" x14ac:dyDescent="0.25">
      <c r="V1169" t="s">
        <v>566</v>
      </c>
      <c r="W1169" s="45" t="s">
        <v>354</v>
      </c>
      <c r="X1169" s="45" t="b">
        <v>1</v>
      </c>
      <c r="Y1169" s="45" t="b">
        <v>1</v>
      </c>
      <c r="Z1169" s="45" t="b">
        <v>1</v>
      </c>
      <c r="AA1169" s="45" t="b">
        <v>0</v>
      </c>
      <c r="AB1169" s="45" t="b">
        <v>0</v>
      </c>
      <c r="AC1169" s="45" t="b">
        <v>1</v>
      </c>
      <c r="AD1169" s="45" t="b">
        <v>0</v>
      </c>
      <c r="AE1169" s="45" t="b">
        <v>1</v>
      </c>
      <c r="AF1169" s="45" t="s">
        <v>300</v>
      </c>
      <c r="AG1169" s="45" t="b">
        <v>1</v>
      </c>
      <c r="AH1169" s="45" t="b">
        <v>1</v>
      </c>
    </row>
    <row r="1170" spans="22:34" x14ac:dyDescent="0.25">
      <c r="V1170" t="s">
        <v>566</v>
      </c>
      <c r="W1170" s="45" t="s">
        <v>354</v>
      </c>
      <c r="X1170" s="45" t="b">
        <v>1</v>
      </c>
      <c r="Y1170" s="45" t="b">
        <v>1</v>
      </c>
      <c r="Z1170" s="45" t="b">
        <v>1</v>
      </c>
      <c r="AA1170" s="45" t="b">
        <v>0</v>
      </c>
      <c r="AB1170" s="45" t="b">
        <v>0</v>
      </c>
      <c r="AC1170" s="45" t="b">
        <v>1</v>
      </c>
      <c r="AD1170" s="45" t="b">
        <v>0</v>
      </c>
      <c r="AE1170" s="45" t="b">
        <v>1</v>
      </c>
      <c r="AF1170" s="45" t="s">
        <v>301</v>
      </c>
      <c r="AG1170" s="45" t="b">
        <v>1</v>
      </c>
      <c r="AH1170" s="45" t="b">
        <v>1</v>
      </c>
    </row>
    <row r="1171" spans="22:34" x14ac:dyDescent="0.25">
      <c r="V1171" t="s">
        <v>566</v>
      </c>
      <c r="W1171" s="45" t="s">
        <v>354</v>
      </c>
      <c r="X1171" s="45" t="b">
        <v>1</v>
      </c>
      <c r="Y1171" s="45" t="b">
        <v>1</v>
      </c>
      <c r="Z1171" s="45" t="b">
        <v>1</v>
      </c>
      <c r="AA1171" s="45" t="b">
        <v>0</v>
      </c>
      <c r="AB1171" s="45" t="b">
        <v>0</v>
      </c>
      <c r="AC1171" s="45" t="b">
        <v>1</v>
      </c>
      <c r="AD1171" s="45" t="b">
        <v>0</v>
      </c>
      <c r="AE1171" s="45" t="b">
        <v>1</v>
      </c>
      <c r="AF1171" s="45" t="s">
        <v>120</v>
      </c>
      <c r="AG1171" s="45" t="b">
        <v>1</v>
      </c>
      <c r="AH1171" s="45" t="b">
        <v>1</v>
      </c>
    </row>
    <row r="1172" spans="22:34" x14ac:dyDescent="0.25">
      <c r="V1172" t="s">
        <v>566</v>
      </c>
      <c r="W1172" s="45" t="s">
        <v>354</v>
      </c>
      <c r="X1172" s="45" t="b">
        <v>1</v>
      </c>
      <c r="Y1172" s="45" t="b">
        <v>1</v>
      </c>
      <c r="Z1172" s="45" t="b">
        <v>1</v>
      </c>
      <c r="AA1172" s="45" t="b">
        <v>0</v>
      </c>
      <c r="AB1172" s="45" t="b">
        <v>0</v>
      </c>
      <c r="AC1172" s="45" t="b">
        <v>1</v>
      </c>
      <c r="AD1172" s="45" t="b">
        <v>0</v>
      </c>
      <c r="AE1172" s="45" t="b">
        <v>1</v>
      </c>
      <c r="AF1172" s="45" t="s">
        <v>302</v>
      </c>
      <c r="AG1172" s="45" t="b">
        <v>0</v>
      </c>
      <c r="AH1172" s="45" t="b">
        <v>0</v>
      </c>
    </row>
    <row r="1173" spans="22:34" x14ac:dyDescent="0.25">
      <c r="V1173" t="s">
        <v>566</v>
      </c>
      <c r="W1173" s="45" t="s">
        <v>354</v>
      </c>
      <c r="X1173" s="45" t="b">
        <v>1</v>
      </c>
      <c r="Y1173" s="45" t="b">
        <v>1</v>
      </c>
      <c r="Z1173" s="45" t="b">
        <v>1</v>
      </c>
      <c r="AA1173" s="45" t="b">
        <v>0</v>
      </c>
      <c r="AB1173" s="45" t="b">
        <v>0</v>
      </c>
      <c r="AC1173" s="45" t="b">
        <v>1</v>
      </c>
      <c r="AD1173" s="45" t="b">
        <v>0</v>
      </c>
      <c r="AE1173" s="45" t="b">
        <v>1</v>
      </c>
      <c r="AF1173" s="45" t="s">
        <v>303</v>
      </c>
      <c r="AG1173" s="45" t="b">
        <v>1</v>
      </c>
      <c r="AH1173" s="45" t="b">
        <v>1</v>
      </c>
    </row>
    <row r="1174" spans="22:34" x14ac:dyDescent="0.25">
      <c r="V1174" t="s">
        <v>566</v>
      </c>
      <c r="W1174" s="45" t="s">
        <v>354</v>
      </c>
      <c r="X1174" s="45" t="b">
        <v>1</v>
      </c>
      <c r="Y1174" s="45" t="b">
        <v>1</v>
      </c>
      <c r="Z1174" s="45" t="b">
        <v>1</v>
      </c>
      <c r="AA1174" s="45" t="b">
        <v>0</v>
      </c>
      <c r="AB1174" s="45" t="b">
        <v>0</v>
      </c>
      <c r="AC1174" s="45" t="b">
        <v>1</v>
      </c>
      <c r="AD1174" s="45" t="b">
        <v>0</v>
      </c>
      <c r="AE1174" s="45" t="b">
        <v>1</v>
      </c>
      <c r="AF1174" s="45" t="s">
        <v>304</v>
      </c>
      <c r="AG1174" s="45" t="b">
        <v>1</v>
      </c>
      <c r="AH1174" s="45" t="b">
        <v>1</v>
      </c>
    </row>
    <row r="1175" spans="22:34" x14ac:dyDescent="0.25">
      <c r="V1175" t="s">
        <v>566</v>
      </c>
      <c r="W1175" s="45" t="s">
        <v>354</v>
      </c>
      <c r="X1175" s="45" t="b">
        <v>1</v>
      </c>
      <c r="Y1175" s="45" t="b">
        <v>1</v>
      </c>
      <c r="Z1175" s="45" t="b">
        <v>1</v>
      </c>
      <c r="AA1175" s="45" t="b">
        <v>0</v>
      </c>
      <c r="AB1175" s="45" t="b">
        <v>0</v>
      </c>
      <c r="AC1175" s="45" t="b">
        <v>1</v>
      </c>
      <c r="AD1175" s="45" t="b">
        <v>0</v>
      </c>
      <c r="AE1175" s="45" t="b">
        <v>1</v>
      </c>
      <c r="AF1175" s="45" t="s">
        <v>305</v>
      </c>
      <c r="AG1175" s="45" t="b">
        <v>1</v>
      </c>
      <c r="AH1175" s="45" t="b">
        <v>1</v>
      </c>
    </row>
    <row r="1176" spans="22:34" x14ac:dyDescent="0.25">
      <c r="V1176" t="s">
        <v>566</v>
      </c>
      <c r="W1176" s="45" t="s">
        <v>354</v>
      </c>
      <c r="X1176" s="45" t="b">
        <v>1</v>
      </c>
      <c r="Y1176" s="45" t="b">
        <v>1</v>
      </c>
      <c r="Z1176" s="45" t="b">
        <v>1</v>
      </c>
      <c r="AA1176" s="45" t="b">
        <v>0</v>
      </c>
      <c r="AB1176" s="45" t="b">
        <v>0</v>
      </c>
      <c r="AC1176" s="45" t="b">
        <v>1</v>
      </c>
      <c r="AD1176" s="45" t="b">
        <v>0</v>
      </c>
      <c r="AE1176" s="45" t="b">
        <v>1</v>
      </c>
      <c r="AF1176" s="45" t="s">
        <v>306</v>
      </c>
      <c r="AG1176" s="45" t="b">
        <v>1</v>
      </c>
      <c r="AH1176" s="45" t="b">
        <v>1</v>
      </c>
    </row>
    <row r="1177" spans="22:34" x14ac:dyDescent="0.25">
      <c r="V1177" t="s">
        <v>566</v>
      </c>
      <c r="W1177" s="45" t="s">
        <v>354</v>
      </c>
      <c r="X1177" s="45" t="b">
        <v>1</v>
      </c>
      <c r="Y1177" s="45" t="b">
        <v>1</v>
      </c>
      <c r="Z1177" s="45" t="b">
        <v>1</v>
      </c>
      <c r="AA1177" s="45" t="b">
        <v>0</v>
      </c>
      <c r="AB1177" s="45" t="b">
        <v>0</v>
      </c>
      <c r="AC1177" s="45" t="b">
        <v>1</v>
      </c>
      <c r="AD1177" s="45" t="b">
        <v>0</v>
      </c>
      <c r="AE1177" s="45" t="b">
        <v>1</v>
      </c>
      <c r="AF1177" s="45" t="s">
        <v>307</v>
      </c>
      <c r="AG1177" s="45" t="b">
        <v>1</v>
      </c>
      <c r="AH1177" s="45" t="b">
        <v>1</v>
      </c>
    </row>
    <row r="1178" spans="22:34" x14ac:dyDescent="0.25">
      <c r="V1178" t="s">
        <v>566</v>
      </c>
      <c r="W1178" s="45" t="s">
        <v>354</v>
      </c>
      <c r="X1178" s="45" t="b">
        <v>1</v>
      </c>
      <c r="Y1178" s="45" t="b">
        <v>1</v>
      </c>
      <c r="Z1178" s="45" t="b">
        <v>1</v>
      </c>
      <c r="AA1178" s="45" t="b">
        <v>0</v>
      </c>
      <c r="AB1178" s="45" t="b">
        <v>0</v>
      </c>
      <c r="AC1178" s="45" t="b">
        <v>1</v>
      </c>
      <c r="AD1178" s="45" t="b">
        <v>0</v>
      </c>
      <c r="AE1178" s="45" t="b">
        <v>1</v>
      </c>
      <c r="AF1178" s="45" t="s">
        <v>308</v>
      </c>
      <c r="AG1178" s="45" t="b">
        <v>1</v>
      </c>
      <c r="AH1178" s="45" t="b">
        <v>1</v>
      </c>
    </row>
    <row r="1179" spans="22:34" x14ac:dyDescent="0.25">
      <c r="V1179" t="s">
        <v>566</v>
      </c>
      <c r="W1179" s="45" t="s">
        <v>354</v>
      </c>
      <c r="X1179" s="45" t="b">
        <v>1</v>
      </c>
      <c r="Y1179" s="45" t="b">
        <v>1</v>
      </c>
      <c r="Z1179" s="45" t="b">
        <v>1</v>
      </c>
      <c r="AA1179" s="45" t="b">
        <v>0</v>
      </c>
      <c r="AB1179" s="45" t="b">
        <v>0</v>
      </c>
      <c r="AC1179" s="45" t="b">
        <v>1</v>
      </c>
      <c r="AD1179" s="45" t="b">
        <v>0</v>
      </c>
      <c r="AE1179" s="45" t="b">
        <v>1</v>
      </c>
      <c r="AF1179" s="45" t="s">
        <v>309</v>
      </c>
      <c r="AG1179" s="45" t="b">
        <v>1</v>
      </c>
      <c r="AH1179" s="45" t="b">
        <v>1</v>
      </c>
    </row>
    <row r="1180" spans="22:34" x14ac:dyDescent="0.25">
      <c r="V1180" t="s">
        <v>566</v>
      </c>
      <c r="W1180" s="45" t="s">
        <v>354</v>
      </c>
      <c r="X1180" s="45" t="b">
        <v>1</v>
      </c>
      <c r="Y1180" s="45" t="b">
        <v>1</v>
      </c>
      <c r="Z1180" s="45" t="b">
        <v>1</v>
      </c>
      <c r="AA1180" s="45" t="b">
        <v>0</v>
      </c>
      <c r="AB1180" s="45" t="b">
        <v>0</v>
      </c>
      <c r="AC1180" s="45" t="b">
        <v>1</v>
      </c>
      <c r="AD1180" s="45" t="b">
        <v>0</v>
      </c>
      <c r="AE1180" s="45" t="b">
        <v>1</v>
      </c>
      <c r="AF1180" s="45" t="s">
        <v>310</v>
      </c>
      <c r="AG1180" s="45" t="b">
        <v>1</v>
      </c>
      <c r="AH1180" s="45" t="b">
        <v>1</v>
      </c>
    </row>
    <row r="1181" spans="22:34" x14ac:dyDescent="0.25">
      <c r="V1181" t="s">
        <v>566</v>
      </c>
      <c r="W1181" s="45" t="s">
        <v>354</v>
      </c>
      <c r="X1181" s="45" t="b">
        <v>1</v>
      </c>
      <c r="Y1181" s="45" t="b">
        <v>1</v>
      </c>
      <c r="Z1181" s="45" t="b">
        <v>1</v>
      </c>
      <c r="AA1181" s="45" t="b">
        <v>0</v>
      </c>
      <c r="AB1181" s="45" t="b">
        <v>0</v>
      </c>
      <c r="AC1181" s="45" t="b">
        <v>1</v>
      </c>
      <c r="AD1181" s="45" t="b">
        <v>0</v>
      </c>
      <c r="AE1181" s="45" t="b">
        <v>1</v>
      </c>
      <c r="AF1181" s="45" t="s">
        <v>311</v>
      </c>
      <c r="AG1181" s="45" t="b">
        <v>1</v>
      </c>
      <c r="AH1181" s="45" t="b">
        <v>1</v>
      </c>
    </row>
    <row r="1182" spans="22:34" x14ac:dyDescent="0.25">
      <c r="V1182" t="s">
        <v>566</v>
      </c>
      <c r="W1182" s="45" t="s">
        <v>354</v>
      </c>
      <c r="X1182" s="45" t="b">
        <v>1</v>
      </c>
      <c r="Y1182" s="45" t="b">
        <v>1</v>
      </c>
      <c r="Z1182" s="45" t="b">
        <v>1</v>
      </c>
      <c r="AA1182" s="45" t="b">
        <v>0</v>
      </c>
      <c r="AB1182" s="45" t="b">
        <v>0</v>
      </c>
      <c r="AC1182" s="45" t="b">
        <v>1</v>
      </c>
      <c r="AD1182" s="45" t="b">
        <v>0</v>
      </c>
      <c r="AE1182" s="45" t="b">
        <v>1</v>
      </c>
      <c r="AF1182" s="45" t="s">
        <v>312</v>
      </c>
      <c r="AG1182" s="45" t="b">
        <v>1</v>
      </c>
      <c r="AH1182" s="45" t="b">
        <v>1</v>
      </c>
    </row>
    <row r="1183" spans="22:34" x14ac:dyDescent="0.25">
      <c r="V1183" t="s">
        <v>566</v>
      </c>
      <c r="W1183" s="45" t="s">
        <v>354</v>
      </c>
      <c r="X1183" s="45" t="b">
        <v>1</v>
      </c>
      <c r="Y1183" s="45" t="b">
        <v>1</v>
      </c>
      <c r="Z1183" s="45" t="b">
        <v>1</v>
      </c>
      <c r="AA1183" s="45" t="b">
        <v>0</v>
      </c>
      <c r="AB1183" s="45" t="b">
        <v>0</v>
      </c>
      <c r="AC1183" s="45" t="b">
        <v>1</v>
      </c>
      <c r="AD1183" s="45" t="b">
        <v>0</v>
      </c>
      <c r="AE1183" s="45" t="b">
        <v>1</v>
      </c>
      <c r="AF1183" s="45" t="s">
        <v>313</v>
      </c>
      <c r="AG1183" s="45" t="b">
        <v>1</v>
      </c>
      <c r="AH1183" s="45" t="b">
        <v>1</v>
      </c>
    </row>
    <row r="1184" spans="22:34" x14ac:dyDescent="0.25">
      <c r="V1184" t="s">
        <v>566</v>
      </c>
      <c r="W1184" s="45" t="s">
        <v>354</v>
      </c>
      <c r="X1184" s="45" t="b">
        <v>1</v>
      </c>
      <c r="Y1184" s="45" t="b">
        <v>1</v>
      </c>
      <c r="Z1184" s="45" t="b">
        <v>1</v>
      </c>
      <c r="AA1184" s="45" t="b">
        <v>0</v>
      </c>
      <c r="AB1184" s="45" t="b">
        <v>0</v>
      </c>
      <c r="AC1184" s="45" t="b">
        <v>1</v>
      </c>
      <c r="AD1184" s="45" t="b">
        <v>0</v>
      </c>
      <c r="AE1184" s="45" t="b">
        <v>1</v>
      </c>
      <c r="AF1184" s="45" t="s">
        <v>314</v>
      </c>
      <c r="AG1184" s="45" t="b">
        <v>1</v>
      </c>
      <c r="AH1184" s="45" t="b">
        <v>1</v>
      </c>
    </row>
    <row r="1185" spans="22:34" x14ac:dyDescent="0.25">
      <c r="V1185" t="s">
        <v>566</v>
      </c>
      <c r="W1185" s="45" t="s">
        <v>354</v>
      </c>
      <c r="X1185" s="45" t="b">
        <v>1</v>
      </c>
      <c r="Y1185" s="45" t="b">
        <v>1</v>
      </c>
      <c r="Z1185" s="45" t="b">
        <v>1</v>
      </c>
      <c r="AA1185" s="45" t="b">
        <v>0</v>
      </c>
      <c r="AB1185" s="45" t="b">
        <v>0</v>
      </c>
      <c r="AC1185" s="45" t="b">
        <v>1</v>
      </c>
      <c r="AD1185" s="45" t="b">
        <v>0</v>
      </c>
      <c r="AE1185" s="45" t="b">
        <v>1</v>
      </c>
      <c r="AF1185" s="45" t="s">
        <v>315</v>
      </c>
      <c r="AG1185" s="45" t="b">
        <v>1</v>
      </c>
      <c r="AH1185" s="45" t="b">
        <v>1</v>
      </c>
    </row>
    <row r="1186" spans="22:34" x14ac:dyDescent="0.25">
      <c r="V1186" t="s">
        <v>566</v>
      </c>
      <c r="W1186" s="45" t="s">
        <v>354</v>
      </c>
      <c r="X1186" s="45" t="b">
        <v>1</v>
      </c>
      <c r="Y1186" s="45" t="b">
        <v>1</v>
      </c>
      <c r="Z1186" s="45" t="b">
        <v>1</v>
      </c>
      <c r="AA1186" s="45" t="b">
        <v>0</v>
      </c>
      <c r="AB1186" s="45" t="b">
        <v>0</v>
      </c>
      <c r="AC1186" s="45" t="b">
        <v>1</v>
      </c>
      <c r="AD1186" s="45" t="b">
        <v>0</v>
      </c>
      <c r="AE1186" s="45" t="b">
        <v>1</v>
      </c>
      <c r="AF1186" s="45" t="s">
        <v>316</v>
      </c>
      <c r="AG1186" s="45" t="b">
        <v>1</v>
      </c>
      <c r="AH1186" s="45" t="b">
        <v>1</v>
      </c>
    </row>
    <row r="1187" spans="22:34" x14ac:dyDescent="0.25">
      <c r="V1187" t="s">
        <v>566</v>
      </c>
      <c r="W1187" s="45" t="s">
        <v>354</v>
      </c>
      <c r="X1187" s="45" t="b">
        <v>1</v>
      </c>
      <c r="Y1187" s="45" t="b">
        <v>1</v>
      </c>
      <c r="Z1187" s="45" t="b">
        <v>1</v>
      </c>
      <c r="AA1187" s="45" t="b">
        <v>0</v>
      </c>
      <c r="AB1187" s="45" t="b">
        <v>0</v>
      </c>
      <c r="AC1187" s="45" t="b">
        <v>1</v>
      </c>
      <c r="AD1187" s="45" t="b">
        <v>0</v>
      </c>
      <c r="AE1187" s="45" t="b">
        <v>1</v>
      </c>
      <c r="AF1187" s="45" t="s">
        <v>317</v>
      </c>
      <c r="AG1187" s="45" t="b">
        <v>1</v>
      </c>
      <c r="AH1187" s="45" t="b">
        <v>1</v>
      </c>
    </row>
    <row r="1188" spans="22:34" x14ac:dyDescent="0.25">
      <c r="V1188" t="s">
        <v>566</v>
      </c>
      <c r="W1188" s="45" t="s">
        <v>354</v>
      </c>
      <c r="X1188" s="45" t="b">
        <v>1</v>
      </c>
      <c r="Y1188" s="45" t="b">
        <v>1</v>
      </c>
      <c r="Z1188" s="45" t="b">
        <v>1</v>
      </c>
      <c r="AA1188" s="45" t="b">
        <v>0</v>
      </c>
      <c r="AB1188" s="45" t="b">
        <v>0</v>
      </c>
      <c r="AC1188" s="45" t="b">
        <v>1</v>
      </c>
      <c r="AD1188" s="45" t="b">
        <v>0</v>
      </c>
      <c r="AE1188" s="45" t="b">
        <v>1</v>
      </c>
      <c r="AF1188" s="45" t="s">
        <v>318</v>
      </c>
      <c r="AG1188" s="45" t="b">
        <v>1</v>
      </c>
      <c r="AH1188" s="45" t="b">
        <v>1</v>
      </c>
    </row>
    <row r="1189" spans="22:34" x14ac:dyDescent="0.25">
      <c r="V1189" t="s">
        <v>566</v>
      </c>
      <c r="W1189" s="45" t="s">
        <v>354</v>
      </c>
      <c r="X1189" s="45" t="b">
        <v>1</v>
      </c>
      <c r="Y1189" s="45" t="b">
        <v>1</v>
      </c>
      <c r="Z1189" s="45" t="b">
        <v>1</v>
      </c>
      <c r="AA1189" s="45" t="b">
        <v>0</v>
      </c>
      <c r="AB1189" s="45" t="b">
        <v>0</v>
      </c>
      <c r="AC1189" s="45" t="b">
        <v>1</v>
      </c>
      <c r="AD1189" s="45" t="b">
        <v>0</v>
      </c>
      <c r="AE1189" s="45" t="b">
        <v>1</v>
      </c>
      <c r="AF1189" s="45" t="s">
        <v>319</v>
      </c>
      <c r="AG1189" s="45" t="b">
        <v>1</v>
      </c>
      <c r="AH1189" s="45" t="b">
        <v>1</v>
      </c>
    </row>
    <row r="1190" spans="22:34" x14ac:dyDescent="0.25">
      <c r="V1190" t="s">
        <v>567</v>
      </c>
      <c r="W1190" s="45" t="s">
        <v>355</v>
      </c>
      <c r="X1190" s="45" t="b">
        <v>0</v>
      </c>
      <c r="Y1190" s="45" t="b">
        <v>1</v>
      </c>
      <c r="Z1190" s="45" t="b">
        <v>1</v>
      </c>
      <c r="AA1190" s="45" t="b">
        <v>0</v>
      </c>
      <c r="AB1190" s="45" t="b">
        <v>1</v>
      </c>
      <c r="AC1190" s="45" t="b">
        <v>1</v>
      </c>
      <c r="AD1190" s="45" t="b">
        <v>1</v>
      </c>
      <c r="AE1190" s="45" t="b">
        <v>1</v>
      </c>
      <c r="AF1190" s="45" t="s">
        <v>295</v>
      </c>
      <c r="AG1190" s="45" t="b">
        <v>1</v>
      </c>
      <c r="AH1190" s="45" t="b">
        <v>1</v>
      </c>
    </row>
    <row r="1191" spans="22:34" x14ac:dyDescent="0.25">
      <c r="V1191" t="s">
        <v>567</v>
      </c>
      <c r="W1191" s="45" t="s">
        <v>355</v>
      </c>
      <c r="X1191" s="45" t="b">
        <v>0</v>
      </c>
      <c r="Y1191" s="45" t="b">
        <v>1</v>
      </c>
      <c r="Z1191" s="45" t="b">
        <v>1</v>
      </c>
      <c r="AA1191" s="45" t="b">
        <v>0</v>
      </c>
      <c r="AB1191" s="45" t="b">
        <v>1</v>
      </c>
      <c r="AC1191" s="45" t="b">
        <v>1</v>
      </c>
      <c r="AD1191" s="45" t="b">
        <v>1</v>
      </c>
      <c r="AE1191" s="45" t="b">
        <v>1</v>
      </c>
      <c r="AF1191" s="45" t="s">
        <v>297</v>
      </c>
      <c r="AG1191" s="45" t="b">
        <v>1</v>
      </c>
      <c r="AH1191" s="45" t="b">
        <v>1</v>
      </c>
    </row>
    <row r="1192" spans="22:34" x14ac:dyDescent="0.25">
      <c r="V1192" t="s">
        <v>567</v>
      </c>
      <c r="W1192" s="45" t="s">
        <v>355</v>
      </c>
      <c r="X1192" s="45" t="b">
        <v>0</v>
      </c>
      <c r="Y1192" s="45" t="b">
        <v>1</v>
      </c>
      <c r="Z1192" s="45" t="b">
        <v>1</v>
      </c>
      <c r="AA1192" s="45" t="b">
        <v>0</v>
      </c>
      <c r="AB1192" s="45" t="b">
        <v>1</v>
      </c>
      <c r="AC1192" s="45" t="b">
        <v>1</v>
      </c>
      <c r="AD1192" s="45" t="b">
        <v>1</v>
      </c>
      <c r="AE1192" s="45" t="b">
        <v>1</v>
      </c>
      <c r="AF1192" s="45" t="s">
        <v>112</v>
      </c>
      <c r="AG1192" s="45" t="b">
        <v>1</v>
      </c>
      <c r="AH1192" s="45" t="b">
        <v>1</v>
      </c>
    </row>
    <row r="1193" spans="22:34" x14ac:dyDescent="0.25">
      <c r="V1193" t="s">
        <v>567</v>
      </c>
      <c r="W1193" s="45" t="s">
        <v>355</v>
      </c>
      <c r="X1193" s="45" t="b">
        <v>0</v>
      </c>
      <c r="Y1193" s="45" t="b">
        <v>1</v>
      </c>
      <c r="Z1193" s="45" t="b">
        <v>1</v>
      </c>
      <c r="AA1193" s="45" t="b">
        <v>0</v>
      </c>
      <c r="AB1193" s="45" t="b">
        <v>1</v>
      </c>
      <c r="AC1193" s="45" t="b">
        <v>1</v>
      </c>
      <c r="AD1193" s="45" t="b">
        <v>1</v>
      </c>
      <c r="AE1193" s="45" t="b">
        <v>1</v>
      </c>
      <c r="AF1193" s="45" t="s">
        <v>114</v>
      </c>
      <c r="AG1193" s="45" t="b">
        <v>1</v>
      </c>
      <c r="AH1193" s="45" t="b">
        <v>1</v>
      </c>
    </row>
    <row r="1194" spans="22:34" x14ac:dyDescent="0.25">
      <c r="V1194" t="s">
        <v>567</v>
      </c>
      <c r="W1194" s="45" t="s">
        <v>355</v>
      </c>
      <c r="X1194" s="45" t="b">
        <v>0</v>
      </c>
      <c r="Y1194" s="45" t="b">
        <v>1</v>
      </c>
      <c r="Z1194" s="45" t="b">
        <v>1</v>
      </c>
      <c r="AA1194" s="45" t="b">
        <v>0</v>
      </c>
      <c r="AB1194" s="45" t="b">
        <v>1</v>
      </c>
      <c r="AC1194" s="45" t="b">
        <v>1</v>
      </c>
      <c r="AD1194" s="45" t="b">
        <v>1</v>
      </c>
      <c r="AE1194" s="45" t="b">
        <v>1</v>
      </c>
      <c r="AF1194" s="45" t="s">
        <v>115</v>
      </c>
      <c r="AG1194" s="45" t="b">
        <v>1</v>
      </c>
      <c r="AH1194" s="45" t="b">
        <v>1</v>
      </c>
    </row>
    <row r="1195" spans="22:34" x14ac:dyDescent="0.25">
      <c r="V1195" t="s">
        <v>567</v>
      </c>
      <c r="W1195" s="45" t="s">
        <v>355</v>
      </c>
      <c r="X1195" s="45" t="b">
        <v>0</v>
      </c>
      <c r="Y1195" s="45" t="b">
        <v>1</v>
      </c>
      <c r="Z1195" s="45" t="b">
        <v>1</v>
      </c>
      <c r="AA1195" s="45" t="b">
        <v>0</v>
      </c>
      <c r="AB1195" s="45" t="b">
        <v>1</v>
      </c>
      <c r="AC1195" s="45" t="b">
        <v>1</v>
      </c>
      <c r="AD1195" s="45" t="b">
        <v>1</v>
      </c>
      <c r="AE1195" s="45" t="b">
        <v>1</v>
      </c>
      <c r="AF1195" s="45" t="s">
        <v>116</v>
      </c>
      <c r="AG1195" s="45" t="b">
        <v>1</v>
      </c>
      <c r="AH1195" s="45" t="b">
        <v>1</v>
      </c>
    </row>
    <row r="1196" spans="22:34" x14ac:dyDescent="0.25">
      <c r="V1196" t="s">
        <v>567</v>
      </c>
      <c r="W1196" s="45" t="s">
        <v>355</v>
      </c>
      <c r="X1196" s="45" t="b">
        <v>0</v>
      </c>
      <c r="Y1196" s="45" t="b">
        <v>1</v>
      </c>
      <c r="Z1196" s="45" t="b">
        <v>1</v>
      </c>
      <c r="AA1196" s="45" t="b">
        <v>0</v>
      </c>
      <c r="AB1196" s="45" t="b">
        <v>1</v>
      </c>
      <c r="AC1196" s="45" t="b">
        <v>1</v>
      </c>
      <c r="AD1196" s="45" t="b">
        <v>1</v>
      </c>
      <c r="AE1196" s="45" t="b">
        <v>1</v>
      </c>
      <c r="AF1196" s="45" t="s">
        <v>298</v>
      </c>
      <c r="AG1196" s="45" t="b">
        <v>1</v>
      </c>
      <c r="AH1196" s="45" t="b">
        <v>1</v>
      </c>
    </row>
    <row r="1197" spans="22:34" x14ac:dyDescent="0.25">
      <c r="V1197" t="s">
        <v>567</v>
      </c>
      <c r="W1197" s="45" t="s">
        <v>355</v>
      </c>
      <c r="X1197" s="45" t="b">
        <v>0</v>
      </c>
      <c r="Y1197" s="45" t="b">
        <v>1</v>
      </c>
      <c r="Z1197" s="45" t="b">
        <v>1</v>
      </c>
      <c r="AA1197" s="45" t="b">
        <v>0</v>
      </c>
      <c r="AB1197" s="45" t="b">
        <v>1</v>
      </c>
      <c r="AC1197" s="45" t="b">
        <v>1</v>
      </c>
      <c r="AD1197" s="45" t="b">
        <v>1</v>
      </c>
      <c r="AE1197" s="45" t="b">
        <v>1</v>
      </c>
      <c r="AF1197" s="45" t="s">
        <v>299</v>
      </c>
      <c r="AG1197" s="45" t="b">
        <v>1</v>
      </c>
      <c r="AH1197" s="45" t="b">
        <v>1</v>
      </c>
    </row>
    <row r="1198" spans="22:34" x14ac:dyDescent="0.25">
      <c r="V1198" t="s">
        <v>567</v>
      </c>
      <c r="W1198" s="45" t="s">
        <v>355</v>
      </c>
      <c r="X1198" s="45" t="b">
        <v>0</v>
      </c>
      <c r="Y1198" s="45" t="b">
        <v>1</v>
      </c>
      <c r="Z1198" s="45" t="b">
        <v>1</v>
      </c>
      <c r="AA1198" s="45" t="b">
        <v>0</v>
      </c>
      <c r="AB1198" s="45" t="b">
        <v>1</v>
      </c>
      <c r="AC1198" s="45" t="b">
        <v>1</v>
      </c>
      <c r="AD1198" s="45" t="b">
        <v>1</v>
      </c>
      <c r="AE1198" s="45" t="b">
        <v>1</v>
      </c>
      <c r="AF1198" s="45" t="s">
        <v>414</v>
      </c>
      <c r="AG1198" s="45" t="b">
        <v>1</v>
      </c>
      <c r="AH1198" s="45" t="b">
        <v>1</v>
      </c>
    </row>
    <row r="1199" spans="22:34" x14ac:dyDescent="0.25">
      <c r="V1199" t="s">
        <v>567</v>
      </c>
      <c r="W1199" s="45" t="s">
        <v>355</v>
      </c>
      <c r="X1199" s="45" t="b">
        <v>0</v>
      </c>
      <c r="Y1199" s="45" t="b">
        <v>1</v>
      </c>
      <c r="Z1199" s="45" t="b">
        <v>1</v>
      </c>
      <c r="AA1199" s="45" t="b">
        <v>0</v>
      </c>
      <c r="AB1199" s="45" t="b">
        <v>1</v>
      </c>
      <c r="AC1199" s="45" t="b">
        <v>1</v>
      </c>
      <c r="AD1199" s="45" t="b">
        <v>1</v>
      </c>
      <c r="AE1199" s="45" t="b">
        <v>1</v>
      </c>
      <c r="AF1199" s="45" t="s">
        <v>118</v>
      </c>
      <c r="AG1199" s="45" t="b">
        <v>1</v>
      </c>
      <c r="AH1199" s="45" t="b">
        <v>1</v>
      </c>
    </row>
    <row r="1200" spans="22:34" x14ac:dyDescent="0.25">
      <c r="V1200" t="s">
        <v>567</v>
      </c>
      <c r="W1200" s="45" t="s">
        <v>355</v>
      </c>
      <c r="X1200" s="45" t="b">
        <v>0</v>
      </c>
      <c r="Y1200" s="45" t="b">
        <v>1</v>
      </c>
      <c r="Z1200" s="45" t="b">
        <v>1</v>
      </c>
      <c r="AA1200" s="45" t="b">
        <v>0</v>
      </c>
      <c r="AB1200" s="45" t="b">
        <v>1</v>
      </c>
      <c r="AC1200" s="45" t="b">
        <v>1</v>
      </c>
      <c r="AD1200" s="45" t="b">
        <v>1</v>
      </c>
      <c r="AE1200" s="45" t="b">
        <v>1</v>
      </c>
      <c r="AF1200" s="45" t="s">
        <v>119</v>
      </c>
      <c r="AG1200" s="45" t="b">
        <v>1</v>
      </c>
      <c r="AH1200" s="45" t="b">
        <v>1</v>
      </c>
    </row>
    <row r="1201" spans="22:34" x14ac:dyDescent="0.25">
      <c r="V1201" t="s">
        <v>567</v>
      </c>
      <c r="W1201" s="45" t="s">
        <v>355</v>
      </c>
      <c r="X1201" s="45" t="b">
        <v>0</v>
      </c>
      <c r="Y1201" s="45" t="b">
        <v>1</v>
      </c>
      <c r="Z1201" s="45" t="b">
        <v>1</v>
      </c>
      <c r="AA1201" s="45" t="b">
        <v>0</v>
      </c>
      <c r="AB1201" s="45" t="b">
        <v>1</v>
      </c>
      <c r="AC1201" s="45" t="b">
        <v>1</v>
      </c>
      <c r="AD1201" s="45" t="b">
        <v>1</v>
      </c>
      <c r="AE1201" s="45" t="b">
        <v>1</v>
      </c>
      <c r="AF1201" s="45" t="s">
        <v>300</v>
      </c>
      <c r="AG1201" s="45" t="b">
        <v>1</v>
      </c>
      <c r="AH1201" s="45" t="b">
        <v>1</v>
      </c>
    </row>
    <row r="1202" spans="22:34" x14ac:dyDescent="0.25">
      <c r="V1202" t="s">
        <v>567</v>
      </c>
      <c r="W1202" s="45" t="s">
        <v>355</v>
      </c>
      <c r="X1202" s="45" t="b">
        <v>0</v>
      </c>
      <c r="Y1202" s="45" t="b">
        <v>1</v>
      </c>
      <c r="Z1202" s="45" t="b">
        <v>1</v>
      </c>
      <c r="AA1202" s="45" t="b">
        <v>0</v>
      </c>
      <c r="AB1202" s="45" t="b">
        <v>1</v>
      </c>
      <c r="AC1202" s="45" t="b">
        <v>1</v>
      </c>
      <c r="AD1202" s="45" t="b">
        <v>1</v>
      </c>
      <c r="AE1202" s="45" t="b">
        <v>1</v>
      </c>
      <c r="AF1202" s="45" t="s">
        <v>301</v>
      </c>
      <c r="AG1202" s="45" t="b">
        <v>1</v>
      </c>
      <c r="AH1202" s="45" t="b">
        <v>1</v>
      </c>
    </row>
    <row r="1203" spans="22:34" x14ac:dyDescent="0.25">
      <c r="V1203" t="s">
        <v>567</v>
      </c>
      <c r="W1203" s="45" t="s">
        <v>355</v>
      </c>
      <c r="X1203" s="45" t="b">
        <v>0</v>
      </c>
      <c r="Y1203" s="45" t="b">
        <v>1</v>
      </c>
      <c r="Z1203" s="45" t="b">
        <v>1</v>
      </c>
      <c r="AA1203" s="45" t="b">
        <v>0</v>
      </c>
      <c r="AB1203" s="45" t="b">
        <v>1</v>
      </c>
      <c r="AC1203" s="45" t="b">
        <v>1</v>
      </c>
      <c r="AD1203" s="45" t="b">
        <v>1</v>
      </c>
      <c r="AE1203" s="45" t="b">
        <v>1</v>
      </c>
      <c r="AF1203" s="45" t="s">
        <v>120</v>
      </c>
      <c r="AG1203" s="45" t="b">
        <v>1</v>
      </c>
      <c r="AH1203" s="45" t="b">
        <v>1</v>
      </c>
    </row>
    <row r="1204" spans="22:34" x14ac:dyDescent="0.25">
      <c r="V1204" t="s">
        <v>567</v>
      </c>
      <c r="W1204" s="45" t="s">
        <v>355</v>
      </c>
      <c r="X1204" s="45" t="b">
        <v>0</v>
      </c>
      <c r="Y1204" s="45" t="b">
        <v>1</v>
      </c>
      <c r="Z1204" s="45" t="b">
        <v>1</v>
      </c>
      <c r="AA1204" s="45" t="b">
        <v>0</v>
      </c>
      <c r="AB1204" s="45" t="b">
        <v>1</v>
      </c>
      <c r="AC1204" s="45" t="b">
        <v>1</v>
      </c>
      <c r="AD1204" s="45" t="b">
        <v>1</v>
      </c>
      <c r="AE1204" s="45" t="b">
        <v>1</v>
      </c>
      <c r="AF1204" s="45" t="s">
        <v>302</v>
      </c>
      <c r="AG1204" s="45" t="b">
        <v>1</v>
      </c>
      <c r="AH1204" s="45" t="b">
        <v>1</v>
      </c>
    </row>
    <row r="1205" spans="22:34" x14ac:dyDescent="0.25">
      <c r="V1205" t="s">
        <v>567</v>
      </c>
      <c r="W1205" s="45" t="s">
        <v>355</v>
      </c>
      <c r="X1205" s="45" t="b">
        <v>0</v>
      </c>
      <c r="Y1205" s="45" t="b">
        <v>1</v>
      </c>
      <c r="Z1205" s="45" t="b">
        <v>1</v>
      </c>
      <c r="AA1205" s="45" t="b">
        <v>0</v>
      </c>
      <c r="AB1205" s="45" t="b">
        <v>1</v>
      </c>
      <c r="AC1205" s="45" t="b">
        <v>1</v>
      </c>
      <c r="AD1205" s="45" t="b">
        <v>1</v>
      </c>
      <c r="AE1205" s="45" t="b">
        <v>1</v>
      </c>
      <c r="AF1205" s="45" t="s">
        <v>303</v>
      </c>
      <c r="AG1205" s="45" t="b">
        <v>1</v>
      </c>
      <c r="AH1205" s="45" t="b">
        <v>1</v>
      </c>
    </row>
    <row r="1206" spans="22:34" x14ac:dyDescent="0.25">
      <c r="V1206" t="s">
        <v>567</v>
      </c>
      <c r="W1206" s="45" t="s">
        <v>355</v>
      </c>
      <c r="X1206" s="45" t="b">
        <v>0</v>
      </c>
      <c r="Y1206" s="45" t="b">
        <v>1</v>
      </c>
      <c r="Z1206" s="45" t="b">
        <v>1</v>
      </c>
      <c r="AA1206" s="45" t="b">
        <v>0</v>
      </c>
      <c r="AB1206" s="45" t="b">
        <v>1</v>
      </c>
      <c r="AC1206" s="45" t="b">
        <v>1</v>
      </c>
      <c r="AD1206" s="45" t="b">
        <v>1</v>
      </c>
      <c r="AE1206" s="45" t="b">
        <v>1</v>
      </c>
      <c r="AF1206" s="45" t="s">
        <v>304</v>
      </c>
      <c r="AG1206" s="45" t="b">
        <v>1</v>
      </c>
      <c r="AH1206" s="45" t="b">
        <v>1</v>
      </c>
    </row>
    <row r="1207" spans="22:34" x14ac:dyDescent="0.25">
      <c r="V1207" t="s">
        <v>567</v>
      </c>
      <c r="W1207" s="45" t="s">
        <v>355</v>
      </c>
      <c r="X1207" s="45" t="b">
        <v>0</v>
      </c>
      <c r="Y1207" s="45" t="b">
        <v>1</v>
      </c>
      <c r="Z1207" s="45" t="b">
        <v>1</v>
      </c>
      <c r="AA1207" s="45" t="b">
        <v>0</v>
      </c>
      <c r="AB1207" s="45" t="b">
        <v>1</v>
      </c>
      <c r="AC1207" s="45" t="b">
        <v>1</v>
      </c>
      <c r="AD1207" s="45" t="b">
        <v>1</v>
      </c>
      <c r="AE1207" s="45" t="b">
        <v>1</v>
      </c>
      <c r="AF1207" s="45" t="s">
        <v>305</v>
      </c>
      <c r="AG1207" s="45" t="b">
        <v>1</v>
      </c>
      <c r="AH1207" s="45" t="b">
        <v>1</v>
      </c>
    </row>
    <row r="1208" spans="22:34" x14ac:dyDescent="0.25">
      <c r="V1208" t="s">
        <v>567</v>
      </c>
      <c r="W1208" s="45" t="s">
        <v>355</v>
      </c>
      <c r="X1208" s="45" t="b">
        <v>0</v>
      </c>
      <c r="Y1208" s="45" t="b">
        <v>1</v>
      </c>
      <c r="Z1208" s="45" t="b">
        <v>1</v>
      </c>
      <c r="AA1208" s="45" t="b">
        <v>0</v>
      </c>
      <c r="AB1208" s="45" t="b">
        <v>1</v>
      </c>
      <c r="AC1208" s="45" t="b">
        <v>1</v>
      </c>
      <c r="AD1208" s="45" t="b">
        <v>1</v>
      </c>
      <c r="AE1208" s="45" t="b">
        <v>1</v>
      </c>
      <c r="AF1208" s="45" t="s">
        <v>306</v>
      </c>
      <c r="AG1208" s="45" t="b">
        <v>1</v>
      </c>
      <c r="AH1208" s="45" t="b">
        <v>1</v>
      </c>
    </row>
    <row r="1209" spans="22:34" x14ac:dyDescent="0.25">
      <c r="V1209" t="s">
        <v>567</v>
      </c>
      <c r="W1209" s="45" t="s">
        <v>355</v>
      </c>
      <c r="X1209" s="45" t="b">
        <v>0</v>
      </c>
      <c r="Y1209" s="45" t="b">
        <v>1</v>
      </c>
      <c r="Z1209" s="45" t="b">
        <v>1</v>
      </c>
      <c r="AA1209" s="45" t="b">
        <v>0</v>
      </c>
      <c r="AB1209" s="45" t="b">
        <v>1</v>
      </c>
      <c r="AC1209" s="45" t="b">
        <v>1</v>
      </c>
      <c r="AD1209" s="45" t="b">
        <v>1</v>
      </c>
      <c r="AE1209" s="45" t="b">
        <v>1</v>
      </c>
      <c r="AF1209" s="45" t="s">
        <v>307</v>
      </c>
      <c r="AG1209" s="45" t="b">
        <v>1</v>
      </c>
      <c r="AH1209" s="45" t="b">
        <v>1</v>
      </c>
    </row>
    <row r="1210" spans="22:34" x14ac:dyDescent="0.25">
      <c r="V1210" t="s">
        <v>567</v>
      </c>
      <c r="W1210" s="45" t="s">
        <v>355</v>
      </c>
      <c r="X1210" s="45" t="b">
        <v>0</v>
      </c>
      <c r="Y1210" s="45" t="b">
        <v>1</v>
      </c>
      <c r="Z1210" s="45" t="b">
        <v>1</v>
      </c>
      <c r="AA1210" s="45" t="b">
        <v>0</v>
      </c>
      <c r="AB1210" s="45" t="b">
        <v>1</v>
      </c>
      <c r="AC1210" s="45" t="b">
        <v>1</v>
      </c>
      <c r="AD1210" s="45" t="b">
        <v>1</v>
      </c>
      <c r="AE1210" s="45" t="b">
        <v>1</v>
      </c>
      <c r="AF1210" s="45" t="s">
        <v>308</v>
      </c>
      <c r="AG1210" s="45" t="b">
        <v>1</v>
      </c>
      <c r="AH1210" s="45" t="b">
        <v>1</v>
      </c>
    </row>
    <row r="1211" spans="22:34" x14ac:dyDescent="0.25">
      <c r="V1211" t="s">
        <v>567</v>
      </c>
      <c r="W1211" s="45" t="s">
        <v>355</v>
      </c>
      <c r="X1211" s="45" t="b">
        <v>0</v>
      </c>
      <c r="Y1211" s="45" t="b">
        <v>1</v>
      </c>
      <c r="Z1211" s="45" t="b">
        <v>1</v>
      </c>
      <c r="AA1211" s="45" t="b">
        <v>0</v>
      </c>
      <c r="AB1211" s="45" t="b">
        <v>1</v>
      </c>
      <c r="AC1211" s="45" t="b">
        <v>1</v>
      </c>
      <c r="AD1211" s="45" t="b">
        <v>1</v>
      </c>
      <c r="AE1211" s="45" t="b">
        <v>1</v>
      </c>
      <c r="AF1211" s="45" t="s">
        <v>309</v>
      </c>
      <c r="AG1211" s="45" t="b">
        <v>1</v>
      </c>
      <c r="AH1211" s="45" t="b">
        <v>1</v>
      </c>
    </row>
    <row r="1212" spans="22:34" x14ac:dyDescent="0.25">
      <c r="V1212" t="s">
        <v>567</v>
      </c>
      <c r="W1212" s="45" t="s">
        <v>355</v>
      </c>
      <c r="X1212" s="45" t="b">
        <v>0</v>
      </c>
      <c r="Y1212" s="45" t="b">
        <v>1</v>
      </c>
      <c r="Z1212" s="45" t="b">
        <v>1</v>
      </c>
      <c r="AA1212" s="45" t="b">
        <v>0</v>
      </c>
      <c r="AB1212" s="45" t="b">
        <v>1</v>
      </c>
      <c r="AC1212" s="45" t="b">
        <v>1</v>
      </c>
      <c r="AD1212" s="45" t="b">
        <v>1</v>
      </c>
      <c r="AE1212" s="45" t="b">
        <v>1</v>
      </c>
      <c r="AF1212" s="45" t="s">
        <v>310</v>
      </c>
      <c r="AG1212" s="45" t="b">
        <v>1</v>
      </c>
      <c r="AH1212" s="45" t="b">
        <v>1</v>
      </c>
    </row>
    <row r="1213" spans="22:34" x14ac:dyDescent="0.25">
      <c r="V1213" t="s">
        <v>567</v>
      </c>
      <c r="W1213" s="45" t="s">
        <v>355</v>
      </c>
      <c r="X1213" s="45" t="b">
        <v>0</v>
      </c>
      <c r="Y1213" s="45" t="b">
        <v>1</v>
      </c>
      <c r="Z1213" s="45" t="b">
        <v>1</v>
      </c>
      <c r="AA1213" s="45" t="b">
        <v>0</v>
      </c>
      <c r="AB1213" s="45" t="b">
        <v>1</v>
      </c>
      <c r="AC1213" s="45" t="b">
        <v>1</v>
      </c>
      <c r="AD1213" s="45" t="b">
        <v>1</v>
      </c>
      <c r="AE1213" s="45" t="b">
        <v>1</v>
      </c>
      <c r="AF1213" s="45" t="s">
        <v>311</v>
      </c>
      <c r="AG1213" s="45" t="b">
        <v>1</v>
      </c>
      <c r="AH1213" s="45" t="b">
        <v>1</v>
      </c>
    </row>
    <row r="1214" spans="22:34" x14ac:dyDescent="0.25">
      <c r="V1214" t="s">
        <v>567</v>
      </c>
      <c r="W1214" s="45" t="s">
        <v>355</v>
      </c>
      <c r="X1214" s="45" t="b">
        <v>0</v>
      </c>
      <c r="Y1214" s="45" t="b">
        <v>1</v>
      </c>
      <c r="Z1214" s="45" t="b">
        <v>1</v>
      </c>
      <c r="AA1214" s="45" t="b">
        <v>0</v>
      </c>
      <c r="AB1214" s="45" t="b">
        <v>1</v>
      </c>
      <c r="AC1214" s="45" t="b">
        <v>1</v>
      </c>
      <c r="AD1214" s="45" t="b">
        <v>1</v>
      </c>
      <c r="AE1214" s="45" t="b">
        <v>1</v>
      </c>
      <c r="AF1214" s="45" t="s">
        <v>312</v>
      </c>
      <c r="AG1214" s="45" t="b">
        <v>1</v>
      </c>
      <c r="AH1214" s="45" t="b">
        <v>1</v>
      </c>
    </row>
    <row r="1215" spans="22:34" x14ac:dyDescent="0.25">
      <c r="V1215" t="s">
        <v>567</v>
      </c>
      <c r="W1215" s="45" t="s">
        <v>355</v>
      </c>
      <c r="X1215" s="45" t="b">
        <v>0</v>
      </c>
      <c r="Y1215" s="45" t="b">
        <v>1</v>
      </c>
      <c r="Z1215" s="45" t="b">
        <v>1</v>
      </c>
      <c r="AA1215" s="45" t="b">
        <v>0</v>
      </c>
      <c r="AB1215" s="45" t="b">
        <v>1</v>
      </c>
      <c r="AC1215" s="45" t="b">
        <v>1</v>
      </c>
      <c r="AD1215" s="45" t="b">
        <v>1</v>
      </c>
      <c r="AE1215" s="45" t="b">
        <v>1</v>
      </c>
      <c r="AF1215" s="45" t="s">
        <v>313</v>
      </c>
      <c r="AG1215" s="45" t="b">
        <v>1</v>
      </c>
      <c r="AH1215" s="45" t="b">
        <v>1</v>
      </c>
    </row>
    <row r="1216" spans="22:34" x14ac:dyDescent="0.25">
      <c r="V1216" t="s">
        <v>567</v>
      </c>
      <c r="W1216" s="45" t="s">
        <v>355</v>
      </c>
      <c r="X1216" s="45" t="b">
        <v>0</v>
      </c>
      <c r="Y1216" s="45" t="b">
        <v>1</v>
      </c>
      <c r="Z1216" s="45" t="b">
        <v>1</v>
      </c>
      <c r="AA1216" s="45" t="b">
        <v>0</v>
      </c>
      <c r="AB1216" s="45" t="b">
        <v>1</v>
      </c>
      <c r="AC1216" s="45" t="b">
        <v>1</v>
      </c>
      <c r="AD1216" s="45" t="b">
        <v>1</v>
      </c>
      <c r="AE1216" s="45" t="b">
        <v>1</v>
      </c>
      <c r="AF1216" s="45" t="s">
        <v>314</v>
      </c>
      <c r="AG1216" s="45" t="b">
        <v>1</v>
      </c>
      <c r="AH1216" s="45" t="b">
        <v>1</v>
      </c>
    </row>
    <row r="1217" spans="22:34" x14ac:dyDescent="0.25">
      <c r="V1217" t="s">
        <v>567</v>
      </c>
      <c r="W1217" s="45" t="s">
        <v>355</v>
      </c>
      <c r="X1217" s="45" t="b">
        <v>0</v>
      </c>
      <c r="Y1217" s="45" t="b">
        <v>1</v>
      </c>
      <c r="Z1217" s="45" t="b">
        <v>1</v>
      </c>
      <c r="AA1217" s="45" t="b">
        <v>0</v>
      </c>
      <c r="AB1217" s="45" t="b">
        <v>1</v>
      </c>
      <c r="AC1217" s="45" t="b">
        <v>1</v>
      </c>
      <c r="AD1217" s="45" t="b">
        <v>1</v>
      </c>
      <c r="AE1217" s="45" t="b">
        <v>1</v>
      </c>
      <c r="AF1217" s="45" t="s">
        <v>315</v>
      </c>
      <c r="AG1217" s="45" t="b">
        <v>1</v>
      </c>
      <c r="AH1217" s="45" t="b">
        <v>1</v>
      </c>
    </row>
    <row r="1218" spans="22:34" x14ac:dyDescent="0.25">
      <c r="V1218" t="s">
        <v>567</v>
      </c>
      <c r="W1218" s="45" t="s">
        <v>355</v>
      </c>
      <c r="X1218" s="45" t="b">
        <v>0</v>
      </c>
      <c r="Y1218" s="45" t="b">
        <v>1</v>
      </c>
      <c r="Z1218" s="45" t="b">
        <v>1</v>
      </c>
      <c r="AA1218" s="45" t="b">
        <v>0</v>
      </c>
      <c r="AB1218" s="45" t="b">
        <v>1</v>
      </c>
      <c r="AC1218" s="45" t="b">
        <v>1</v>
      </c>
      <c r="AD1218" s="45" t="b">
        <v>1</v>
      </c>
      <c r="AE1218" s="45" t="b">
        <v>1</v>
      </c>
      <c r="AF1218" s="45" t="s">
        <v>316</v>
      </c>
      <c r="AG1218" s="45" t="b">
        <v>1</v>
      </c>
      <c r="AH1218" s="45" t="b">
        <v>1</v>
      </c>
    </row>
    <row r="1219" spans="22:34" x14ac:dyDescent="0.25">
      <c r="V1219" t="s">
        <v>567</v>
      </c>
      <c r="W1219" s="45" t="s">
        <v>355</v>
      </c>
      <c r="X1219" s="45" t="b">
        <v>0</v>
      </c>
      <c r="Y1219" s="45" t="b">
        <v>1</v>
      </c>
      <c r="Z1219" s="45" t="b">
        <v>1</v>
      </c>
      <c r="AA1219" s="45" t="b">
        <v>0</v>
      </c>
      <c r="AB1219" s="45" t="b">
        <v>1</v>
      </c>
      <c r="AC1219" s="45" t="b">
        <v>1</v>
      </c>
      <c r="AD1219" s="45" t="b">
        <v>1</v>
      </c>
      <c r="AE1219" s="45" t="b">
        <v>1</v>
      </c>
      <c r="AF1219" s="45" t="s">
        <v>317</v>
      </c>
      <c r="AG1219" s="45" t="b">
        <v>1</v>
      </c>
      <c r="AH1219" s="45" t="b">
        <v>1</v>
      </c>
    </row>
    <row r="1220" spans="22:34" x14ac:dyDescent="0.25">
      <c r="V1220" t="s">
        <v>567</v>
      </c>
      <c r="W1220" s="45" t="s">
        <v>355</v>
      </c>
      <c r="X1220" s="45" t="b">
        <v>0</v>
      </c>
      <c r="Y1220" s="45" t="b">
        <v>1</v>
      </c>
      <c r="Z1220" s="45" t="b">
        <v>1</v>
      </c>
      <c r="AA1220" s="45" t="b">
        <v>0</v>
      </c>
      <c r="AB1220" s="45" t="b">
        <v>1</v>
      </c>
      <c r="AC1220" s="45" t="b">
        <v>1</v>
      </c>
      <c r="AD1220" s="45" t="b">
        <v>1</v>
      </c>
      <c r="AE1220" s="45" t="b">
        <v>1</v>
      </c>
      <c r="AF1220" s="45" t="s">
        <v>318</v>
      </c>
      <c r="AG1220" s="45" t="b">
        <v>1</v>
      </c>
      <c r="AH1220" s="45" t="b">
        <v>1</v>
      </c>
    </row>
    <row r="1221" spans="22:34" x14ac:dyDescent="0.25">
      <c r="V1221" t="s">
        <v>567</v>
      </c>
      <c r="W1221" s="45" t="s">
        <v>355</v>
      </c>
      <c r="X1221" s="45" t="b">
        <v>0</v>
      </c>
      <c r="Y1221" s="45" t="b">
        <v>1</v>
      </c>
      <c r="Z1221" s="45" t="b">
        <v>1</v>
      </c>
      <c r="AA1221" s="45" t="b">
        <v>0</v>
      </c>
      <c r="AB1221" s="45" t="b">
        <v>1</v>
      </c>
      <c r="AC1221" s="45" t="b">
        <v>1</v>
      </c>
      <c r="AD1221" s="45" t="b">
        <v>1</v>
      </c>
      <c r="AE1221" s="45" t="b">
        <v>1</v>
      </c>
      <c r="AF1221" s="45" t="s">
        <v>319</v>
      </c>
      <c r="AG1221" s="45" t="b">
        <v>1</v>
      </c>
      <c r="AH1221" s="45" t="b">
        <v>1</v>
      </c>
    </row>
    <row r="1222" spans="22:34" x14ac:dyDescent="0.25">
      <c r="V1222" t="s">
        <v>568</v>
      </c>
      <c r="W1222" s="45" t="s">
        <v>356</v>
      </c>
      <c r="X1222" s="45" t="b">
        <v>0</v>
      </c>
      <c r="Y1222" s="45" t="b">
        <v>0</v>
      </c>
      <c r="Z1222" s="45" t="b">
        <v>0</v>
      </c>
      <c r="AA1222" s="45" t="b">
        <v>0</v>
      </c>
      <c r="AB1222" s="45" t="b">
        <v>1</v>
      </c>
      <c r="AC1222" s="45" t="b">
        <v>1</v>
      </c>
      <c r="AD1222" s="45" t="b">
        <v>1</v>
      </c>
      <c r="AE1222" s="45" t="b">
        <v>1</v>
      </c>
      <c r="AF1222" s="45" t="s">
        <v>295</v>
      </c>
      <c r="AG1222" s="45" t="b">
        <v>1</v>
      </c>
      <c r="AH1222" s="45" t="b">
        <v>1</v>
      </c>
    </row>
    <row r="1223" spans="22:34" x14ac:dyDescent="0.25">
      <c r="V1223" t="s">
        <v>568</v>
      </c>
      <c r="W1223" s="45" t="s">
        <v>356</v>
      </c>
      <c r="X1223" s="45" t="b">
        <v>0</v>
      </c>
      <c r="Y1223" s="45" t="b">
        <v>0</v>
      </c>
      <c r="Z1223" s="45" t="b">
        <v>0</v>
      </c>
      <c r="AA1223" s="45" t="b">
        <v>0</v>
      </c>
      <c r="AB1223" s="45" t="b">
        <v>1</v>
      </c>
      <c r="AC1223" s="45" t="b">
        <v>1</v>
      </c>
      <c r="AD1223" s="45" t="b">
        <v>1</v>
      </c>
      <c r="AE1223" s="45" t="b">
        <v>1</v>
      </c>
      <c r="AF1223" s="45" t="s">
        <v>297</v>
      </c>
      <c r="AG1223" s="45" t="b">
        <v>1</v>
      </c>
      <c r="AH1223" s="45" t="b">
        <v>1</v>
      </c>
    </row>
    <row r="1224" spans="22:34" x14ac:dyDescent="0.25">
      <c r="V1224" t="s">
        <v>568</v>
      </c>
      <c r="W1224" s="45" t="s">
        <v>356</v>
      </c>
      <c r="X1224" s="45" t="b">
        <v>0</v>
      </c>
      <c r="Y1224" s="45" t="b">
        <v>0</v>
      </c>
      <c r="Z1224" s="45" t="b">
        <v>0</v>
      </c>
      <c r="AA1224" s="45" t="b">
        <v>0</v>
      </c>
      <c r="AB1224" s="45" t="b">
        <v>1</v>
      </c>
      <c r="AC1224" s="45" t="b">
        <v>1</v>
      </c>
      <c r="AD1224" s="45" t="b">
        <v>1</v>
      </c>
      <c r="AE1224" s="45" t="b">
        <v>1</v>
      </c>
      <c r="AF1224" s="45" t="s">
        <v>112</v>
      </c>
      <c r="AG1224" s="45" t="b">
        <v>1</v>
      </c>
      <c r="AH1224" s="45" t="b">
        <v>1</v>
      </c>
    </row>
    <row r="1225" spans="22:34" x14ac:dyDescent="0.25">
      <c r="V1225" t="s">
        <v>568</v>
      </c>
      <c r="W1225" s="45" t="s">
        <v>356</v>
      </c>
      <c r="X1225" s="45" t="b">
        <v>0</v>
      </c>
      <c r="Y1225" s="45" t="b">
        <v>0</v>
      </c>
      <c r="Z1225" s="45" t="b">
        <v>0</v>
      </c>
      <c r="AA1225" s="45" t="b">
        <v>0</v>
      </c>
      <c r="AB1225" s="45" t="b">
        <v>1</v>
      </c>
      <c r="AC1225" s="45" t="b">
        <v>1</v>
      </c>
      <c r="AD1225" s="45" t="b">
        <v>1</v>
      </c>
      <c r="AE1225" s="45" t="b">
        <v>1</v>
      </c>
      <c r="AF1225" s="45" t="s">
        <v>114</v>
      </c>
      <c r="AG1225" s="45" t="b">
        <v>1</v>
      </c>
      <c r="AH1225" s="45" t="b">
        <v>1</v>
      </c>
    </row>
    <row r="1226" spans="22:34" x14ac:dyDescent="0.25">
      <c r="V1226" t="s">
        <v>568</v>
      </c>
      <c r="W1226" s="45" t="s">
        <v>356</v>
      </c>
      <c r="X1226" s="45" t="b">
        <v>0</v>
      </c>
      <c r="Y1226" s="45" t="b">
        <v>0</v>
      </c>
      <c r="Z1226" s="45" t="b">
        <v>0</v>
      </c>
      <c r="AA1226" s="45" t="b">
        <v>0</v>
      </c>
      <c r="AB1226" s="45" t="b">
        <v>1</v>
      </c>
      <c r="AC1226" s="45" t="b">
        <v>1</v>
      </c>
      <c r="AD1226" s="45" t="b">
        <v>1</v>
      </c>
      <c r="AE1226" s="45" t="b">
        <v>1</v>
      </c>
      <c r="AF1226" s="45" t="s">
        <v>115</v>
      </c>
      <c r="AG1226" s="45" t="b">
        <v>1</v>
      </c>
      <c r="AH1226" s="45" t="b">
        <v>1</v>
      </c>
    </row>
    <row r="1227" spans="22:34" x14ac:dyDescent="0.25">
      <c r="V1227" t="s">
        <v>568</v>
      </c>
      <c r="W1227" s="45" t="s">
        <v>356</v>
      </c>
      <c r="X1227" s="45" t="b">
        <v>0</v>
      </c>
      <c r="Y1227" s="45" t="b">
        <v>0</v>
      </c>
      <c r="Z1227" s="45" t="b">
        <v>0</v>
      </c>
      <c r="AA1227" s="45" t="b">
        <v>0</v>
      </c>
      <c r="AB1227" s="45" t="b">
        <v>1</v>
      </c>
      <c r="AC1227" s="45" t="b">
        <v>1</v>
      </c>
      <c r="AD1227" s="45" t="b">
        <v>1</v>
      </c>
      <c r="AE1227" s="45" t="b">
        <v>1</v>
      </c>
      <c r="AF1227" s="45" t="s">
        <v>116</v>
      </c>
      <c r="AG1227" s="45" t="b">
        <v>1</v>
      </c>
      <c r="AH1227" s="45" t="b">
        <v>1</v>
      </c>
    </row>
    <row r="1228" spans="22:34" x14ac:dyDescent="0.25">
      <c r="V1228" t="s">
        <v>568</v>
      </c>
      <c r="W1228" s="45" t="s">
        <v>356</v>
      </c>
      <c r="X1228" s="45" t="b">
        <v>0</v>
      </c>
      <c r="Y1228" s="45" t="b">
        <v>0</v>
      </c>
      <c r="Z1228" s="45" t="b">
        <v>0</v>
      </c>
      <c r="AA1228" s="45" t="b">
        <v>0</v>
      </c>
      <c r="AB1228" s="45" t="b">
        <v>1</v>
      </c>
      <c r="AC1228" s="45" t="b">
        <v>1</v>
      </c>
      <c r="AD1228" s="45" t="b">
        <v>1</v>
      </c>
      <c r="AE1228" s="45" t="b">
        <v>1</v>
      </c>
      <c r="AF1228" s="45" t="s">
        <v>298</v>
      </c>
      <c r="AG1228" s="45" t="b">
        <v>1</v>
      </c>
      <c r="AH1228" s="45" t="b">
        <v>1</v>
      </c>
    </row>
    <row r="1229" spans="22:34" x14ac:dyDescent="0.25">
      <c r="V1229" t="s">
        <v>568</v>
      </c>
      <c r="W1229" s="45" t="s">
        <v>356</v>
      </c>
      <c r="X1229" s="45" t="b">
        <v>0</v>
      </c>
      <c r="Y1229" s="45" t="b">
        <v>0</v>
      </c>
      <c r="Z1229" s="45" t="b">
        <v>0</v>
      </c>
      <c r="AA1229" s="45" t="b">
        <v>0</v>
      </c>
      <c r="AB1229" s="45" t="b">
        <v>1</v>
      </c>
      <c r="AC1229" s="45" t="b">
        <v>1</v>
      </c>
      <c r="AD1229" s="45" t="b">
        <v>1</v>
      </c>
      <c r="AE1229" s="45" t="b">
        <v>1</v>
      </c>
      <c r="AF1229" s="45" t="s">
        <v>299</v>
      </c>
      <c r="AG1229" s="45" t="b">
        <v>1</v>
      </c>
      <c r="AH1229" s="45" t="b">
        <v>1</v>
      </c>
    </row>
    <row r="1230" spans="22:34" x14ac:dyDescent="0.25">
      <c r="V1230" t="s">
        <v>568</v>
      </c>
      <c r="W1230" s="45" t="s">
        <v>356</v>
      </c>
      <c r="X1230" s="45" t="b">
        <v>0</v>
      </c>
      <c r="Y1230" s="45" t="b">
        <v>0</v>
      </c>
      <c r="Z1230" s="45" t="b">
        <v>0</v>
      </c>
      <c r="AA1230" s="45" t="b">
        <v>0</v>
      </c>
      <c r="AB1230" s="45" t="b">
        <v>1</v>
      </c>
      <c r="AC1230" s="45" t="b">
        <v>1</v>
      </c>
      <c r="AD1230" s="45" t="b">
        <v>1</v>
      </c>
      <c r="AE1230" s="45" t="b">
        <v>1</v>
      </c>
      <c r="AF1230" s="45" t="s">
        <v>414</v>
      </c>
      <c r="AG1230" s="45" t="b">
        <v>1</v>
      </c>
      <c r="AH1230" s="45" t="b">
        <v>1</v>
      </c>
    </row>
    <row r="1231" spans="22:34" x14ac:dyDescent="0.25">
      <c r="V1231" t="s">
        <v>568</v>
      </c>
      <c r="W1231" s="45" t="s">
        <v>356</v>
      </c>
      <c r="X1231" s="45" t="b">
        <v>0</v>
      </c>
      <c r="Y1231" s="45" t="b">
        <v>0</v>
      </c>
      <c r="Z1231" s="45" t="b">
        <v>0</v>
      </c>
      <c r="AA1231" s="45" t="b">
        <v>0</v>
      </c>
      <c r="AB1231" s="45" t="b">
        <v>1</v>
      </c>
      <c r="AC1231" s="45" t="b">
        <v>1</v>
      </c>
      <c r="AD1231" s="45" t="b">
        <v>1</v>
      </c>
      <c r="AE1231" s="45" t="b">
        <v>1</v>
      </c>
      <c r="AF1231" s="45" t="s">
        <v>118</v>
      </c>
      <c r="AG1231" s="45" t="b">
        <v>1</v>
      </c>
      <c r="AH1231" s="45" t="b">
        <v>1</v>
      </c>
    </row>
    <row r="1232" spans="22:34" x14ac:dyDescent="0.25">
      <c r="V1232" t="s">
        <v>568</v>
      </c>
      <c r="W1232" s="45" t="s">
        <v>356</v>
      </c>
      <c r="X1232" s="45" t="b">
        <v>0</v>
      </c>
      <c r="Y1232" s="45" t="b">
        <v>0</v>
      </c>
      <c r="Z1232" s="45" t="b">
        <v>0</v>
      </c>
      <c r="AA1232" s="45" t="b">
        <v>0</v>
      </c>
      <c r="AB1232" s="45" t="b">
        <v>1</v>
      </c>
      <c r="AC1232" s="45" t="b">
        <v>1</v>
      </c>
      <c r="AD1232" s="45" t="b">
        <v>1</v>
      </c>
      <c r="AE1232" s="45" t="b">
        <v>1</v>
      </c>
      <c r="AF1232" s="45" t="s">
        <v>119</v>
      </c>
      <c r="AG1232" s="45" t="b">
        <v>1</v>
      </c>
      <c r="AH1232" s="45" t="b">
        <v>1</v>
      </c>
    </row>
    <row r="1233" spans="22:34" x14ac:dyDescent="0.25">
      <c r="V1233" t="s">
        <v>568</v>
      </c>
      <c r="W1233" s="45" t="s">
        <v>356</v>
      </c>
      <c r="X1233" s="45" t="b">
        <v>0</v>
      </c>
      <c r="Y1233" s="45" t="b">
        <v>0</v>
      </c>
      <c r="Z1233" s="45" t="b">
        <v>0</v>
      </c>
      <c r="AA1233" s="45" t="b">
        <v>0</v>
      </c>
      <c r="AB1233" s="45" t="b">
        <v>1</v>
      </c>
      <c r="AC1233" s="45" t="b">
        <v>1</v>
      </c>
      <c r="AD1233" s="45" t="b">
        <v>1</v>
      </c>
      <c r="AE1233" s="45" t="b">
        <v>1</v>
      </c>
      <c r="AF1233" s="45" t="s">
        <v>300</v>
      </c>
      <c r="AG1233" s="45" t="b">
        <v>1</v>
      </c>
      <c r="AH1233" s="45" t="b">
        <v>1</v>
      </c>
    </row>
    <row r="1234" spans="22:34" x14ac:dyDescent="0.25">
      <c r="V1234" t="s">
        <v>568</v>
      </c>
      <c r="W1234" s="45" t="s">
        <v>356</v>
      </c>
      <c r="X1234" s="45" t="b">
        <v>0</v>
      </c>
      <c r="Y1234" s="45" t="b">
        <v>0</v>
      </c>
      <c r="Z1234" s="45" t="b">
        <v>0</v>
      </c>
      <c r="AA1234" s="45" t="b">
        <v>0</v>
      </c>
      <c r="AB1234" s="45" t="b">
        <v>1</v>
      </c>
      <c r="AC1234" s="45" t="b">
        <v>1</v>
      </c>
      <c r="AD1234" s="45" t="b">
        <v>1</v>
      </c>
      <c r="AE1234" s="45" t="b">
        <v>1</v>
      </c>
      <c r="AF1234" s="45" t="s">
        <v>301</v>
      </c>
      <c r="AG1234" s="45" t="b">
        <v>1</v>
      </c>
      <c r="AH1234" s="45" t="b">
        <v>1</v>
      </c>
    </row>
    <row r="1235" spans="22:34" x14ac:dyDescent="0.25">
      <c r="V1235" t="s">
        <v>568</v>
      </c>
      <c r="W1235" s="45" t="s">
        <v>356</v>
      </c>
      <c r="X1235" s="45" t="b">
        <v>0</v>
      </c>
      <c r="Y1235" s="45" t="b">
        <v>0</v>
      </c>
      <c r="Z1235" s="45" t="b">
        <v>0</v>
      </c>
      <c r="AA1235" s="45" t="b">
        <v>0</v>
      </c>
      <c r="AB1235" s="45" t="b">
        <v>1</v>
      </c>
      <c r="AC1235" s="45" t="b">
        <v>1</v>
      </c>
      <c r="AD1235" s="45" t="b">
        <v>1</v>
      </c>
      <c r="AE1235" s="45" t="b">
        <v>1</v>
      </c>
      <c r="AF1235" s="45" t="s">
        <v>120</v>
      </c>
      <c r="AG1235" s="45" t="b">
        <v>1</v>
      </c>
      <c r="AH1235" s="45" t="b">
        <v>1</v>
      </c>
    </row>
    <row r="1236" spans="22:34" x14ac:dyDescent="0.25">
      <c r="V1236" t="s">
        <v>568</v>
      </c>
      <c r="W1236" s="45" t="s">
        <v>356</v>
      </c>
      <c r="X1236" s="45" t="b">
        <v>0</v>
      </c>
      <c r="Y1236" s="45" t="b">
        <v>0</v>
      </c>
      <c r="Z1236" s="45" t="b">
        <v>0</v>
      </c>
      <c r="AA1236" s="45" t="b">
        <v>0</v>
      </c>
      <c r="AB1236" s="45" t="b">
        <v>1</v>
      </c>
      <c r="AC1236" s="45" t="b">
        <v>1</v>
      </c>
      <c r="AD1236" s="45" t="b">
        <v>1</v>
      </c>
      <c r="AE1236" s="45" t="b">
        <v>1</v>
      </c>
      <c r="AF1236" s="45" t="s">
        <v>302</v>
      </c>
      <c r="AG1236" s="45" t="b">
        <v>1</v>
      </c>
      <c r="AH1236" s="45" t="b">
        <v>1</v>
      </c>
    </row>
    <row r="1237" spans="22:34" x14ac:dyDescent="0.25">
      <c r="V1237" t="s">
        <v>568</v>
      </c>
      <c r="W1237" s="45" t="s">
        <v>356</v>
      </c>
      <c r="X1237" s="45" t="b">
        <v>0</v>
      </c>
      <c r="Y1237" s="45" t="b">
        <v>0</v>
      </c>
      <c r="Z1237" s="45" t="b">
        <v>0</v>
      </c>
      <c r="AA1237" s="45" t="b">
        <v>0</v>
      </c>
      <c r="AB1237" s="45" t="b">
        <v>1</v>
      </c>
      <c r="AC1237" s="45" t="b">
        <v>1</v>
      </c>
      <c r="AD1237" s="45" t="b">
        <v>1</v>
      </c>
      <c r="AE1237" s="45" t="b">
        <v>1</v>
      </c>
      <c r="AF1237" s="45" t="s">
        <v>303</v>
      </c>
      <c r="AG1237" s="45" t="b">
        <v>1</v>
      </c>
      <c r="AH1237" s="45" t="b">
        <v>1</v>
      </c>
    </row>
    <row r="1238" spans="22:34" x14ac:dyDescent="0.25">
      <c r="V1238" t="s">
        <v>568</v>
      </c>
      <c r="W1238" s="45" t="s">
        <v>356</v>
      </c>
      <c r="X1238" s="45" t="b">
        <v>0</v>
      </c>
      <c r="Y1238" s="45" t="b">
        <v>0</v>
      </c>
      <c r="Z1238" s="45" t="b">
        <v>0</v>
      </c>
      <c r="AA1238" s="45" t="b">
        <v>0</v>
      </c>
      <c r="AB1238" s="45" t="b">
        <v>1</v>
      </c>
      <c r="AC1238" s="45" t="b">
        <v>1</v>
      </c>
      <c r="AD1238" s="45" t="b">
        <v>1</v>
      </c>
      <c r="AE1238" s="45" t="b">
        <v>1</v>
      </c>
      <c r="AF1238" s="45" t="s">
        <v>304</v>
      </c>
      <c r="AG1238" s="45" t="b">
        <v>1</v>
      </c>
      <c r="AH1238" s="45" t="b">
        <v>1</v>
      </c>
    </row>
    <row r="1239" spans="22:34" x14ac:dyDescent="0.25">
      <c r="V1239" t="s">
        <v>568</v>
      </c>
      <c r="W1239" s="45" t="s">
        <v>356</v>
      </c>
      <c r="X1239" s="45" t="b">
        <v>0</v>
      </c>
      <c r="Y1239" s="45" t="b">
        <v>0</v>
      </c>
      <c r="Z1239" s="45" t="b">
        <v>0</v>
      </c>
      <c r="AA1239" s="45" t="b">
        <v>0</v>
      </c>
      <c r="AB1239" s="45" t="b">
        <v>1</v>
      </c>
      <c r="AC1239" s="45" t="b">
        <v>1</v>
      </c>
      <c r="AD1239" s="45" t="b">
        <v>1</v>
      </c>
      <c r="AE1239" s="45" t="b">
        <v>1</v>
      </c>
      <c r="AF1239" s="45" t="s">
        <v>305</v>
      </c>
      <c r="AG1239" s="45" t="b">
        <v>1</v>
      </c>
      <c r="AH1239" s="45" t="b">
        <v>1</v>
      </c>
    </row>
    <row r="1240" spans="22:34" x14ac:dyDescent="0.25">
      <c r="V1240" t="s">
        <v>568</v>
      </c>
      <c r="W1240" s="45" t="s">
        <v>356</v>
      </c>
      <c r="X1240" s="45" t="b">
        <v>0</v>
      </c>
      <c r="Y1240" s="45" t="b">
        <v>0</v>
      </c>
      <c r="Z1240" s="45" t="b">
        <v>0</v>
      </c>
      <c r="AA1240" s="45" t="b">
        <v>0</v>
      </c>
      <c r="AB1240" s="45" t="b">
        <v>1</v>
      </c>
      <c r="AC1240" s="45" t="b">
        <v>1</v>
      </c>
      <c r="AD1240" s="45" t="b">
        <v>1</v>
      </c>
      <c r="AE1240" s="45" t="b">
        <v>1</v>
      </c>
      <c r="AF1240" s="45" t="s">
        <v>306</v>
      </c>
      <c r="AG1240" s="45" t="b">
        <v>1</v>
      </c>
      <c r="AH1240" s="45" t="b">
        <v>1</v>
      </c>
    </row>
    <row r="1241" spans="22:34" x14ac:dyDescent="0.25">
      <c r="V1241" t="s">
        <v>568</v>
      </c>
      <c r="W1241" s="45" t="s">
        <v>356</v>
      </c>
      <c r="X1241" s="45" t="b">
        <v>0</v>
      </c>
      <c r="Y1241" s="45" t="b">
        <v>0</v>
      </c>
      <c r="Z1241" s="45" t="b">
        <v>0</v>
      </c>
      <c r="AA1241" s="45" t="b">
        <v>0</v>
      </c>
      <c r="AB1241" s="45" t="b">
        <v>1</v>
      </c>
      <c r="AC1241" s="45" t="b">
        <v>1</v>
      </c>
      <c r="AD1241" s="45" t="b">
        <v>1</v>
      </c>
      <c r="AE1241" s="45" t="b">
        <v>1</v>
      </c>
      <c r="AF1241" s="45" t="s">
        <v>307</v>
      </c>
      <c r="AG1241" s="45" t="b">
        <v>1</v>
      </c>
      <c r="AH1241" s="45" t="b">
        <v>1</v>
      </c>
    </row>
    <row r="1242" spans="22:34" x14ac:dyDescent="0.25">
      <c r="V1242" t="s">
        <v>568</v>
      </c>
      <c r="W1242" s="45" t="s">
        <v>356</v>
      </c>
      <c r="X1242" s="45" t="b">
        <v>0</v>
      </c>
      <c r="Y1242" s="45" t="b">
        <v>0</v>
      </c>
      <c r="Z1242" s="45" t="b">
        <v>0</v>
      </c>
      <c r="AA1242" s="45" t="b">
        <v>0</v>
      </c>
      <c r="AB1242" s="45" t="b">
        <v>1</v>
      </c>
      <c r="AC1242" s="45" t="b">
        <v>1</v>
      </c>
      <c r="AD1242" s="45" t="b">
        <v>1</v>
      </c>
      <c r="AE1242" s="45" t="b">
        <v>1</v>
      </c>
      <c r="AF1242" s="45" t="s">
        <v>308</v>
      </c>
      <c r="AG1242" s="45" t="b">
        <v>1</v>
      </c>
      <c r="AH1242" s="45" t="b">
        <v>1</v>
      </c>
    </row>
    <row r="1243" spans="22:34" x14ac:dyDescent="0.25">
      <c r="V1243" t="s">
        <v>568</v>
      </c>
      <c r="W1243" s="45" t="s">
        <v>356</v>
      </c>
      <c r="X1243" s="45" t="b">
        <v>0</v>
      </c>
      <c r="Y1243" s="45" t="b">
        <v>0</v>
      </c>
      <c r="Z1243" s="45" t="b">
        <v>0</v>
      </c>
      <c r="AA1243" s="45" t="b">
        <v>0</v>
      </c>
      <c r="AB1243" s="45" t="b">
        <v>1</v>
      </c>
      <c r="AC1243" s="45" t="b">
        <v>1</v>
      </c>
      <c r="AD1243" s="45" t="b">
        <v>1</v>
      </c>
      <c r="AE1243" s="45" t="b">
        <v>1</v>
      </c>
      <c r="AF1243" s="45" t="s">
        <v>309</v>
      </c>
      <c r="AG1243" s="45" t="b">
        <v>1</v>
      </c>
      <c r="AH1243" s="45" t="b">
        <v>1</v>
      </c>
    </row>
    <row r="1244" spans="22:34" x14ac:dyDescent="0.25">
      <c r="V1244" t="s">
        <v>568</v>
      </c>
      <c r="W1244" s="45" t="s">
        <v>356</v>
      </c>
      <c r="X1244" s="45" t="b">
        <v>0</v>
      </c>
      <c r="Y1244" s="45" t="b">
        <v>0</v>
      </c>
      <c r="Z1244" s="45" t="b">
        <v>0</v>
      </c>
      <c r="AA1244" s="45" t="b">
        <v>0</v>
      </c>
      <c r="AB1244" s="45" t="b">
        <v>1</v>
      </c>
      <c r="AC1244" s="45" t="b">
        <v>1</v>
      </c>
      <c r="AD1244" s="45" t="b">
        <v>1</v>
      </c>
      <c r="AE1244" s="45" t="b">
        <v>1</v>
      </c>
      <c r="AF1244" s="45" t="s">
        <v>310</v>
      </c>
      <c r="AG1244" s="45" t="b">
        <v>1</v>
      </c>
      <c r="AH1244" s="45" t="b">
        <v>1</v>
      </c>
    </row>
    <row r="1245" spans="22:34" x14ac:dyDescent="0.25">
      <c r="V1245" t="s">
        <v>568</v>
      </c>
      <c r="W1245" s="45" t="s">
        <v>356</v>
      </c>
      <c r="X1245" s="45" t="b">
        <v>0</v>
      </c>
      <c r="Y1245" s="45" t="b">
        <v>0</v>
      </c>
      <c r="Z1245" s="45" t="b">
        <v>0</v>
      </c>
      <c r="AA1245" s="45" t="b">
        <v>0</v>
      </c>
      <c r="AB1245" s="45" t="b">
        <v>1</v>
      </c>
      <c r="AC1245" s="45" t="b">
        <v>1</v>
      </c>
      <c r="AD1245" s="45" t="b">
        <v>1</v>
      </c>
      <c r="AE1245" s="45" t="b">
        <v>1</v>
      </c>
      <c r="AF1245" s="45" t="s">
        <v>311</v>
      </c>
      <c r="AG1245" s="45" t="b">
        <v>1</v>
      </c>
      <c r="AH1245" s="45" t="b">
        <v>1</v>
      </c>
    </row>
    <row r="1246" spans="22:34" x14ac:dyDescent="0.25">
      <c r="V1246" t="s">
        <v>568</v>
      </c>
      <c r="W1246" s="45" t="s">
        <v>356</v>
      </c>
      <c r="X1246" s="45" t="b">
        <v>0</v>
      </c>
      <c r="Y1246" s="45" t="b">
        <v>0</v>
      </c>
      <c r="Z1246" s="45" t="b">
        <v>0</v>
      </c>
      <c r="AA1246" s="45" t="b">
        <v>0</v>
      </c>
      <c r="AB1246" s="45" t="b">
        <v>1</v>
      </c>
      <c r="AC1246" s="45" t="b">
        <v>1</v>
      </c>
      <c r="AD1246" s="45" t="b">
        <v>1</v>
      </c>
      <c r="AE1246" s="45" t="b">
        <v>1</v>
      </c>
      <c r="AF1246" s="45" t="s">
        <v>312</v>
      </c>
      <c r="AG1246" s="45" t="b">
        <v>1</v>
      </c>
      <c r="AH1246" s="45" t="b">
        <v>1</v>
      </c>
    </row>
    <row r="1247" spans="22:34" x14ac:dyDescent="0.25">
      <c r="V1247" t="s">
        <v>568</v>
      </c>
      <c r="W1247" s="45" t="s">
        <v>356</v>
      </c>
      <c r="X1247" s="45" t="b">
        <v>0</v>
      </c>
      <c r="Y1247" s="45" t="b">
        <v>0</v>
      </c>
      <c r="Z1247" s="45" t="b">
        <v>0</v>
      </c>
      <c r="AA1247" s="45" t="b">
        <v>0</v>
      </c>
      <c r="AB1247" s="45" t="b">
        <v>1</v>
      </c>
      <c r="AC1247" s="45" t="b">
        <v>1</v>
      </c>
      <c r="AD1247" s="45" t="b">
        <v>1</v>
      </c>
      <c r="AE1247" s="45" t="b">
        <v>1</v>
      </c>
      <c r="AF1247" s="45" t="s">
        <v>313</v>
      </c>
      <c r="AG1247" s="45" t="b">
        <v>1</v>
      </c>
      <c r="AH1247" s="45" t="b">
        <v>1</v>
      </c>
    </row>
    <row r="1248" spans="22:34" x14ac:dyDescent="0.25">
      <c r="V1248" t="s">
        <v>568</v>
      </c>
      <c r="W1248" s="45" t="s">
        <v>356</v>
      </c>
      <c r="X1248" s="45" t="b">
        <v>0</v>
      </c>
      <c r="Y1248" s="45" t="b">
        <v>0</v>
      </c>
      <c r="Z1248" s="45" t="b">
        <v>0</v>
      </c>
      <c r="AA1248" s="45" t="b">
        <v>0</v>
      </c>
      <c r="AB1248" s="45" t="b">
        <v>1</v>
      </c>
      <c r="AC1248" s="45" t="b">
        <v>1</v>
      </c>
      <c r="AD1248" s="45" t="b">
        <v>1</v>
      </c>
      <c r="AE1248" s="45" t="b">
        <v>1</v>
      </c>
      <c r="AF1248" s="45" t="s">
        <v>314</v>
      </c>
      <c r="AG1248" s="45" t="b">
        <v>1</v>
      </c>
      <c r="AH1248" s="45" t="b">
        <v>1</v>
      </c>
    </row>
    <row r="1249" spans="22:34" x14ac:dyDescent="0.25">
      <c r="V1249" t="s">
        <v>568</v>
      </c>
      <c r="W1249" s="45" t="s">
        <v>356</v>
      </c>
      <c r="X1249" s="45" t="b">
        <v>0</v>
      </c>
      <c r="Y1249" s="45" t="b">
        <v>0</v>
      </c>
      <c r="Z1249" s="45" t="b">
        <v>0</v>
      </c>
      <c r="AA1249" s="45" t="b">
        <v>0</v>
      </c>
      <c r="AB1249" s="45" t="b">
        <v>1</v>
      </c>
      <c r="AC1249" s="45" t="b">
        <v>1</v>
      </c>
      <c r="AD1249" s="45" t="b">
        <v>1</v>
      </c>
      <c r="AE1249" s="45" t="b">
        <v>1</v>
      </c>
      <c r="AF1249" s="45" t="s">
        <v>315</v>
      </c>
      <c r="AG1249" s="45" t="b">
        <v>1</v>
      </c>
      <c r="AH1249" s="45" t="b">
        <v>1</v>
      </c>
    </row>
    <row r="1250" spans="22:34" x14ac:dyDescent="0.25">
      <c r="V1250" t="s">
        <v>568</v>
      </c>
      <c r="W1250" s="45" t="s">
        <v>356</v>
      </c>
      <c r="X1250" s="45" t="b">
        <v>0</v>
      </c>
      <c r="Y1250" s="45" t="b">
        <v>0</v>
      </c>
      <c r="Z1250" s="45" t="b">
        <v>0</v>
      </c>
      <c r="AA1250" s="45" t="b">
        <v>0</v>
      </c>
      <c r="AB1250" s="45" t="b">
        <v>1</v>
      </c>
      <c r="AC1250" s="45" t="b">
        <v>1</v>
      </c>
      <c r="AD1250" s="45" t="b">
        <v>1</v>
      </c>
      <c r="AE1250" s="45" t="b">
        <v>1</v>
      </c>
      <c r="AF1250" s="45" t="s">
        <v>316</v>
      </c>
      <c r="AG1250" s="45" t="b">
        <v>1</v>
      </c>
      <c r="AH1250" s="45" t="b">
        <v>1</v>
      </c>
    </row>
    <row r="1251" spans="22:34" x14ac:dyDescent="0.25">
      <c r="V1251" t="s">
        <v>568</v>
      </c>
      <c r="W1251" s="45" t="s">
        <v>356</v>
      </c>
      <c r="X1251" s="45" t="b">
        <v>0</v>
      </c>
      <c r="Y1251" s="45" t="b">
        <v>0</v>
      </c>
      <c r="Z1251" s="45" t="b">
        <v>0</v>
      </c>
      <c r="AA1251" s="45" t="b">
        <v>0</v>
      </c>
      <c r="AB1251" s="45" t="b">
        <v>1</v>
      </c>
      <c r="AC1251" s="45" t="b">
        <v>1</v>
      </c>
      <c r="AD1251" s="45" t="b">
        <v>1</v>
      </c>
      <c r="AE1251" s="45" t="b">
        <v>1</v>
      </c>
      <c r="AF1251" s="45" t="s">
        <v>317</v>
      </c>
      <c r="AG1251" s="45" t="b">
        <v>1</v>
      </c>
      <c r="AH1251" s="45" t="b">
        <v>1</v>
      </c>
    </row>
    <row r="1252" spans="22:34" x14ac:dyDescent="0.25">
      <c r="V1252" t="s">
        <v>568</v>
      </c>
      <c r="W1252" s="45" t="s">
        <v>356</v>
      </c>
      <c r="X1252" s="45" t="b">
        <v>0</v>
      </c>
      <c r="Y1252" s="45" t="b">
        <v>0</v>
      </c>
      <c r="Z1252" s="45" t="b">
        <v>0</v>
      </c>
      <c r="AA1252" s="45" t="b">
        <v>0</v>
      </c>
      <c r="AB1252" s="45" t="b">
        <v>1</v>
      </c>
      <c r="AC1252" s="45" t="b">
        <v>1</v>
      </c>
      <c r="AD1252" s="45" t="b">
        <v>1</v>
      </c>
      <c r="AE1252" s="45" t="b">
        <v>1</v>
      </c>
      <c r="AF1252" s="45" t="s">
        <v>318</v>
      </c>
      <c r="AG1252" s="45" t="b">
        <v>1</v>
      </c>
      <c r="AH1252" s="45" t="b">
        <v>1</v>
      </c>
    </row>
    <row r="1253" spans="22:34" x14ac:dyDescent="0.25">
      <c r="V1253" t="s">
        <v>568</v>
      </c>
      <c r="W1253" s="45" t="s">
        <v>356</v>
      </c>
      <c r="X1253" s="45" t="b">
        <v>0</v>
      </c>
      <c r="Y1253" s="45" t="b">
        <v>0</v>
      </c>
      <c r="Z1253" s="45" t="b">
        <v>0</v>
      </c>
      <c r="AA1253" s="45" t="b">
        <v>0</v>
      </c>
      <c r="AB1253" s="45" t="b">
        <v>1</v>
      </c>
      <c r="AC1253" s="45" t="b">
        <v>1</v>
      </c>
      <c r="AD1253" s="45" t="b">
        <v>1</v>
      </c>
      <c r="AE1253" s="45" t="b">
        <v>1</v>
      </c>
      <c r="AF1253" s="45" t="s">
        <v>319</v>
      </c>
      <c r="AG1253" s="45" t="b">
        <v>1</v>
      </c>
      <c r="AH1253" s="45" t="b">
        <v>1</v>
      </c>
    </row>
    <row r="1254" spans="22:34" x14ac:dyDescent="0.25">
      <c r="V1254" t="s">
        <v>569</v>
      </c>
      <c r="W1254" s="45" t="s">
        <v>357</v>
      </c>
      <c r="X1254" s="45" t="b">
        <v>0</v>
      </c>
      <c r="Y1254" s="45" t="b">
        <v>1</v>
      </c>
      <c r="Z1254" s="45" t="b">
        <v>1</v>
      </c>
      <c r="AA1254" s="45" t="b">
        <v>0</v>
      </c>
      <c r="AB1254" s="45" t="b">
        <v>0</v>
      </c>
      <c r="AC1254" s="45" t="b">
        <v>1</v>
      </c>
      <c r="AD1254" s="45" t="b">
        <v>0</v>
      </c>
      <c r="AE1254" s="45" t="b">
        <v>1</v>
      </c>
      <c r="AF1254" s="45" t="s">
        <v>295</v>
      </c>
      <c r="AG1254" s="45" t="b">
        <v>1</v>
      </c>
      <c r="AH1254" s="45" t="b">
        <v>1</v>
      </c>
    </row>
    <row r="1255" spans="22:34" x14ac:dyDescent="0.25">
      <c r="V1255" t="s">
        <v>569</v>
      </c>
      <c r="W1255" s="45" t="s">
        <v>357</v>
      </c>
      <c r="X1255" s="45" t="b">
        <v>0</v>
      </c>
      <c r="Y1255" s="45" t="b">
        <v>1</v>
      </c>
      <c r="Z1255" s="45" t="b">
        <v>1</v>
      </c>
      <c r="AA1255" s="45" t="b">
        <v>0</v>
      </c>
      <c r="AB1255" s="45" t="b">
        <v>0</v>
      </c>
      <c r="AC1255" s="45" t="b">
        <v>1</v>
      </c>
      <c r="AD1255" s="45" t="b">
        <v>0</v>
      </c>
      <c r="AE1255" s="45" t="b">
        <v>1</v>
      </c>
      <c r="AF1255" s="45" t="s">
        <v>297</v>
      </c>
      <c r="AG1255" s="45" t="b">
        <v>1</v>
      </c>
      <c r="AH1255" s="45" t="b">
        <v>1</v>
      </c>
    </row>
    <row r="1256" spans="22:34" x14ac:dyDescent="0.25">
      <c r="V1256" t="s">
        <v>569</v>
      </c>
      <c r="W1256" s="45" t="s">
        <v>357</v>
      </c>
      <c r="X1256" s="45" t="b">
        <v>0</v>
      </c>
      <c r="Y1256" s="45" t="b">
        <v>1</v>
      </c>
      <c r="Z1256" s="45" t="b">
        <v>1</v>
      </c>
      <c r="AA1256" s="45" t="b">
        <v>0</v>
      </c>
      <c r="AB1256" s="45" t="b">
        <v>0</v>
      </c>
      <c r="AC1256" s="45" t="b">
        <v>1</v>
      </c>
      <c r="AD1256" s="45" t="b">
        <v>0</v>
      </c>
      <c r="AE1256" s="45" t="b">
        <v>1</v>
      </c>
      <c r="AF1256" s="45" t="s">
        <v>112</v>
      </c>
      <c r="AG1256" s="45" t="b">
        <v>1</v>
      </c>
      <c r="AH1256" s="45" t="b">
        <v>1</v>
      </c>
    </row>
    <row r="1257" spans="22:34" x14ac:dyDescent="0.25">
      <c r="V1257" t="s">
        <v>569</v>
      </c>
      <c r="W1257" s="45" t="s">
        <v>357</v>
      </c>
      <c r="X1257" s="45" t="b">
        <v>0</v>
      </c>
      <c r="Y1257" s="45" t="b">
        <v>1</v>
      </c>
      <c r="Z1257" s="45" t="b">
        <v>1</v>
      </c>
      <c r="AA1257" s="45" t="b">
        <v>0</v>
      </c>
      <c r="AB1257" s="45" t="b">
        <v>0</v>
      </c>
      <c r="AC1257" s="45" t="b">
        <v>1</v>
      </c>
      <c r="AD1257" s="45" t="b">
        <v>0</v>
      </c>
      <c r="AE1257" s="45" t="b">
        <v>1</v>
      </c>
      <c r="AF1257" s="45" t="s">
        <v>114</v>
      </c>
      <c r="AG1257" s="45" t="b">
        <v>1</v>
      </c>
      <c r="AH1257" s="45" t="b">
        <v>1</v>
      </c>
    </row>
    <row r="1258" spans="22:34" x14ac:dyDescent="0.25">
      <c r="V1258" t="s">
        <v>569</v>
      </c>
      <c r="W1258" s="45" t="s">
        <v>357</v>
      </c>
      <c r="X1258" s="45" t="b">
        <v>0</v>
      </c>
      <c r="Y1258" s="45" t="b">
        <v>1</v>
      </c>
      <c r="Z1258" s="45" t="b">
        <v>1</v>
      </c>
      <c r="AA1258" s="45" t="b">
        <v>0</v>
      </c>
      <c r="AB1258" s="45" t="b">
        <v>0</v>
      </c>
      <c r="AC1258" s="45" t="b">
        <v>1</v>
      </c>
      <c r="AD1258" s="45" t="b">
        <v>0</v>
      </c>
      <c r="AE1258" s="45" t="b">
        <v>1</v>
      </c>
      <c r="AF1258" s="45" t="s">
        <v>115</v>
      </c>
      <c r="AG1258" s="45" t="b">
        <v>1</v>
      </c>
      <c r="AH1258" s="45" t="b">
        <v>1</v>
      </c>
    </row>
    <row r="1259" spans="22:34" x14ac:dyDescent="0.25">
      <c r="V1259" t="s">
        <v>569</v>
      </c>
      <c r="W1259" s="45" t="s">
        <v>357</v>
      </c>
      <c r="X1259" s="45" t="b">
        <v>0</v>
      </c>
      <c r="Y1259" s="45" t="b">
        <v>1</v>
      </c>
      <c r="Z1259" s="45" t="b">
        <v>1</v>
      </c>
      <c r="AA1259" s="45" t="b">
        <v>0</v>
      </c>
      <c r="AB1259" s="45" t="b">
        <v>0</v>
      </c>
      <c r="AC1259" s="45" t="b">
        <v>1</v>
      </c>
      <c r="AD1259" s="45" t="b">
        <v>0</v>
      </c>
      <c r="AE1259" s="45" t="b">
        <v>1</v>
      </c>
      <c r="AF1259" s="45" t="s">
        <v>116</v>
      </c>
      <c r="AG1259" s="45" t="b">
        <v>1</v>
      </c>
      <c r="AH1259" s="45" t="b">
        <v>1</v>
      </c>
    </row>
    <row r="1260" spans="22:34" x14ac:dyDescent="0.25">
      <c r="V1260" t="s">
        <v>569</v>
      </c>
      <c r="W1260" s="45" t="s">
        <v>357</v>
      </c>
      <c r="X1260" s="45" t="b">
        <v>0</v>
      </c>
      <c r="Y1260" s="45" t="b">
        <v>1</v>
      </c>
      <c r="Z1260" s="45" t="b">
        <v>1</v>
      </c>
      <c r="AA1260" s="45" t="b">
        <v>0</v>
      </c>
      <c r="AB1260" s="45" t="b">
        <v>0</v>
      </c>
      <c r="AC1260" s="45" t="b">
        <v>1</v>
      </c>
      <c r="AD1260" s="45" t="b">
        <v>0</v>
      </c>
      <c r="AE1260" s="45" t="b">
        <v>1</v>
      </c>
      <c r="AF1260" s="45" t="s">
        <v>298</v>
      </c>
      <c r="AG1260" s="45" t="b">
        <v>1</v>
      </c>
      <c r="AH1260" s="45" t="b">
        <v>1</v>
      </c>
    </row>
    <row r="1261" spans="22:34" x14ac:dyDescent="0.25">
      <c r="V1261" t="s">
        <v>569</v>
      </c>
      <c r="W1261" s="45" t="s">
        <v>357</v>
      </c>
      <c r="X1261" s="45" t="b">
        <v>0</v>
      </c>
      <c r="Y1261" s="45" t="b">
        <v>1</v>
      </c>
      <c r="Z1261" s="45" t="b">
        <v>1</v>
      </c>
      <c r="AA1261" s="45" t="b">
        <v>0</v>
      </c>
      <c r="AB1261" s="45" t="b">
        <v>0</v>
      </c>
      <c r="AC1261" s="45" t="b">
        <v>1</v>
      </c>
      <c r="AD1261" s="45" t="b">
        <v>0</v>
      </c>
      <c r="AE1261" s="45" t="b">
        <v>1</v>
      </c>
      <c r="AF1261" s="45" t="s">
        <v>299</v>
      </c>
      <c r="AG1261" s="45" t="b">
        <v>1</v>
      </c>
      <c r="AH1261" s="45" t="b">
        <v>1</v>
      </c>
    </row>
    <row r="1262" spans="22:34" x14ac:dyDescent="0.25">
      <c r="V1262" t="s">
        <v>569</v>
      </c>
      <c r="W1262" s="45" t="s">
        <v>357</v>
      </c>
      <c r="X1262" s="45" t="b">
        <v>0</v>
      </c>
      <c r="Y1262" s="45" t="b">
        <v>1</v>
      </c>
      <c r="Z1262" s="45" t="b">
        <v>1</v>
      </c>
      <c r="AA1262" s="45" t="b">
        <v>0</v>
      </c>
      <c r="AB1262" s="45" t="b">
        <v>0</v>
      </c>
      <c r="AC1262" s="45" t="b">
        <v>1</v>
      </c>
      <c r="AD1262" s="45" t="b">
        <v>0</v>
      </c>
      <c r="AE1262" s="45" t="b">
        <v>1</v>
      </c>
      <c r="AF1262" s="45" t="s">
        <v>414</v>
      </c>
      <c r="AG1262" s="45" t="b">
        <v>1</v>
      </c>
      <c r="AH1262" s="45" t="b">
        <v>1</v>
      </c>
    </row>
    <row r="1263" spans="22:34" x14ac:dyDescent="0.25">
      <c r="V1263" t="s">
        <v>569</v>
      </c>
      <c r="W1263" s="45" t="s">
        <v>357</v>
      </c>
      <c r="X1263" s="45" t="b">
        <v>0</v>
      </c>
      <c r="Y1263" s="45" t="b">
        <v>1</v>
      </c>
      <c r="Z1263" s="45" t="b">
        <v>1</v>
      </c>
      <c r="AA1263" s="45" t="b">
        <v>0</v>
      </c>
      <c r="AB1263" s="45" t="b">
        <v>0</v>
      </c>
      <c r="AC1263" s="45" t="b">
        <v>1</v>
      </c>
      <c r="AD1263" s="45" t="b">
        <v>0</v>
      </c>
      <c r="AE1263" s="45" t="b">
        <v>1</v>
      </c>
      <c r="AF1263" s="45" t="s">
        <v>118</v>
      </c>
      <c r="AG1263" s="45" t="b">
        <v>1</v>
      </c>
      <c r="AH1263" s="45" t="b">
        <v>1</v>
      </c>
    </row>
    <row r="1264" spans="22:34" x14ac:dyDescent="0.25">
      <c r="V1264" t="s">
        <v>569</v>
      </c>
      <c r="W1264" s="45" t="s">
        <v>357</v>
      </c>
      <c r="X1264" s="45" t="b">
        <v>0</v>
      </c>
      <c r="Y1264" s="45" t="b">
        <v>1</v>
      </c>
      <c r="Z1264" s="45" t="b">
        <v>1</v>
      </c>
      <c r="AA1264" s="45" t="b">
        <v>0</v>
      </c>
      <c r="AB1264" s="45" t="b">
        <v>0</v>
      </c>
      <c r="AC1264" s="45" t="b">
        <v>1</v>
      </c>
      <c r="AD1264" s="45" t="b">
        <v>0</v>
      </c>
      <c r="AE1264" s="45" t="b">
        <v>1</v>
      </c>
      <c r="AF1264" s="45" t="s">
        <v>119</v>
      </c>
      <c r="AG1264" s="45" t="b">
        <v>1</v>
      </c>
      <c r="AH1264" s="45" t="b">
        <v>1</v>
      </c>
    </row>
    <row r="1265" spans="22:34" x14ac:dyDescent="0.25">
      <c r="V1265" t="s">
        <v>569</v>
      </c>
      <c r="W1265" s="45" t="s">
        <v>357</v>
      </c>
      <c r="X1265" s="45" t="b">
        <v>0</v>
      </c>
      <c r="Y1265" s="45" t="b">
        <v>1</v>
      </c>
      <c r="Z1265" s="45" t="b">
        <v>1</v>
      </c>
      <c r="AA1265" s="45" t="b">
        <v>0</v>
      </c>
      <c r="AB1265" s="45" t="b">
        <v>0</v>
      </c>
      <c r="AC1265" s="45" t="b">
        <v>1</v>
      </c>
      <c r="AD1265" s="45" t="b">
        <v>0</v>
      </c>
      <c r="AE1265" s="45" t="b">
        <v>1</v>
      </c>
      <c r="AF1265" s="45" t="s">
        <v>300</v>
      </c>
      <c r="AG1265" s="45" t="b">
        <v>1</v>
      </c>
      <c r="AH1265" s="45" t="b">
        <v>1</v>
      </c>
    </row>
    <row r="1266" spans="22:34" x14ac:dyDescent="0.25">
      <c r="V1266" t="s">
        <v>569</v>
      </c>
      <c r="W1266" s="45" t="s">
        <v>357</v>
      </c>
      <c r="X1266" s="45" t="b">
        <v>0</v>
      </c>
      <c r="Y1266" s="45" t="b">
        <v>1</v>
      </c>
      <c r="Z1266" s="45" t="b">
        <v>1</v>
      </c>
      <c r="AA1266" s="45" t="b">
        <v>0</v>
      </c>
      <c r="AB1266" s="45" t="b">
        <v>0</v>
      </c>
      <c r="AC1266" s="45" t="b">
        <v>1</v>
      </c>
      <c r="AD1266" s="45" t="b">
        <v>0</v>
      </c>
      <c r="AE1266" s="45" t="b">
        <v>1</v>
      </c>
      <c r="AF1266" s="45" t="s">
        <v>301</v>
      </c>
      <c r="AG1266" s="45" t="b">
        <v>1</v>
      </c>
      <c r="AH1266" s="45" t="b">
        <v>1</v>
      </c>
    </row>
    <row r="1267" spans="22:34" x14ac:dyDescent="0.25">
      <c r="V1267" t="s">
        <v>569</v>
      </c>
      <c r="W1267" s="45" t="s">
        <v>357</v>
      </c>
      <c r="X1267" s="45" t="b">
        <v>0</v>
      </c>
      <c r="Y1267" s="45" t="b">
        <v>1</v>
      </c>
      <c r="Z1267" s="45" t="b">
        <v>1</v>
      </c>
      <c r="AA1267" s="45" t="b">
        <v>0</v>
      </c>
      <c r="AB1267" s="45" t="b">
        <v>0</v>
      </c>
      <c r="AC1267" s="45" t="b">
        <v>1</v>
      </c>
      <c r="AD1267" s="45" t="b">
        <v>0</v>
      </c>
      <c r="AE1267" s="45" t="b">
        <v>1</v>
      </c>
      <c r="AF1267" s="45" t="s">
        <v>120</v>
      </c>
      <c r="AG1267" s="45" t="b">
        <v>1</v>
      </c>
      <c r="AH1267" s="45" t="b">
        <v>1</v>
      </c>
    </row>
    <row r="1268" spans="22:34" x14ac:dyDescent="0.25">
      <c r="V1268" t="s">
        <v>569</v>
      </c>
      <c r="W1268" s="45" t="s">
        <v>357</v>
      </c>
      <c r="X1268" s="45" t="b">
        <v>0</v>
      </c>
      <c r="Y1268" s="45" t="b">
        <v>1</v>
      </c>
      <c r="Z1268" s="45" t="b">
        <v>1</v>
      </c>
      <c r="AA1268" s="45" t="b">
        <v>0</v>
      </c>
      <c r="AB1268" s="45" t="b">
        <v>0</v>
      </c>
      <c r="AC1268" s="45" t="b">
        <v>1</v>
      </c>
      <c r="AD1268" s="45" t="b">
        <v>0</v>
      </c>
      <c r="AE1268" s="45" t="b">
        <v>1</v>
      </c>
      <c r="AF1268" s="45" t="s">
        <v>302</v>
      </c>
      <c r="AG1268" s="45" t="b">
        <v>1</v>
      </c>
      <c r="AH1268" s="45" t="b">
        <v>1</v>
      </c>
    </row>
    <row r="1269" spans="22:34" x14ac:dyDescent="0.25">
      <c r="V1269" t="s">
        <v>569</v>
      </c>
      <c r="W1269" s="45" t="s">
        <v>357</v>
      </c>
      <c r="X1269" s="45" t="b">
        <v>0</v>
      </c>
      <c r="Y1269" s="45" t="b">
        <v>1</v>
      </c>
      <c r="Z1269" s="45" t="b">
        <v>1</v>
      </c>
      <c r="AA1269" s="45" t="b">
        <v>0</v>
      </c>
      <c r="AB1269" s="45" t="b">
        <v>0</v>
      </c>
      <c r="AC1269" s="45" t="b">
        <v>1</v>
      </c>
      <c r="AD1269" s="45" t="b">
        <v>0</v>
      </c>
      <c r="AE1269" s="45" t="b">
        <v>1</v>
      </c>
      <c r="AF1269" s="45" t="s">
        <v>303</v>
      </c>
      <c r="AG1269" s="45" t="b">
        <v>1</v>
      </c>
      <c r="AH1269" s="45" t="b">
        <v>1</v>
      </c>
    </row>
    <row r="1270" spans="22:34" x14ac:dyDescent="0.25">
      <c r="V1270" t="s">
        <v>569</v>
      </c>
      <c r="W1270" s="45" t="s">
        <v>357</v>
      </c>
      <c r="X1270" s="45" t="b">
        <v>0</v>
      </c>
      <c r="Y1270" s="45" t="b">
        <v>1</v>
      </c>
      <c r="Z1270" s="45" t="b">
        <v>1</v>
      </c>
      <c r="AA1270" s="45" t="b">
        <v>0</v>
      </c>
      <c r="AB1270" s="45" t="b">
        <v>0</v>
      </c>
      <c r="AC1270" s="45" t="b">
        <v>1</v>
      </c>
      <c r="AD1270" s="45" t="b">
        <v>0</v>
      </c>
      <c r="AE1270" s="45" t="b">
        <v>1</v>
      </c>
      <c r="AF1270" s="45" t="s">
        <v>304</v>
      </c>
      <c r="AG1270" s="45" t="b">
        <v>1</v>
      </c>
      <c r="AH1270" s="45" t="b">
        <v>1</v>
      </c>
    </row>
    <row r="1271" spans="22:34" x14ac:dyDescent="0.25">
      <c r="V1271" t="s">
        <v>569</v>
      </c>
      <c r="W1271" s="45" t="s">
        <v>357</v>
      </c>
      <c r="X1271" s="45" t="b">
        <v>0</v>
      </c>
      <c r="Y1271" s="45" t="b">
        <v>1</v>
      </c>
      <c r="Z1271" s="45" t="b">
        <v>1</v>
      </c>
      <c r="AA1271" s="45" t="b">
        <v>0</v>
      </c>
      <c r="AB1271" s="45" t="b">
        <v>0</v>
      </c>
      <c r="AC1271" s="45" t="b">
        <v>1</v>
      </c>
      <c r="AD1271" s="45" t="b">
        <v>0</v>
      </c>
      <c r="AE1271" s="45" t="b">
        <v>1</v>
      </c>
      <c r="AF1271" s="45" t="s">
        <v>305</v>
      </c>
      <c r="AG1271" s="45" t="b">
        <v>1</v>
      </c>
      <c r="AH1271" s="45" t="b">
        <v>1</v>
      </c>
    </row>
    <row r="1272" spans="22:34" x14ac:dyDescent="0.25">
      <c r="V1272" t="s">
        <v>569</v>
      </c>
      <c r="W1272" s="45" t="s">
        <v>357</v>
      </c>
      <c r="X1272" s="45" t="b">
        <v>0</v>
      </c>
      <c r="Y1272" s="45" t="b">
        <v>1</v>
      </c>
      <c r="Z1272" s="45" t="b">
        <v>1</v>
      </c>
      <c r="AA1272" s="45" t="b">
        <v>0</v>
      </c>
      <c r="AB1272" s="45" t="b">
        <v>0</v>
      </c>
      <c r="AC1272" s="45" t="b">
        <v>1</v>
      </c>
      <c r="AD1272" s="45" t="b">
        <v>0</v>
      </c>
      <c r="AE1272" s="45" t="b">
        <v>1</v>
      </c>
      <c r="AF1272" s="45" t="s">
        <v>306</v>
      </c>
      <c r="AG1272" s="45" t="b">
        <v>1</v>
      </c>
      <c r="AH1272" s="45" t="b">
        <v>1</v>
      </c>
    </row>
    <row r="1273" spans="22:34" x14ac:dyDescent="0.25">
      <c r="V1273" t="s">
        <v>569</v>
      </c>
      <c r="W1273" s="45" t="s">
        <v>357</v>
      </c>
      <c r="X1273" s="45" t="b">
        <v>0</v>
      </c>
      <c r="Y1273" s="45" t="b">
        <v>1</v>
      </c>
      <c r="Z1273" s="45" t="b">
        <v>1</v>
      </c>
      <c r="AA1273" s="45" t="b">
        <v>0</v>
      </c>
      <c r="AB1273" s="45" t="b">
        <v>0</v>
      </c>
      <c r="AC1273" s="45" t="b">
        <v>1</v>
      </c>
      <c r="AD1273" s="45" t="b">
        <v>0</v>
      </c>
      <c r="AE1273" s="45" t="b">
        <v>1</v>
      </c>
      <c r="AF1273" s="45" t="s">
        <v>307</v>
      </c>
      <c r="AG1273" s="45" t="b">
        <v>1</v>
      </c>
      <c r="AH1273" s="45" t="b">
        <v>1</v>
      </c>
    </row>
    <row r="1274" spans="22:34" x14ac:dyDescent="0.25">
      <c r="V1274" t="s">
        <v>569</v>
      </c>
      <c r="W1274" s="45" t="s">
        <v>357</v>
      </c>
      <c r="X1274" s="45" t="b">
        <v>0</v>
      </c>
      <c r="Y1274" s="45" t="b">
        <v>1</v>
      </c>
      <c r="Z1274" s="45" t="b">
        <v>1</v>
      </c>
      <c r="AA1274" s="45" t="b">
        <v>0</v>
      </c>
      <c r="AB1274" s="45" t="b">
        <v>0</v>
      </c>
      <c r="AC1274" s="45" t="b">
        <v>1</v>
      </c>
      <c r="AD1274" s="45" t="b">
        <v>0</v>
      </c>
      <c r="AE1274" s="45" t="b">
        <v>1</v>
      </c>
      <c r="AF1274" s="45" t="s">
        <v>308</v>
      </c>
      <c r="AG1274" s="45" t="b">
        <v>1</v>
      </c>
      <c r="AH1274" s="45" t="b">
        <v>1</v>
      </c>
    </row>
    <row r="1275" spans="22:34" x14ac:dyDescent="0.25">
      <c r="V1275" t="s">
        <v>569</v>
      </c>
      <c r="W1275" s="45" t="s">
        <v>357</v>
      </c>
      <c r="X1275" s="45" t="b">
        <v>0</v>
      </c>
      <c r="Y1275" s="45" t="b">
        <v>1</v>
      </c>
      <c r="Z1275" s="45" t="b">
        <v>1</v>
      </c>
      <c r="AA1275" s="45" t="b">
        <v>0</v>
      </c>
      <c r="AB1275" s="45" t="b">
        <v>0</v>
      </c>
      <c r="AC1275" s="45" t="b">
        <v>1</v>
      </c>
      <c r="AD1275" s="45" t="b">
        <v>0</v>
      </c>
      <c r="AE1275" s="45" t="b">
        <v>1</v>
      </c>
      <c r="AF1275" s="45" t="s">
        <v>309</v>
      </c>
      <c r="AG1275" s="45" t="b">
        <v>1</v>
      </c>
      <c r="AH1275" s="45" t="b">
        <v>1</v>
      </c>
    </row>
    <row r="1276" spans="22:34" x14ac:dyDescent="0.25">
      <c r="V1276" t="s">
        <v>569</v>
      </c>
      <c r="W1276" s="45" t="s">
        <v>357</v>
      </c>
      <c r="X1276" s="45" t="b">
        <v>0</v>
      </c>
      <c r="Y1276" s="45" t="b">
        <v>1</v>
      </c>
      <c r="Z1276" s="45" t="b">
        <v>1</v>
      </c>
      <c r="AA1276" s="45" t="b">
        <v>0</v>
      </c>
      <c r="AB1276" s="45" t="b">
        <v>0</v>
      </c>
      <c r="AC1276" s="45" t="b">
        <v>1</v>
      </c>
      <c r="AD1276" s="45" t="b">
        <v>0</v>
      </c>
      <c r="AE1276" s="45" t="b">
        <v>1</v>
      </c>
      <c r="AF1276" s="45" t="s">
        <v>310</v>
      </c>
      <c r="AG1276" s="45" t="b">
        <v>1</v>
      </c>
      <c r="AH1276" s="45" t="b">
        <v>1</v>
      </c>
    </row>
    <row r="1277" spans="22:34" x14ac:dyDescent="0.25">
      <c r="V1277" t="s">
        <v>569</v>
      </c>
      <c r="W1277" s="45" t="s">
        <v>357</v>
      </c>
      <c r="X1277" s="45" t="b">
        <v>0</v>
      </c>
      <c r="Y1277" s="45" t="b">
        <v>1</v>
      </c>
      <c r="Z1277" s="45" t="b">
        <v>1</v>
      </c>
      <c r="AA1277" s="45" t="b">
        <v>0</v>
      </c>
      <c r="AB1277" s="45" t="b">
        <v>0</v>
      </c>
      <c r="AC1277" s="45" t="b">
        <v>1</v>
      </c>
      <c r="AD1277" s="45" t="b">
        <v>0</v>
      </c>
      <c r="AE1277" s="45" t="b">
        <v>1</v>
      </c>
      <c r="AF1277" s="45" t="s">
        <v>311</v>
      </c>
      <c r="AG1277" s="45" t="b">
        <v>1</v>
      </c>
      <c r="AH1277" s="45" t="b">
        <v>1</v>
      </c>
    </row>
    <row r="1278" spans="22:34" x14ac:dyDescent="0.25">
      <c r="V1278" t="s">
        <v>569</v>
      </c>
      <c r="W1278" s="45" t="s">
        <v>357</v>
      </c>
      <c r="X1278" s="45" t="b">
        <v>0</v>
      </c>
      <c r="Y1278" s="45" t="b">
        <v>1</v>
      </c>
      <c r="Z1278" s="45" t="b">
        <v>1</v>
      </c>
      <c r="AA1278" s="45" t="b">
        <v>0</v>
      </c>
      <c r="AB1278" s="45" t="b">
        <v>0</v>
      </c>
      <c r="AC1278" s="45" t="b">
        <v>1</v>
      </c>
      <c r="AD1278" s="45" t="b">
        <v>0</v>
      </c>
      <c r="AE1278" s="45" t="b">
        <v>1</v>
      </c>
      <c r="AF1278" s="45" t="s">
        <v>312</v>
      </c>
      <c r="AG1278" s="45" t="b">
        <v>1</v>
      </c>
      <c r="AH1278" s="45" t="b">
        <v>1</v>
      </c>
    </row>
    <row r="1279" spans="22:34" x14ac:dyDescent="0.25">
      <c r="V1279" t="s">
        <v>569</v>
      </c>
      <c r="W1279" s="45" t="s">
        <v>357</v>
      </c>
      <c r="X1279" s="45" t="b">
        <v>0</v>
      </c>
      <c r="Y1279" s="45" t="b">
        <v>1</v>
      </c>
      <c r="Z1279" s="45" t="b">
        <v>1</v>
      </c>
      <c r="AA1279" s="45" t="b">
        <v>0</v>
      </c>
      <c r="AB1279" s="45" t="b">
        <v>0</v>
      </c>
      <c r="AC1279" s="45" t="b">
        <v>1</v>
      </c>
      <c r="AD1279" s="45" t="b">
        <v>0</v>
      </c>
      <c r="AE1279" s="45" t="b">
        <v>1</v>
      </c>
      <c r="AF1279" s="45" t="s">
        <v>313</v>
      </c>
      <c r="AG1279" s="45" t="b">
        <v>1</v>
      </c>
      <c r="AH1279" s="45" t="b">
        <v>1</v>
      </c>
    </row>
    <row r="1280" spans="22:34" x14ac:dyDescent="0.25">
      <c r="V1280" t="s">
        <v>569</v>
      </c>
      <c r="W1280" s="45" t="s">
        <v>357</v>
      </c>
      <c r="X1280" s="45" t="b">
        <v>0</v>
      </c>
      <c r="Y1280" s="45" t="b">
        <v>1</v>
      </c>
      <c r="Z1280" s="45" t="b">
        <v>1</v>
      </c>
      <c r="AA1280" s="45" t="b">
        <v>0</v>
      </c>
      <c r="AB1280" s="45" t="b">
        <v>0</v>
      </c>
      <c r="AC1280" s="45" t="b">
        <v>1</v>
      </c>
      <c r="AD1280" s="45" t="b">
        <v>0</v>
      </c>
      <c r="AE1280" s="45" t="b">
        <v>1</v>
      </c>
      <c r="AF1280" s="45" t="s">
        <v>314</v>
      </c>
      <c r="AG1280" s="45" t="b">
        <v>1</v>
      </c>
      <c r="AH1280" s="45" t="b">
        <v>1</v>
      </c>
    </row>
    <row r="1281" spans="22:34" x14ac:dyDescent="0.25">
      <c r="V1281" t="s">
        <v>569</v>
      </c>
      <c r="W1281" s="45" t="s">
        <v>357</v>
      </c>
      <c r="X1281" s="45" t="b">
        <v>0</v>
      </c>
      <c r="Y1281" s="45" t="b">
        <v>1</v>
      </c>
      <c r="Z1281" s="45" t="b">
        <v>1</v>
      </c>
      <c r="AA1281" s="45" t="b">
        <v>0</v>
      </c>
      <c r="AB1281" s="45" t="b">
        <v>0</v>
      </c>
      <c r="AC1281" s="45" t="b">
        <v>1</v>
      </c>
      <c r="AD1281" s="45" t="b">
        <v>0</v>
      </c>
      <c r="AE1281" s="45" t="b">
        <v>1</v>
      </c>
      <c r="AF1281" s="45" t="s">
        <v>315</v>
      </c>
      <c r="AG1281" s="45" t="b">
        <v>1</v>
      </c>
      <c r="AH1281" s="45" t="b">
        <v>1</v>
      </c>
    </row>
    <row r="1282" spans="22:34" x14ac:dyDescent="0.25">
      <c r="V1282" t="s">
        <v>569</v>
      </c>
      <c r="W1282" s="45" t="s">
        <v>357</v>
      </c>
      <c r="X1282" s="45" t="b">
        <v>0</v>
      </c>
      <c r="Y1282" s="45" t="b">
        <v>1</v>
      </c>
      <c r="Z1282" s="45" t="b">
        <v>1</v>
      </c>
      <c r="AA1282" s="45" t="b">
        <v>0</v>
      </c>
      <c r="AB1282" s="45" t="b">
        <v>0</v>
      </c>
      <c r="AC1282" s="45" t="b">
        <v>1</v>
      </c>
      <c r="AD1282" s="45" t="b">
        <v>0</v>
      </c>
      <c r="AE1282" s="45" t="b">
        <v>1</v>
      </c>
      <c r="AF1282" s="45" t="s">
        <v>316</v>
      </c>
      <c r="AG1282" s="45" t="b">
        <v>1</v>
      </c>
      <c r="AH1282" s="45" t="b">
        <v>1</v>
      </c>
    </row>
    <row r="1283" spans="22:34" x14ac:dyDescent="0.25">
      <c r="V1283" t="s">
        <v>569</v>
      </c>
      <c r="W1283" s="45" t="s">
        <v>357</v>
      </c>
      <c r="X1283" s="45" t="b">
        <v>0</v>
      </c>
      <c r="Y1283" s="45" t="b">
        <v>1</v>
      </c>
      <c r="Z1283" s="45" t="b">
        <v>1</v>
      </c>
      <c r="AA1283" s="45" t="b">
        <v>0</v>
      </c>
      <c r="AB1283" s="45" t="b">
        <v>0</v>
      </c>
      <c r="AC1283" s="45" t="b">
        <v>1</v>
      </c>
      <c r="AD1283" s="45" t="b">
        <v>0</v>
      </c>
      <c r="AE1283" s="45" t="b">
        <v>1</v>
      </c>
      <c r="AF1283" s="45" t="s">
        <v>317</v>
      </c>
      <c r="AG1283" s="45" t="b">
        <v>1</v>
      </c>
      <c r="AH1283" s="45" t="b">
        <v>1</v>
      </c>
    </row>
    <row r="1284" spans="22:34" x14ac:dyDescent="0.25">
      <c r="V1284" t="s">
        <v>569</v>
      </c>
      <c r="W1284" s="45" t="s">
        <v>357</v>
      </c>
      <c r="X1284" s="45" t="b">
        <v>0</v>
      </c>
      <c r="Y1284" s="45" t="b">
        <v>1</v>
      </c>
      <c r="Z1284" s="45" t="b">
        <v>1</v>
      </c>
      <c r="AA1284" s="45" t="b">
        <v>0</v>
      </c>
      <c r="AB1284" s="45" t="b">
        <v>0</v>
      </c>
      <c r="AC1284" s="45" t="b">
        <v>1</v>
      </c>
      <c r="AD1284" s="45" t="b">
        <v>0</v>
      </c>
      <c r="AE1284" s="45" t="b">
        <v>1</v>
      </c>
      <c r="AF1284" s="45" t="s">
        <v>318</v>
      </c>
      <c r="AG1284" s="45" t="b">
        <v>1</v>
      </c>
      <c r="AH1284" s="45" t="b">
        <v>1</v>
      </c>
    </row>
    <row r="1285" spans="22:34" x14ac:dyDescent="0.25">
      <c r="V1285" t="s">
        <v>569</v>
      </c>
      <c r="W1285" s="45" t="s">
        <v>357</v>
      </c>
      <c r="X1285" s="45" t="b">
        <v>0</v>
      </c>
      <c r="Y1285" s="45" t="b">
        <v>1</v>
      </c>
      <c r="Z1285" s="45" t="b">
        <v>1</v>
      </c>
      <c r="AA1285" s="45" t="b">
        <v>0</v>
      </c>
      <c r="AB1285" s="45" t="b">
        <v>0</v>
      </c>
      <c r="AC1285" s="45" t="b">
        <v>1</v>
      </c>
      <c r="AD1285" s="45" t="b">
        <v>0</v>
      </c>
      <c r="AE1285" s="45" t="b">
        <v>1</v>
      </c>
      <c r="AF1285" s="45" t="s">
        <v>319</v>
      </c>
      <c r="AG1285" s="45" t="b">
        <v>1</v>
      </c>
      <c r="AH1285" s="45" t="b">
        <v>1</v>
      </c>
    </row>
    <row r="1286" spans="22:34" x14ac:dyDescent="0.25">
      <c r="V1286" t="s">
        <v>570</v>
      </c>
      <c r="W1286" s="45" t="s">
        <v>358</v>
      </c>
      <c r="X1286" s="45" t="b">
        <v>0</v>
      </c>
      <c r="Y1286" s="45" t="b">
        <v>0</v>
      </c>
      <c r="Z1286" s="45" t="b">
        <v>0</v>
      </c>
      <c r="AA1286" s="45" t="b">
        <v>0</v>
      </c>
      <c r="AB1286" s="45" t="b">
        <v>1</v>
      </c>
      <c r="AC1286" s="45" t="b">
        <v>1</v>
      </c>
      <c r="AD1286" s="45" t="b">
        <v>1</v>
      </c>
      <c r="AE1286" s="45" t="b">
        <v>1</v>
      </c>
      <c r="AF1286" s="45" t="s">
        <v>295</v>
      </c>
      <c r="AG1286" s="45" t="b">
        <v>1</v>
      </c>
      <c r="AH1286" s="45" t="b">
        <v>0</v>
      </c>
    </row>
    <row r="1287" spans="22:34" x14ac:dyDescent="0.25">
      <c r="V1287" t="s">
        <v>570</v>
      </c>
      <c r="W1287" s="45" t="s">
        <v>358</v>
      </c>
      <c r="X1287" s="45" t="b">
        <v>0</v>
      </c>
      <c r="Y1287" s="45" t="b">
        <v>0</v>
      </c>
      <c r="Z1287" s="45" t="b">
        <v>0</v>
      </c>
      <c r="AA1287" s="45" t="b">
        <v>0</v>
      </c>
      <c r="AB1287" s="45" t="b">
        <v>1</v>
      </c>
      <c r="AC1287" s="45" t="b">
        <v>1</v>
      </c>
      <c r="AD1287" s="45" t="b">
        <v>1</v>
      </c>
      <c r="AE1287" s="45" t="b">
        <v>1</v>
      </c>
      <c r="AF1287" s="45" t="s">
        <v>297</v>
      </c>
      <c r="AG1287" s="45" t="b">
        <v>1</v>
      </c>
      <c r="AH1287" s="45" t="b">
        <v>0</v>
      </c>
    </row>
    <row r="1288" spans="22:34" x14ac:dyDescent="0.25">
      <c r="V1288" t="s">
        <v>570</v>
      </c>
      <c r="W1288" s="45" t="s">
        <v>358</v>
      </c>
      <c r="X1288" s="45" t="b">
        <v>0</v>
      </c>
      <c r="Y1288" s="45" t="b">
        <v>0</v>
      </c>
      <c r="Z1288" s="45" t="b">
        <v>0</v>
      </c>
      <c r="AA1288" s="45" t="b">
        <v>0</v>
      </c>
      <c r="AB1288" s="45" t="b">
        <v>1</v>
      </c>
      <c r="AC1288" s="45" t="b">
        <v>1</v>
      </c>
      <c r="AD1288" s="45" t="b">
        <v>1</v>
      </c>
      <c r="AE1288" s="45" t="b">
        <v>1</v>
      </c>
      <c r="AF1288" s="45" t="s">
        <v>112</v>
      </c>
      <c r="AG1288" s="45" t="b">
        <v>0</v>
      </c>
      <c r="AH1288" s="45" t="b">
        <v>0</v>
      </c>
    </row>
    <row r="1289" spans="22:34" x14ac:dyDescent="0.25">
      <c r="V1289" t="s">
        <v>570</v>
      </c>
      <c r="W1289" s="45" t="s">
        <v>358</v>
      </c>
      <c r="X1289" s="45" t="b">
        <v>0</v>
      </c>
      <c r="Y1289" s="45" t="b">
        <v>0</v>
      </c>
      <c r="Z1289" s="45" t="b">
        <v>0</v>
      </c>
      <c r="AA1289" s="45" t="b">
        <v>0</v>
      </c>
      <c r="AB1289" s="45" t="b">
        <v>1</v>
      </c>
      <c r="AC1289" s="45" t="b">
        <v>1</v>
      </c>
      <c r="AD1289" s="45" t="b">
        <v>1</v>
      </c>
      <c r="AE1289" s="45" t="b">
        <v>1</v>
      </c>
      <c r="AF1289" s="45" t="s">
        <v>114</v>
      </c>
      <c r="AG1289" s="45" t="b">
        <v>0</v>
      </c>
      <c r="AH1289" s="45" t="b">
        <v>0</v>
      </c>
    </row>
    <row r="1290" spans="22:34" x14ac:dyDescent="0.25">
      <c r="V1290" t="s">
        <v>570</v>
      </c>
      <c r="W1290" s="45" t="s">
        <v>358</v>
      </c>
      <c r="X1290" s="45" t="b">
        <v>0</v>
      </c>
      <c r="Y1290" s="45" t="b">
        <v>0</v>
      </c>
      <c r="Z1290" s="45" t="b">
        <v>0</v>
      </c>
      <c r="AA1290" s="45" t="b">
        <v>0</v>
      </c>
      <c r="AB1290" s="45" t="b">
        <v>1</v>
      </c>
      <c r="AC1290" s="45" t="b">
        <v>1</v>
      </c>
      <c r="AD1290" s="45" t="b">
        <v>1</v>
      </c>
      <c r="AE1290" s="45" t="b">
        <v>1</v>
      </c>
      <c r="AF1290" s="45" t="s">
        <v>115</v>
      </c>
      <c r="AG1290" s="45" t="b">
        <v>1</v>
      </c>
      <c r="AH1290" s="45" t="b">
        <v>0</v>
      </c>
    </row>
    <row r="1291" spans="22:34" x14ac:dyDescent="0.25">
      <c r="V1291" t="s">
        <v>570</v>
      </c>
      <c r="W1291" s="45" t="s">
        <v>358</v>
      </c>
      <c r="X1291" s="45" t="b">
        <v>0</v>
      </c>
      <c r="Y1291" s="45" t="b">
        <v>0</v>
      </c>
      <c r="Z1291" s="45" t="b">
        <v>0</v>
      </c>
      <c r="AA1291" s="45" t="b">
        <v>0</v>
      </c>
      <c r="AB1291" s="45" t="b">
        <v>1</v>
      </c>
      <c r="AC1291" s="45" t="b">
        <v>1</v>
      </c>
      <c r="AD1291" s="45" t="b">
        <v>1</v>
      </c>
      <c r="AE1291" s="45" t="b">
        <v>1</v>
      </c>
      <c r="AF1291" s="45" t="s">
        <v>116</v>
      </c>
      <c r="AG1291" s="45" t="b">
        <v>1</v>
      </c>
      <c r="AH1291" s="45" t="b">
        <v>0</v>
      </c>
    </row>
    <row r="1292" spans="22:34" x14ac:dyDescent="0.25">
      <c r="V1292" t="s">
        <v>570</v>
      </c>
      <c r="W1292" s="45" t="s">
        <v>358</v>
      </c>
      <c r="X1292" s="45" t="b">
        <v>0</v>
      </c>
      <c r="Y1292" s="45" t="b">
        <v>0</v>
      </c>
      <c r="Z1292" s="45" t="b">
        <v>0</v>
      </c>
      <c r="AA1292" s="45" t="b">
        <v>0</v>
      </c>
      <c r="AB1292" s="45" t="b">
        <v>1</v>
      </c>
      <c r="AC1292" s="45" t="b">
        <v>1</v>
      </c>
      <c r="AD1292" s="45" t="b">
        <v>1</v>
      </c>
      <c r="AE1292" s="45" t="b">
        <v>1</v>
      </c>
      <c r="AF1292" s="45" t="s">
        <v>298</v>
      </c>
      <c r="AG1292" s="45" t="b">
        <v>1</v>
      </c>
      <c r="AH1292" s="45" t="b">
        <v>0</v>
      </c>
    </row>
    <row r="1293" spans="22:34" x14ac:dyDescent="0.25">
      <c r="V1293" t="s">
        <v>570</v>
      </c>
      <c r="W1293" s="45" t="s">
        <v>358</v>
      </c>
      <c r="X1293" s="45" t="b">
        <v>0</v>
      </c>
      <c r="Y1293" s="45" t="b">
        <v>0</v>
      </c>
      <c r="Z1293" s="45" t="b">
        <v>0</v>
      </c>
      <c r="AA1293" s="45" t="b">
        <v>0</v>
      </c>
      <c r="AB1293" s="45" t="b">
        <v>1</v>
      </c>
      <c r="AC1293" s="45" t="b">
        <v>1</v>
      </c>
      <c r="AD1293" s="45" t="b">
        <v>1</v>
      </c>
      <c r="AE1293" s="45" t="b">
        <v>1</v>
      </c>
      <c r="AF1293" s="45" t="s">
        <v>299</v>
      </c>
      <c r="AG1293" s="45" t="b">
        <v>1</v>
      </c>
      <c r="AH1293" s="45" t="b">
        <v>0</v>
      </c>
    </row>
    <row r="1294" spans="22:34" x14ac:dyDescent="0.25">
      <c r="V1294" t="s">
        <v>570</v>
      </c>
      <c r="W1294" s="45" t="s">
        <v>358</v>
      </c>
      <c r="X1294" s="45" t="b">
        <v>0</v>
      </c>
      <c r="Y1294" s="45" t="b">
        <v>0</v>
      </c>
      <c r="Z1294" s="45" t="b">
        <v>0</v>
      </c>
      <c r="AA1294" s="45" t="b">
        <v>0</v>
      </c>
      <c r="AB1294" s="45" t="b">
        <v>1</v>
      </c>
      <c r="AC1294" s="45" t="b">
        <v>1</v>
      </c>
      <c r="AD1294" s="45" t="b">
        <v>1</v>
      </c>
      <c r="AE1294" s="45" t="b">
        <v>1</v>
      </c>
      <c r="AF1294" s="45" t="s">
        <v>414</v>
      </c>
      <c r="AG1294" s="45" t="b">
        <v>1</v>
      </c>
      <c r="AH1294" s="45" t="b">
        <v>0</v>
      </c>
    </row>
    <row r="1295" spans="22:34" x14ac:dyDescent="0.25">
      <c r="V1295" t="s">
        <v>570</v>
      </c>
      <c r="W1295" s="45" t="s">
        <v>358</v>
      </c>
      <c r="X1295" s="45" t="b">
        <v>0</v>
      </c>
      <c r="Y1295" s="45" t="b">
        <v>0</v>
      </c>
      <c r="Z1295" s="45" t="b">
        <v>0</v>
      </c>
      <c r="AA1295" s="45" t="b">
        <v>0</v>
      </c>
      <c r="AB1295" s="45" t="b">
        <v>1</v>
      </c>
      <c r="AC1295" s="45" t="b">
        <v>1</v>
      </c>
      <c r="AD1295" s="45" t="b">
        <v>1</v>
      </c>
      <c r="AE1295" s="45" t="b">
        <v>1</v>
      </c>
      <c r="AF1295" s="45" t="s">
        <v>118</v>
      </c>
      <c r="AG1295" s="45" t="b">
        <v>1</v>
      </c>
      <c r="AH1295" s="45" t="b">
        <v>0</v>
      </c>
    </row>
    <row r="1296" spans="22:34" x14ac:dyDescent="0.25">
      <c r="V1296" t="s">
        <v>570</v>
      </c>
      <c r="W1296" s="45" t="s">
        <v>358</v>
      </c>
      <c r="X1296" s="45" t="b">
        <v>0</v>
      </c>
      <c r="Y1296" s="45" t="b">
        <v>0</v>
      </c>
      <c r="Z1296" s="45" t="b">
        <v>0</v>
      </c>
      <c r="AA1296" s="45" t="b">
        <v>0</v>
      </c>
      <c r="AB1296" s="45" t="b">
        <v>1</v>
      </c>
      <c r="AC1296" s="45" t="b">
        <v>1</v>
      </c>
      <c r="AD1296" s="45" t="b">
        <v>1</v>
      </c>
      <c r="AE1296" s="45" t="b">
        <v>1</v>
      </c>
      <c r="AF1296" s="45" t="s">
        <v>119</v>
      </c>
      <c r="AG1296" s="45" t="b">
        <v>1</v>
      </c>
      <c r="AH1296" s="45" t="b">
        <v>0</v>
      </c>
    </row>
    <row r="1297" spans="22:34" x14ac:dyDescent="0.25">
      <c r="V1297" t="s">
        <v>570</v>
      </c>
      <c r="W1297" s="45" t="s">
        <v>358</v>
      </c>
      <c r="X1297" s="45" t="b">
        <v>0</v>
      </c>
      <c r="Y1297" s="45" t="b">
        <v>0</v>
      </c>
      <c r="Z1297" s="45" t="b">
        <v>0</v>
      </c>
      <c r="AA1297" s="45" t="b">
        <v>0</v>
      </c>
      <c r="AB1297" s="45" t="b">
        <v>1</v>
      </c>
      <c r="AC1297" s="45" t="b">
        <v>1</v>
      </c>
      <c r="AD1297" s="45" t="b">
        <v>1</v>
      </c>
      <c r="AE1297" s="45" t="b">
        <v>1</v>
      </c>
      <c r="AF1297" s="45" t="s">
        <v>300</v>
      </c>
      <c r="AG1297" s="45" t="b">
        <v>1</v>
      </c>
      <c r="AH1297" s="45" t="b">
        <v>0</v>
      </c>
    </row>
    <row r="1298" spans="22:34" x14ac:dyDescent="0.25">
      <c r="V1298" t="s">
        <v>570</v>
      </c>
      <c r="W1298" s="45" t="s">
        <v>358</v>
      </c>
      <c r="X1298" s="45" t="b">
        <v>0</v>
      </c>
      <c r="Y1298" s="45" t="b">
        <v>0</v>
      </c>
      <c r="Z1298" s="45" t="b">
        <v>0</v>
      </c>
      <c r="AA1298" s="45" t="b">
        <v>0</v>
      </c>
      <c r="AB1298" s="45" t="b">
        <v>1</v>
      </c>
      <c r="AC1298" s="45" t="b">
        <v>1</v>
      </c>
      <c r="AD1298" s="45" t="b">
        <v>1</v>
      </c>
      <c r="AE1298" s="45" t="b">
        <v>1</v>
      </c>
      <c r="AF1298" s="45" t="s">
        <v>301</v>
      </c>
      <c r="AG1298" s="45" t="b">
        <v>0</v>
      </c>
      <c r="AH1298" s="45" t="b">
        <v>0</v>
      </c>
    </row>
    <row r="1299" spans="22:34" x14ac:dyDescent="0.25">
      <c r="V1299" t="s">
        <v>570</v>
      </c>
      <c r="W1299" s="45" t="s">
        <v>358</v>
      </c>
      <c r="X1299" s="45" t="b">
        <v>0</v>
      </c>
      <c r="Y1299" s="45" t="b">
        <v>0</v>
      </c>
      <c r="Z1299" s="45" t="b">
        <v>0</v>
      </c>
      <c r="AA1299" s="45" t="b">
        <v>0</v>
      </c>
      <c r="AB1299" s="45" t="b">
        <v>1</v>
      </c>
      <c r="AC1299" s="45" t="b">
        <v>1</v>
      </c>
      <c r="AD1299" s="45" t="b">
        <v>1</v>
      </c>
      <c r="AE1299" s="45" t="b">
        <v>1</v>
      </c>
      <c r="AF1299" s="45" t="s">
        <v>120</v>
      </c>
      <c r="AG1299" s="45" t="b">
        <v>1</v>
      </c>
      <c r="AH1299" s="45" t="b">
        <v>0</v>
      </c>
    </row>
    <row r="1300" spans="22:34" x14ac:dyDescent="0.25">
      <c r="V1300" t="s">
        <v>570</v>
      </c>
      <c r="W1300" s="45" t="s">
        <v>358</v>
      </c>
      <c r="X1300" s="45" t="b">
        <v>0</v>
      </c>
      <c r="Y1300" s="45" t="b">
        <v>0</v>
      </c>
      <c r="Z1300" s="45" t="b">
        <v>0</v>
      </c>
      <c r="AA1300" s="45" t="b">
        <v>0</v>
      </c>
      <c r="AB1300" s="45" t="b">
        <v>1</v>
      </c>
      <c r="AC1300" s="45" t="b">
        <v>1</v>
      </c>
      <c r="AD1300" s="45" t="b">
        <v>1</v>
      </c>
      <c r="AE1300" s="45" t="b">
        <v>1</v>
      </c>
      <c r="AF1300" s="45" t="s">
        <v>302</v>
      </c>
      <c r="AG1300" s="45" t="b">
        <v>0</v>
      </c>
      <c r="AH1300" s="45" t="b">
        <v>0</v>
      </c>
    </row>
    <row r="1301" spans="22:34" x14ac:dyDescent="0.25">
      <c r="V1301" t="s">
        <v>570</v>
      </c>
      <c r="W1301" s="45" t="s">
        <v>358</v>
      </c>
      <c r="X1301" s="45" t="b">
        <v>0</v>
      </c>
      <c r="Y1301" s="45" t="b">
        <v>0</v>
      </c>
      <c r="Z1301" s="45" t="b">
        <v>0</v>
      </c>
      <c r="AA1301" s="45" t="b">
        <v>0</v>
      </c>
      <c r="AB1301" s="45" t="b">
        <v>1</v>
      </c>
      <c r="AC1301" s="45" t="b">
        <v>1</v>
      </c>
      <c r="AD1301" s="45" t="b">
        <v>1</v>
      </c>
      <c r="AE1301" s="45" t="b">
        <v>1</v>
      </c>
      <c r="AF1301" s="45" t="s">
        <v>303</v>
      </c>
      <c r="AG1301" s="45" t="b">
        <v>1</v>
      </c>
      <c r="AH1301" s="45" t="b">
        <v>0</v>
      </c>
    </row>
    <row r="1302" spans="22:34" x14ac:dyDescent="0.25">
      <c r="V1302" t="s">
        <v>570</v>
      </c>
      <c r="W1302" s="45" t="s">
        <v>358</v>
      </c>
      <c r="X1302" s="45" t="b">
        <v>0</v>
      </c>
      <c r="Y1302" s="45" t="b">
        <v>0</v>
      </c>
      <c r="Z1302" s="45" t="b">
        <v>0</v>
      </c>
      <c r="AA1302" s="45" t="b">
        <v>0</v>
      </c>
      <c r="AB1302" s="45" t="b">
        <v>1</v>
      </c>
      <c r="AC1302" s="45" t="b">
        <v>1</v>
      </c>
      <c r="AD1302" s="45" t="b">
        <v>1</v>
      </c>
      <c r="AE1302" s="45" t="b">
        <v>1</v>
      </c>
      <c r="AF1302" s="45" t="s">
        <v>304</v>
      </c>
      <c r="AG1302" s="45" t="b">
        <v>1</v>
      </c>
      <c r="AH1302" s="45" t="b">
        <v>0</v>
      </c>
    </row>
    <row r="1303" spans="22:34" x14ac:dyDescent="0.25">
      <c r="V1303" t="s">
        <v>570</v>
      </c>
      <c r="W1303" s="45" t="s">
        <v>358</v>
      </c>
      <c r="X1303" s="45" t="b">
        <v>0</v>
      </c>
      <c r="Y1303" s="45" t="b">
        <v>0</v>
      </c>
      <c r="Z1303" s="45" t="b">
        <v>0</v>
      </c>
      <c r="AA1303" s="45" t="b">
        <v>0</v>
      </c>
      <c r="AB1303" s="45" t="b">
        <v>1</v>
      </c>
      <c r="AC1303" s="45" t="b">
        <v>1</v>
      </c>
      <c r="AD1303" s="45" t="b">
        <v>1</v>
      </c>
      <c r="AE1303" s="45" t="b">
        <v>1</v>
      </c>
      <c r="AF1303" s="45" t="s">
        <v>305</v>
      </c>
      <c r="AG1303" s="45" t="b">
        <v>1</v>
      </c>
      <c r="AH1303" s="45" t="b">
        <v>0</v>
      </c>
    </row>
    <row r="1304" spans="22:34" x14ac:dyDescent="0.25">
      <c r="V1304" t="s">
        <v>570</v>
      </c>
      <c r="W1304" s="45" t="s">
        <v>358</v>
      </c>
      <c r="X1304" s="45" t="b">
        <v>0</v>
      </c>
      <c r="Y1304" s="45" t="b">
        <v>0</v>
      </c>
      <c r="Z1304" s="45" t="b">
        <v>0</v>
      </c>
      <c r="AA1304" s="45" t="b">
        <v>0</v>
      </c>
      <c r="AB1304" s="45" t="b">
        <v>1</v>
      </c>
      <c r="AC1304" s="45" t="b">
        <v>1</v>
      </c>
      <c r="AD1304" s="45" t="b">
        <v>1</v>
      </c>
      <c r="AE1304" s="45" t="b">
        <v>1</v>
      </c>
      <c r="AF1304" s="45" t="s">
        <v>306</v>
      </c>
      <c r="AG1304" s="45" t="b">
        <v>1</v>
      </c>
      <c r="AH1304" s="45" t="b">
        <v>0</v>
      </c>
    </row>
    <row r="1305" spans="22:34" x14ac:dyDescent="0.25">
      <c r="V1305" t="s">
        <v>570</v>
      </c>
      <c r="W1305" s="45" t="s">
        <v>358</v>
      </c>
      <c r="X1305" s="45" t="b">
        <v>0</v>
      </c>
      <c r="Y1305" s="45" t="b">
        <v>0</v>
      </c>
      <c r="Z1305" s="45" t="b">
        <v>0</v>
      </c>
      <c r="AA1305" s="45" t="b">
        <v>0</v>
      </c>
      <c r="AB1305" s="45" t="b">
        <v>1</v>
      </c>
      <c r="AC1305" s="45" t="b">
        <v>1</v>
      </c>
      <c r="AD1305" s="45" t="b">
        <v>1</v>
      </c>
      <c r="AE1305" s="45" t="b">
        <v>1</v>
      </c>
      <c r="AF1305" s="45" t="s">
        <v>307</v>
      </c>
      <c r="AG1305" s="45" t="b">
        <v>1</v>
      </c>
      <c r="AH1305" s="45" t="b">
        <v>0</v>
      </c>
    </row>
    <row r="1306" spans="22:34" x14ac:dyDescent="0.25">
      <c r="V1306" t="s">
        <v>570</v>
      </c>
      <c r="W1306" s="45" t="s">
        <v>358</v>
      </c>
      <c r="X1306" s="45" t="b">
        <v>0</v>
      </c>
      <c r="Y1306" s="45" t="b">
        <v>0</v>
      </c>
      <c r="Z1306" s="45" t="b">
        <v>0</v>
      </c>
      <c r="AA1306" s="45" t="b">
        <v>0</v>
      </c>
      <c r="AB1306" s="45" t="b">
        <v>1</v>
      </c>
      <c r="AC1306" s="45" t="b">
        <v>1</v>
      </c>
      <c r="AD1306" s="45" t="b">
        <v>1</v>
      </c>
      <c r="AE1306" s="45" t="b">
        <v>1</v>
      </c>
      <c r="AF1306" s="45" t="s">
        <v>308</v>
      </c>
      <c r="AG1306" s="45" t="b">
        <v>1</v>
      </c>
      <c r="AH1306" s="45" t="b">
        <v>0</v>
      </c>
    </row>
    <row r="1307" spans="22:34" x14ac:dyDescent="0.25">
      <c r="V1307" t="s">
        <v>570</v>
      </c>
      <c r="W1307" s="45" t="s">
        <v>358</v>
      </c>
      <c r="X1307" s="45" t="b">
        <v>0</v>
      </c>
      <c r="Y1307" s="45" t="b">
        <v>0</v>
      </c>
      <c r="Z1307" s="45" t="b">
        <v>0</v>
      </c>
      <c r="AA1307" s="45" t="b">
        <v>0</v>
      </c>
      <c r="AB1307" s="45" t="b">
        <v>1</v>
      </c>
      <c r="AC1307" s="45" t="b">
        <v>1</v>
      </c>
      <c r="AD1307" s="45" t="b">
        <v>1</v>
      </c>
      <c r="AE1307" s="45" t="b">
        <v>1</v>
      </c>
      <c r="AF1307" s="45" t="s">
        <v>309</v>
      </c>
      <c r="AG1307" s="45" t="b">
        <v>1</v>
      </c>
      <c r="AH1307" s="45" t="b">
        <v>0</v>
      </c>
    </row>
    <row r="1308" spans="22:34" x14ac:dyDescent="0.25">
      <c r="V1308" t="s">
        <v>570</v>
      </c>
      <c r="W1308" s="45" t="s">
        <v>358</v>
      </c>
      <c r="X1308" s="45" t="b">
        <v>0</v>
      </c>
      <c r="Y1308" s="45" t="b">
        <v>0</v>
      </c>
      <c r="Z1308" s="45" t="b">
        <v>0</v>
      </c>
      <c r="AA1308" s="45" t="b">
        <v>0</v>
      </c>
      <c r="AB1308" s="45" t="b">
        <v>1</v>
      </c>
      <c r="AC1308" s="45" t="b">
        <v>1</v>
      </c>
      <c r="AD1308" s="45" t="b">
        <v>1</v>
      </c>
      <c r="AE1308" s="45" t="b">
        <v>1</v>
      </c>
      <c r="AF1308" s="45" t="s">
        <v>310</v>
      </c>
      <c r="AG1308" s="45" t="b">
        <v>1</v>
      </c>
      <c r="AH1308" s="45" t="b">
        <v>0</v>
      </c>
    </row>
    <row r="1309" spans="22:34" x14ac:dyDescent="0.25">
      <c r="V1309" t="s">
        <v>570</v>
      </c>
      <c r="W1309" s="45" t="s">
        <v>358</v>
      </c>
      <c r="X1309" s="45" t="b">
        <v>0</v>
      </c>
      <c r="Y1309" s="45" t="b">
        <v>0</v>
      </c>
      <c r="Z1309" s="45" t="b">
        <v>0</v>
      </c>
      <c r="AA1309" s="45" t="b">
        <v>0</v>
      </c>
      <c r="AB1309" s="45" t="b">
        <v>1</v>
      </c>
      <c r="AC1309" s="45" t="b">
        <v>1</v>
      </c>
      <c r="AD1309" s="45" t="b">
        <v>1</v>
      </c>
      <c r="AE1309" s="45" t="b">
        <v>1</v>
      </c>
      <c r="AF1309" s="45" t="s">
        <v>311</v>
      </c>
      <c r="AG1309" s="45" t="b">
        <v>1</v>
      </c>
      <c r="AH1309" s="45" t="b">
        <v>0</v>
      </c>
    </row>
    <row r="1310" spans="22:34" x14ac:dyDescent="0.25">
      <c r="V1310" t="s">
        <v>570</v>
      </c>
      <c r="W1310" s="45" t="s">
        <v>358</v>
      </c>
      <c r="X1310" s="45" t="b">
        <v>0</v>
      </c>
      <c r="Y1310" s="45" t="b">
        <v>0</v>
      </c>
      <c r="Z1310" s="45" t="b">
        <v>0</v>
      </c>
      <c r="AA1310" s="45" t="b">
        <v>0</v>
      </c>
      <c r="AB1310" s="45" t="b">
        <v>1</v>
      </c>
      <c r="AC1310" s="45" t="b">
        <v>1</v>
      </c>
      <c r="AD1310" s="45" t="b">
        <v>1</v>
      </c>
      <c r="AE1310" s="45" t="b">
        <v>1</v>
      </c>
      <c r="AF1310" s="45" t="s">
        <v>312</v>
      </c>
      <c r="AG1310" s="45" t="b">
        <v>1</v>
      </c>
      <c r="AH1310" s="45" t="b">
        <v>0</v>
      </c>
    </row>
    <row r="1311" spans="22:34" x14ac:dyDescent="0.25">
      <c r="V1311" t="s">
        <v>570</v>
      </c>
      <c r="W1311" s="45" t="s">
        <v>358</v>
      </c>
      <c r="X1311" s="45" t="b">
        <v>0</v>
      </c>
      <c r="Y1311" s="45" t="b">
        <v>0</v>
      </c>
      <c r="Z1311" s="45" t="b">
        <v>0</v>
      </c>
      <c r="AA1311" s="45" t="b">
        <v>0</v>
      </c>
      <c r="AB1311" s="45" t="b">
        <v>1</v>
      </c>
      <c r="AC1311" s="45" t="b">
        <v>1</v>
      </c>
      <c r="AD1311" s="45" t="b">
        <v>1</v>
      </c>
      <c r="AE1311" s="45" t="b">
        <v>1</v>
      </c>
      <c r="AF1311" s="45" t="s">
        <v>313</v>
      </c>
      <c r="AG1311" s="45" t="b">
        <v>1</v>
      </c>
      <c r="AH1311" s="45" t="b">
        <v>0</v>
      </c>
    </row>
    <row r="1312" spans="22:34" x14ac:dyDescent="0.25">
      <c r="V1312" t="s">
        <v>570</v>
      </c>
      <c r="W1312" s="45" t="s">
        <v>358</v>
      </c>
      <c r="X1312" s="45" t="b">
        <v>0</v>
      </c>
      <c r="Y1312" s="45" t="b">
        <v>0</v>
      </c>
      <c r="Z1312" s="45" t="b">
        <v>0</v>
      </c>
      <c r="AA1312" s="45" t="b">
        <v>0</v>
      </c>
      <c r="AB1312" s="45" t="b">
        <v>1</v>
      </c>
      <c r="AC1312" s="45" t="b">
        <v>1</v>
      </c>
      <c r="AD1312" s="45" t="b">
        <v>1</v>
      </c>
      <c r="AE1312" s="45" t="b">
        <v>1</v>
      </c>
      <c r="AF1312" s="45" t="s">
        <v>314</v>
      </c>
      <c r="AG1312" s="45" t="b">
        <v>1</v>
      </c>
      <c r="AH1312" s="45" t="b">
        <v>0</v>
      </c>
    </row>
    <row r="1313" spans="22:34" x14ac:dyDescent="0.25">
      <c r="V1313" t="s">
        <v>570</v>
      </c>
      <c r="W1313" s="45" t="s">
        <v>358</v>
      </c>
      <c r="X1313" s="45" t="b">
        <v>0</v>
      </c>
      <c r="Y1313" s="45" t="b">
        <v>0</v>
      </c>
      <c r="Z1313" s="45" t="b">
        <v>0</v>
      </c>
      <c r="AA1313" s="45" t="b">
        <v>0</v>
      </c>
      <c r="AB1313" s="45" t="b">
        <v>1</v>
      </c>
      <c r="AC1313" s="45" t="b">
        <v>1</v>
      </c>
      <c r="AD1313" s="45" t="b">
        <v>1</v>
      </c>
      <c r="AE1313" s="45" t="b">
        <v>1</v>
      </c>
      <c r="AF1313" s="45" t="s">
        <v>315</v>
      </c>
      <c r="AG1313" s="45" t="b">
        <v>1</v>
      </c>
      <c r="AH1313" s="45" t="b">
        <v>0</v>
      </c>
    </row>
    <row r="1314" spans="22:34" x14ac:dyDescent="0.25">
      <c r="V1314" t="s">
        <v>570</v>
      </c>
      <c r="W1314" s="45" t="s">
        <v>358</v>
      </c>
      <c r="X1314" s="45" t="b">
        <v>0</v>
      </c>
      <c r="Y1314" s="45" t="b">
        <v>0</v>
      </c>
      <c r="Z1314" s="45" t="b">
        <v>0</v>
      </c>
      <c r="AA1314" s="45" t="b">
        <v>0</v>
      </c>
      <c r="AB1314" s="45" t="b">
        <v>1</v>
      </c>
      <c r="AC1314" s="45" t="b">
        <v>1</v>
      </c>
      <c r="AD1314" s="45" t="b">
        <v>1</v>
      </c>
      <c r="AE1314" s="45" t="b">
        <v>1</v>
      </c>
      <c r="AF1314" s="45" t="s">
        <v>316</v>
      </c>
      <c r="AG1314" s="45" t="b">
        <v>1</v>
      </c>
      <c r="AH1314" s="45" t="b">
        <v>0</v>
      </c>
    </row>
    <row r="1315" spans="22:34" x14ac:dyDescent="0.25">
      <c r="V1315" t="s">
        <v>570</v>
      </c>
      <c r="W1315" s="45" t="s">
        <v>358</v>
      </c>
      <c r="X1315" s="45" t="b">
        <v>0</v>
      </c>
      <c r="Y1315" s="45" t="b">
        <v>0</v>
      </c>
      <c r="Z1315" s="45" t="b">
        <v>0</v>
      </c>
      <c r="AA1315" s="45" t="b">
        <v>0</v>
      </c>
      <c r="AB1315" s="45" t="b">
        <v>1</v>
      </c>
      <c r="AC1315" s="45" t="b">
        <v>1</v>
      </c>
      <c r="AD1315" s="45" t="b">
        <v>1</v>
      </c>
      <c r="AE1315" s="45" t="b">
        <v>1</v>
      </c>
      <c r="AF1315" s="45" t="s">
        <v>317</v>
      </c>
      <c r="AG1315" s="45" t="b">
        <v>1</v>
      </c>
      <c r="AH1315" s="45" t="b">
        <v>0</v>
      </c>
    </row>
    <row r="1316" spans="22:34" x14ac:dyDescent="0.25">
      <c r="V1316" t="s">
        <v>570</v>
      </c>
      <c r="W1316" s="45" t="s">
        <v>358</v>
      </c>
      <c r="X1316" s="45" t="b">
        <v>0</v>
      </c>
      <c r="Y1316" s="45" t="b">
        <v>0</v>
      </c>
      <c r="Z1316" s="45" t="b">
        <v>0</v>
      </c>
      <c r="AA1316" s="45" t="b">
        <v>0</v>
      </c>
      <c r="AB1316" s="45" t="b">
        <v>1</v>
      </c>
      <c r="AC1316" s="45" t="b">
        <v>1</v>
      </c>
      <c r="AD1316" s="45" t="b">
        <v>1</v>
      </c>
      <c r="AE1316" s="45" t="b">
        <v>1</v>
      </c>
      <c r="AF1316" s="45" t="s">
        <v>318</v>
      </c>
      <c r="AG1316" s="45" t="b">
        <v>1</v>
      </c>
      <c r="AH1316" s="45" t="b">
        <v>0</v>
      </c>
    </row>
    <row r="1317" spans="22:34" x14ac:dyDescent="0.25">
      <c r="V1317" t="s">
        <v>570</v>
      </c>
      <c r="W1317" s="45" t="s">
        <v>358</v>
      </c>
      <c r="X1317" s="45" t="b">
        <v>0</v>
      </c>
      <c r="Y1317" s="45" t="b">
        <v>0</v>
      </c>
      <c r="Z1317" s="45" t="b">
        <v>0</v>
      </c>
      <c r="AA1317" s="45" t="b">
        <v>0</v>
      </c>
      <c r="AB1317" s="45" t="b">
        <v>1</v>
      </c>
      <c r="AC1317" s="45" t="b">
        <v>1</v>
      </c>
      <c r="AD1317" s="45" t="b">
        <v>1</v>
      </c>
      <c r="AE1317" s="45" t="b">
        <v>1</v>
      </c>
      <c r="AF1317" s="45" t="s">
        <v>319</v>
      </c>
      <c r="AG1317" s="45" t="b">
        <v>1</v>
      </c>
      <c r="AH1317" s="45" t="b">
        <v>0</v>
      </c>
    </row>
    <row r="1318" spans="22:34" x14ac:dyDescent="0.25">
      <c r="V1318" t="s">
        <v>571</v>
      </c>
      <c r="W1318" s="45" t="s">
        <v>359</v>
      </c>
      <c r="X1318" s="45" t="b">
        <v>0</v>
      </c>
      <c r="Y1318" s="45" t="b">
        <v>0</v>
      </c>
      <c r="Z1318" s="45" t="b">
        <v>0</v>
      </c>
      <c r="AA1318" s="45" t="b">
        <v>0</v>
      </c>
      <c r="AB1318" s="45" t="b">
        <v>1</v>
      </c>
      <c r="AC1318" s="45" t="b">
        <v>1</v>
      </c>
      <c r="AD1318" s="45" t="b">
        <v>1</v>
      </c>
      <c r="AE1318" s="45" t="b">
        <v>1</v>
      </c>
      <c r="AF1318" s="45" t="s">
        <v>295</v>
      </c>
      <c r="AG1318" s="45" t="b">
        <v>1</v>
      </c>
      <c r="AH1318" s="45" t="b">
        <v>0</v>
      </c>
    </row>
    <row r="1319" spans="22:34" x14ac:dyDescent="0.25">
      <c r="V1319" t="s">
        <v>571</v>
      </c>
      <c r="W1319" s="45" t="s">
        <v>359</v>
      </c>
      <c r="X1319" s="45" t="b">
        <v>0</v>
      </c>
      <c r="Y1319" s="45" t="b">
        <v>0</v>
      </c>
      <c r="Z1319" s="45" t="b">
        <v>0</v>
      </c>
      <c r="AA1319" s="45" t="b">
        <v>0</v>
      </c>
      <c r="AB1319" s="45" t="b">
        <v>1</v>
      </c>
      <c r="AC1319" s="45" t="b">
        <v>1</v>
      </c>
      <c r="AD1319" s="45" t="b">
        <v>1</v>
      </c>
      <c r="AE1319" s="45" t="b">
        <v>1</v>
      </c>
      <c r="AF1319" s="45" t="s">
        <v>297</v>
      </c>
      <c r="AG1319" s="45" t="b">
        <v>1</v>
      </c>
      <c r="AH1319" s="45" t="b">
        <v>0</v>
      </c>
    </row>
    <row r="1320" spans="22:34" x14ac:dyDescent="0.25">
      <c r="V1320" t="s">
        <v>571</v>
      </c>
      <c r="W1320" s="45" t="s">
        <v>359</v>
      </c>
      <c r="X1320" s="45" t="b">
        <v>0</v>
      </c>
      <c r="Y1320" s="45" t="b">
        <v>0</v>
      </c>
      <c r="Z1320" s="45" t="b">
        <v>0</v>
      </c>
      <c r="AA1320" s="45" t="b">
        <v>0</v>
      </c>
      <c r="AB1320" s="45" t="b">
        <v>1</v>
      </c>
      <c r="AC1320" s="45" t="b">
        <v>1</v>
      </c>
      <c r="AD1320" s="45" t="b">
        <v>1</v>
      </c>
      <c r="AE1320" s="45" t="b">
        <v>1</v>
      </c>
      <c r="AF1320" s="45" t="s">
        <v>112</v>
      </c>
      <c r="AG1320" s="45" t="b">
        <v>0</v>
      </c>
      <c r="AH1320" s="45" t="b">
        <v>0</v>
      </c>
    </row>
    <row r="1321" spans="22:34" x14ac:dyDescent="0.25">
      <c r="V1321" t="s">
        <v>571</v>
      </c>
      <c r="W1321" s="45" t="s">
        <v>359</v>
      </c>
      <c r="X1321" s="45" t="b">
        <v>0</v>
      </c>
      <c r="Y1321" s="45" t="b">
        <v>0</v>
      </c>
      <c r="Z1321" s="45" t="b">
        <v>0</v>
      </c>
      <c r="AA1321" s="45" t="b">
        <v>0</v>
      </c>
      <c r="AB1321" s="45" t="b">
        <v>1</v>
      </c>
      <c r="AC1321" s="45" t="b">
        <v>1</v>
      </c>
      <c r="AD1321" s="45" t="b">
        <v>1</v>
      </c>
      <c r="AE1321" s="45" t="b">
        <v>1</v>
      </c>
      <c r="AF1321" s="45" t="s">
        <v>114</v>
      </c>
      <c r="AG1321" s="45" t="b">
        <v>0</v>
      </c>
      <c r="AH1321" s="45" t="b">
        <v>0</v>
      </c>
    </row>
    <row r="1322" spans="22:34" x14ac:dyDescent="0.25">
      <c r="V1322" t="s">
        <v>571</v>
      </c>
      <c r="W1322" s="45" t="s">
        <v>359</v>
      </c>
      <c r="X1322" s="45" t="b">
        <v>0</v>
      </c>
      <c r="Y1322" s="45" t="b">
        <v>0</v>
      </c>
      <c r="Z1322" s="45" t="b">
        <v>0</v>
      </c>
      <c r="AA1322" s="45" t="b">
        <v>0</v>
      </c>
      <c r="AB1322" s="45" t="b">
        <v>1</v>
      </c>
      <c r="AC1322" s="45" t="b">
        <v>1</v>
      </c>
      <c r="AD1322" s="45" t="b">
        <v>1</v>
      </c>
      <c r="AE1322" s="45" t="b">
        <v>1</v>
      </c>
      <c r="AF1322" s="45" t="s">
        <v>115</v>
      </c>
      <c r="AG1322" s="45" t="b">
        <v>1</v>
      </c>
      <c r="AH1322" s="45" t="b">
        <v>0</v>
      </c>
    </row>
    <row r="1323" spans="22:34" x14ac:dyDescent="0.25">
      <c r="V1323" t="s">
        <v>571</v>
      </c>
      <c r="W1323" s="45" t="s">
        <v>359</v>
      </c>
      <c r="X1323" s="45" t="b">
        <v>0</v>
      </c>
      <c r="Y1323" s="45" t="b">
        <v>0</v>
      </c>
      <c r="Z1323" s="45" t="b">
        <v>0</v>
      </c>
      <c r="AA1323" s="45" t="b">
        <v>0</v>
      </c>
      <c r="AB1323" s="45" t="b">
        <v>1</v>
      </c>
      <c r="AC1323" s="45" t="b">
        <v>1</v>
      </c>
      <c r="AD1323" s="45" t="b">
        <v>1</v>
      </c>
      <c r="AE1323" s="45" t="b">
        <v>1</v>
      </c>
      <c r="AF1323" s="45" t="s">
        <v>116</v>
      </c>
      <c r="AG1323" s="45" t="b">
        <v>1</v>
      </c>
      <c r="AH1323" s="45" t="b">
        <v>0</v>
      </c>
    </row>
    <row r="1324" spans="22:34" x14ac:dyDescent="0.25">
      <c r="V1324" t="s">
        <v>571</v>
      </c>
      <c r="W1324" s="45" t="s">
        <v>359</v>
      </c>
      <c r="X1324" s="45" t="b">
        <v>0</v>
      </c>
      <c r="Y1324" s="45" t="b">
        <v>0</v>
      </c>
      <c r="Z1324" s="45" t="b">
        <v>0</v>
      </c>
      <c r="AA1324" s="45" t="b">
        <v>0</v>
      </c>
      <c r="AB1324" s="45" t="b">
        <v>1</v>
      </c>
      <c r="AC1324" s="45" t="b">
        <v>1</v>
      </c>
      <c r="AD1324" s="45" t="b">
        <v>1</v>
      </c>
      <c r="AE1324" s="45" t="b">
        <v>1</v>
      </c>
      <c r="AF1324" s="45" t="s">
        <v>298</v>
      </c>
      <c r="AG1324" s="45" t="b">
        <v>1</v>
      </c>
      <c r="AH1324" s="45" t="b">
        <v>0</v>
      </c>
    </row>
    <row r="1325" spans="22:34" x14ac:dyDescent="0.25">
      <c r="V1325" t="s">
        <v>571</v>
      </c>
      <c r="W1325" s="45" t="s">
        <v>359</v>
      </c>
      <c r="X1325" s="45" t="b">
        <v>0</v>
      </c>
      <c r="Y1325" s="45" t="b">
        <v>0</v>
      </c>
      <c r="Z1325" s="45" t="b">
        <v>0</v>
      </c>
      <c r="AA1325" s="45" t="b">
        <v>0</v>
      </c>
      <c r="AB1325" s="45" t="b">
        <v>1</v>
      </c>
      <c r="AC1325" s="45" t="b">
        <v>1</v>
      </c>
      <c r="AD1325" s="45" t="b">
        <v>1</v>
      </c>
      <c r="AE1325" s="45" t="b">
        <v>1</v>
      </c>
      <c r="AF1325" s="45" t="s">
        <v>299</v>
      </c>
      <c r="AG1325" s="45" t="b">
        <v>1</v>
      </c>
      <c r="AH1325" s="45" t="b">
        <v>0</v>
      </c>
    </row>
    <row r="1326" spans="22:34" x14ac:dyDescent="0.25">
      <c r="V1326" t="s">
        <v>571</v>
      </c>
      <c r="W1326" s="45" t="s">
        <v>359</v>
      </c>
      <c r="X1326" s="45" t="b">
        <v>0</v>
      </c>
      <c r="Y1326" s="45" t="b">
        <v>0</v>
      </c>
      <c r="Z1326" s="45" t="b">
        <v>0</v>
      </c>
      <c r="AA1326" s="45" t="b">
        <v>0</v>
      </c>
      <c r="AB1326" s="45" t="b">
        <v>1</v>
      </c>
      <c r="AC1326" s="45" t="b">
        <v>1</v>
      </c>
      <c r="AD1326" s="45" t="b">
        <v>1</v>
      </c>
      <c r="AE1326" s="45" t="b">
        <v>1</v>
      </c>
      <c r="AF1326" s="45" t="s">
        <v>414</v>
      </c>
      <c r="AG1326" s="45" t="b">
        <v>1</v>
      </c>
      <c r="AH1326" s="45" t="b">
        <v>0</v>
      </c>
    </row>
    <row r="1327" spans="22:34" x14ac:dyDescent="0.25">
      <c r="V1327" t="s">
        <v>571</v>
      </c>
      <c r="W1327" s="45" t="s">
        <v>359</v>
      </c>
      <c r="X1327" s="45" t="b">
        <v>0</v>
      </c>
      <c r="Y1327" s="45" t="b">
        <v>0</v>
      </c>
      <c r="Z1327" s="45" t="b">
        <v>0</v>
      </c>
      <c r="AA1327" s="45" t="b">
        <v>0</v>
      </c>
      <c r="AB1327" s="45" t="b">
        <v>1</v>
      </c>
      <c r="AC1327" s="45" t="b">
        <v>1</v>
      </c>
      <c r="AD1327" s="45" t="b">
        <v>1</v>
      </c>
      <c r="AE1327" s="45" t="b">
        <v>1</v>
      </c>
      <c r="AF1327" s="45" t="s">
        <v>118</v>
      </c>
      <c r="AG1327" s="45" t="b">
        <v>1</v>
      </c>
      <c r="AH1327" s="45" t="b">
        <v>0</v>
      </c>
    </row>
    <row r="1328" spans="22:34" x14ac:dyDescent="0.25">
      <c r="V1328" t="s">
        <v>571</v>
      </c>
      <c r="W1328" s="45" t="s">
        <v>359</v>
      </c>
      <c r="X1328" s="45" t="b">
        <v>0</v>
      </c>
      <c r="Y1328" s="45" t="b">
        <v>0</v>
      </c>
      <c r="Z1328" s="45" t="b">
        <v>0</v>
      </c>
      <c r="AA1328" s="45" t="b">
        <v>0</v>
      </c>
      <c r="AB1328" s="45" t="b">
        <v>1</v>
      </c>
      <c r="AC1328" s="45" t="b">
        <v>1</v>
      </c>
      <c r="AD1328" s="45" t="b">
        <v>1</v>
      </c>
      <c r="AE1328" s="45" t="b">
        <v>1</v>
      </c>
      <c r="AF1328" s="45" t="s">
        <v>119</v>
      </c>
      <c r="AG1328" s="45" t="b">
        <v>1</v>
      </c>
      <c r="AH1328" s="45" t="b">
        <v>0</v>
      </c>
    </row>
    <row r="1329" spans="22:34" x14ac:dyDescent="0.25">
      <c r="V1329" t="s">
        <v>571</v>
      </c>
      <c r="W1329" s="45" t="s">
        <v>359</v>
      </c>
      <c r="X1329" s="45" t="b">
        <v>0</v>
      </c>
      <c r="Y1329" s="45" t="b">
        <v>0</v>
      </c>
      <c r="Z1329" s="45" t="b">
        <v>0</v>
      </c>
      <c r="AA1329" s="45" t="b">
        <v>0</v>
      </c>
      <c r="AB1329" s="45" t="b">
        <v>1</v>
      </c>
      <c r="AC1329" s="45" t="b">
        <v>1</v>
      </c>
      <c r="AD1329" s="45" t="b">
        <v>1</v>
      </c>
      <c r="AE1329" s="45" t="b">
        <v>1</v>
      </c>
      <c r="AF1329" s="45" t="s">
        <v>300</v>
      </c>
      <c r="AG1329" s="45" t="b">
        <v>1</v>
      </c>
      <c r="AH1329" s="45" t="b">
        <v>0</v>
      </c>
    </row>
    <row r="1330" spans="22:34" x14ac:dyDescent="0.25">
      <c r="V1330" t="s">
        <v>571</v>
      </c>
      <c r="W1330" s="45" t="s">
        <v>359</v>
      </c>
      <c r="X1330" s="45" t="b">
        <v>0</v>
      </c>
      <c r="Y1330" s="45" t="b">
        <v>0</v>
      </c>
      <c r="Z1330" s="45" t="b">
        <v>0</v>
      </c>
      <c r="AA1330" s="45" t="b">
        <v>0</v>
      </c>
      <c r="AB1330" s="45" t="b">
        <v>1</v>
      </c>
      <c r="AC1330" s="45" t="b">
        <v>1</v>
      </c>
      <c r="AD1330" s="45" t="b">
        <v>1</v>
      </c>
      <c r="AE1330" s="45" t="b">
        <v>1</v>
      </c>
      <c r="AF1330" s="45" t="s">
        <v>301</v>
      </c>
      <c r="AG1330" s="45" t="b">
        <v>0</v>
      </c>
      <c r="AH1330" s="45" t="b">
        <v>0</v>
      </c>
    </row>
    <row r="1331" spans="22:34" x14ac:dyDescent="0.25">
      <c r="V1331" t="s">
        <v>571</v>
      </c>
      <c r="W1331" s="45" t="s">
        <v>359</v>
      </c>
      <c r="X1331" s="45" t="b">
        <v>0</v>
      </c>
      <c r="Y1331" s="45" t="b">
        <v>0</v>
      </c>
      <c r="Z1331" s="45" t="b">
        <v>0</v>
      </c>
      <c r="AA1331" s="45" t="b">
        <v>0</v>
      </c>
      <c r="AB1331" s="45" t="b">
        <v>1</v>
      </c>
      <c r="AC1331" s="45" t="b">
        <v>1</v>
      </c>
      <c r="AD1331" s="45" t="b">
        <v>1</v>
      </c>
      <c r="AE1331" s="45" t="b">
        <v>1</v>
      </c>
      <c r="AF1331" s="45" t="s">
        <v>120</v>
      </c>
      <c r="AG1331" s="45" t="b">
        <v>1</v>
      </c>
      <c r="AH1331" s="45" t="b">
        <v>0</v>
      </c>
    </row>
    <row r="1332" spans="22:34" x14ac:dyDescent="0.25">
      <c r="V1332" t="s">
        <v>571</v>
      </c>
      <c r="W1332" s="45" t="s">
        <v>359</v>
      </c>
      <c r="X1332" s="45" t="b">
        <v>0</v>
      </c>
      <c r="Y1332" s="45" t="b">
        <v>0</v>
      </c>
      <c r="Z1332" s="45" t="b">
        <v>0</v>
      </c>
      <c r="AA1332" s="45" t="b">
        <v>0</v>
      </c>
      <c r="AB1332" s="45" t="b">
        <v>1</v>
      </c>
      <c r="AC1332" s="45" t="b">
        <v>1</v>
      </c>
      <c r="AD1332" s="45" t="b">
        <v>1</v>
      </c>
      <c r="AE1332" s="45" t="b">
        <v>1</v>
      </c>
      <c r="AF1332" s="45" t="s">
        <v>302</v>
      </c>
      <c r="AG1332" s="45" t="b">
        <v>0</v>
      </c>
      <c r="AH1332" s="45" t="b">
        <v>0</v>
      </c>
    </row>
    <row r="1333" spans="22:34" x14ac:dyDescent="0.25">
      <c r="V1333" t="s">
        <v>571</v>
      </c>
      <c r="W1333" s="45" t="s">
        <v>359</v>
      </c>
      <c r="X1333" s="45" t="b">
        <v>0</v>
      </c>
      <c r="Y1333" s="45" t="b">
        <v>0</v>
      </c>
      <c r="Z1333" s="45" t="b">
        <v>0</v>
      </c>
      <c r="AA1333" s="45" t="b">
        <v>0</v>
      </c>
      <c r="AB1333" s="45" t="b">
        <v>1</v>
      </c>
      <c r="AC1333" s="45" t="b">
        <v>1</v>
      </c>
      <c r="AD1333" s="45" t="b">
        <v>1</v>
      </c>
      <c r="AE1333" s="45" t="b">
        <v>1</v>
      </c>
      <c r="AF1333" s="45" t="s">
        <v>303</v>
      </c>
      <c r="AG1333" s="45" t="b">
        <v>1</v>
      </c>
      <c r="AH1333" s="45" t="b">
        <v>0</v>
      </c>
    </row>
    <row r="1334" spans="22:34" x14ac:dyDescent="0.25">
      <c r="V1334" t="s">
        <v>571</v>
      </c>
      <c r="W1334" s="45" t="s">
        <v>359</v>
      </c>
      <c r="X1334" s="45" t="b">
        <v>0</v>
      </c>
      <c r="Y1334" s="45" t="b">
        <v>0</v>
      </c>
      <c r="Z1334" s="45" t="b">
        <v>0</v>
      </c>
      <c r="AA1334" s="45" t="b">
        <v>0</v>
      </c>
      <c r="AB1334" s="45" t="b">
        <v>1</v>
      </c>
      <c r="AC1334" s="45" t="b">
        <v>1</v>
      </c>
      <c r="AD1334" s="45" t="b">
        <v>1</v>
      </c>
      <c r="AE1334" s="45" t="b">
        <v>1</v>
      </c>
      <c r="AF1334" s="45" t="s">
        <v>304</v>
      </c>
      <c r="AG1334" s="45" t="b">
        <v>1</v>
      </c>
      <c r="AH1334" s="45" t="b">
        <v>0</v>
      </c>
    </row>
    <row r="1335" spans="22:34" x14ac:dyDescent="0.25">
      <c r="V1335" t="s">
        <v>571</v>
      </c>
      <c r="W1335" s="45" t="s">
        <v>359</v>
      </c>
      <c r="X1335" s="45" t="b">
        <v>0</v>
      </c>
      <c r="Y1335" s="45" t="b">
        <v>0</v>
      </c>
      <c r="Z1335" s="45" t="b">
        <v>0</v>
      </c>
      <c r="AA1335" s="45" t="b">
        <v>0</v>
      </c>
      <c r="AB1335" s="45" t="b">
        <v>1</v>
      </c>
      <c r="AC1335" s="45" t="b">
        <v>1</v>
      </c>
      <c r="AD1335" s="45" t="b">
        <v>1</v>
      </c>
      <c r="AE1335" s="45" t="b">
        <v>1</v>
      </c>
      <c r="AF1335" s="45" t="s">
        <v>305</v>
      </c>
      <c r="AG1335" s="45" t="b">
        <v>1</v>
      </c>
      <c r="AH1335" s="45" t="b">
        <v>0</v>
      </c>
    </row>
    <row r="1336" spans="22:34" x14ac:dyDescent="0.25">
      <c r="V1336" t="s">
        <v>571</v>
      </c>
      <c r="W1336" s="45" t="s">
        <v>359</v>
      </c>
      <c r="X1336" s="45" t="b">
        <v>0</v>
      </c>
      <c r="Y1336" s="45" t="b">
        <v>0</v>
      </c>
      <c r="Z1336" s="45" t="b">
        <v>0</v>
      </c>
      <c r="AA1336" s="45" t="b">
        <v>0</v>
      </c>
      <c r="AB1336" s="45" t="b">
        <v>1</v>
      </c>
      <c r="AC1336" s="45" t="b">
        <v>1</v>
      </c>
      <c r="AD1336" s="45" t="b">
        <v>1</v>
      </c>
      <c r="AE1336" s="45" t="b">
        <v>1</v>
      </c>
      <c r="AF1336" s="45" t="s">
        <v>306</v>
      </c>
      <c r="AG1336" s="45" t="b">
        <v>1</v>
      </c>
      <c r="AH1336" s="45" t="b">
        <v>0</v>
      </c>
    </row>
    <row r="1337" spans="22:34" x14ac:dyDescent="0.25">
      <c r="V1337" t="s">
        <v>571</v>
      </c>
      <c r="W1337" s="45" t="s">
        <v>359</v>
      </c>
      <c r="X1337" s="45" t="b">
        <v>0</v>
      </c>
      <c r="Y1337" s="45" t="b">
        <v>0</v>
      </c>
      <c r="Z1337" s="45" t="b">
        <v>0</v>
      </c>
      <c r="AA1337" s="45" t="b">
        <v>0</v>
      </c>
      <c r="AB1337" s="45" t="b">
        <v>1</v>
      </c>
      <c r="AC1337" s="45" t="b">
        <v>1</v>
      </c>
      <c r="AD1337" s="45" t="b">
        <v>1</v>
      </c>
      <c r="AE1337" s="45" t="b">
        <v>1</v>
      </c>
      <c r="AF1337" s="45" t="s">
        <v>307</v>
      </c>
      <c r="AG1337" s="45" t="b">
        <v>1</v>
      </c>
      <c r="AH1337" s="45" t="b">
        <v>0</v>
      </c>
    </row>
    <row r="1338" spans="22:34" x14ac:dyDescent="0.25">
      <c r="V1338" t="s">
        <v>571</v>
      </c>
      <c r="W1338" s="45" t="s">
        <v>359</v>
      </c>
      <c r="X1338" s="45" t="b">
        <v>0</v>
      </c>
      <c r="Y1338" s="45" t="b">
        <v>0</v>
      </c>
      <c r="Z1338" s="45" t="b">
        <v>0</v>
      </c>
      <c r="AA1338" s="45" t="b">
        <v>0</v>
      </c>
      <c r="AB1338" s="45" t="b">
        <v>1</v>
      </c>
      <c r="AC1338" s="45" t="b">
        <v>1</v>
      </c>
      <c r="AD1338" s="45" t="b">
        <v>1</v>
      </c>
      <c r="AE1338" s="45" t="b">
        <v>1</v>
      </c>
      <c r="AF1338" s="45" t="s">
        <v>308</v>
      </c>
      <c r="AG1338" s="45" t="b">
        <v>1</v>
      </c>
      <c r="AH1338" s="45" t="b">
        <v>0</v>
      </c>
    </row>
    <row r="1339" spans="22:34" x14ac:dyDescent="0.25">
      <c r="V1339" t="s">
        <v>571</v>
      </c>
      <c r="W1339" s="45" t="s">
        <v>359</v>
      </c>
      <c r="X1339" s="45" t="b">
        <v>0</v>
      </c>
      <c r="Y1339" s="45" t="b">
        <v>0</v>
      </c>
      <c r="Z1339" s="45" t="b">
        <v>0</v>
      </c>
      <c r="AA1339" s="45" t="b">
        <v>0</v>
      </c>
      <c r="AB1339" s="45" t="b">
        <v>1</v>
      </c>
      <c r="AC1339" s="45" t="b">
        <v>1</v>
      </c>
      <c r="AD1339" s="45" t="b">
        <v>1</v>
      </c>
      <c r="AE1339" s="45" t="b">
        <v>1</v>
      </c>
      <c r="AF1339" s="45" t="s">
        <v>309</v>
      </c>
      <c r="AG1339" s="45" t="b">
        <v>1</v>
      </c>
      <c r="AH1339" s="45" t="b">
        <v>0</v>
      </c>
    </row>
    <row r="1340" spans="22:34" x14ac:dyDescent="0.25">
      <c r="V1340" t="s">
        <v>571</v>
      </c>
      <c r="W1340" s="45" t="s">
        <v>359</v>
      </c>
      <c r="X1340" s="45" t="b">
        <v>0</v>
      </c>
      <c r="Y1340" s="45" t="b">
        <v>0</v>
      </c>
      <c r="Z1340" s="45" t="b">
        <v>0</v>
      </c>
      <c r="AA1340" s="45" t="b">
        <v>0</v>
      </c>
      <c r="AB1340" s="45" t="b">
        <v>1</v>
      </c>
      <c r="AC1340" s="45" t="b">
        <v>1</v>
      </c>
      <c r="AD1340" s="45" t="b">
        <v>1</v>
      </c>
      <c r="AE1340" s="45" t="b">
        <v>1</v>
      </c>
      <c r="AF1340" s="45" t="s">
        <v>310</v>
      </c>
      <c r="AG1340" s="45" t="b">
        <v>1</v>
      </c>
      <c r="AH1340" s="45" t="b">
        <v>0</v>
      </c>
    </row>
    <row r="1341" spans="22:34" x14ac:dyDescent="0.25">
      <c r="V1341" t="s">
        <v>571</v>
      </c>
      <c r="W1341" s="45" t="s">
        <v>359</v>
      </c>
      <c r="X1341" s="45" t="b">
        <v>0</v>
      </c>
      <c r="Y1341" s="45" t="b">
        <v>0</v>
      </c>
      <c r="Z1341" s="45" t="b">
        <v>0</v>
      </c>
      <c r="AA1341" s="45" t="b">
        <v>0</v>
      </c>
      <c r="AB1341" s="45" t="b">
        <v>1</v>
      </c>
      <c r="AC1341" s="45" t="b">
        <v>1</v>
      </c>
      <c r="AD1341" s="45" t="b">
        <v>1</v>
      </c>
      <c r="AE1341" s="45" t="b">
        <v>1</v>
      </c>
      <c r="AF1341" s="45" t="s">
        <v>311</v>
      </c>
      <c r="AG1341" s="45" t="b">
        <v>1</v>
      </c>
      <c r="AH1341" s="45" t="b">
        <v>0</v>
      </c>
    </row>
    <row r="1342" spans="22:34" x14ac:dyDescent="0.25">
      <c r="V1342" t="s">
        <v>571</v>
      </c>
      <c r="W1342" s="45" t="s">
        <v>359</v>
      </c>
      <c r="X1342" s="45" t="b">
        <v>0</v>
      </c>
      <c r="Y1342" s="45" t="b">
        <v>0</v>
      </c>
      <c r="Z1342" s="45" t="b">
        <v>0</v>
      </c>
      <c r="AA1342" s="45" t="b">
        <v>0</v>
      </c>
      <c r="AB1342" s="45" t="b">
        <v>1</v>
      </c>
      <c r="AC1342" s="45" t="b">
        <v>1</v>
      </c>
      <c r="AD1342" s="45" t="b">
        <v>1</v>
      </c>
      <c r="AE1342" s="45" t="b">
        <v>1</v>
      </c>
      <c r="AF1342" s="45" t="s">
        <v>312</v>
      </c>
      <c r="AG1342" s="45" t="b">
        <v>1</v>
      </c>
      <c r="AH1342" s="45" t="b">
        <v>0</v>
      </c>
    </row>
    <row r="1343" spans="22:34" x14ac:dyDescent="0.25">
      <c r="V1343" t="s">
        <v>571</v>
      </c>
      <c r="W1343" s="45" t="s">
        <v>359</v>
      </c>
      <c r="X1343" s="45" t="b">
        <v>0</v>
      </c>
      <c r="Y1343" s="45" t="b">
        <v>0</v>
      </c>
      <c r="Z1343" s="45" t="b">
        <v>0</v>
      </c>
      <c r="AA1343" s="45" t="b">
        <v>0</v>
      </c>
      <c r="AB1343" s="45" t="b">
        <v>1</v>
      </c>
      <c r="AC1343" s="45" t="b">
        <v>1</v>
      </c>
      <c r="AD1343" s="45" t="b">
        <v>1</v>
      </c>
      <c r="AE1343" s="45" t="b">
        <v>1</v>
      </c>
      <c r="AF1343" s="45" t="s">
        <v>313</v>
      </c>
      <c r="AG1343" s="45" t="b">
        <v>1</v>
      </c>
      <c r="AH1343" s="45" t="b">
        <v>0</v>
      </c>
    </row>
    <row r="1344" spans="22:34" x14ac:dyDescent="0.25">
      <c r="V1344" t="s">
        <v>571</v>
      </c>
      <c r="W1344" s="45" t="s">
        <v>359</v>
      </c>
      <c r="X1344" s="45" t="b">
        <v>0</v>
      </c>
      <c r="Y1344" s="45" t="b">
        <v>0</v>
      </c>
      <c r="Z1344" s="45" t="b">
        <v>0</v>
      </c>
      <c r="AA1344" s="45" t="b">
        <v>0</v>
      </c>
      <c r="AB1344" s="45" t="b">
        <v>1</v>
      </c>
      <c r="AC1344" s="45" t="b">
        <v>1</v>
      </c>
      <c r="AD1344" s="45" t="b">
        <v>1</v>
      </c>
      <c r="AE1344" s="45" t="b">
        <v>1</v>
      </c>
      <c r="AF1344" s="45" t="s">
        <v>314</v>
      </c>
      <c r="AG1344" s="45" t="b">
        <v>1</v>
      </c>
      <c r="AH1344" s="45" t="b">
        <v>0</v>
      </c>
    </row>
    <row r="1345" spans="22:34" x14ac:dyDescent="0.25">
      <c r="V1345" t="s">
        <v>571</v>
      </c>
      <c r="W1345" s="45" t="s">
        <v>359</v>
      </c>
      <c r="X1345" s="45" t="b">
        <v>0</v>
      </c>
      <c r="Y1345" s="45" t="b">
        <v>0</v>
      </c>
      <c r="Z1345" s="45" t="b">
        <v>0</v>
      </c>
      <c r="AA1345" s="45" t="b">
        <v>0</v>
      </c>
      <c r="AB1345" s="45" t="b">
        <v>1</v>
      </c>
      <c r="AC1345" s="45" t="b">
        <v>1</v>
      </c>
      <c r="AD1345" s="45" t="b">
        <v>1</v>
      </c>
      <c r="AE1345" s="45" t="b">
        <v>1</v>
      </c>
      <c r="AF1345" s="45" t="s">
        <v>315</v>
      </c>
      <c r="AG1345" s="45" t="b">
        <v>1</v>
      </c>
      <c r="AH1345" s="45" t="b">
        <v>0</v>
      </c>
    </row>
    <row r="1346" spans="22:34" x14ac:dyDescent="0.25">
      <c r="V1346" t="s">
        <v>571</v>
      </c>
      <c r="W1346" s="45" t="s">
        <v>359</v>
      </c>
      <c r="X1346" s="45" t="b">
        <v>0</v>
      </c>
      <c r="Y1346" s="45" t="b">
        <v>0</v>
      </c>
      <c r="Z1346" s="45" t="b">
        <v>0</v>
      </c>
      <c r="AA1346" s="45" t="b">
        <v>0</v>
      </c>
      <c r="AB1346" s="45" t="b">
        <v>1</v>
      </c>
      <c r="AC1346" s="45" t="b">
        <v>1</v>
      </c>
      <c r="AD1346" s="45" t="b">
        <v>1</v>
      </c>
      <c r="AE1346" s="45" t="b">
        <v>1</v>
      </c>
      <c r="AF1346" s="45" t="s">
        <v>316</v>
      </c>
      <c r="AG1346" s="45" t="b">
        <v>1</v>
      </c>
      <c r="AH1346" s="45" t="b">
        <v>0</v>
      </c>
    </row>
    <row r="1347" spans="22:34" x14ac:dyDescent="0.25">
      <c r="V1347" t="s">
        <v>571</v>
      </c>
      <c r="W1347" s="45" t="s">
        <v>359</v>
      </c>
      <c r="X1347" s="45" t="b">
        <v>0</v>
      </c>
      <c r="Y1347" s="45" t="b">
        <v>0</v>
      </c>
      <c r="Z1347" s="45" t="b">
        <v>0</v>
      </c>
      <c r="AA1347" s="45" t="b">
        <v>0</v>
      </c>
      <c r="AB1347" s="45" t="b">
        <v>1</v>
      </c>
      <c r="AC1347" s="45" t="b">
        <v>1</v>
      </c>
      <c r="AD1347" s="45" t="b">
        <v>1</v>
      </c>
      <c r="AE1347" s="45" t="b">
        <v>1</v>
      </c>
      <c r="AF1347" s="45" t="s">
        <v>317</v>
      </c>
      <c r="AG1347" s="45" t="b">
        <v>1</v>
      </c>
      <c r="AH1347" s="45" t="b">
        <v>0</v>
      </c>
    </row>
    <row r="1348" spans="22:34" x14ac:dyDescent="0.25">
      <c r="V1348" t="s">
        <v>571</v>
      </c>
      <c r="W1348" s="45" t="s">
        <v>359</v>
      </c>
      <c r="X1348" s="45" t="b">
        <v>0</v>
      </c>
      <c r="Y1348" s="45" t="b">
        <v>0</v>
      </c>
      <c r="Z1348" s="45" t="b">
        <v>0</v>
      </c>
      <c r="AA1348" s="45" t="b">
        <v>0</v>
      </c>
      <c r="AB1348" s="45" t="b">
        <v>1</v>
      </c>
      <c r="AC1348" s="45" t="b">
        <v>1</v>
      </c>
      <c r="AD1348" s="45" t="b">
        <v>1</v>
      </c>
      <c r="AE1348" s="45" t="b">
        <v>1</v>
      </c>
      <c r="AF1348" s="45" t="s">
        <v>318</v>
      </c>
      <c r="AG1348" s="45" t="b">
        <v>1</v>
      </c>
      <c r="AH1348" s="45" t="b">
        <v>0</v>
      </c>
    </row>
    <row r="1349" spans="22:34" x14ac:dyDescent="0.25">
      <c r="V1349" t="s">
        <v>571</v>
      </c>
      <c r="W1349" s="45" t="s">
        <v>359</v>
      </c>
      <c r="X1349" s="45" t="b">
        <v>0</v>
      </c>
      <c r="Y1349" s="45" t="b">
        <v>0</v>
      </c>
      <c r="Z1349" s="45" t="b">
        <v>0</v>
      </c>
      <c r="AA1349" s="45" t="b">
        <v>0</v>
      </c>
      <c r="AB1349" s="45" t="b">
        <v>1</v>
      </c>
      <c r="AC1349" s="45" t="b">
        <v>1</v>
      </c>
      <c r="AD1349" s="45" t="b">
        <v>1</v>
      </c>
      <c r="AE1349" s="45" t="b">
        <v>1</v>
      </c>
      <c r="AF1349" s="45" t="s">
        <v>319</v>
      </c>
      <c r="AG1349" s="45" t="b">
        <v>1</v>
      </c>
      <c r="AH1349" s="45" t="b">
        <v>0</v>
      </c>
    </row>
    <row r="1350" spans="22:34" x14ac:dyDescent="0.25">
      <c r="V1350" t="s">
        <v>360</v>
      </c>
      <c r="W1350" s="45" t="s">
        <v>361</v>
      </c>
      <c r="X1350" s="45" t="b">
        <v>1</v>
      </c>
      <c r="Y1350" s="45" t="b">
        <v>0</v>
      </c>
      <c r="Z1350" s="45" t="b">
        <v>1</v>
      </c>
      <c r="AA1350" s="45" t="b">
        <v>0</v>
      </c>
      <c r="AB1350" s="45" t="b">
        <v>0</v>
      </c>
      <c r="AC1350" s="45" t="b">
        <v>1</v>
      </c>
      <c r="AD1350" s="45" t="b">
        <v>0</v>
      </c>
      <c r="AE1350" s="45" t="b">
        <v>1</v>
      </c>
      <c r="AF1350" s="45" t="s">
        <v>295</v>
      </c>
      <c r="AG1350" s="45" t="b">
        <v>0</v>
      </c>
      <c r="AH1350" s="45" t="b">
        <v>0</v>
      </c>
    </row>
    <row r="1351" spans="22:34" x14ac:dyDescent="0.25">
      <c r="V1351" t="s">
        <v>360</v>
      </c>
      <c r="W1351" s="45" t="s">
        <v>361</v>
      </c>
      <c r="X1351" s="45" t="b">
        <v>1</v>
      </c>
      <c r="Y1351" s="45" t="b">
        <v>0</v>
      </c>
      <c r="Z1351" s="45" t="b">
        <v>1</v>
      </c>
      <c r="AA1351" s="45" t="b">
        <v>0</v>
      </c>
      <c r="AB1351" s="45" t="b">
        <v>0</v>
      </c>
      <c r="AC1351" s="45" t="b">
        <v>1</v>
      </c>
      <c r="AD1351" s="45" t="b">
        <v>0</v>
      </c>
      <c r="AE1351" s="45" t="b">
        <v>1</v>
      </c>
      <c r="AF1351" s="45" t="s">
        <v>297</v>
      </c>
      <c r="AG1351" s="45" t="b">
        <v>1</v>
      </c>
      <c r="AH1351" s="45" t="b">
        <v>1</v>
      </c>
    </row>
    <row r="1352" spans="22:34" x14ac:dyDescent="0.25">
      <c r="V1352" t="s">
        <v>360</v>
      </c>
      <c r="W1352" s="45" t="s">
        <v>361</v>
      </c>
      <c r="X1352" s="45" t="b">
        <v>1</v>
      </c>
      <c r="Y1352" s="45" t="b">
        <v>0</v>
      </c>
      <c r="Z1352" s="45" t="b">
        <v>1</v>
      </c>
      <c r="AA1352" s="45" t="b">
        <v>0</v>
      </c>
      <c r="AB1352" s="45" t="b">
        <v>0</v>
      </c>
      <c r="AC1352" s="45" t="b">
        <v>1</v>
      </c>
      <c r="AD1352" s="45" t="b">
        <v>0</v>
      </c>
      <c r="AE1352" s="45" t="b">
        <v>1</v>
      </c>
      <c r="AF1352" s="45" t="s">
        <v>112</v>
      </c>
      <c r="AG1352" s="45" t="b">
        <v>1</v>
      </c>
      <c r="AH1352" s="45" t="b">
        <v>1</v>
      </c>
    </row>
    <row r="1353" spans="22:34" x14ac:dyDescent="0.25">
      <c r="V1353" t="s">
        <v>360</v>
      </c>
      <c r="W1353" s="45" t="s">
        <v>361</v>
      </c>
      <c r="X1353" s="45" t="b">
        <v>1</v>
      </c>
      <c r="Y1353" s="45" t="b">
        <v>0</v>
      </c>
      <c r="Z1353" s="45" t="b">
        <v>1</v>
      </c>
      <c r="AA1353" s="45" t="b">
        <v>0</v>
      </c>
      <c r="AB1353" s="45" t="b">
        <v>0</v>
      </c>
      <c r="AC1353" s="45" t="b">
        <v>1</v>
      </c>
      <c r="AD1353" s="45" t="b">
        <v>0</v>
      </c>
      <c r="AE1353" s="45" t="b">
        <v>1</v>
      </c>
      <c r="AF1353" s="45" t="s">
        <v>114</v>
      </c>
      <c r="AG1353" s="45" t="b">
        <v>1</v>
      </c>
      <c r="AH1353" s="45" t="b">
        <v>1</v>
      </c>
    </row>
    <row r="1354" spans="22:34" x14ac:dyDescent="0.25">
      <c r="V1354" t="s">
        <v>360</v>
      </c>
      <c r="W1354" s="45" t="s">
        <v>361</v>
      </c>
      <c r="X1354" s="45" t="b">
        <v>1</v>
      </c>
      <c r="Y1354" s="45" t="b">
        <v>0</v>
      </c>
      <c r="Z1354" s="45" t="b">
        <v>1</v>
      </c>
      <c r="AA1354" s="45" t="b">
        <v>0</v>
      </c>
      <c r="AB1354" s="45" t="b">
        <v>0</v>
      </c>
      <c r="AC1354" s="45" t="b">
        <v>1</v>
      </c>
      <c r="AD1354" s="45" t="b">
        <v>0</v>
      </c>
      <c r="AE1354" s="45" t="b">
        <v>1</v>
      </c>
      <c r="AF1354" s="45" t="s">
        <v>115</v>
      </c>
      <c r="AG1354" s="45" t="b">
        <v>1</v>
      </c>
      <c r="AH1354" s="45" t="b">
        <v>1</v>
      </c>
    </row>
    <row r="1355" spans="22:34" x14ac:dyDescent="0.25">
      <c r="V1355" t="s">
        <v>360</v>
      </c>
      <c r="W1355" s="45" t="s">
        <v>361</v>
      </c>
      <c r="X1355" s="45" t="b">
        <v>1</v>
      </c>
      <c r="Y1355" s="45" t="b">
        <v>0</v>
      </c>
      <c r="Z1355" s="45" t="b">
        <v>1</v>
      </c>
      <c r="AA1355" s="45" t="b">
        <v>0</v>
      </c>
      <c r="AB1355" s="45" t="b">
        <v>0</v>
      </c>
      <c r="AC1355" s="45" t="b">
        <v>1</v>
      </c>
      <c r="AD1355" s="45" t="b">
        <v>0</v>
      </c>
      <c r="AE1355" s="45" t="b">
        <v>1</v>
      </c>
      <c r="AF1355" s="45" t="s">
        <v>116</v>
      </c>
      <c r="AG1355" s="45" t="b">
        <v>1</v>
      </c>
      <c r="AH1355" s="45" t="b">
        <v>1</v>
      </c>
    </row>
    <row r="1356" spans="22:34" x14ac:dyDescent="0.25">
      <c r="V1356" t="s">
        <v>360</v>
      </c>
      <c r="W1356" s="45" t="s">
        <v>361</v>
      </c>
      <c r="X1356" s="45" t="b">
        <v>1</v>
      </c>
      <c r="Y1356" s="45" t="b">
        <v>0</v>
      </c>
      <c r="Z1356" s="45" t="b">
        <v>1</v>
      </c>
      <c r="AA1356" s="45" t="b">
        <v>0</v>
      </c>
      <c r="AB1356" s="45" t="b">
        <v>0</v>
      </c>
      <c r="AC1356" s="45" t="b">
        <v>1</v>
      </c>
      <c r="AD1356" s="45" t="b">
        <v>0</v>
      </c>
      <c r="AE1356" s="45" t="b">
        <v>1</v>
      </c>
      <c r="AF1356" s="45" t="s">
        <v>298</v>
      </c>
      <c r="AG1356" s="45" t="b">
        <v>1</v>
      </c>
      <c r="AH1356" s="45" t="b">
        <v>1</v>
      </c>
    </row>
    <row r="1357" spans="22:34" x14ac:dyDescent="0.25">
      <c r="V1357" t="s">
        <v>360</v>
      </c>
      <c r="W1357" s="45" t="s">
        <v>361</v>
      </c>
      <c r="X1357" s="45" t="b">
        <v>1</v>
      </c>
      <c r="Y1357" s="45" t="b">
        <v>0</v>
      </c>
      <c r="Z1357" s="45" t="b">
        <v>1</v>
      </c>
      <c r="AA1357" s="45" t="b">
        <v>0</v>
      </c>
      <c r="AB1357" s="45" t="b">
        <v>0</v>
      </c>
      <c r="AC1357" s="45" t="b">
        <v>1</v>
      </c>
      <c r="AD1357" s="45" t="b">
        <v>0</v>
      </c>
      <c r="AE1357" s="45" t="b">
        <v>1</v>
      </c>
      <c r="AF1357" s="45" t="s">
        <v>299</v>
      </c>
      <c r="AG1357" s="45" t="b">
        <v>1</v>
      </c>
      <c r="AH1357" s="45" t="b">
        <v>1</v>
      </c>
    </row>
    <row r="1358" spans="22:34" x14ac:dyDescent="0.25">
      <c r="V1358" t="s">
        <v>360</v>
      </c>
      <c r="W1358" s="45" t="s">
        <v>361</v>
      </c>
      <c r="X1358" s="45" t="b">
        <v>1</v>
      </c>
      <c r="Y1358" s="45" t="b">
        <v>0</v>
      </c>
      <c r="Z1358" s="45" t="b">
        <v>1</v>
      </c>
      <c r="AA1358" s="45" t="b">
        <v>0</v>
      </c>
      <c r="AB1358" s="45" t="b">
        <v>0</v>
      </c>
      <c r="AC1358" s="45" t="b">
        <v>1</v>
      </c>
      <c r="AD1358" s="45" t="b">
        <v>0</v>
      </c>
      <c r="AE1358" s="45" t="b">
        <v>1</v>
      </c>
      <c r="AF1358" s="45" t="s">
        <v>414</v>
      </c>
      <c r="AG1358" s="45" t="b">
        <v>1</v>
      </c>
      <c r="AH1358" s="45" t="b">
        <v>1</v>
      </c>
    </row>
    <row r="1359" spans="22:34" x14ac:dyDescent="0.25">
      <c r="V1359" t="s">
        <v>360</v>
      </c>
      <c r="W1359" s="45" t="s">
        <v>361</v>
      </c>
      <c r="X1359" s="45" t="b">
        <v>1</v>
      </c>
      <c r="Y1359" s="45" t="b">
        <v>0</v>
      </c>
      <c r="Z1359" s="45" t="b">
        <v>1</v>
      </c>
      <c r="AA1359" s="45" t="b">
        <v>0</v>
      </c>
      <c r="AB1359" s="45" t="b">
        <v>0</v>
      </c>
      <c r="AC1359" s="45" t="b">
        <v>1</v>
      </c>
      <c r="AD1359" s="45" t="b">
        <v>0</v>
      </c>
      <c r="AE1359" s="45" t="b">
        <v>1</v>
      </c>
      <c r="AF1359" s="45" t="s">
        <v>118</v>
      </c>
      <c r="AG1359" s="45" t="b">
        <v>1</v>
      </c>
      <c r="AH1359" s="45" t="b">
        <v>1</v>
      </c>
    </row>
    <row r="1360" spans="22:34" x14ac:dyDescent="0.25">
      <c r="V1360" t="s">
        <v>360</v>
      </c>
      <c r="W1360" s="45" t="s">
        <v>361</v>
      </c>
      <c r="X1360" s="45" t="b">
        <v>1</v>
      </c>
      <c r="Y1360" s="45" t="b">
        <v>0</v>
      </c>
      <c r="Z1360" s="45" t="b">
        <v>1</v>
      </c>
      <c r="AA1360" s="45" t="b">
        <v>0</v>
      </c>
      <c r="AB1360" s="45" t="b">
        <v>0</v>
      </c>
      <c r="AC1360" s="45" t="b">
        <v>1</v>
      </c>
      <c r="AD1360" s="45" t="b">
        <v>0</v>
      </c>
      <c r="AE1360" s="45" t="b">
        <v>1</v>
      </c>
      <c r="AF1360" s="45" t="s">
        <v>119</v>
      </c>
      <c r="AG1360" s="45" t="b">
        <v>1</v>
      </c>
      <c r="AH1360" s="45" t="b">
        <v>1</v>
      </c>
    </row>
    <row r="1361" spans="22:34" x14ac:dyDescent="0.25">
      <c r="V1361" t="s">
        <v>360</v>
      </c>
      <c r="W1361" s="45" t="s">
        <v>361</v>
      </c>
      <c r="X1361" s="45" t="b">
        <v>1</v>
      </c>
      <c r="Y1361" s="45" t="b">
        <v>0</v>
      </c>
      <c r="Z1361" s="45" t="b">
        <v>1</v>
      </c>
      <c r="AA1361" s="45" t="b">
        <v>0</v>
      </c>
      <c r="AB1361" s="45" t="b">
        <v>0</v>
      </c>
      <c r="AC1361" s="45" t="b">
        <v>1</v>
      </c>
      <c r="AD1361" s="45" t="b">
        <v>0</v>
      </c>
      <c r="AE1361" s="45" t="b">
        <v>1</v>
      </c>
      <c r="AF1361" s="45" t="s">
        <v>300</v>
      </c>
      <c r="AG1361" s="45" t="b">
        <v>1</v>
      </c>
      <c r="AH1361" s="45" t="b">
        <v>1</v>
      </c>
    </row>
    <row r="1362" spans="22:34" x14ac:dyDescent="0.25">
      <c r="V1362" t="s">
        <v>360</v>
      </c>
      <c r="W1362" s="45" t="s">
        <v>361</v>
      </c>
      <c r="X1362" s="45" t="b">
        <v>1</v>
      </c>
      <c r="Y1362" s="45" t="b">
        <v>0</v>
      </c>
      <c r="Z1362" s="45" t="b">
        <v>1</v>
      </c>
      <c r="AA1362" s="45" t="b">
        <v>0</v>
      </c>
      <c r="AB1362" s="45" t="b">
        <v>0</v>
      </c>
      <c r="AC1362" s="45" t="b">
        <v>1</v>
      </c>
      <c r="AD1362" s="45" t="b">
        <v>0</v>
      </c>
      <c r="AE1362" s="45" t="b">
        <v>1</v>
      </c>
      <c r="AF1362" s="45" t="s">
        <v>301</v>
      </c>
      <c r="AG1362" s="45" t="b">
        <v>1</v>
      </c>
      <c r="AH1362" s="45" t="b">
        <v>1</v>
      </c>
    </row>
    <row r="1363" spans="22:34" x14ac:dyDescent="0.25">
      <c r="V1363" t="s">
        <v>360</v>
      </c>
      <c r="W1363" s="45" t="s">
        <v>361</v>
      </c>
      <c r="X1363" s="45" t="b">
        <v>1</v>
      </c>
      <c r="Y1363" s="45" t="b">
        <v>0</v>
      </c>
      <c r="Z1363" s="45" t="b">
        <v>1</v>
      </c>
      <c r="AA1363" s="45" t="b">
        <v>0</v>
      </c>
      <c r="AB1363" s="45" t="b">
        <v>0</v>
      </c>
      <c r="AC1363" s="45" t="b">
        <v>1</v>
      </c>
      <c r="AD1363" s="45" t="b">
        <v>0</v>
      </c>
      <c r="AE1363" s="45" t="b">
        <v>1</v>
      </c>
      <c r="AF1363" s="45" t="s">
        <v>120</v>
      </c>
      <c r="AG1363" s="45" t="b">
        <v>1</v>
      </c>
      <c r="AH1363" s="45" t="b">
        <v>1</v>
      </c>
    </row>
    <row r="1364" spans="22:34" x14ac:dyDescent="0.25">
      <c r="V1364" t="s">
        <v>360</v>
      </c>
      <c r="W1364" s="45" t="s">
        <v>361</v>
      </c>
      <c r="X1364" s="45" t="b">
        <v>1</v>
      </c>
      <c r="Y1364" s="45" t="b">
        <v>0</v>
      </c>
      <c r="Z1364" s="45" t="b">
        <v>1</v>
      </c>
      <c r="AA1364" s="45" t="b">
        <v>0</v>
      </c>
      <c r="AB1364" s="45" t="b">
        <v>0</v>
      </c>
      <c r="AC1364" s="45" t="b">
        <v>1</v>
      </c>
      <c r="AD1364" s="45" t="b">
        <v>0</v>
      </c>
      <c r="AE1364" s="45" t="b">
        <v>1</v>
      </c>
      <c r="AF1364" s="45" t="s">
        <v>302</v>
      </c>
      <c r="AG1364" s="45" t="b">
        <v>1</v>
      </c>
      <c r="AH1364" s="45" t="b">
        <v>1</v>
      </c>
    </row>
    <row r="1365" spans="22:34" x14ac:dyDescent="0.25">
      <c r="V1365" t="s">
        <v>360</v>
      </c>
      <c r="W1365" s="45" t="s">
        <v>361</v>
      </c>
      <c r="X1365" s="45" t="b">
        <v>1</v>
      </c>
      <c r="Y1365" s="45" t="b">
        <v>0</v>
      </c>
      <c r="Z1365" s="45" t="b">
        <v>1</v>
      </c>
      <c r="AA1365" s="45" t="b">
        <v>0</v>
      </c>
      <c r="AB1365" s="45" t="b">
        <v>0</v>
      </c>
      <c r="AC1365" s="45" t="b">
        <v>1</v>
      </c>
      <c r="AD1365" s="45" t="b">
        <v>0</v>
      </c>
      <c r="AE1365" s="45" t="b">
        <v>1</v>
      </c>
      <c r="AF1365" s="45" t="s">
        <v>303</v>
      </c>
      <c r="AG1365" s="45" t="b">
        <v>1</v>
      </c>
      <c r="AH1365" s="45" t="b">
        <v>1</v>
      </c>
    </row>
    <row r="1366" spans="22:34" x14ac:dyDescent="0.25">
      <c r="V1366" t="s">
        <v>360</v>
      </c>
      <c r="W1366" s="45" t="s">
        <v>361</v>
      </c>
      <c r="X1366" s="45" t="b">
        <v>1</v>
      </c>
      <c r="Y1366" s="45" t="b">
        <v>0</v>
      </c>
      <c r="Z1366" s="45" t="b">
        <v>1</v>
      </c>
      <c r="AA1366" s="45" t="b">
        <v>0</v>
      </c>
      <c r="AB1366" s="45" t="b">
        <v>0</v>
      </c>
      <c r="AC1366" s="45" t="b">
        <v>1</v>
      </c>
      <c r="AD1366" s="45" t="b">
        <v>0</v>
      </c>
      <c r="AE1366" s="45" t="b">
        <v>1</v>
      </c>
      <c r="AF1366" s="45" t="s">
        <v>304</v>
      </c>
      <c r="AG1366" s="45" t="b">
        <v>1</v>
      </c>
      <c r="AH1366" s="45" t="b">
        <v>1</v>
      </c>
    </row>
    <row r="1367" spans="22:34" x14ac:dyDescent="0.25">
      <c r="V1367" t="s">
        <v>360</v>
      </c>
      <c r="W1367" s="45" t="s">
        <v>361</v>
      </c>
      <c r="X1367" s="45" t="b">
        <v>1</v>
      </c>
      <c r="Y1367" s="45" t="b">
        <v>0</v>
      </c>
      <c r="Z1367" s="45" t="b">
        <v>1</v>
      </c>
      <c r="AA1367" s="45" t="b">
        <v>0</v>
      </c>
      <c r="AB1367" s="45" t="b">
        <v>0</v>
      </c>
      <c r="AC1367" s="45" t="b">
        <v>1</v>
      </c>
      <c r="AD1367" s="45" t="b">
        <v>0</v>
      </c>
      <c r="AE1367" s="45" t="b">
        <v>1</v>
      </c>
      <c r="AF1367" s="45" t="s">
        <v>305</v>
      </c>
      <c r="AG1367" s="45" t="b">
        <v>1</v>
      </c>
      <c r="AH1367" s="45" t="b">
        <v>1</v>
      </c>
    </row>
    <row r="1368" spans="22:34" x14ac:dyDescent="0.25">
      <c r="V1368" t="s">
        <v>360</v>
      </c>
      <c r="W1368" s="45" t="s">
        <v>361</v>
      </c>
      <c r="X1368" s="45" t="b">
        <v>1</v>
      </c>
      <c r="Y1368" s="45" t="b">
        <v>0</v>
      </c>
      <c r="Z1368" s="45" t="b">
        <v>1</v>
      </c>
      <c r="AA1368" s="45" t="b">
        <v>0</v>
      </c>
      <c r="AB1368" s="45" t="b">
        <v>0</v>
      </c>
      <c r="AC1368" s="45" t="b">
        <v>1</v>
      </c>
      <c r="AD1368" s="45" t="b">
        <v>0</v>
      </c>
      <c r="AE1368" s="45" t="b">
        <v>1</v>
      </c>
      <c r="AF1368" s="45" t="s">
        <v>306</v>
      </c>
      <c r="AG1368" s="45" t="b">
        <v>1</v>
      </c>
      <c r="AH1368" s="45" t="b">
        <v>1</v>
      </c>
    </row>
    <row r="1369" spans="22:34" x14ac:dyDescent="0.25">
      <c r="V1369" t="s">
        <v>360</v>
      </c>
      <c r="W1369" s="45" t="s">
        <v>361</v>
      </c>
      <c r="X1369" s="45" t="b">
        <v>1</v>
      </c>
      <c r="Y1369" s="45" t="b">
        <v>0</v>
      </c>
      <c r="Z1369" s="45" t="b">
        <v>1</v>
      </c>
      <c r="AA1369" s="45" t="b">
        <v>0</v>
      </c>
      <c r="AB1369" s="45" t="b">
        <v>0</v>
      </c>
      <c r="AC1369" s="45" t="b">
        <v>1</v>
      </c>
      <c r="AD1369" s="45" t="b">
        <v>0</v>
      </c>
      <c r="AE1369" s="45" t="b">
        <v>1</v>
      </c>
      <c r="AF1369" s="45" t="s">
        <v>307</v>
      </c>
      <c r="AG1369" s="45" t="b">
        <v>1</v>
      </c>
      <c r="AH1369" s="45" t="b">
        <v>1</v>
      </c>
    </row>
    <row r="1370" spans="22:34" x14ac:dyDescent="0.25">
      <c r="V1370" t="s">
        <v>360</v>
      </c>
      <c r="W1370" s="45" t="s">
        <v>361</v>
      </c>
      <c r="X1370" s="45" t="b">
        <v>1</v>
      </c>
      <c r="Y1370" s="45" t="b">
        <v>0</v>
      </c>
      <c r="Z1370" s="45" t="b">
        <v>1</v>
      </c>
      <c r="AA1370" s="45" t="b">
        <v>0</v>
      </c>
      <c r="AB1370" s="45" t="b">
        <v>0</v>
      </c>
      <c r="AC1370" s="45" t="b">
        <v>1</v>
      </c>
      <c r="AD1370" s="45" t="b">
        <v>0</v>
      </c>
      <c r="AE1370" s="45" t="b">
        <v>1</v>
      </c>
      <c r="AF1370" s="45" t="s">
        <v>308</v>
      </c>
      <c r="AG1370" s="45" t="b">
        <v>1</v>
      </c>
      <c r="AH1370" s="45" t="b">
        <v>1</v>
      </c>
    </row>
    <row r="1371" spans="22:34" x14ac:dyDescent="0.25">
      <c r="V1371" t="s">
        <v>360</v>
      </c>
      <c r="W1371" s="45" t="s">
        <v>361</v>
      </c>
      <c r="X1371" s="45" t="b">
        <v>1</v>
      </c>
      <c r="Y1371" s="45" t="b">
        <v>0</v>
      </c>
      <c r="Z1371" s="45" t="b">
        <v>1</v>
      </c>
      <c r="AA1371" s="45" t="b">
        <v>0</v>
      </c>
      <c r="AB1371" s="45" t="b">
        <v>0</v>
      </c>
      <c r="AC1371" s="45" t="b">
        <v>1</v>
      </c>
      <c r="AD1371" s="45" t="b">
        <v>0</v>
      </c>
      <c r="AE1371" s="45" t="b">
        <v>1</v>
      </c>
      <c r="AF1371" s="45" t="s">
        <v>309</v>
      </c>
      <c r="AG1371" s="45" t="b">
        <v>1</v>
      </c>
      <c r="AH1371" s="45" t="b">
        <v>1</v>
      </c>
    </row>
    <row r="1372" spans="22:34" x14ac:dyDescent="0.25">
      <c r="V1372" t="s">
        <v>360</v>
      </c>
      <c r="W1372" s="45" t="s">
        <v>361</v>
      </c>
      <c r="X1372" s="45" t="b">
        <v>1</v>
      </c>
      <c r="Y1372" s="45" t="b">
        <v>0</v>
      </c>
      <c r="Z1372" s="45" t="b">
        <v>1</v>
      </c>
      <c r="AA1372" s="45" t="b">
        <v>0</v>
      </c>
      <c r="AB1372" s="45" t="b">
        <v>0</v>
      </c>
      <c r="AC1372" s="45" t="b">
        <v>1</v>
      </c>
      <c r="AD1372" s="45" t="b">
        <v>0</v>
      </c>
      <c r="AE1372" s="45" t="b">
        <v>1</v>
      </c>
      <c r="AF1372" s="45" t="s">
        <v>310</v>
      </c>
      <c r="AG1372" s="45" t="b">
        <v>1</v>
      </c>
      <c r="AH1372" s="45" t="b">
        <v>1</v>
      </c>
    </row>
    <row r="1373" spans="22:34" x14ac:dyDescent="0.25">
      <c r="V1373" t="s">
        <v>360</v>
      </c>
      <c r="W1373" s="45" t="s">
        <v>361</v>
      </c>
      <c r="X1373" s="45" t="b">
        <v>1</v>
      </c>
      <c r="Y1373" s="45" t="b">
        <v>0</v>
      </c>
      <c r="Z1373" s="45" t="b">
        <v>1</v>
      </c>
      <c r="AA1373" s="45" t="b">
        <v>0</v>
      </c>
      <c r="AB1373" s="45" t="b">
        <v>0</v>
      </c>
      <c r="AC1373" s="45" t="b">
        <v>1</v>
      </c>
      <c r="AD1373" s="45" t="b">
        <v>0</v>
      </c>
      <c r="AE1373" s="45" t="b">
        <v>1</v>
      </c>
      <c r="AF1373" s="45" t="s">
        <v>311</v>
      </c>
      <c r="AG1373" s="45" t="b">
        <v>1</v>
      </c>
      <c r="AH1373" s="45" t="b">
        <v>1</v>
      </c>
    </row>
    <row r="1374" spans="22:34" x14ac:dyDescent="0.25">
      <c r="V1374" t="s">
        <v>360</v>
      </c>
      <c r="W1374" s="45" t="s">
        <v>361</v>
      </c>
      <c r="X1374" s="45" t="b">
        <v>1</v>
      </c>
      <c r="Y1374" s="45" t="b">
        <v>0</v>
      </c>
      <c r="Z1374" s="45" t="b">
        <v>1</v>
      </c>
      <c r="AA1374" s="45" t="b">
        <v>0</v>
      </c>
      <c r="AB1374" s="45" t="b">
        <v>0</v>
      </c>
      <c r="AC1374" s="45" t="b">
        <v>1</v>
      </c>
      <c r="AD1374" s="45" t="b">
        <v>0</v>
      </c>
      <c r="AE1374" s="45" t="b">
        <v>1</v>
      </c>
      <c r="AF1374" s="45" t="s">
        <v>312</v>
      </c>
      <c r="AG1374" s="45" t="b">
        <v>1</v>
      </c>
      <c r="AH1374" s="45" t="b">
        <v>1</v>
      </c>
    </row>
    <row r="1375" spans="22:34" x14ac:dyDescent="0.25">
      <c r="V1375" t="s">
        <v>360</v>
      </c>
      <c r="W1375" s="45" t="s">
        <v>361</v>
      </c>
      <c r="X1375" s="45" t="b">
        <v>1</v>
      </c>
      <c r="Y1375" s="45" t="b">
        <v>0</v>
      </c>
      <c r="Z1375" s="45" t="b">
        <v>1</v>
      </c>
      <c r="AA1375" s="45" t="b">
        <v>0</v>
      </c>
      <c r="AB1375" s="45" t="b">
        <v>0</v>
      </c>
      <c r="AC1375" s="45" t="b">
        <v>1</v>
      </c>
      <c r="AD1375" s="45" t="b">
        <v>0</v>
      </c>
      <c r="AE1375" s="45" t="b">
        <v>1</v>
      </c>
      <c r="AF1375" s="45" t="s">
        <v>313</v>
      </c>
      <c r="AG1375" s="45" t="b">
        <v>1</v>
      </c>
      <c r="AH1375" s="45" t="b">
        <v>1</v>
      </c>
    </row>
    <row r="1376" spans="22:34" x14ac:dyDescent="0.25">
      <c r="V1376" t="s">
        <v>360</v>
      </c>
      <c r="W1376" s="45" t="s">
        <v>361</v>
      </c>
      <c r="X1376" s="45" t="b">
        <v>1</v>
      </c>
      <c r="Y1376" s="45" t="b">
        <v>0</v>
      </c>
      <c r="Z1376" s="45" t="b">
        <v>1</v>
      </c>
      <c r="AA1376" s="45" t="b">
        <v>0</v>
      </c>
      <c r="AB1376" s="45" t="b">
        <v>0</v>
      </c>
      <c r="AC1376" s="45" t="b">
        <v>1</v>
      </c>
      <c r="AD1376" s="45" t="b">
        <v>0</v>
      </c>
      <c r="AE1376" s="45" t="b">
        <v>1</v>
      </c>
      <c r="AF1376" s="45" t="s">
        <v>314</v>
      </c>
      <c r="AG1376" s="45" t="b">
        <v>1</v>
      </c>
      <c r="AH1376" s="45" t="b">
        <v>1</v>
      </c>
    </row>
    <row r="1377" spans="22:34" x14ac:dyDescent="0.25">
      <c r="V1377" t="s">
        <v>360</v>
      </c>
      <c r="W1377" s="45" t="s">
        <v>361</v>
      </c>
      <c r="X1377" s="45" t="b">
        <v>1</v>
      </c>
      <c r="Y1377" s="45" t="b">
        <v>0</v>
      </c>
      <c r="Z1377" s="45" t="b">
        <v>1</v>
      </c>
      <c r="AA1377" s="45" t="b">
        <v>0</v>
      </c>
      <c r="AB1377" s="45" t="b">
        <v>0</v>
      </c>
      <c r="AC1377" s="45" t="b">
        <v>1</v>
      </c>
      <c r="AD1377" s="45" t="b">
        <v>0</v>
      </c>
      <c r="AE1377" s="45" t="b">
        <v>1</v>
      </c>
      <c r="AF1377" s="45" t="s">
        <v>315</v>
      </c>
      <c r="AG1377" s="45" t="b">
        <v>1</v>
      </c>
      <c r="AH1377" s="45" t="b">
        <v>1</v>
      </c>
    </row>
    <row r="1378" spans="22:34" x14ac:dyDescent="0.25">
      <c r="V1378" t="s">
        <v>360</v>
      </c>
      <c r="W1378" s="45" t="s">
        <v>361</v>
      </c>
      <c r="X1378" s="45" t="b">
        <v>1</v>
      </c>
      <c r="Y1378" s="45" t="b">
        <v>0</v>
      </c>
      <c r="Z1378" s="45" t="b">
        <v>1</v>
      </c>
      <c r="AA1378" s="45" t="b">
        <v>0</v>
      </c>
      <c r="AB1378" s="45" t="b">
        <v>0</v>
      </c>
      <c r="AC1378" s="45" t="b">
        <v>1</v>
      </c>
      <c r="AD1378" s="45" t="b">
        <v>0</v>
      </c>
      <c r="AE1378" s="45" t="b">
        <v>1</v>
      </c>
      <c r="AF1378" s="45" t="s">
        <v>316</v>
      </c>
      <c r="AG1378" s="45" t="b">
        <v>1</v>
      </c>
      <c r="AH1378" s="45" t="b">
        <v>1</v>
      </c>
    </row>
    <row r="1379" spans="22:34" x14ac:dyDescent="0.25">
      <c r="V1379" t="s">
        <v>360</v>
      </c>
      <c r="W1379" s="45" t="s">
        <v>361</v>
      </c>
      <c r="X1379" s="45" t="b">
        <v>1</v>
      </c>
      <c r="Y1379" s="45" t="b">
        <v>0</v>
      </c>
      <c r="Z1379" s="45" t="b">
        <v>1</v>
      </c>
      <c r="AA1379" s="45" t="b">
        <v>0</v>
      </c>
      <c r="AB1379" s="45" t="b">
        <v>0</v>
      </c>
      <c r="AC1379" s="45" t="b">
        <v>1</v>
      </c>
      <c r="AD1379" s="45" t="b">
        <v>0</v>
      </c>
      <c r="AE1379" s="45" t="b">
        <v>1</v>
      </c>
      <c r="AF1379" s="45" t="s">
        <v>317</v>
      </c>
      <c r="AG1379" s="45" t="b">
        <v>1</v>
      </c>
      <c r="AH1379" s="45" t="b">
        <v>1</v>
      </c>
    </row>
    <row r="1380" spans="22:34" x14ac:dyDescent="0.25">
      <c r="V1380" t="s">
        <v>360</v>
      </c>
      <c r="W1380" s="45" t="s">
        <v>361</v>
      </c>
      <c r="X1380" s="45" t="b">
        <v>1</v>
      </c>
      <c r="Y1380" s="45" t="b">
        <v>0</v>
      </c>
      <c r="Z1380" s="45" t="b">
        <v>1</v>
      </c>
      <c r="AA1380" s="45" t="b">
        <v>0</v>
      </c>
      <c r="AB1380" s="45" t="b">
        <v>0</v>
      </c>
      <c r="AC1380" s="45" t="b">
        <v>1</v>
      </c>
      <c r="AD1380" s="45" t="b">
        <v>0</v>
      </c>
      <c r="AE1380" s="45" t="b">
        <v>1</v>
      </c>
      <c r="AF1380" s="45" t="s">
        <v>318</v>
      </c>
      <c r="AG1380" s="45" t="b">
        <v>1</v>
      </c>
      <c r="AH1380" s="45" t="b">
        <v>1</v>
      </c>
    </row>
    <row r="1381" spans="22:34" x14ac:dyDescent="0.25">
      <c r="V1381" t="s">
        <v>360</v>
      </c>
      <c r="W1381" s="45" t="s">
        <v>361</v>
      </c>
      <c r="X1381" s="45" t="b">
        <v>1</v>
      </c>
      <c r="Y1381" s="45" t="b">
        <v>0</v>
      </c>
      <c r="Z1381" s="45" t="b">
        <v>1</v>
      </c>
      <c r="AA1381" s="45" t="b">
        <v>0</v>
      </c>
      <c r="AB1381" s="45" t="b">
        <v>0</v>
      </c>
      <c r="AC1381" s="45" t="b">
        <v>1</v>
      </c>
      <c r="AD1381" s="45" t="b">
        <v>0</v>
      </c>
      <c r="AE1381" s="45" t="b">
        <v>1</v>
      </c>
      <c r="AF1381" s="45" t="s">
        <v>319</v>
      </c>
      <c r="AG1381" s="45" t="b">
        <v>0</v>
      </c>
      <c r="AH1381" s="45" t="b">
        <v>0</v>
      </c>
    </row>
    <row r="1382" spans="22:34" x14ac:dyDescent="0.25">
      <c r="V1382" t="s">
        <v>184</v>
      </c>
      <c r="W1382" s="45" t="s">
        <v>362</v>
      </c>
      <c r="X1382" s="45" t="b">
        <v>1</v>
      </c>
      <c r="Y1382" s="45" t="b">
        <v>0</v>
      </c>
      <c r="Z1382" s="45" t="b">
        <v>1</v>
      </c>
      <c r="AA1382" s="45" t="b">
        <v>0</v>
      </c>
      <c r="AB1382" s="45" t="b">
        <v>1</v>
      </c>
      <c r="AC1382" s="45" t="b">
        <v>1</v>
      </c>
      <c r="AD1382" s="45" t="b">
        <v>0</v>
      </c>
      <c r="AE1382" s="45" t="b">
        <v>1</v>
      </c>
      <c r="AF1382" s="45" t="s">
        <v>295</v>
      </c>
      <c r="AG1382" s="45" t="b">
        <v>0</v>
      </c>
      <c r="AH1382" s="45" t="b">
        <v>0</v>
      </c>
    </row>
    <row r="1383" spans="22:34" x14ac:dyDescent="0.25">
      <c r="V1383" t="s">
        <v>184</v>
      </c>
      <c r="W1383" s="45" t="s">
        <v>362</v>
      </c>
      <c r="X1383" s="45" t="b">
        <v>1</v>
      </c>
      <c r="Y1383" s="45" t="b">
        <v>0</v>
      </c>
      <c r="Z1383" s="45" t="b">
        <v>1</v>
      </c>
      <c r="AA1383" s="45" t="b">
        <v>0</v>
      </c>
      <c r="AB1383" s="45" t="b">
        <v>1</v>
      </c>
      <c r="AC1383" s="45" t="b">
        <v>1</v>
      </c>
      <c r="AD1383" s="45" t="b">
        <v>0</v>
      </c>
      <c r="AE1383" s="45" t="b">
        <v>1</v>
      </c>
      <c r="AF1383" s="45" t="s">
        <v>297</v>
      </c>
      <c r="AG1383" s="45" t="b">
        <v>1</v>
      </c>
      <c r="AH1383" s="45" t="b">
        <v>1</v>
      </c>
    </row>
    <row r="1384" spans="22:34" x14ac:dyDescent="0.25">
      <c r="V1384" t="s">
        <v>184</v>
      </c>
      <c r="W1384" s="45" t="s">
        <v>362</v>
      </c>
      <c r="X1384" s="45" t="b">
        <v>1</v>
      </c>
      <c r="Y1384" s="45" t="b">
        <v>0</v>
      </c>
      <c r="Z1384" s="45" t="b">
        <v>1</v>
      </c>
      <c r="AA1384" s="45" t="b">
        <v>0</v>
      </c>
      <c r="AB1384" s="45" t="b">
        <v>1</v>
      </c>
      <c r="AC1384" s="45" t="b">
        <v>1</v>
      </c>
      <c r="AD1384" s="45" t="b">
        <v>0</v>
      </c>
      <c r="AE1384" s="45" t="b">
        <v>1</v>
      </c>
      <c r="AF1384" s="45" t="s">
        <v>112</v>
      </c>
      <c r="AG1384" s="45" t="b">
        <v>1</v>
      </c>
      <c r="AH1384" s="45" t="b">
        <v>1</v>
      </c>
    </row>
    <row r="1385" spans="22:34" x14ac:dyDescent="0.25">
      <c r="V1385" t="s">
        <v>184</v>
      </c>
      <c r="W1385" s="45" t="s">
        <v>362</v>
      </c>
      <c r="X1385" s="45" t="b">
        <v>1</v>
      </c>
      <c r="Y1385" s="45" t="b">
        <v>0</v>
      </c>
      <c r="Z1385" s="45" t="b">
        <v>1</v>
      </c>
      <c r="AA1385" s="45" t="b">
        <v>0</v>
      </c>
      <c r="AB1385" s="45" t="b">
        <v>1</v>
      </c>
      <c r="AC1385" s="45" t="b">
        <v>1</v>
      </c>
      <c r="AD1385" s="45" t="b">
        <v>0</v>
      </c>
      <c r="AE1385" s="45" t="b">
        <v>1</v>
      </c>
      <c r="AF1385" s="45" t="s">
        <v>114</v>
      </c>
      <c r="AG1385" s="45" t="b">
        <v>1</v>
      </c>
      <c r="AH1385" s="45" t="b">
        <v>1</v>
      </c>
    </row>
    <row r="1386" spans="22:34" x14ac:dyDescent="0.25">
      <c r="V1386" t="s">
        <v>184</v>
      </c>
      <c r="W1386" s="45" t="s">
        <v>362</v>
      </c>
      <c r="X1386" s="45" t="b">
        <v>1</v>
      </c>
      <c r="Y1386" s="45" t="b">
        <v>0</v>
      </c>
      <c r="Z1386" s="45" t="b">
        <v>1</v>
      </c>
      <c r="AA1386" s="45" t="b">
        <v>0</v>
      </c>
      <c r="AB1386" s="45" t="b">
        <v>1</v>
      </c>
      <c r="AC1386" s="45" t="b">
        <v>1</v>
      </c>
      <c r="AD1386" s="45" t="b">
        <v>0</v>
      </c>
      <c r="AE1386" s="45" t="b">
        <v>1</v>
      </c>
      <c r="AF1386" s="45" t="s">
        <v>115</v>
      </c>
      <c r="AG1386" s="45" t="b">
        <v>1</v>
      </c>
      <c r="AH1386" s="45" t="b">
        <v>1</v>
      </c>
    </row>
    <row r="1387" spans="22:34" x14ac:dyDescent="0.25">
      <c r="V1387" t="s">
        <v>184</v>
      </c>
      <c r="W1387" s="45" t="s">
        <v>362</v>
      </c>
      <c r="X1387" s="45" t="b">
        <v>1</v>
      </c>
      <c r="Y1387" s="45" t="b">
        <v>0</v>
      </c>
      <c r="Z1387" s="45" t="b">
        <v>1</v>
      </c>
      <c r="AA1387" s="45" t="b">
        <v>0</v>
      </c>
      <c r="AB1387" s="45" t="b">
        <v>1</v>
      </c>
      <c r="AC1387" s="45" t="b">
        <v>1</v>
      </c>
      <c r="AD1387" s="45" t="b">
        <v>0</v>
      </c>
      <c r="AE1387" s="45" t="b">
        <v>1</v>
      </c>
      <c r="AF1387" s="45" t="s">
        <v>116</v>
      </c>
      <c r="AG1387" s="45" t="b">
        <v>1</v>
      </c>
      <c r="AH1387" s="45" t="b">
        <v>1</v>
      </c>
    </row>
    <row r="1388" spans="22:34" x14ac:dyDescent="0.25">
      <c r="V1388" t="s">
        <v>184</v>
      </c>
      <c r="W1388" s="45" t="s">
        <v>362</v>
      </c>
      <c r="X1388" s="45" t="b">
        <v>1</v>
      </c>
      <c r="Y1388" s="45" t="b">
        <v>0</v>
      </c>
      <c r="Z1388" s="45" t="b">
        <v>1</v>
      </c>
      <c r="AA1388" s="45" t="b">
        <v>0</v>
      </c>
      <c r="AB1388" s="45" t="b">
        <v>1</v>
      </c>
      <c r="AC1388" s="45" t="b">
        <v>1</v>
      </c>
      <c r="AD1388" s="45" t="b">
        <v>0</v>
      </c>
      <c r="AE1388" s="45" t="b">
        <v>1</v>
      </c>
      <c r="AF1388" s="45" t="s">
        <v>298</v>
      </c>
      <c r="AG1388" s="45" t="b">
        <v>1</v>
      </c>
      <c r="AH1388" s="45" t="b">
        <v>1</v>
      </c>
    </row>
    <row r="1389" spans="22:34" x14ac:dyDescent="0.25">
      <c r="V1389" t="s">
        <v>184</v>
      </c>
      <c r="W1389" s="45" t="s">
        <v>362</v>
      </c>
      <c r="X1389" s="45" t="b">
        <v>1</v>
      </c>
      <c r="Y1389" s="45" t="b">
        <v>0</v>
      </c>
      <c r="Z1389" s="45" t="b">
        <v>1</v>
      </c>
      <c r="AA1389" s="45" t="b">
        <v>0</v>
      </c>
      <c r="AB1389" s="45" t="b">
        <v>1</v>
      </c>
      <c r="AC1389" s="45" t="b">
        <v>1</v>
      </c>
      <c r="AD1389" s="45" t="b">
        <v>0</v>
      </c>
      <c r="AE1389" s="45" t="b">
        <v>1</v>
      </c>
      <c r="AF1389" s="45" t="s">
        <v>299</v>
      </c>
      <c r="AG1389" s="45" t="b">
        <v>1</v>
      </c>
      <c r="AH1389" s="45" t="b">
        <v>1</v>
      </c>
    </row>
    <row r="1390" spans="22:34" x14ac:dyDescent="0.25">
      <c r="V1390" t="s">
        <v>184</v>
      </c>
      <c r="W1390" s="45" t="s">
        <v>362</v>
      </c>
      <c r="X1390" s="45" t="b">
        <v>1</v>
      </c>
      <c r="Y1390" s="45" t="b">
        <v>0</v>
      </c>
      <c r="Z1390" s="45" t="b">
        <v>1</v>
      </c>
      <c r="AA1390" s="45" t="b">
        <v>0</v>
      </c>
      <c r="AB1390" s="45" t="b">
        <v>1</v>
      </c>
      <c r="AC1390" s="45" t="b">
        <v>1</v>
      </c>
      <c r="AD1390" s="45" t="b">
        <v>0</v>
      </c>
      <c r="AE1390" s="45" t="b">
        <v>1</v>
      </c>
      <c r="AF1390" s="45" t="s">
        <v>414</v>
      </c>
      <c r="AG1390" s="45" t="b">
        <v>1</v>
      </c>
      <c r="AH1390" s="45" t="b">
        <v>1</v>
      </c>
    </row>
    <row r="1391" spans="22:34" x14ac:dyDescent="0.25">
      <c r="V1391" t="s">
        <v>184</v>
      </c>
      <c r="W1391" s="45" t="s">
        <v>362</v>
      </c>
      <c r="X1391" s="45" t="b">
        <v>1</v>
      </c>
      <c r="Y1391" s="45" t="b">
        <v>0</v>
      </c>
      <c r="Z1391" s="45" t="b">
        <v>1</v>
      </c>
      <c r="AA1391" s="45" t="b">
        <v>0</v>
      </c>
      <c r="AB1391" s="45" t="b">
        <v>1</v>
      </c>
      <c r="AC1391" s="45" t="b">
        <v>1</v>
      </c>
      <c r="AD1391" s="45" t="b">
        <v>0</v>
      </c>
      <c r="AE1391" s="45" t="b">
        <v>1</v>
      </c>
      <c r="AF1391" s="45" t="s">
        <v>118</v>
      </c>
      <c r="AG1391" s="45" t="b">
        <v>1</v>
      </c>
      <c r="AH1391" s="45" t="b">
        <v>1</v>
      </c>
    </row>
    <row r="1392" spans="22:34" x14ac:dyDescent="0.25">
      <c r="V1392" t="s">
        <v>184</v>
      </c>
      <c r="W1392" s="45" t="s">
        <v>362</v>
      </c>
      <c r="X1392" s="45" t="b">
        <v>1</v>
      </c>
      <c r="Y1392" s="45" t="b">
        <v>0</v>
      </c>
      <c r="Z1392" s="45" t="b">
        <v>1</v>
      </c>
      <c r="AA1392" s="45" t="b">
        <v>0</v>
      </c>
      <c r="AB1392" s="45" t="b">
        <v>1</v>
      </c>
      <c r="AC1392" s="45" t="b">
        <v>1</v>
      </c>
      <c r="AD1392" s="45" t="b">
        <v>0</v>
      </c>
      <c r="AE1392" s="45" t="b">
        <v>1</v>
      </c>
      <c r="AF1392" s="45" t="s">
        <v>119</v>
      </c>
      <c r="AG1392" s="45" t="b">
        <v>1</v>
      </c>
      <c r="AH1392" s="45" t="b">
        <v>1</v>
      </c>
    </row>
    <row r="1393" spans="22:34" x14ac:dyDescent="0.25">
      <c r="V1393" t="s">
        <v>184</v>
      </c>
      <c r="W1393" s="45" t="s">
        <v>362</v>
      </c>
      <c r="X1393" s="45" t="b">
        <v>1</v>
      </c>
      <c r="Y1393" s="45" t="b">
        <v>0</v>
      </c>
      <c r="Z1393" s="45" t="b">
        <v>1</v>
      </c>
      <c r="AA1393" s="45" t="b">
        <v>0</v>
      </c>
      <c r="AB1393" s="45" t="b">
        <v>1</v>
      </c>
      <c r="AC1393" s="45" t="b">
        <v>1</v>
      </c>
      <c r="AD1393" s="45" t="b">
        <v>0</v>
      </c>
      <c r="AE1393" s="45" t="b">
        <v>1</v>
      </c>
      <c r="AF1393" s="45" t="s">
        <v>300</v>
      </c>
      <c r="AG1393" s="45" t="b">
        <v>1</v>
      </c>
      <c r="AH1393" s="45" t="b">
        <v>1</v>
      </c>
    </row>
    <row r="1394" spans="22:34" x14ac:dyDescent="0.25">
      <c r="V1394" t="s">
        <v>184</v>
      </c>
      <c r="W1394" s="45" t="s">
        <v>362</v>
      </c>
      <c r="X1394" s="45" t="b">
        <v>1</v>
      </c>
      <c r="Y1394" s="45" t="b">
        <v>0</v>
      </c>
      <c r="Z1394" s="45" t="b">
        <v>1</v>
      </c>
      <c r="AA1394" s="45" t="b">
        <v>0</v>
      </c>
      <c r="AB1394" s="45" t="b">
        <v>1</v>
      </c>
      <c r="AC1394" s="45" t="b">
        <v>1</v>
      </c>
      <c r="AD1394" s="45" t="b">
        <v>0</v>
      </c>
      <c r="AE1394" s="45" t="b">
        <v>1</v>
      </c>
      <c r="AF1394" s="45" t="s">
        <v>301</v>
      </c>
      <c r="AG1394" s="45" t="b">
        <v>1</v>
      </c>
      <c r="AH1394" s="45" t="b">
        <v>1</v>
      </c>
    </row>
    <row r="1395" spans="22:34" x14ac:dyDescent="0.25">
      <c r="V1395" t="s">
        <v>184</v>
      </c>
      <c r="W1395" s="45" t="s">
        <v>362</v>
      </c>
      <c r="X1395" s="45" t="b">
        <v>1</v>
      </c>
      <c r="Y1395" s="45" t="b">
        <v>0</v>
      </c>
      <c r="Z1395" s="45" t="b">
        <v>1</v>
      </c>
      <c r="AA1395" s="45" t="b">
        <v>0</v>
      </c>
      <c r="AB1395" s="45" t="b">
        <v>1</v>
      </c>
      <c r="AC1395" s="45" t="b">
        <v>1</v>
      </c>
      <c r="AD1395" s="45" t="b">
        <v>0</v>
      </c>
      <c r="AE1395" s="45" t="b">
        <v>1</v>
      </c>
      <c r="AF1395" s="45" t="s">
        <v>120</v>
      </c>
      <c r="AG1395" s="45" t="b">
        <v>1</v>
      </c>
      <c r="AH1395" s="45" t="b">
        <v>1</v>
      </c>
    </row>
    <row r="1396" spans="22:34" x14ac:dyDescent="0.25">
      <c r="V1396" t="s">
        <v>184</v>
      </c>
      <c r="W1396" s="45" t="s">
        <v>362</v>
      </c>
      <c r="X1396" s="45" t="b">
        <v>1</v>
      </c>
      <c r="Y1396" s="45" t="b">
        <v>0</v>
      </c>
      <c r="Z1396" s="45" t="b">
        <v>1</v>
      </c>
      <c r="AA1396" s="45" t="b">
        <v>0</v>
      </c>
      <c r="AB1396" s="45" t="b">
        <v>1</v>
      </c>
      <c r="AC1396" s="45" t="b">
        <v>1</v>
      </c>
      <c r="AD1396" s="45" t="b">
        <v>0</v>
      </c>
      <c r="AE1396" s="45" t="b">
        <v>1</v>
      </c>
      <c r="AF1396" s="45" t="s">
        <v>302</v>
      </c>
      <c r="AG1396" s="45" t="b">
        <v>1</v>
      </c>
      <c r="AH1396" s="45" t="b">
        <v>1</v>
      </c>
    </row>
    <row r="1397" spans="22:34" x14ac:dyDescent="0.25">
      <c r="V1397" t="s">
        <v>184</v>
      </c>
      <c r="W1397" s="45" t="s">
        <v>362</v>
      </c>
      <c r="X1397" s="45" t="b">
        <v>1</v>
      </c>
      <c r="Y1397" s="45" t="b">
        <v>0</v>
      </c>
      <c r="Z1397" s="45" t="b">
        <v>1</v>
      </c>
      <c r="AA1397" s="45" t="b">
        <v>0</v>
      </c>
      <c r="AB1397" s="45" t="b">
        <v>1</v>
      </c>
      <c r="AC1397" s="45" t="b">
        <v>1</v>
      </c>
      <c r="AD1397" s="45" t="b">
        <v>0</v>
      </c>
      <c r="AE1397" s="45" t="b">
        <v>1</v>
      </c>
      <c r="AF1397" s="45" t="s">
        <v>303</v>
      </c>
      <c r="AG1397" s="45" t="b">
        <v>1</v>
      </c>
      <c r="AH1397" s="45" t="b">
        <v>1</v>
      </c>
    </row>
    <row r="1398" spans="22:34" x14ac:dyDescent="0.25">
      <c r="V1398" t="s">
        <v>184</v>
      </c>
      <c r="W1398" s="45" t="s">
        <v>362</v>
      </c>
      <c r="X1398" s="45" t="b">
        <v>1</v>
      </c>
      <c r="Y1398" s="45" t="b">
        <v>0</v>
      </c>
      <c r="Z1398" s="45" t="b">
        <v>1</v>
      </c>
      <c r="AA1398" s="45" t="b">
        <v>0</v>
      </c>
      <c r="AB1398" s="45" t="b">
        <v>1</v>
      </c>
      <c r="AC1398" s="45" t="b">
        <v>1</v>
      </c>
      <c r="AD1398" s="45" t="b">
        <v>0</v>
      </c>
      <c r="AE1398" s="45" t="b">
        <v>1</v>
      </c>
      <c r="AF1398" s="45" t="s">
        <v>304</v>
      </c>
      <c r="AG1398" s="45" t="b">
        <v>1</v>
      </c>
      <c r="AH1398" s="45" t="b">
        <v>1</v>
      </c>
    </row>
    <row r="1399" spans="22:34" x14ac:dyDescent="0.25">
      <c r="V1399" t="s">
        <v>184</v>
      </c>
      <c r="W1399" s="45" t="s">
        <v>362</v>
      </c>
      <c r="X1399" s="45" t="b">
        <v>1</v>
      </c>
      <c r="Y1399" s="45" t="b">
        <v>0</v>
      </c>
      <c r="Z1399" s="45" t="b">
        <v>1</v>
      </c>
      <c r="AA1399" s="45" t="b">
        <v>0</v>
      </c>
      <c r="AB1399" s="45" t="b">
        <v>1</v>
      </c>
      <c r="AC1399" s="45" t="b">
        <v>1</v>
      </c>
      <c r="AD1399" s="45" t="b">
        <v>0</v>
      </c>
      <c r="AE1399" s="45" t="b">
        <v>1</v>
      </c>
      <c r="AF1399" s="45" t="s">
        <v>305</v>
      </c>
      <c r="AG1399" s="45" t="b">
        <v>1</v>
      </c>
      <c r="AH1399" s="45" t="b">
        <v>1</v>
      </c>
    </row>
    <row r="1400" spans="22:34" x14ac:dyDescent="0.25">
      <c r="V1400" t="s">
        <v>184</v>
      </c>
      <c r="W1400" s="45" t="s">
        <v>362</v>
      </c>
      <c r="X1400" s="45" t="b">
        <v>1</v>
      </c>
      <c r="Y1400" s="45" t="b">
        <v>0</v>
      </c>
      <c r="Z1400" s="45" t="b">
        <v>1</v>
      </c>
      <c r="AA1400" s="45" t="b">
        <v>0</v>
      </c>
      <c r="AB1400" s="45" t="b">
        <v>1</v>
      </c>
      <c r="AC1400" s="45" t="b">
        <v>1</v>
      </c>
      <c r="AD1400" s="45" t="b">
        <v>0</v>
      </c>
      <c r="AE1400" s="45" t="b">
        <v>1</v>
      </c>
      <c r="AF1400" s="45" t="s">
        <v>306</v>
      </c>
      <c r="AG1400" s="45" t="b">
        <v>1</v>
      </c>
      <c r="AH1400" s="45" t="b">
        <v>1</v>
      </c>
    </row>
    <row r="1401" spans="22:34" x14ac:dyDescent="0.25">
      <c r="V1401" t="s">
        <v>184</v>
      </c>
      <c r="W1401" s="45" t="s">
        <v>362</v>
      </c>
      <c r="X1401" s="45" t="b">
        <v>1</v>
      </c>
      <c r="Y1401" s="45" t="b">
        <v>0</v>
      </c>
      <c r="Z1401" s="45" t="b">
        <v>1</v>
      </c>
      <c r="AA1401" s="45" t="b">
        <v>0</v>
      </c>
      <c r="AB1401" s="45" t="b">
        <v>1</v>
      </c>
      <c r="AC1401" s="45" t="b">
        <v>1</v>
      </c>
      <c r="AD1401" s="45" t="b">
        <v>0</v>
      </c>
      <c r="AE1401" s="45" t="b">
        <v>1</v>
      </c>
      <c r="AF1401" s="45" t="s">
        <v>307</v>
      </c>
      <c r="AG1401" s="45" t="b">
        <v>1</v>
      </c>
      <c r="AH1401" s="45" t="b">
        <v>1</v>
      </c>
    </row>
    <row r="1402" spans="22:34" x14ac:dyDescent="0.25">
      <c r="V1402" t="s">
        <v>184</v>
      </c>
      <c r="W1402" s="45" t="s">
        <v>362</v>
      </c>
      <c r="X1402" s="45" t="b">
        <v>1</v>
      </c>
      <c r="Y1402" s="45" t="b">
        <v>0</v>
      </c>
      <c r="Z1402" s="45" t="b">
        <v>1</v>
      </c>
      <c r="AA1402" s="45" t="b">
        <v>0</v>
      </c>
      <c r="AB1402" s="45" t="b">
        <v>1</v>
      </c>
      <c r="AC1402" s="45" t="b">
        <v>1</v>
      </c>
      <c r="AD1402" s="45" t="b">
        <v>0</v>
      </c>
      <c r="AE1402" s="45" t="b">
        <v>1</v>
      </c>
      <c r="AF1402" s="45" t="s">
        <v>308</v>
      </c>
      <c r="AG1402" s="45" t="b">
        <v>1</v>
      </c>
      <c r="AH1402" s="45" t="b">
        <v>1</v>
      </c>
    </row>
    <row r="1403" spans="22:34" x14ac:dyDescent="0.25">
      <c r="V1403" t="s">
        <v>184</v>
      </c>
      <c r="W1403" s="45" t="s">
        <v>362</v>
      </c>
      <c r="X1403" s="45" t="b">
        <v>1</v>
      </c>
      <c r="Y1403" s="45" t="b">
        <v>0</v>
      </c>
      <c r="Z1403" s="45" t="b">
        <v>1</v>
      </c>
      <c r="AA1403" s="45" t="b">
        <v>0</v>
      </c>
      <c r="AB1403" s="45" t="b">
        <v>1</v>
      </c>
      <c r="AC1403" s="45" t="b">
        <v>1</v>
      </c>
      <c r="AD1403" s="45" t="b">
        <v>0</v>
      </c>
      <c r="AE1403" s="45" t="b">
        <v>1</v>
      </c>
      <c r="AF1403" s="45" t="s">
        <v>309</v>
      </c>
      <c r="AG1403" s="45" t="b">
        <v>1</v>
      </c>
      <c r="AH1403" s="45" t="b">
        <v>1</v>
      </c>
    </row>
    <row r="1404" spans="22:34" x14ac:dyDescent="0.25">
      <c r="V1404" t="s">
        <v>184</v>
      </c>
      <c r="W1404" s="45" t="s">
        <v>362</v>
      </c>
      <c r="X1404" s="45" t="b">
        <v>1</v>
      </c>
      <c r="Y1404" s="45" t="b">
        <v>0</v>
      </c>
      <c r="Z1404" s="45" t="b">
        <v>1</v>
      </c>
      <c r="AA1404" s="45" t="b">
        <v>0</v>
      </c>
      <c r="AB1404" s="45" t="b">
        <v>1</v>
      </c>
      <c r="AC1404" s="45" t="b">
        <v>1</v>
      </c>
      <c r="AD1404" s="45" t="b">
        <v>0</v>
      </c>
      <c r="AE1404" s="45" t="b">
        <v>1</v>
      </c>
      <c r="AF1404" s="45" t="s">
        <v>310</v>
      </c>
      <c r="AG1404" s="45" t="b">
        <v>1</v>
      </c>
      <c r="AH1404" s="45" t="b">
        <v>1</v>
      </c>
    </row>
    <row r="1405" spans="22:34" x14ac:dyDescent="0.25">
      <c r="V1405" t="s">
        <v>184</v>
      </c>
      <c r="W1405" s="45" t="s">
        <v>362</v>
      </c>
      <c r="X1405" s="45" t="b">
        <v>1</v>
      </c>
      <c r="Y1405" s="45" t="b">
        <v>0</v>
      </c>
      <c r="Z1405" s="45" t="b">
        <v>1</v>
      </c>
      <c r="AA1405" s="45" t="b">
        <v>0</v>
      </c>
      <c r="AB1405" s="45" t="b">
        <v>1</v>
      </c>
      <c r="AC1405" s="45" t="b">
        <v>1</v>
      </c>
      <c r="AD1405" s="45" t="b">
        <v>0</v>
      </c>
      <c r="AE1405" s="45" t="b">
        <v>1</v>
      </c>
      <c r="AF1405" s="45" t="s">
        <v>311</v>
      </c>
      <c r="AG1405" s="45" t="b">
        <v>1</v>
      </c>
      <c r="AH1405" s="45" t="b">
        <v>1</v>
      </c>
    </row>
    <row r="1406" spans="22:34" x14ac:dyDescent="0.25">
      <c r="V1406" t="s">
        <v>184</v>
      </c>
      <c r="W1406" s="45" t="s">
        <v>362</v>
      </c>
      <c r="X1406" s="45" t="b">
        <v>1</v>
      </c>
      <c r="Y1406" s="45" t="b">
        <v>0</v>
      </c>
      <c r="Z1406" s="45" t="b">
        <v>1</v>
      </c>
      <c r="AA1406" s="45" t="b">
        <v>0</v>
      </c>
      <c r="AB1406" s="45" t="b">
        <v>1</v>
      </c>
      <c r="AC1406" s="45" t="b">
        <v>1</v>
      </c>
      <c r="AD1406" s="45" t="b">
        <v>0</v>
      </c>
      <c r="AE1406" s="45" t="b">
        <v>1</v>
      </c>
      <c r="AF1406" s="45" t="s">
        <v>312</v>
      </c>
      <c r="AG1406" s="45" t="b">
        <v>1</v>
      </c>
      <c r="AH1406" s="45" t="b">
        <v>1</v>
      </c>
    </row>
    <row r="1407" spans="22:34" x14ac:dyDescent="0.25">
      <c r="V1407" t="s">
        <v>184</v>
      </c>
      <c r="W1407" s="45" t="s">
        <v>362</v>
      </c>
      <c r="X1407" s="45" t="b">
        <v>1</v>
      </c>
      <c r="Y1407" s="45" t="b">
        <v>0</v>
      </c>
      <c r="Z1407" s="45" t="b">
        <v>1</v>
      </c>
      <c r="AA1407" s="45" t="b">
        <v>0</v>
      </c>
      <c r="AB1407" s="45" t="b">
        <v>1</v>
      </c>
      <c r="AC1407" s="45" t="b">
        <v>1</v>
      </c>
      <c r="AD1407" s="45" t="b">
        <v>0</v>
      </c>
      <c r="AE1407" s="45" t="b">
        <v>1</v>
      </c>
      <c r="AF1407" s="45" t="s">
        <v>313</v>
      </c>
      <c r="AG1407" s="45" t="b">
        <v>1</v>
      </c>
      <c r="AH1407" s="45" t="b">
        <v>1</v>
      </c>
    </row>
    <row r="1408" spans="22:34" x14ac:dyDescent="0.25">
      <c r="V1408" t="s">
        <v>184</v>
      </c>
      <c r="W1408" s="45" t="s">
        <v>362</v>
      </c>
      <c r="X1408" s="45" t="b">
        <v>1</v>
      </c>
      <c r="Y1408" s="45" t="b">
        <v>0</v>
      </c>
      <c r="Z1408" s="45" t="b">
        <v>1</v>
      </c>
      <c r="AA1408" s="45" t="b">
        <v>0</v>
      </c>
      <c r="AB1408" s="45" t="b">
        <v>1</v>
      </c>
      <c r="AC1408" s="45" t="b">
        <v>1</v>
      </c>
      <c r="AD1408" s="45" t="b">
        <v>0</v>
      </c>
      <c r="AE1408" s="45" t="b">
        <v>1</v>
      </c>
      <c r="AF1408" s="45" t="s">
        <v>314</v>
      </c>
      <c r="AG1408" s="45" t="b">
        <v>1</v>
      </c>
      <c r="AH1408" s="45" t="b">
        <v>1</v>
      </c>
    </row>
    <row r="1409" spans="22:34" x14ac:dyDescent="0.25">
      <c r="V1409" t="s">
        <v>184</v>
      </c>
      <c r="W1409" s="45" t="s">
        <v>362</v>
      </c>
      <c r="X1409" s="45" t="b">
        <v>1</v>
      </c>
      <c r="Y1409" s="45" t="b">
        <v>0</v>
      </c>
      <c r="Z1409" s="45" t="b">
        <v>1</v>
      </c>
      <c r="AA1409" s="45" t="b">
        <v>0</v>
      </c>
      <c r="AB1409" s="45" t="b">
        <v>1</v>
      </c>
      <c r="AC1409" s="45" t="b">
        <v>1</v>
      </c>
      <c r="AD1409" s="45" t="b">
        <v>0</v>
      </c>
      <c r="AE1409" s="45" t="b">
        <v>1</v>
      </c>
      <c r="AF1409" s="45" t="s">
        <v>315</v>
      </c>
      <c r="AG1409" s="45" t="b">
        <v>1</v>
      </c>
      <c r="AH1409" s="45" t="b">
        <v>1</v>
      </c>
    </row>
    <row r="1410" spans="22:34" x14ac:dyDescent="0.25">
      <c r="V1410" t="s">
        <v>184</v>
      </c>
      <c r="W1410" s="45" t="s">
        <v>362</v>
      </c>
      <c r="X1410" s="45" t="b">
        <v>1</v>
      </c>
      <c r="Y1410" s="45" t="b">
        <v>0</v>
      </c>
      <c r="Z1410" s="45" t="b">
        <v>1</v>
      </c>
      <c r="AA1410" s="45" t="b">
        <v>0</v>
      </c>
      <c r="AB1410" s="45" t="b">
        <v>1</v>
      </c>
      <c r="AC1410" s="45" t="b">
        <v>1</v>
      </c>
      <c r="AD1410" s="45" t="b">
        <v>0</v>
      </c>
      <c r="AE1410" s="45" t="b">
        <v>1</v>
      </c>
      <c r="AF1410" s="45" t="s">
        <v>316</v>
      </c>
      <c r="AG1410" s="45" t="b">
        <v>1</v>
      </c>
      <c r="AH1410" s="45" t="b">
        <v>1</v>
      </c>
    </row>
    <row r="1411" spans="22:34" x14ac:dyDescent="0.25">
      <c r="V1411" t="s">
        <v>184</v>
      </c>
      <c r="W1411" s="45" t="s">
        <v>362</v>
      </c>
      <c r="X1411" s="45" t="b">
        <v>1</v>
      </c>
      <c r="Y1411" s="45" t="b">
        <v>0</v>
      </c>
      <c r="Z1411" s="45" t="b">
        <v>1</v>
      </c>
      <c r="AA1411" s="45" t="b">
        <v>0</v>
      </c>
      <c r="AB1411" s="45" t="b">
        <v>1</v>
      </c>
      <c r="AC1411" s="45" t="b">
        <v>1</v>
      </c>
      <c r="AD1411" s="45" t="b">
        <v>0</v>
      </c>
      <c r="AE1411" s="45" t="b">
        <v>1</v>
      </c>
      <c r="AF1411" s="45" t="s">
        <v>317</v>
      </c>
      <c r="AG1411" s="45" t="b">
        <v>1</v>
      </c>
      <c r="AH1411" s="45" t="b">
        <v>1</v>
      </c>
    </row>
    <row r="1412" spans="22:34" x14ac:dyDescent="0.25">
      <c r="V1412" t="s">
        <v>184</v>
      </c>
      <c r="W1412" s="45" t="s">
        <v>362</v>
      </c>
      <c r="X1412" s="45" t="b">
        <v>1</v>
      </c>
      <c r="Y1412" s="45" t="b">
        <v>0</v>
      </c>
      <c r="Z1412" s="45" t="b">
        <v>1</v>
      </c>
      <c r="AA1412" s="45" t="b">
        <v>0</v>
      </c>
      <c r="AB1412" s="45" t="b">
        <v>1</v>
      </c>
      <c r="AC1412" s="45" t="b">
        <v>1</v>
      </c>
      <c r="AD1412" s="45" t="b">
        <v>0</v>
      </c>
      <c r="AE1412" s="45" t="b">
        <v>1</v>
      </c>
      <c r="AF1412" s="45" t="s">
        <v>318</v>
      </c>
      <c r="AG1412" s="45" t="b">
        <v>1</v>
      </c>
      <c r="AH1412" s="45" t="b">
        <v>1</v>
      </c>
    </row>
    <row r="1413" spans="22:34" x14ac:dyDescent="0.25">
      <c r="V1413" t="s">
        <v>184</v>
      </c>
      <c r="W1413" s="45" t="s">
        <v>362</v>
      </c>
      <c r="X1413" s="45" t="b">
        <v>1</v>
      </c>
      <c r="Y1413" s="45" t="b">
        <v>0</v>
      </c>
      <c r="Z1413" s="45" t="b">
        <v>1</v>
      </c>
      <c r="AA1413" s="45" t="b">
        <v>0</v>
      </c>
      <c r="AB1413" s="45" t="b">
        <v>1</v>
      </c>
      <c r="AC1413" s="45" t="b">
        <v>1</v>
      </c>
      <c r="AD1413" s="45" t="b">
        <v>0</v>
      </c>
      <c r="AE1413" s="45" t="b">
        <v>1</v>
      </c>
      <c r="AF1413" s="45" t="s">
        <v>319</v>
      </c>
      <c r="AG1413" s="45" t="b">
        <v>0</v>
      </c>
      <c r="AH1413" s="45" t="b">
        <v>0</v>
      </c>
    </row>
    <row r="1414" spans="22:34" x14ac:dyDescent="0.25">
      <c r="V1414" t="s">
        <v>572</v>
      </c>
      <c r="W1414" s="45" t="s">
        <v>363</v>
      </c>
      <c r="X1414" s="45" t="b">
        <v>0</v>
      </c>
      <c r="Y1414" s="45" t="b">
        <v>1</v>
      </c>
      <c r="Z1414" s="45" t="b">
        <v>1</v>
      </c>
      <c r="AA1414" s="45" t="b">
        <v>0</v>
      </c>
      <c r="AB1414" s="45" t="b">
        <v>0</v>
      </c>
      <c r="AC1414" s="45" t="b">
        <v>1</v>
      </c>
      <c r="AD1414" s="45" t="b">
        <v>0</v>
      </c>
      <c r="AE1414" s="45" t="b">
        <v>1</v>
      </c>
      <c r="AF1414" s="45" t="s">
        <v>295</v>
      </c>
      <c r="AG1414" s="45" t="b">
        <v>0</v>
      </c>
      <c r="AH1414" s="45" t="b">
        <v>0</v>
      </c>
    </row>
    <row r="1415" spans="22:34" x14ac:dyDescent="0.25">
      <c r="V1415" t="s">
        <v>572</v>
      </c>
      <c r="W1415" s="45" t="s">
        <v>363</v>
      </c>
      <c r="X1415" s="45" t="b">
        <v>0</v>
      </c>
      <c r="Y1415" s="45" t="b">
        <v>1</v>
      </c>
      <c r="Z1415" s="45" t="b">
        <v>1</v>
      </c>
      <c r="AA1415" s="45" t="b">
        <v>0</v>
      </c>
      <c r="AB1415" s="45" t="b">
        <v>0</v>
      </c>
      <c r="AC1415" s="45" t="b">
        <v>1</v>
      </c>
      <c r="AD1415" s="45" t="b">
        <v>0</v>
      </c>
      <c r="AE1415" s="45" t="b">
        <v>1</v>
      </c>
      <c r="AF1415" s="45" t="s">
        <v>297</v>
      </c>
      <c r="AG1415" s="45" t="b">
        <v>0</v>
      </c>
      <c r="AH1415" s="45" t="b">
        <v>0</v>
      </c>
    </row>
    <row r="1416" spans="22:34" x14ac:dyDescent="0.25">
      <c r="V1416" t="s">
        <v>572</v>
      </c>
      <c r="W1416" s="45" t="s">
        <v>363</v>
      </c>
      <c r="X1416" s="45" t="b">
        <v>0</v>
      </c>
      <c r="Y1416" s="45" t="b">
        <v>1</v>
      </c>
      <c r="Z1416" s="45" t="b">
        <v>1</v>
      </c>
      <c r="AA1416" s="45" t="b">
        <v>0</v>
      </c>
      <c r="AB1416" s="45" t="b">
        <v>0</v>
      </c>
      <c r="AC1416" s="45" t="b">
        <v>1</v>
      </c>
      <c r="AD1416" s="45" t="b">
        <v>0</v>
      </c>
      <c r="AE1416" s="45" t="b">
        <v>1</v>
      </c>
      <c r="AF1416" s="45" t="s">
        <v>112</v>
      </c>
      <c r="AG1416" s="45" t="b">
        <v>1</v>
      </c>
      <c r="AH1416" s="45" t="b">
        <v>1</v>
      </c>
    </row>
    <row r="1417" spans="22:34" x14ac:dyDescent="0.25">
      <c r="V1417" t="s">
        <v>572</v>
      </c>
      <c r="W1417" s="45" t="s">
        <v>363</v>
      </c>
      <c r="X1417" s="45" t="b">
        <v>0</v>
      </c>
      <c r="Y1417" s="45" t="b">
        <v>1</v>
      </c>
      <c r="Z1417" s="45" t="b">
        <v>1</v>
      </c>
      <c r="AA1417" s="45" t="b">
        <v>0</v>
      </c>
      <c r="AB1417" s="45" t="b">
        <v>0</v>
      </c>
      <c r="AC1417" s="45" t="b">
        <v>1</v>
      </c>
      <c r="AD1417" s="45" t="b">
        <v>0</v>
      </c>
      <c r="AE1417" s="45" t="b">
        <v>1</v>
      </c>
      <c r="AF1417" s="45" t="s">
        <v>114</v>
      </c>
      <c r="AG1417" s="45" t="b">
        <v>1</v>
      </c>
      <c r="AH1417" s="45" t="b">
        <v>1</v>
      </c>
    </row>
    <row r="1418" spans="22:34" x14ac:dyDescent="0.25">
      <c r="V1418" t="s">
        <v>572</v>
      </c>
      <c r="W1418" s="45" t="s">
        <v>363</v>
      </c>
      <c r="X1418" s="45" t="b">
        <v>0</v>
      </c>
      <c r="Y1418" s="45" t="b">
        <v>1</v>
      </c>
      <c r="Z1418" s="45" t="b">
        <v>1</v>
      </c>
      <c r="AA1418" s="45" t="b">
        <v>0</v>
      </c>
      <c r="AB1418" s="45" t="b">
        <v>0</v>
      </c>
      <c r="AC1418" s="45" t="b">
        <v>1</v>
      </c>
      <c r="AD1418" s="45" t="b">
        <v>0</v>
      </c>
      <c r="AE1418" s="45" t="b">
        <v>1</v>
      </c>
      <c r="AF1418" s="45" t="s">
        <v>115</v>
      </c>
      <c r="AG1418" s="45" t="b">
        <v>1</v>
      </c>
      <c r="AH1418" s="45" t="b">
        <v>1</v>
      </c>
    </row>
    <row r="1419" spans="22:34" x14ac:dyDescent="0.25">
      <c r="V1419" t="s">
        <v>572</v>
      </c>
      <c r="W1419" s="45" t="s">
        <v>363</v>
      </c>
      <c r="X1419" s="45" t="b">
        <v>0</v>
      </c>
      <c r="Y1419" s="45" t="b">
        <v>1</v>
      </c>
      <c r="Z1419" s="45" t="b">
        <v>1</v>
      </c>
      <c r="AA1419" s="45" t="b">
        <v>0</v>
      </c>
      <c r="AB1419" s="45" t="b">
        <v>0</v>
      </c>
      <c r="AC1419" s="45" t="b">
        <v>1</v>
      </c>
      <c r="AD1419" s="45" t="b">
        <v>0</v>
      </c>
      <c r="AE1419" s="45" t="b">
        <v>1</v>
      </c>
      <c r="AF1419" s="45" t="s">
        <v>116</v>
      </c>
      <c r="AG1419" s="45" t="b">
        <v>1</v>
      </c>
      <c r="AH1419" s="45" t="b">
        <v>1</v>
      </c>
    </row>
    <row r="1420" spans="22:34" x14ac:dyDescent="0.25">
      <c r="V1420" t="s">
        <v>572</v>
      </c>
      <c r="W1420" s="45" t="s">
        <v>363</v>
      </c>
      <c r="X1420" s="45" t="b">
        <v>0</v>
      </c>
      <c r="Y1420" s="45" t="b">
        <v>1</v>
      </c>
      <c r="Z1420" s="45" t="b">
        <v>1</v>
      </c>
      <c r="AA1420" s="45" t="b">
        <v>0</v>
      </c>
      <c r="AB1420" s="45" t="b">
        <v>0</v>
      </c>
      <c r="AC1420" s="45" t="b">
        <v>1</v>
      </c>
      <c r="AD1420" s="45" t="b">
        <v>0</v>
      </c>
      <c r="AE1420" s="45" t="b">
        <v>1</v>
      </c>
      <c r="AF1420" s="45" t="s">
        <v>298</v>
      </c>
      <c r="AG1420" s="45" t="b">
        <v>1</v>
      </c>
      <c r="AH1420" s="45" t="b">
        <v>1</v>
      </c>
    </row>
    <row r="1421" spans="22:34" x14ac:dyDescent="0.25">
      <c r="V1421" t="s">
        <v>572</v>
      </c>
      <c r="W1421" s="45" t="s">
        <v>363</v>
      </c>
      <c r="X1421" s="45" t="b">
        <v>0</v>
      </c>
      <c r="Y1421" s="45" t="b">
        <v>1</v>
      </c>
      <c r="Z1421" s="45" t="b">
        <v>1</v>
      </c>
      <c r="AA1421" s="45" t="b">
        <v>0</v>
      </c>
      <c r="AB1421" s="45" t="b">
        <v>0</v>
      </c>
      <c r="AC1421" s="45" t="b">
        <v>1</v>
      </c>
      <c r="AD1421" s="45" t="b">
        <v>0</v>
      </c>
      <c r="AE1421" s="45" t="b">
        <v>1</v>
      </c>
      <c r="AF1421" s="45" t="s">
        <v>299</v>
      </c>
      <c r="AG1421" s="45" t="b">
        <v>1</v>
      </c>
      <c r="AH1421" s="45" t="b">
        <v>1</v>
      </c>
    </row>
    <row r="1422" spans="22:34" x14ac:dyDescent="0.25">
      <c r="V1422" t="s">
        <v>572</v>
      </c>
      <c r="W1422" s="45" t="s">
        <v>363</v>
      </c>
      <c r="X1422" s="45" t="b">
        <v>0</v>
      </c>
      <c r="Y1422" s="45" t="b">
        <v>1</v>
      </c>
      <c r="Z1422" s="45" t="b">
        <v>1</v>
      </c>
      <c r="AA1422" s="45" t="b">
        <v>0</v>
      </c>
      <c r="AB1422" s="45" t="b">
        <v>0</v>
      </c>
      <c r="AC1422" s="45" t="b">
        <v>1</v>
      </c>
      <c r="AD1422" s="45" t="b">
        <v>0</v>
      </c>
      <c r="AE1422" s="45" t="b">
        <v>1</v>
      </c>
      <c r="AF1422" s="45" t="s">
        <v>414</v>
      </c>
      <c r="AG1422" s="45" t="b">
        <v>1</v>
      </c>
      <c r="AH1422" s="45" t="b">
        <v>1</v>
      </c>
    </row>
    <row r="1423" spans="22:34" x14ac:dyDescent="0.25">
      <c r="V1423" t="s">
        <v>572</v>
      </c>
      <c r="W1423" s="45" t="s">
        <v>363</v>
      </c>
      <c r="X1423" s="45" t="b">
        <v>0</v>
      </c>
      <c r="Y1423" s="45" t="b">
        <v>1</v>
      </c>
      <c r="Z1423" s="45" t="b">
        <v>1</v>
      </c>
      <c r="AA1423" s="45" t="b">
        <v>0</v>
      </c>
      <c r="AB1423" s="45" t="b">
        <v>0</v>
      </c>
      <c r="AC1423" s="45" t="b">
        <v>1</v>
      </c>
      <c r="AD1423" s="45" t="b">
        <v>0</v>
      </c>
      <c r="AE1423" s="45" t="b">
        <v>1</v>
      </c>
      <c r="AF1423" s="45" t="s">
        <v>118</v>
      </c>
      <c r="AG1423" s="45" t="b">
        <v>1</v>
      </c>
      <c r="AH1423" s="45" t="b">
        <v>1</v>
      </c>
    </row>
    <row r="1424" spans="22:34" x14ac:dyDescent="0.25">
      <c r="V1424" t="s">
        <v>572</v>
      </c>
      <c r="W1424" s="45" t="s">
        <v>363</v>
      </c>
      <c r="X1424" s="45" t="b">
        <v>0</v>
      </c>
      <c r="Y1424" s="45" t="b">
        <v>1</v>
      </c>
      <c r="Z1424" s="45" t="b">
        <v>1</v>
      </c>
      <c r="AA1424" s="45" t="b">
        <v>0</v>
      </c>
      <c r="AB1424" s="45" t="b">
        <v>0</v>
      </c>
      <c r="AC1424" s="45" t="b">
        <v>1</v>
      </c>
      <c r="AD1424" s="45" t="b">
        <v>0</v>
      </c>
      <c r="AE1424" s="45" t="b">
        <v>1</v>
      </c>
      <c r="AF1424" s="45" t="s">
        <v>119</v>
      </c>
      <c r="AG1424" s="45" t="b">
        <v>1</v>
      </c>
      <c r="AH1424" s="45" t="b">
        <v>1</v>
      </c>
    </row>
    <row r="1425" spans="22:34" x14ac:dyDescent="0.25">
      <c r="V1425" t="s">
        <v>572</v>
      </c>
      <c r="W1425" s="45" t="s">
        <v>363</v>
      </c>
      <c r="X1425" s="45" t="b">
        <v>0</v>
      </c>
      <c r="Y1425" s="45" t="b">
        <v>1</v>
      </c>
      <c r="Z1425" s="45" t="b">
        <v>1</v>
      </c>
      <c r="AA1425" s="45" t="b">
        <v>0</v>
      </c>
      <c r="AB1425" s="45" t="b">
        <v>0</v>
      </c>
      <c r="AC1425" s="45" t="b">
        <v>1</v>
      </c>
      <c r="AD1425" s="45" t="b">
        <v>0</v>
      </c>
      <c r="AE1425" s="45" t="b">
        <v>1</v>
      </c>
      <c r="AF1425" s="45" t="s">
        <v>300</v>
      </c>
      <c r="AG1425" s="45" t="b">
        <v>1</v>
      </c>
      <c r="AH1425" s="45" t="b">
        <v>1</v>
      </c>
    </row>
    <row r="1426" spans="22:34" x14ac:dyDescent="0.25">
      <c r="V1426" t="s">
        <v>572</v>
      </c>
      <c r="W1426" s="45" t="s">
        <v>363</v>
      </c>
      <c r="X1426" s="45" t="b">
        <v>0</v>
      </c>
      <c r="Y1426" s="45" t="b">
        <v>1</v>
      </c>
      <c r="Z1426" s="45" t="b">
        <v>1</v>
      </c>
      <c r="AA1426" s="45" t="b">
        <v>0</v>
      </c>
      <c r="AB1426" s="45" t="b">
        <v>0</v>
      </c>
      <c r="AC1426" s="45" t="b">
        <v>1</v>
      </c>
      <c r="AD1426" s="45" t="b">
        <v>0</v>
      </c>
      <c r="AE1426" s="45" t="b">
        <v>1</v>
      </c>
      <c r="AF1426" s="45" t="s">
        <v>301</v>
      </c>
      <c r="AG1426" s="45" t="b">
        <v>1</v>
      </c>
      <c r="AH1426" s="45" t="b">
        <v>1</v>
      </c>
    </row>
    <row r="1427" spans="22:34" x14ac:dyDescent="0.25">
      <c r="V1427" t="s">
        <v>572</v>
      </c>
      <c r="W1427" s="45" t="s">
        <v>363</v>
      </c>
      <c r="X1427" s="45" t="b">
        <v>0</v>
      </c>
      <c r="Y1427" s="45" t="b">
        <v>1</v>
      </c>
      <c r="Z1427" s="45" t="b">
        <v>1</v>
      </c>
      <c r="AA1427" s="45" t="b">
        <v>0</v>
      </c>
      <c r="AB1427" s="45" t="b">
        <v>0</v>
      </c>
      <c r="AC1427" s="45" t="b">
        <v>1</v>
      </c>
      <c r="AD1427" s="45" t="b">
        <v>0</v>
      </c>
      <c r="AE1427" s="45" t="b">
        <v>1</v>
      </c>
      <c r="AF1427" s="45" t="s">
        <v>120</v>
      </c>
      <c r="AG1427" s="45" t="b">
        <v>1</v>
      </c>
      <c r="AH1427" s="45" t="b">
        <v>1</v>
      </c>
    </row>
    <row r="1428" spans="22:34" x14ac:dyDescent="0.25">
      <c r="V1428" t="s">
        <v>572</v>
      </c>
      <c r="W1428" s="45" t="s">
        <v>363</v>
      </c>
      <c r="X1428" s="45" t="b">
        <v>0</v>
      </c>
      <c r="Y1428" s="45" t="b">
        <v>1</v>
      </c>
      <c r="Z1428" s="45" t="b">
        <v>1</v>
      </c>
      <c r="AA1428" s="45" t="b">
        <v>0</v>
      </c>
      <c r="AB1428" s="45" t="b">
        <v>0</v>
      </c>
      <c r="AC1428" s="45" t="b">
        <v>1</v>
      </c>
      <c r="AD1428" s="45" t="b">
        <v>0</v>
      </c>
      <c r="AE1428" s="45" t="b">
        <v>1</v>
      </c>
      <c r="AF1428" s="45" t="s">
        <v>302</v>
      </c>
      <c r="AG1428" s="45" t="b">
        <v>1</v>
      </c>
      <c r="AH1428" s="45" t="b">
        <v>1</v>
      </c>
    </row>
    <row r="1429" spans="22:34" x14ac:dyDescent="0.25">
      <c r="V1429" t="s">
        <v>572</v>
      </c>
      <c r="W1429" s="45" t="s">
        <v>363</v>
      </c>
      <c r="X1429" s="45" t="b">
        <v>0</v>
      </c>
      <c r="Y1429" s="45" t="b">
        <v>1</v>
      </c>
      <c r="Z1429" s="45" t="b">
        <v>1</v>
      </c>
      <c r="AA1429" s="45" t="b">
        <v>0</v>
      </c>
      <c r="AB1429" s="45" t="b">
        <v>0</v>
      </c>
      <c r="AC1429" s="45" t="b">
        <v>1</v>
      </c>
      <c r="AD1429" s="45" t="b">
        <v>0</v>
      </c>
      <c r="AE1429" s="45" t="b">
        <v>1</v>
      </c>
      <c r="AF1429" s="45" t="s">
        <v>303</v>
      </c>
      <c r="AG1429" s="45" t="b">
        <v>1</v>
      </c>
      <c r="AH1429" s="45" t="b">
        <v>1</v>
      </c>
    </row>
    <row r="1430" spans="22:34" x14ac:dyDescent="0.25">
      <c r="V1430" t="s">
        <v>572</v>
      </c>
      <c r="W1430" s="45" t="s">
        <v>363</v>
      </c>
      <c r="X1430" s="45" t="b">
        <v>0</v>
      </c>
      <c r="Y1430" s="45" t="b">
        <v>1</v>
      </c>
      <c r="Z1430" s="45" t="b">
        <v>1</v>
      </c>
      <c r="AA1430" s="45" t="b">
        <v>0</v>
      </c>
      <c r="AB1430" s="45" t="b">
        <v>0</v>
      </c>
      <c r="AC1430" s="45" t="b">
        <v>1</v>
      </c>
      <c r="AD1430" s="45" t="b">
        <v>0</v>
      </c>
      <c r="AE1430" s="45" t="b">
        <v>1</v>
      </c>
      <c r="AF1430" s="45" t="s">
        <v>304</v>
      </c>
      <c r="AG1430" s="45" t="b">
        <v>1</v>
      </c>
      <c r="AH1430" s="45" t="b">
        <v>1</v>
      </c>
    </row>
    <row r="1431" spans="22:34" x14ac:dyDescent="0.25">
      <c r="V1431" t="s">
        <v>572</v>
      </c>
      <c r="W1431" s="45" t="s">
        <v>363</v>
      </c>
      <c r="X1431" s="45" t="b">
        <v>0</v>
      </c>
      <c r="Y1431" s="45" t="b">
        <v>1</v>
      </c>
      <c r="Z1431" s="45" t="b">
        <v>1</v>
      </c>
      <c r="AA1431" s="45" t="b">
        <v>0</v>
      </c>
      <c r="AB1431" s="45" t="b">
        <v>0</v>
      </c>
      <c r="AC1431" s="45" t="b">
        <v>1</v>
      </c>
      <c r="AD1431" s="45" t="b">
        <v>0</v>
      </c>
      <c r="AE1431" s="45" t="b">
        <v>1</v>
      </c>
      <c r="AF1431" s="45" t="s">
        <v>305</v>
      </c>
      <c r="AG1431" s="45" t="b">
        <v>1</v>
      </c>
      <c r="AH1431" s="45" t="b">
        <v>1</v>
      </c>
    </row>
    <row r="1432" spans="22:34" x14ac:dyDescent="0.25">
      <c r="V1432" t="s">
        <v>572</v>
      </c>
      <c r="W1432" s="45" t="s">
        <v>363</v>
      </c>
      <c r="X1432" s="45" t="b">
        <v>0</v>
      </c>
      <c r="Y1432" s="45" t="b">
        <v>1</v>
      </c>
      <c r="Z1432" s="45" t="b">
        <v>1</v>
      </c>
      <c r="AA1432" s="45" t="b">
        <v>0</v>
      </c>
      <c r="AB1432" s="45" t="b">
        <v>0</v>
      </c>
      <c r="AC1432" s="45" t="b">
        <v>1</v>
      </c>
      <c r="AD1432" s="45" t="b">
        <v>0</v>
      </c>
      <c r="AE1432" s="45" t="b">
        <v>1</v>
      </c>
      <c r="AF1432" s="45" t="s">
        <v>306</v>
      </c>
      <c r="AG1432" s="45" t="b">
        <v>1</v>
      </c>
      <c r="AH1432" s="45" t="b">
        <v>1</v>
      </c>
    </row>
    <row r="1433" spans="22:34" x14ac:dyDescent="0.25">
      <c r="V1433" t="s">
        <v>572</v>
      </c>
      <c r="W1433" s="45" t="s">
        <v>363</v>
      </c>
      <c r="X1433" s="45" t="b">
        <v>0</v>
      </c>
      <c r="Y1433" s="45" t="b">
        <v>1</v>
      </c>
      <c r="Z1433" s="45" t="b">
        <v>1</v>
      </c>
      <c r="AA1433" s="45" t="b">
        <v>0</v>
      </c>
      <c r="AB1433" s="45" t="b">
        <v>0</v>
      </c>
      <c r="AC1433" s="45" t="b">
        <v>1</v>
      </c>
      <c r="AD1433" s="45" t="b">
        <v>0</v>
      </c>
      <c r="AE1433" s="45" t="b">
        <v>1</v>
      </c>
      <c r="AF1433" s="45" t="s">
        <v>307</v>
      </c>
      <c r="AG1433" s="45" t="b">
        <v>1</v>
      </c>
      <c r="AH1433" s="45" t="b">
        <v>1</v>
      </c>
    </row>
    <row r="1434" spans="22:34" x14ac:dyDescent="0.25">
      <c r="V1434" t="s">
        <v>572</v>
      </c>
      <c r="W1434" s="45" t="s">
        <v>363</v>
      </c>
      <c r="X1434" s="45" t="b">
        <v>0</v>
      </c>
      <c r="Y1434" s="45" t="b">
        <v>1</v>
      </c>
      <c r="Z1434" s="45" t="b">
        <v>1</v>
      </c>
      <c r="AA1434" s="45" t="b">
        <v>0</v>
      </c>
      <c r="AB1434" s="45" t="b">
        <v>0</v>
      </c>
      <c r="AC1434" s="45" t="b">
        <v>1</v>
      </c>
      <c r="AD1434" s="45" t="b">
        <v>0</v>
      </c>
      <c r="AE1434" s="45" t="b">
        <v>1</v>
      </c>
      <c r="AF1434" s="45" t="s">
        <v>308</v>
      </c>
      <c r="AG1434" s="45" t="b">
        <v>1</v>
      </c>
      <c r="AH1434" s="45" t="b">
        <v>1</v>
      </c>
    </row>
    <row r="1435" spans="22:34" x14ac:dyDescent="0.25">
      <c r="V1435" t="s">
        <v>572</v>
      </c>
      <c r="W1435" s="45" t="s">
        <v>363</v>
      </c>
      <c r="X1435" s="45" t="b">
        <v>0</v>
      </c>
      <c r="Y1435" s="45" t="b">
        <v>1</v>
      </c>
      <c r="Z1435" s="45" t="b">
        <v>1</v>
      </c>
      <c r="AA1435" s="45" t="b">
        <v>0</v>
      </c>
      <c r="AB1435" s="45" t="b">
        <v>0</v>
      </c>
      <c r="AC1435" s="45" t="b">
        <v>1</v>
      </c>
      <c r="AD1435" s="45" t="b">
        <v>0</v>
      </c>
      <c r="AE1435" s="45" t="b">
        <v>1</v>
      </c>
      <c r="AF1435" s="45" t="s">
        <v>309</v>
      </c>
      <c r="AG1435" s="45" t="b">
        <v>1</v>
      </c>
      <c r="AH1435" s="45" t="b">
        <v>1</v>
      </c>
    </row>
    <row r="1436" spans="22:34" x14ac:dyDescent="0.25">
      <c r="V1436" t="s">
        <v>572</v>
      </c>
      <c r="W1436" s="45" t="s">
        <v>363</v>
      </c>
      <c r="X1436" s="45" t="b">
        <v>0</v>
      </c>
      <c r="Y1436" s="45" t="b">
        <v>1</v>
      </c>
      <c r="Z1436" s="45" t="b">
        <v>1</v>
      </c>
      <c r="AA1436" s="45" t="b">
        <v>0</v>
      </c>
      <c r="AB1436" s="45" t="b">
        <v>0</v>
      </c>
      <c r="AC1436" s="45" t="b">
        <v>1</v>
      </c>
      <c r="AD1436" s="45" t="b">
        <v>0</v>
      </c>
      <c r="AE1436" s="45" t="b">
        <v>1</v>
      </c>
      <c r="AF1436" s="45" t="s">
        <v>310</v>
      </c>
      <c r="AG1436" s="45" t="b">
        <v>1</v>
      </c>
      <c r="AH1436" s="45" t="b">
        <v>1</v>
      </c>
    </row>
    <row r="1437" spans="22:34" x14ac:dyDescent="0.25">
      <c r="V1437" t="s">
        <v>572</v>
      </c>
      <c r="W1437" s="45" t="s">
        <v>363</v>
      </c>
      <c r="X1437" s="45" t="b">
        <v>0</v>
      </c>
      <c r="Y1437" s="45" t="b">
        <v>1</v>
      </c>
      <c r="Z1437" s="45" t="b">
        <v>1</v>
      </c>
      <c r="AA1437" s="45" t="b">
        <v>0</v>
      </c>
      <c r="AB1437" s="45" t="b">
        <v>0</v>
      </c>
      <c r="AC1437" s="45" t="b">
        <v>1</v>
      </c>
      <c r="AD1437" s="45" t="b">
        <v>0</v>
      </c>
      <c r="AE1437" s="45" t="b">
        <v>1</v>
      </c>
      <c r="AF1437" s="45" t="s">
        <v>311</v>
      </c>
      <c r="AG1437" s="45" t="b">
        <v>1</v>
      </c>
      <c r="AH1437" s="45" t="b">
        <v>1</v>
      </c>
    </row>
    <row r="1438" spans="22:34" x14ac:dyDescent="0.25">
      <c r="V1438" t="s">
        <v>572</v>
      </c>
      <c r="W1438" s="45" t="s">
        <v>363</v>
      </c>
      <c r="X1438" s="45" t="b">
        <v>0</v>
      </c>
      <c r="Y1438" s="45" t="b">
        <v>1</v>
      </c>
      <c r="Z1438" s="45" t="b">
        <v>1</v>
      </c>
      <c r="AA1438" s="45" t="b">
        <v>0</v>
      </c>
      <c r="AB1438" s="45" t="b">
        <v>0</v>
      </c>
      <c r="AC1438" s="45" t="b">
        <v>1</v>
      </c>
      <c r="AD1438" s="45" t="b">
        <v>0</v>
      </c>
      <c r="AE1438" s="45" t="b">
        <v>1</v>
      </c>
      <c r="AF1438" s="45" t="s">
        <v>312</v>
      </c>
      <c r="AG1438" s="45" t="b">
        <v>1</v>
      </c>
      <c r="AH1438" s="45" t="b">
        <v>1</v>
      </c>
    </row>
    <row r="1439" spans="22:34" x14ac:dyDescent="0.25">
      <c r="V1439" t="s">
        <v>572</v>
      </c>
      <c r="W1439" s="45" t="s">
        <v>363</v>
      </c>
      <c r="X1439" s="45" t="b">
        <v>0</v>
      </c>
      <c r="Y1439" s="45" t="b">
        <v>1</v>
      </c>
      <c r="Z1439" s="45" t="b">
        <v>1</v>
      </c>
      <c r="AA1439" s="45" t="b">
        <v>0</v>
      </c>
      <c r="AB1439" s="45" t="b">
        <v>0</v>
      </c>
      <c r="AC1439" s="45" t="b">
        <v>1</v>
      </c>
      <c r="AD1439" s="45" t="b">
        <v>0</v>
      </c>
      <c r="AE1439" s="45" t="b">
        <v>1</v>
      </c>
      <c r="AF1439" s="45" t="s">
        <v>313</v>
      </c>
      <c r="AG1439" s="45" t="b">
        <v>1</v>
      </c>
      <c r="AH1439" s="45" t="b">
        <v>1</v>
      </c>
    </row>
    <row r="1440" spans="22:34" x14ac:dyDescent="0.25">
      <c r="V1440" t="s">
        <v>572</v>
      </c>
      <c r="W1440" s="45" t="s">
        <v>363</v>
      </c>
      <c r="X1440" s="45" t="b">
        <v>0</v>
      </c>
      <c r="Y1440" s="45" t="b">
        <v>1</v>
      </c>
      <c r="Z1440" s="45" t="b">
        <v>1</v>
      </c>
      <c r="AA1440" s="45" t="b">
        <v>0</v>
      </c>
      <c r="AB1440" s="45" t="b">
        <v>0</v>
      </c>
      <c r="AC1440" s="45" t="b">
        <v>1</v>
      </c>
      <c r="AD1440" s="45" t="b">
        <v>0</v>
      </c>
      <c r="AE1440" s="45" t="b">
        <v>1</v>
      </c>
      <c r="AF1440" s="45" t="s">
        <v>314</v>
      </c>
      <c r="AG1440" s="45" t="b">
        <v>1</v>
      </c>
      <c r="AH1440" s="45" t="b">
        <v>1</v>
      </c>
    </row>
    <row r="1441" spans="22:34" x14ac:dyDescent="0.25">
      <c r="V1441" t="s">
        <v>572</v>
      </c>
      <c r="W1441" s="45" t="s">
        <v>363</v>
      </c>
      <c r="X1441" s="45" t="b">
        <v>0</v>
      </c>
      <c r="Y1441" s="45" t="b">
        <v>1</v>
      </c>
      <c r="Z1441" s="45" t="b">
        <v>1</v>
      </c>
      <c r="AA1441" s="45" t="b">
        <v>0</v>
      </c>
      <c r="AB1441" s="45" t="b">
        <v>0</v>
      </c>
      <c r="AC1441" s="45" t="b">
        <v>1</v>
      </c>
      <c r="AD1441" s="45" t="b">
        <v>0</v>
      </c>
      <c r="AE1441" s="45" t="b">
        <v>1</v>
      </c>
      <c r="AF1441" s="45" t="s">
        <v>315</v>
      </c>
      <c r="AG1441" s="45" t="b">
        <v>1</v>
      </c>
      <c r="AH1441" s="45" t="b">
        <v>1</v>
      </c>
    </row>
    <row r="1442" spans="22:34" x14ac:dyDescent="0.25">
      <c r="V1442" t="s">
        <v>572</v>
      </c>
      <c r="W1442" s="45" t="s">
        <v>363</v>
      </c>
      <c r="X1442" s="45" t="b">
        <v>0</v>
      </c>
      <c r="Y1442" s="45" t="b">
        <v>1</v>
      </c>
      <c r="Z1442" s="45" t="b">
        <v>1</v>
      </c>
      <c r="AA1442" s="45" t="b">
        <v>0</v>
      </c>
      <c r="AB1442" s="45" t="b">
        <v>0</v>
      </c>
      <c r="AC1442" s="45" t="b">
        <v>1</v>
      </c>
      <c r="AD1442" s="45" t="b">
        <v>0</v>
      </c>
      <c r="AE1442" s="45" t="b">
        <v>1</v>
      </c>
      <c r="AF1442" s="45" t="s">
        <v>316</v>
      </c>
      <c r="AG1442" s="45" t="b">
        <v>1</v>
      </c>
      <c r="AH1442" s="45" t="b">
        <v>1</v>
      </c>
    </row>
    <row r="1443" spans="22:34" x14ac:dyDescent="0.25">
      <c r="V1443" t="s">
        <v>572</v>
      </c>
      <c r="W1443" s="45" t="s">
        <v>363</v>
      </c>
      <c r="X1443" s="45" t="b">
        <v>0</v>
      </c>
      <c r="Y1443" s="45" t="b">
        <v>1</v>
      </c>
      <c r="Z1443" s="45" t="b">
        <v>1</v>
      </c>
      <c r="AA1443" s="45" t="b">
        <v>0</v>
      </c>
      <c r="AB1443" s="45" t="b">
        <v>0</v>
      </c>
      <c r="AC1443" s="45" t="b">
        <v>1</v>
      </c>
      <c r="AD1443" s="45" t="b">
        <v>0</v>
      </c>
      <c r="AE1443" s="45" t="b">
        <v>1</v>
      </c>
      <c r="AF1443" s="45" t="s">
        <v>317</v>
      </c>
      <c r="AG1443" s="45" t="b">
        <v>1</v>
      </c>
      <c r="AH1443" s="45" t="b">
        <v>1</v>
      </c>
    </row>
    <row r="1444" spans="22:34" x14ac:dyDescent="0.25">
      <c r="V1444" t="s">
        <v>572</v>
      </c>
      <c r="W1444" s="45" t="s">
        <v>363</v>
      </c>
      <c r="X1444" s="45" t="b">
        <v>0</v>
      </c>
      <c r="Y1444" s="45" t="b">
        <v>1</v>
      </c>
      <c r="Z1444" s="45" t="b">
        <v>1</v>
      </c>
      <c r="AA1444" s="45" t="b">
        <v>0</v>
      </c>
      <c r="AB1444" s="45" t="b">
        <v>0</v>
      </c>
      <c r="AC1444" s="45" t="b">
        <v>1</v>
      </c>
      <c r="AD1444" s="45" t="b">
        <v>0</v>
      </c>
      <c r="AE1444" s="45" t="b">
        <v>1</v>
      </c>
      <c r="AF1444" s="45" t="s">
        <v>318</v>
      </c>
      <c r="AG1444" s="45" t="b">
        <v>1</v>
      </c>
      <c r="AH1444" s="45" t="b">
        <v>1</v>
      </c>
    </row>
    <row r="1445" spans="22:34" x14ac:dyDescent="0.25">
      <c r="V1445" t="s">
        <v>572</v>
      </c>
      <c r="W1445" s="45" t="s">
        <v>363</v>
      </c>
      <c r="X1445" s="45" t="b">
        <v>0</v>
      </c>
      <c r="Y1445" s="45" t="b">
        <v>1</v>
      </c>
      <c r="Z1445" s="45" t="b">
        <v>1</v>
      </c>
      <c r="AA1445" s="45" t="b">
        <v>0</v>
      </c>
      <c r="AB1445" s="45" t="b">
        <v>0</v>
      </c>
      <c r="AC1445" s="45" t="b">
        <v>1</v>
      </c>
      <c r="AD1445" s="45" t="b">
        <v>0</v>
      </c>
      <c r="AE1445" s="45" t="b">
        <v>1</v>
      </c>
      <c r="AF1445" s="45" t="s">
        <v>319</v>
      </c>
      <c r="AG1445" s="45" t="b">
        <v>0</v>
      </c>
      <c r="AH1445" s="45" t="b">
        <v>0</v>
      </c>
    </row>
    <row r="1446" spans="22:34" x14ac:dyDescent="0.25">
      <c r="V1446" t="s">
        <v>573</v>
      </c>
      <c r="W1446" t="s">
        <v>364</v>
      </c>
      <c r="X1446" t="b">
        <v>0</v>
      </c>
      <c r="Y1446" t="b">
        <v>0</v>
      </c>
      <c r="Z1446" t="b">
        <v>0</v>
      </c>
      <c r="AA1446" t="b">
        <v>0</v>
      </c>
      <c r="AB1446" t="b">
        <v>0</v>
      </c>
      <c r="AC1446" t="b">
        <v>1</v>
      </c>
      <c r="AD1446" t="b">
        <v>0</v>
      </c>
      <c r="AE1446" t="b">
        <v>0</v>
      </c>
      <c r="AF1446" t="s">
        <v>295</v>
      </c>
      <c r="AG1446" t="b">
        <v>0</v>
      </c>
      <c r="AH1446" t="b">
        <v>0</v>
      </c>
    </row>
    <row r="1447" spans="22:34" x14ac:dyDescent="0.25">
      <c r="V1447" t="s">
        <v>573</v>
      </c>
      <c r="W1447" t="s">
        <v>364</v>
      </c>
      <c r="X1447" t="b">
        <v>0</v>
      </c>
      <c r="Y1447" t="b">
        <v>0</v>
      </c>
      <c r="Z1447" t="b">
        <v>0</v>
      </c>
      <c r="AA1447" t="b">
        <v>0</v>
      </c>
      <c r="AB1447" t="b">
        <v>0</v>
      </c>
      <c r="AC1447" t="b">
        <v>1</v>
      </c>
      <c r="AD1447" t="b">
        <v>0</v>
      </c>
      <c r="AE1447" t="b">
        <v>0</v>
      </c>
      <c r="AF1447" t="s">
        <v>297</v>
      </c>
      <c r="AG1447" t="b">
        <v>0</v>
      </c>
      <c r="AH1447" t="b">
        <v>0</v>
      </c>
    </row>
    <row r="1448" spans="22:34" x14ac:dyDescent="0.25">
      <c r="V1448" t="s">
        <v>573</v>
      </c>
      <c r="W1448" t="s">
        <v>364</v>
      </c>
      <c r="X1448" t="b">
        <v>0</v>
      </c>
      <c r="Y1448" t="b">
        <v>0</v>
      </c>
      <c r="Z1448" t="b">
        <v>0</v>
      </c>
      <c r="AA1448" t="b">
        <v>0</v>
      </c>
      <c r="AB1448" t="b">
        <v>0</v>
      </c>
      <c r="AC1448" t="b">
        <v>1</v>
      </c>
      <c r="AD1448" t="b">
        <v>0</v>
      </c>
      <c r="AE1448" t="b">
        <v>0</v>
      </c>
      <c r="AF1448" t="s">
        <v>112</v>
      </c>
      <c r="AG1448" t="b">
        <v>0</v>
      </c>
      <c r="AH1448" t="b">
        <v>0</v>
      </c>
    </row>
    <row r="1449" spans="22:34" x14ac:dyDescent="0.25">
      <c r="V1449" t="s">
        <v>573</v>
      </c>
      <c r="W1449" t="s">
        <v>364</v>
      </c>
      <c r="X1449" t="b">
        <v>0</v>
      </c>
      <c r="Y1449" t="b">
        <v>0</v>
      </c>
      <c r="Z1449" t="b">
        <v>0</v>
      </c>
      <c r="AA1449" t="b">
        <v>0</v>
      </c>
      <c r="AB1449" t="b">
        <v>0</v>
      </c>
      <c r="AC1449" t="b">
        <v>1</v>
      </c>
      <c r="AD1449" t="b">
        <v>0</v>
      </c>
      <c r="AE1449" t="b">
        <v>0</v>
      </c>
      <c r="AF1449" t="s">
        <v>114</v>
      </c>
      <c r="AG1449" t="b">
        <v>0</v>
      </c>
      <c r="AH1449" t="b">
        <v>0</v>
      </c>
    </row>
    <row r="1450" spans="22:34" x14ac:dyDescent="0.25">
      <c r="V1450" t="s">
        <v>573</v>
      </c>
      <c r="W1450" t="s">
        <v>364</v>
      </c>
      <c r="X1450" t="b">
        <v>0</v>
      </c>
      <c r="Y1450" t="b">
        <v>0</v>
      </c>
      <c r="Z1450" t="b">
        <v>0</v>
      </c>
      <c r="AA1450" t="b">
        <v>0</v>
      </c>
      <c r="AB1450" t="b">
        <v>0</v>
      </c>
      <c r="AC1450" t="b">
        <v>1</v>
      </c>
      <c r="AD1450" t="b">
        <v>0</v>
      </c>
      <c r="AE1450" t="b">
        <v>0</v>
      </c>
      <c r="AF1450" t="s">
        <v>115</v>
      </c>
      <c r="AG1450" t="b">
        <v>1</v>
      </c>
      <c r="AH1450" t="b">
        <v>0</v>
      </c>
    </row>
    <row r="1451" spans="22:34" x14ac:dyDescent="0.25">
      <c r="V1451" t="s">
        <v>573</v>
      </c>
      <c r="W1451" t="s">
        <v>364</v>
      </c>
      <c r="X1451" t="b">
        <v>0</v>
      </c>
      <c r="Y1451" t="b">
        <v>0</v>
      </c>
      <c r="Z1451" t="b">
        <v>0</v>
      </c>
      <c r="AA1451" t="b">
        <v>0</v>
      </c>
      <c r="AB1451" t="b">
        <v>0</v>
      </c>
      <c r="AC1451" t="b">
        <v>1</v>
      </c>
      <c r="AD1451" t="b">
        <v>0</v>
      </c>
      <c r="AE1451" t="b">
        <v>0</v>
      </c>
      <c r="AF1451" t="s">
        <v>116</v>
      </c>
      <c r="AG1451" t="b">
        <v>0</v>
      </c>
      <c r="AH1451" t="b">
        <v>0</v>
      </c>
    </row>
    <row r="1452" spans="22:34" x14ac:dyDescent="0.25">
      <c r="V1452" t="s">
        <v>573</v>
      </c>
      <c r="W1452" t="s">
        <v>364</v>
      </c>
      <c r="X1452" t="b">
        <v>0</v>
      </c>
      <c r="Y1452" t="b">
        <v>0</v>
      </c>
      <c r="Z1452" t="b">
        <v>0</v>
      </c>
      <c r="AA1452" t="b">
        <v>0</v>
      </c>
      <c r="AB1452" t="b">
        <v>0</v>
      </c>
      <c r="AC1452" t="b">
        <v>1</v>
      </c>
      <c r="AD1452" t="b">
        <v>0</v>
      </c>
      <c r="AE1452" t="b">
        <v>0</v>
      </c>
      <c r="AF1452" t="s">
        <v>298</v>
      </c>
      <c r="AG1452" t="b">
        <v>1</v>
      </c>
      <c r="AH1452" t="b">
        <v>0</v>
      </c>
    </row>
    <row r="1453" spans="22:34" x14ac:dyDescent="0.25">
      <c r="V1453" t="s">
        <v>573</v>
      </c>
      <c r="W1453" t="s">
        <v>364</v>
      </c>
      <c r="X1453" t="b">
        <v>0</v>
      </c>
      <c r="Y1453" t="b">
        <v>0</v>
      </c>
      <c r="Z1453" t="b">
        <v>0</v>
      </c>
      <c r="AA1453" t="b">
        <v>0</v>
      </c>
      <c r="AB1453" t="b">
        <v>0</v>
      </c>
      <c r="AC1453" t="b">
        <v>1</v>
      </c>
      <c r="AD1453" t="b">
        <v>0</v>
      </c>
      <c r="AE1453" t="b">
        <v>0</v>
      </c>
      <c r="AF1453" t="s">
        <v>299</v>
      </c>
      <c r="AG1453" t="b">
        <v>1</v>
      </c>
      <c r="AH1453" t="b">
        <v>0</v>
      </c>
    </row>
    <row r="1454" spans="22:34" x14ac:dyDescent="0.25">
      <c r="V1454" t="s">
        <v>573</v>
      </c>
      <c r="W1454" t="s">
        <v>364</v>
      </c>
      <c r="X1454" t="b">
        <v>0</v>
      </c>
      <c r="Y1454" t="b">
        <v>0</v>
      </c>
      <c r="Z1454" t="b">
        <v>0</v>
      </c>
      <c r="AA1454" t="b">
        <v>0</v>
      </c>
      <c r="AB1454" t="b">
        <v>0</v>
      </c>
      <c r="AC1454" t="b">
        <v>1</v>
      </c>
      <c r="AD1454" t="b">
        <v>0</v>
      </c>
      <c r="AE1454" t="b">
        <v>0</v>
      </c>
      <c r="AF1454" t="s">
        <v>414</v>
      </c>
      <c r="AG1454" t="b">
        <v>1</v>
      </c>
      <c r="AH1454" t="b">
        <v>0</v>
      </c>
    </row>
    <row r="1455" spans="22:34" x14ac:dyDescent="0.25">
      <c r="V1455" t="s">
        <v>573</v>
      </c>
      <c r="W1455" t="s">
        <v>364</v>
      </c>
      <c r="X1455" t="b">
        <v>0</v>
      </c>
      <c r="Y1455" t="b">
        <v>0</v>
      </c>
      <c r="Z1455" t="b">
        <v>0</v>
      </c>
      <c r="AA1455" t="b">
        <v>0</v>
      </c>
      <c r="AB1455" t="b">
        <v>0</v>
      </c>
      <c r="AC1455" t="b">
        <v>1</v>
      </c>
      <c r="AD1455" t="b">
        <v>0</v>
      </c>
      <c r="AE1455" t="b">
        <v>0</v>
      </c>
      <c r="AF1455" t="s">
        <v>118</v>
      </c>
      <c r="AG1455" t="b">
        <v>1</v>
      </c>
      <c r="AH1455" t="b">
        <v>0</v>
      </c>
    </row>
    <row r="1456" spans="22:34" x14ac:dyDescent="0.25">
      <c r="V1456" t="s">
        <v>573</v>
      </c>
      <c r="W1456" t="s">
        <v>364</v>
      </c>
      <c r="X1456" t="b">
        <v>0</v>
      </c>
      <c r="Y1456" t="b">
        <v>0</v>
      </c>
      <c r="Z1456" t="b">
        <v>0</v>
      </c>
      <c r="AA1456" t="b">
        <v>0</v>
      </c>
      <c r="AB1456" t="b">
        <v>0</v>
      </c>
      <c r="AC1456" t="b">
        <v>1</v>
      </c>
      <c r="AD1456" t="b">
        <v>0</v>
      </c>
      <c r="AE1456" t="b">
        <v>0</v>
      </c>
      <c r="AF1456" t="s">
        <v>119</v>
      </c>
      <c r="AG1456" t="b">
        <v>1</v>
      </c>
      <c r="AH1456" t="b">
        <v>0</v>
      </c>
    </row>
    <row r="1457" spans="22:34" x14ac:dyDescent="0.25">
      <c r="V1457" t="s">
        <v>573</v>
      </c>
      <c r="W1457" t="s">
        <v>364</v>
      </c>
      <c r="X1457" t="b">
        <v>0</v>
      </c>
      <c r="Y1457" t="b">
        <v>0</v>
      </c>
      <c r="Z1457" t="b">
        <v>0</v>
      </c>
      <c r="AA1457" t="b">
        <v>0</v>
      </c>
      <c r="AB1457" t="b">
        <v>0</v>
      </c>
      <c r="AC1457" t="b">
        <v>1</v>
      </c>
      <c r="AD1457" t="b">
        <v>0</v>
      </c>
      <c r="AE1457" t="b">
        <v>0</v>
      </c>
      <c r="AF1457" t="s">
        <v>300</v>
      </c>
      <c r="AG1457" t="b">
        <v>1</v>
      </c>
      <c r="AH1457" t="b">
        <v>0</v>
      </c>
    </row>
    <row r="1458" spans="22:34" x14ac:dyDescent="0.25">
      <c r="V1458" t="s">
        <v>573</v>
      </c>
      <c r="W1458" t="s">
        <v>364</v>
      </c>
      <c r="X1458" t="b">
        <v>0</v>
      </c>
      <c r="Y1458" t="b">
        <v>0</v>
      </c>
      <c r="Z1458" t="b">
        <v>0</v>
      </c>
      <c r="AA1458" t="b">
        <v>0</v>
      </c>
      <c r="AB1458" t="b">
        <v>0</v>
      </c>
      <c r="AC1458" t="b">
        <v>1</v>
      </c>
      <c r="AD1458" t="b">
        <v>0</v>
      </c>
      <c r="AE1458" t="b">
        <v>0</v>
      </c>
      <c r="AF1458" t="s">
        <v>301</v>
      </c>
      <c r="AG1458" t="b">
        <v>0</v>
      </c>
      <c r="AH1458" t="b">
        <v>0</v>
      </c>
    </row>
    <row r="1459" spans="22:34" x14ac:dyDescent="0.25">
      <c r="V1459" t="s">
        <v>573</v>
      </c>
      <c r="W1459" t="s">
        <v>364</v>
      </c>
      <c r="X1459" t="b">
        <v>0</v>
      </c>
      <c r="Y1459" t="b">
        <v>0</v>
      </c>
      <c r="Z1459" t="b">
        <v>0</v>
      </c>
      <c r="AA1459" t="b">
        <v>0</v>
      </c>
      <c r="AB1459" t="b">
        <v>0</v>
      </c>
      <c r="AC1459" t="b">
        <v>1</v>
      </c>
      <c r="AD1459" t="b">
        <v>0</v>
      </c>
      <c r="AE1459" t="b">
        <v>0</v>
      </c>
      <c r="AF1459" t="s">
        <v>120</v>
      </c>
      <c r="AG1459" t="b">
        <v>1</v>
      </c>
      <c r="AH1459" t="b">
        <v>0</v>
      </c>
    </row>
    <row r="1460" spans="22:34" x14ac:dyDescent="0.25">
      <c r="V1460" t="s">
        <v>573</v>
      </c>
      <c r="W1460" t="s">
        <v>364</v>
      </c>
      <c r="X1460" t="b">
        <v>0</v>
      </c>
      <c r="Y1460" t="b">
        <v>0</v>
      </c>
      <c r="Z1460" t="b">
        <v>0</v>
      </c>
      <c r="AA1460" t="b">
        <v>0</v>
      </c>
      <c r="AB1460" t="b">
        <v>0</v>
      </c>
      <c r="AC1460" t="b">
        <v>1</v>
      </c>
      <c r="AD1460" t="b">
        <v>0</v>
      </c>
      <c r="AE1460" t="b">
        <v>0</v>
      </c>
      <c r="AF1460" t="s">
        <v>302</v>
      </c>
      <c r="AG1460" t="b">
        <v>0</v>
      </c>
      <c r="AH1460" t="b">
        <v>0</v>
      </c>
    </row>
    <row r="1461" spans="22:34" x14ac:dyDescent="0.25">
      <c r="V1461" t="s">
        <v>573</v>
      </c>
      <c r="W1461" t="s">
        <v>364</v>
      </c>
      <c r="X1461" t="b">
        <v>0</v>
      </c>
      <c r="Y1461" t="b">
        <v>0</v>
      </c>
      <c r="Z1461" t="b">
        <v>0</v>
      </c>
      <c r="AA1461" t="b">
        <v>0</v>
      </c>
      <c r="AB1461" t="b">
        <v>0</v>
      </c>
      <c r="AC1461" t="b">
        <v>1</v>
      </c>
      <c r="AD1461" t="b">
        <v>0</v>
      </c>
      <c r="AE1461" t="b">
        <v>0</v>
      </c>
      <c r="AF1461" t="s">
        <v>303</v>
      </c>
      <c r="AG1461" t="b">
        <v>1</v>
      </c>
      <c r="AH1461" t="b">
        <v>0</v>
      </c>
    </row>
    <row r="1462" spans="22:34" x14ac:dyDescent="0.25">
      <c r="V1462" t="s">
        <v>573</v>
      </c>
      <c r="W1462" t="s">
        <v>364</v>
      </c>
      <c r="X1462" t="b">
        <v>0</v>
      </c>
      <c r="Y1462" t="b">
        <v>0</v>
      </c>
      <c r="Z1462" t="b">
        <v>0</v>
      </c>
      <c r="AA1462" t="b">
        <v>0</v>
      </c>
      <c r="AB1462" t="b">
        <v>0</v>
      </c>
      <c r="AC1462" t="b">
        <v>1</v>
      </c>
      <c r="AD1462" t="b">
        <v>0</v>
      </c>
      <c r="AE1462" t="b">
        <v>0</v>
      </c>
      <c r="AF1462" t="s">
        <v>304</v>
      </c>
      <c r="AG1462" t="b">
        <v>1</v>
      </c>
      <c r="AH1462" t="b">
        <v>0</v>
      </c>
    </row>
    <row r="1463" spans="22:34" x14ac:dyDescent="0.25">
      <c r="V1463" t="s">
        <v>573</v>
      </c>
      <c r="W1463" t="s">
        <v>364</v>
      </c>
      <c r="X1463" t="b">
        <v>0</v>
      </c>
      <c r="Y1463" t="b">
        <v>0</v>
      </c>
      <c r="Z1463" t="b">
        <v>0</v>
      </c>
      <c r="AA1463" t="b">
        <v>0</v>
      </c>
      <c r="AB1463" t="b">
        <v>0</v>
      </c>
      <c r="AC1463" t="b">
        <v>1</v>
      </c>
      <c r="AD1463" t="b">
        <v>0</v>
      </c>
      <c r="AE1463" t="b">
        <v>0</v>
      </c>
      <c r="AF1463" t="s">
        <v>305</v>
      </c>
      <c r="AG1463" t="b">
        <v>0</v>
      </c>
      <c r="AH1463" t="b">
        <v>0</v>
      </c>
    </row>
    <row r="1464" spans="22:34" x14ac:dyDescent="0.25">
      <c r="V1464" t="s">
        <v>573</v>
      </c>
      <c r="W1464" t="s">
        <v>364</v>
      </c>
      <c r="X1464" t="b">
        <v>0</v>
      </c>
      <c r="Y1464" t="b">
        <v>0</v>
      </c>
      <c r="Z1464" t="b">
        <v>0</v>
      </c>
      <c r="AA1464" t="b">
        <v>0</v>
      </c>
      <c r="AB1464" t="b">
        <v>0</v>
      </c>
      <c r="AC1464" t="b">
        <v>1</v>
      </c>
      <c r="AD1464" t="b">
        <v>0</v>
      </c>
      <c r="AE1464" t="b">
        <v>0</v>
      </c>
      <c r="AF1464" t="s">
        <v>306</v>
      </c>
      <c r="AG1464" t="b">
        <v>0</v>
      </c>
      <c r="AH1464" t="b">
        <v>0</v>
      </c>
    </row>
    <row r="1465" spans="22:34" x14ac:dyDescent="0.25">
      <c r="V1465" t="s">
        <v>573</v>
      </c>
      <c r="W1465" t="s">
        <v>364</v>
      </c>
      <c r="X1465" t="b">
        <v>0</v>
      </c>
      <c r="Y1465" t="b">
        <v>0</v>
      </c>
      <c r="Z1465" t="b">
        <v>0</v>
      </c>
      <c r="AA1465" t="b">
        <v>0</v>
      </c>
      <c r="AB1465" t="b">
        <v>0</v>
      </c>
      <c r="AC1465" t="b">
        <v>1</v>
      </c>
      <c r="AD1465" t="b">
        <v>0</v>
      </c>
      <c r="AE1465" t="b">
        <v>0</v>
      </c>
      <c r="AF1465" t="s">
        <v>307</v>
      </c>
      <c r="AG1465" t="b">
        <v>0</v>
      </c>
      <c r="AH1465" t="b">
        <v>0</v>
      </c>
    </row>
    <row r="1466" spans="22:34" x14ac:dyDescent="0.25">
      <c r="V1466" t="s">
        <v>573</v>
      </c>
      <c r="W1466" t="s">
        <v>364</v>
      </c>
      <c r="X1466" t="b">
        <v>0</v>
      </c>
      <c r="Y1466" t="b">
        <v>0</v>
      </c>
      <c r="Z1466" t="b">
        <v>0</v>
      </c>
      <c r="AA1466" t="b">
        <v>0</v>
      </c>
      <c r="AB1466" t="b">
        <v>0</v>
      </c>
      <c r="AC1466" t="b">
        <v>1</v>
      </c>
      <c r="AD1466" t="b">
        <v>0</v>
      </c>
      <c r="AE1466" t="b">
        <v>0</v>
      </c>
      <c r="AF1466" t="s">
        <v>308</v>
      </c>
      <c r="AG1466" t="b">
        <v>0</v>
      </c>
      <c r="AH1466" t="b">
        <v>0</v>
      </c>
    </row>
    <row r="1467" spans="22:34" x14ac:dyDescent="0.25">
      <c r="V1467" t="s">
        <v>573</v>
      </c>
      <c r="W1467" t="s">
        <v>364</v>
      </c>
      <c r="X1467" t="b">
        <v>0</v>
      </c>
      <c r="Y1467" t="b">
        <v>0</v>
      </c>
      <c r="Z1467" t="b">
        <v>0</v>
      </c>
      <c r="AA1467" t="b">
        <v>0</v>
      </c>
      <c r="AB1467" t="b">
        <v>0</v>
      </c>
      <c r="AC1467" t="b">
        <v>1</v>
      </c>
      <c r="AD1467" t="b">
        <v>0</v>
      </c>
      <c r="AE1467" t="b">
        <v>0</v>
      </c>
      <c r="AF1467" t="s">
        <v>309</v>
      </c>
      <c r="AG1467" t="b">
        <v>0</v>
      </c>
      <c r="AH1467" t="b">
        <v>0</v>
      </c>
    </row>
    <row r="1468" spans="22:34" x14ac:dyDescent="0.25">
      <c r="V1468" t="s">
        <v>573</v>
      </c>
      <c r="W1468" t="s">
        <v>364</v>
      </c>
      <c r="X1468" t="b">
        <v>0</v>
      </c>
      <c r="Y1468" t="b">
        <v>0</v>
      </c>
      <c r="Z1468" t="b">
        <v>0</v>
      </c>
      <c r="AA1468" t="b">
        <v>0</v>
      </c>
      <c r="AB1468" t="b">
        <v>0</v>
      </c>
      <c r="AC1468" t="b">
        <v>1</v>
      </c>
      <c r="AD1468" t="b">
        <v>0</v>
      </c>
      <c r="AE1468" t="b">
        <v>0</v>
      </c>
      <c r="AF1468" t="s">
        <v>310</v>
      </c>
      <c r="AG1468" t="b">
        <v>0</v>
      </c>
      <c r="AH1468" t="b">
        <v>0</v>
      </c>
    </row>
    <row r="1469" spans="22:34" x14ac:dyDescent="0.25">
      <c r="V1469" t="s">
        <v>573</v>
      </c>
      <c r="W1469" t="s">
        <v>364</v>
      </c>
      <c r="X1469" t="b">
        <v>0</v>
      </c>
      <c r="Y1469" t="b">
        <v>0</v>
      </c>
      <c r="Z1469" t="b">
        <v>0</v>
      </c>
      <c r="AA1469" t="b">
        <v>0</v>
      </c>
      <c r="AB1469" t="b">
        <v>0</v>
      </c>
      <c r="AC1469" t="b">
        <v>1</v>
      </c>
      <c r="AD1469" t="b">
        <v>0</v>
      </c>
      <c r="AE1469" t="b">
        <v>0</v>
      </c>
      <c r="AF1469" t="s">
        <v>311</v>
      </c>
      <c r="AG1469" t="b">
        <v>0</v>
      </c>
      <c r="AH1469" t="b">
        <v>0</v>
      </c>
    </row>
    <row r="1470" spans="22:34" x14ac:dyDescent="0.25">
      <c r="V1470" t="s">
        <v>573</v>
      </c>
      <c r="W1470" t="s">
        <v>364</v>
      </c>
      <c r="X1470" t="b">
        <v>0</v>
      </c>
      <c r="Y1470" t="b">
        <v>0</v>
      </c>
      <c r="Z1470" t="b">
        <v>0</v>
      </c>
      <c r="AA1470" t="b">
        <v>0</v>
      </c>
      <c r="AB1470" t="b">
        <v>0</v>
      </c>
      <c r="AC1470" t="b">
        <v>1</v>
      </c>
      <c r="AD1470" t="b">
        <v>0</v>
      </c>
      <c r="AE1470" t="b">
        <v>0</v>
      </c>
      <c r="AF1470" t="s">
        <v>312</v>
      </c>
      <c r="AG1470" t="b">
        <v>0</v>
      </c>
      <c r="AH1470" t="b">
        <v>0</v>
      </c>
    </row>
    <row r="1471" spans="22:34" x14ac:dyDescent="0.25">
      <c r="V1471" t="s">
        <v>573</v>
      </c>
      <c r="W1471" t="s">
        <v>364</v>
      </c>
      <c r="X1471" t="b">
        <v>0</v>
      </c>
      <c r="Y1471" t="b">
        <v>0</v>
      </c>
      <c r="Z1471" t="b">
        <v>0</v>
      </c>
      <c r="AA1471" t="b">
        <v>0</v>
      </c>
      <c r="AB1471" t="b">
        <v>0</v>
      </c>
      <c r="AC1471" t="b">
        <v>1</v>
      </c>
      <c r="AD1471" t="b">
        <v>0</v>
      </c>
      <c r="AE1471" t="b">
        <v>0</v>
      </c>
      <c r="AF1471" t="s">
        <v>313</v>
      </c>
      <c r="AG1471" t="b">
        <v>0</v>
      </c>
      <c r="AH1471" t="b">
        <v>0</v>
      </c>
    </row>
    <row r="1472" spans="22:34" x14ac:dyDescent="0.25">
      <c r="V1472" t="s">
        <v>573</v>
      </c>
      <c r="W1472" t="s">
        <v>364</v>
      </c>
      <c r="X1472" t="b">
        <v>0</v>
      </c>
      <c r="Y1472" t="b">
        <v>0</v>
      </c>
      <c r="Z1472" t="b">
        <v>0</v>
      </c>
      <c r="AA1472" t="b">
        <v>0</v>
      </c>
      <c r="AB1472" t="b">
        <v>0</v>
      </c>
      <c r="AC1472" t="b">
        <v>1</v>
      </c>
      <c r="AD1472" t="b">
        <v>0</v>
      </c>
      <c r="AE1472" t="b">
        <v>0</v>
      </c>
      <c r="AF1472" t="s">
        <v>314</v>
      </c>
      <c r="AG1472" t="b">
        <v>0</v>
      </c>
      <c r="AH1472" t="b">
        <v>0</v>
      </c>
    </row>
    <row r="1473" spans="22:34" x14ac:dyDescent="0.25">
      <c r="V1473" t="s">
        <v>573</v>
      </c>
      <c r="W1473" t="s">
        <v>364</v>
      </c>
      <c r="X1473" t="b">
        <v>0</v>
      </c>
      <c r="Y1473" t="b">
        <v>0</v>
      </c>
      <c r="Z1473" t="b">
        <v>0</v>
      </c>
      <c r="AA1473" t="b">
        <v>0</v>
      </c>
      <c r="AB1473" t="b">
        <v>0</v>
      </c>
      <c r="AC1473" t="b">
        <v>1</v>
      </c>
      <c r="AD1473" t="b">
        <v>0</v>
      </c>
      <c r="AE1473" t="b">
        <v>0</v>
      </c>
      <c r="AF1473" t="s">
        <v>315</v>
      </c>
      <c r="AG1473" t="b">
        <v>0</v>
      </c>
      <c r="AH1473" t="b">
        <v>0</v>
      </c>
    </row>
    <row r="1474" spans="22:34" x14ac:dyDescent="0.25">
      <c r="V1474" t="s">
        <v>573</v>
      </c>
      <c r="W1474" t="s">
        <v>364</v>
      </c>
      <c r="X1474" t="b">
        <v>0</v>
      </c>
      <c r="Y1474" t="b">
        <v>0</v>
      </c>
      <c r="Z1474" t="b">
        <v>0</v>
      </c>
      <c r="AA1474" t="b">
        <v>0</v>
      </c>
      <c r="AB1474" t="b">
        <v>0</v>
      </c>
      <c r="AC1474" t="b">
        <v>1</v>
      </c>
      <c r="AD1474" t="b">
        <v>0</v>
      </c>
      <c r="AE1474" t="b">
        <v>0</v>
      </c>
      <c r="AF1474" t="s">
        <v>316</v>
      </c>
      <c r="AG1474" t="b">
        <v>0</v>
      </c>
      <c r="AH1474" t="b">
        <v>0</v>
      </c>
    </row>
    <row r="1475" spans="22:34" x14ac:dyDescent="0.25">
      <c r="V1475" t="s">
        <v>573</v>
      </c>
      <c r="W1475" t="s">
        <v>364</v>
      </c>
      <c r="X1475" t="b">
        <v>0</v>
      </c>
      <c r="Y1475" t="b">
        <v>0</v>
      </c>
      <c r="Z1475" t="b">
        <v>0</v>
      </c>
      <c r="AA1475" t="b">
        <v>0</v>
      </c>
      <c r="AB1475" t="b">
        <v>0</v>
      </c>
      <c r="AC1475" t="b">
        <v>1</v>
      </c>
      <c r="AD1475" t="b">
        <v>0</v>
      </c>
      <c r="AE1475" t="b">
        <v>0</v>
      </c>
      <c r="AF1475" t="s">
        <v>317</v>
      </c>
      <c r="AG1475" t="b">
        <v>0</v>
      </c>
      <c r="AH1475" t="b">
        <v>0</v>
      </c>
    </row>
    <row r="1476" spans="22:34" x14ac:dyDescent="0.25">
      <c r="V1476" t="s">
        <v>573</v>
      </c>
      <c r="W1476" t="s">
        <v>364</v>
      </c>
      <c r="X1476" t="b">
        <v>0</v>
      </c>
      <c r="Y1476" t="b">
        <v>0</v>
      </c>
      <c r="Z1476" t="b">
        <v>0</v>
      </c>
      <c r="AA1476" t="b">
        <v>0</v>
      </c>
      <c r="AB1476" t="b">
        <v>0</v>
      </c>
      <c r="AC1476" t="b">
        <v>1</v>
      </c>
      <c r="AD1476" t="b">
        <v>0</v>
      </c>
      <c r="AE1476" t="b">
        <v>0</v>
      </c>
      <c r="AF1476" t="s">
        <v>318</v>
      </c>
      <c r="AG1476" t="b">
        <v>0</v>
      </c>
      <c r="AH1476" t="b">
        <v>0</v>
      </c>
    </row>
    <row r="1477" spans="22:34" x14ac:dyDescent="0.25">
      <c r="V1477" t="s">
        <v>573</v>
      </c>
      <c r="W1477" t="s">
        <v>364</v>
      </c>
      <c r="X1477" t="b">
        <v>0</v>
      </c>
      <c r="Y1477" t="b">
        <v>0</v>
      </c>
      <c r="Z1477" t="b">
        <v>0</v>
      </c>
      <c r="AA1477" t="b">
        <v>0</v>
      </c>
      <c r="AB1477" t="b">
        <v>0</v>
      </c>
      <c r="AC1477" t="b">
        <v>1</v>
      </c>
      <c r="AD1477" t="b">
        <v>0</v>
      </c>
      <c r="AE1477" t="b">
        <v>0</v>
      </c>
      <c r="AF1477" t="s">
        <v>319</v>
      </c>
      <c r="AG1477" t="b">
        <v>0</v>
      </c>
      <c r="AH1477" t="b">
        <v>0</v>
      </c>
    </row>
    <row r="1478" spans="22:34" x14ac:dyDescent="0.25">
      <c r="V1478" t="s">
        <v>365</v>
      </c>
      <c r="W1478" t="s">
        <v>366</v>
      </c>
      <c r="X1478" t="b">
        <v>1</v>
      </c>
      <c r="Y1478" t="b">
        <v>1</v>
      </c>
      <c r="Z1478" t="b">
        <v>1</v>
      </c>
      <c r="AA1478" t="b">
        <v>0</v>
      </c>
      <c r="AB1478" t="b">
        <v>0</v>
      </c>
      <c r="AC1478" t="b">
        <v>1</v>
      </c>
      <c r="AD1478" t="b">
        <v>0</v>
      </c>
      <c r="AE1478" t="b">
        <v>1</v>
      </c>
      <c r="AF1478" t="s">
        <v>295</v>
      </c>
      <c r="AG1478" t="b">
        <v>1</v>
      </c>
      <c r="AH1478" t="b">
        <v>1</v>
      </c>
    </row>
    <row r="1479" spans="22:34" x14ac:dyDescent="0.25">
      <c r="V1479" t="s">
        <v>365</v>
      </c>
      <c r="W1479" t="s">
        <v>366</v>
      </c>
      <c r="X1479" t="b">
        <v>1</v>
      </c>
      <c r="Y1479" t="b">
        <v>1</v>
      </c>
      <c r="Z1479" t="b">
        <v>1</v>
      </c>
      <c r="AA1479" t="b">
        <v>0</v>
      </c>
      <c r="AB1479" t="b">
        <v>0</v>
      </c>
      <c r="AC1479" t="b">
        <v>1</v>
      </c>
      <c r="AD1479" t="b">
        <v>0</v>
      </c>
      <c r="AE1479" t="b">
        <v>1</v>
      </c>
      <c r="AF1479" t="s">
        <v>297</v>
      </c>
      <c r="AG1479" t="b">
        <v>1</v>
      </c>
      <c r="AH1479" t="b">
        <v>1</v>
      </c>
    </row>
    <row r="1480" spans="22:34" x14ac:dyDescent="0.25">
      <c r="V1480" t="s">
        <v>365</v>
      </c>
      <c r="W1480" t="s">
        <v>366</v>
      </c>
      <c r="X1480" t="b">
        <v>1</v>
      </c>
      <c r="Y1480" t="b">
        <v>1</v>
      </c>
      <c r="Z1480" t="b">
        <v>1</v>
      </c>
      <c r="AA1480" t="b">
        <v>0</v>
      </c>
      <c r="AB1480" t="b">
        <v>0</v>
      </c>
      <c r="AC1480" t="b">
        <v>1</v>
      </c>
      <c r="AD1480" t="b">
        <v>0</v>
      </c>
      <c r="AE1480" t="b">
        <v>1</v>
      </c>
      <c r="AF1480" t="s">
        <v>112</v>
      </c>
      <c r="AG1480" t="b">
        <v>1</v>
      </c>
      <c r="AH1480" t="b">
        <v>1</v>
      </c>
    </row>
    <row r="1481" spans="22:34" x14ac:dyDescent="0.25">
      <c r="V1481" t="s">
        <v>365</v>
      </c>
      <c r="W1481" t="s">
        <v>366</v>
      </c>
      <c r="X1481" t="b">
        <v>1</v>
      </c>
      <c r="Y1481" t="b">
        <v>1</v>
      </c>
      <c r="Z1481" t="b">
        <v>1</v>
      </c>
      <c r="AA1481" t="b">
        <v>0</v>
      </c>
      <c r="AB1481" t="b">
        <v>0</v>
      </c>
      <c r="AC1481" t="b">
        <v>1</v>
      </c>
      <c r="AD1481" t="b">
        <v>0</v>
      </c>
      <c r="AE1481" t="b">
        <v>1</v>
      </c>
      <c r="AF1481" t="s">
        <v>114</v>
      </c>
      <c r="AG1481" t="b">
        <v>1</v>
      </c>
      <c r="AH1481" t="b">
        <v>1</v>
      </c>
    </row>
    <row r="1482" spans="22:34" x14ac:dyDescent="0.25">
      <c r="V1482" t="s">
        <v>365</v>
      </c>
      <c r="W1482" t="s">
        <v>366</v>
      </c>
      <c r="X1482" t="b">
        <v>1</v>
      </c>
      <c r="Y1482" t="b">
        <v>1</v>
      </c>
      <c r="Z1482" t="b">
        <v>1</v>
      </c>
      <c r="AA1482" t="b">
        <v>0</v>
      </c>
      <c r="AB1482" t="b">
        <v>0</v>
      </c>
      <c r="AC1482" t="b">
        <v>1</v>
      </c>
      <c r="AD1482" t="b">
        <v>0</v>
      </c>
      <c r="AE1482" t="b">
        <v>1</v>
      </c>
      <c r="AF1482" t="s">
        <v>115</v>
      </c>
      <c r="AG1482" t="b">
        <v>1</v>
      </c>
      <c r="AH1482" t="b">
        <v>1</v>
      </c>
    </row>
    <row r="1483" spans="22:34" x14ac:dyDescent="0.25">
      <c r="V1483" t="s">
        <v>365</v>
      </c>
      <c r="W1483" t="s">
        <v>366</v>
      </c>
      <c r="X1483" t="b">
        <v>1</v>
      </c>
      <c r="Y1483" t="b">
        <v>1</v>
      </c>
      <c r="Z1483" t="b">
        <v>1</v>
      </c>
      <c r="AA1483" t="b">
        <v>0</v>
      </c>
      <c r="AB1483" t="b">
        <v>0</v>
      </c>
      <c r="AC1483" t="b">
        <v>1</v>
      </c>
      <c r="AD1483" t="b">
        <v>0</v>
      </c>
      <c r="AE1483" t="b">
        <v>1</v>
      </c>
      <c r="AF1483" t="s">
        <v>116</v>
      </c>
      <c r="AG1483" t="b">
        <v>1</v>
      </c>
      <c r="AH1483" t="b">
        <v>1</v>
      </c>
    </row>
    <row r="1484" spans="22:34" x14ac:dyDescent="0.25">
      <c r="V1484" t="s">
        <v>365</v>
      </c>
      <c r="W1484" t="s">
        <v>366</v>
      </c>
      <c r="X1484" t="b">
        <v>1</v>
      </c>
      <c r="Y1484" t="b">
        <v>1</v>
      </c>
      <c r="Z1484" t="b">
        <v>1</v>
      </c>
      <c r="AA1484" t="b">
        <v>0</v>
      </c>
      <c r="AB1484" t="b">
        <v>0</v>
      </c>
      <c r="AC1484" t="b">
        <v>1</v>
      </c>
      <c r="AD1484" t="b">
        <v>0</v>
      </c>
      <c r="AE1484" t="b">
        <v>1</v>
      </c>
      <c r="AF1484" t="s">
        <v>298</v>
      </c>
      <c r="AG1484" t="b">
        <v>1</v>
      </c>
      <c r="AH1484" t="b">
        <v>1</v>
      </c>
    </row>
    <row r="1485" spans="22:34" x14ac:dyDescent="0.25">
      <c r="V1485" t="s">
        <v>365</v>
      </c>
      <c r="W1485" t="s">
        <v>366</v>
      </c>
      <c r="X1485" t="b">
        <v>1</v>
      </c>
      <c r="Y1485" t="b">
        <v>1</v>
      </c>
      <c r="Z1485" t="b">
        <v>1</v>
      </c>
      <c r="AA1485" t="b">
        <v>0</v>
      </c>
      <c r="AB1485" t="b">
        <v>0</v>
      </c>
      <c r="AC1485" t="b">
        <v>1</v>
      </c>
      <c r="AD1485" t="b">
        <v>0</v>
      </c>
      <c r="AE1485" t="b">
        <v>1</v>
      </c>
      <c r="AF1485" t="s">
        <v>299</v>
      </c>
      <c r="AG1485" t="b">
        <v>1</v>
      </c>
      <c r="AH1485" t="b">
        <v>1</v>
      </c>
    </row>
    <row r="1486" spans="22:34" x14ac:dyDescent="0.25">
      <c r="V1486" t="s">
        <v>365</v>
      </c>
      <c r="W1486" t="s">
        <v>366</v>
      </c>
      <c r="X1486" t="b">
        <v>1</v>
      </c>
      <c r="Y1486" t="b">
        <v>1</v>
      </c>
      <c r="Z1486" t="b">
        <v>1</v>
      </c>
      <c r="AA1486" t="b">
        <v>0</v>
      </c>
      <c r="AB1486" t="b">
        <v>0</v>
      </c>
      <c r="AC1486" t="b">
        <v>1</v>
      </c>
      <c r="AD1486" t="b">
        <v>0</v>
      </c>
      <c r="AE1486" t="b">
        <v>1</v>
      </c>
      <c r="AF1486" t="s">
        <v>414</v>
      </c>
      <c r="AG1486" t="b">
        <v>1</v>
      </c>
      <c r="AH1486" t="b">
        <v>1</v>
      </c>
    </row>
    <row r="1487" spans="22:34" x14ac:dyDescent="0.25">
      <c r="V1487" t="s">
        <v>365</v>
      </c>
      <c r="W1487" t="s">
        <v>366</v>
      </c>
      <c r="X1487" t="b">
        <v>1</v>
      </c>
      <c r="Y1487" t="b">
        <v>1</v>
      </c>
      <c r="Z1487" t="b">
        <v>1</v>
      </c>
      <c r="AA1487" t="b">
        <v>0</v>
      </c>
      <c r="AB1487" t="b">
        <v>0</v>
      </c>
      <c r="AC1487" t="b">
        <v>1</v>
      </c>
      <c r="AD1487" t="b">
        <v>0</v>
      </c>
      <c r="AE1487" t="b">
        <v>1</v>
      </c>
      <c r="AF1487" t="s">
        <v>118</v>
      </c>
      <c r="AG1487" t="b">
        <v>1</v>
      </c>
      <c r="AH1487" t="b">
        <v>1</v>
      </c>
    </row>
    <row r="1488" spans="22:34" x14ac:dyDescent="0.25">
      <c r="V1488" t="s">
        <v>365</v>
      </c>
      <c r="W1488" t="s">
        <v>366</v>
      </c>
      <c r="X1488" t="b">
        <v>1</v>
      </c>
      <c r="Y1488" t="b">
        <v>1</v>
      </c>
      <c r="Z1488" t="b">
        <v>1</v>
      </c>
      <c r="AA1488" t="b">
        <v>0</v>
      </c>
      <c r="AB1488" t="b">
        <v>0</v>
      </c>
      <c r="AC1488" t="b">
        <v>1</v>
      </c>
      <c r="AD1488" t="b">
        <v>0</v>
      </c>
      <c r="AE1488" t="b">
        <v>1</v>
      </c>
      <c r="AF1488" t="s">
        <v>119</v>
      </c>
      <c r="AG1488" t="b">
        <v>1</v>
      </c>
      <c r="AH1488" t="b">
        <v>1</v>
      </c>
    </row>
    <row r="1489" spans="22:34" x14ac:dyDescent="0.25">
      <c r="V1489" t="s">
        <v>365</v>
      </c>
      <c r="W1489" t="s">
        <v>366</v>
      </c>
      <c r="X1489" t="b">
        <v>1</v>
      </c>
      <c r="Y1489" t="b">
        <v>1</v>
      </c>
      <c r="Z1489" t="b">
        <v>1</v>
      </c>
      <c r="AA1489" t="b">
        <v>0</v>
      </c>
      <c r="AB1489" t="b">
        <v>0</v>
      </c>
      <c r="AC1489" t="b">
        <v>1</v>
      </c>
      <c r="AD1489" t="b">
        <v>0</v>
      </c>
      <c r="AE1489" t="b">
        <v>1</v>
      </c>
      <c r="AF1489" t="s">
        <v>300</v>
      </c>
      <c r="AG1489" t="b">
        <v>1</v>
      </c>
      <c r="AH1489" t="b">
        <v>1</v>
      </c>
    </row>
    <row r="1490" spans="22:34" x14ac:dyDescent="0.25">
      <c r="V1490" t="s">
        <v>365</v>
      </c>
      <c r="W1490" t="s">
        <v>366</v>
      </c>
      <c r="X1490" t="b">
        <v>1</v>
      </c>
      <c r="Y1490" t="b">
        <v>1</v>
      </c>
      <c r="Z1490" t="b">
        <v>1</v>
      </c>
      <c r="AA1490" t="b">
        <v>0</v>
      </c>
      <c r="AB1490" t="b">
        <v>0</v>
      </c>
      <c r="AC1490" t="b">
        <v>1</v>
      </c>
      <c r="AD1490" t="b">
        <v>0</v>
      </c>
      <c r="AE1490" t="b">
        <v>1</v>
      </c>
      <c r="AF1490" t="s">
        <v>301</v>
      </c>
      <c r="AG1490" t="b">
        <v>1</v>
      </c>
      <c r="AH1490" t="b">
        <v>1</v>
      </c>
    </row>
    <row r="1491" spans="22:34" x14ac:dyDescent="0.25">
      <c r="V1491" t="s">
        <v>365</v>
      </c>
      <c r="W1491" t="s">
        <v>366</v>
      </c>
      <c r="X1491" t="b">
        <v>1</v>
      </c>
      <c r="Y1491" t="b">
        <v>1</v>
      </c>
      <c r="Z1491" t="b">
        <v>1</v>
      </c>
      <c r="AA1491" t="b">
        <v>0</v>
      </c>
      <c r="AB1491" t="b">
        <v>0</v>
      </c>
      <c r="AC1491" t="b">
        <v>1</v>
      </c>
      <c r="AD1491" t="b">
        <v>0</v>
      </c>
      <c r="AE1491" t="b">
        <v>1</v>
      </c>
      <c r="AF1491" t="s">
        <v>120</v>
      </c>
      <c r="AG1491" t="b">
        <v>1</v>
      </c>
      <c r="AH1491" t="b">
        <v>1</v>
      </c>
    </row>
    <row r="1492" spans="22:34" x14ac:dyDescent="0.25">
      <c r="V1492" t="s">
        <v>365</v>
      </c>
      <c r="W1492" t="s">
        <v>366</v>
      </c>
      <c r="X1492" t="b">
        <v>1</v>
      </c>
      <c r="Y1492" t="b">
        <v>1</v>
      </c>
      <c r="Z1492" t="b">
        <v>1</v>
      </c>
      <c r="AA1492" t="b">
        <v>0</v>
      </c>
      <c r="AB1492" t="b">
        <v>0</v>
      </c>
      <c r="AC1492" t="b">
        <v>1</v>
      </c>
      <c r="AD1492" t="b">
        <v>0</v>
      </c>
      <c r="AE1492" t="b">
        <v>1</v>
      </c>
      <c r="AF1492" t="s">
        <v>302</v>
      </c>
      <c r="AG1492" t="b">
        <v>1</v>
      </c>
      <c r="AH1492" t="b">
        <v>1</v>
      </c>
    </row>
    <row r="1493" spans="22:34" x14ac:dyDescent="0.25">
      <c r="V1493" t="s">
        <v>365</v>
      </c>
      <c r="W1493" t="s">
        <v>366</v>
      </c>
      <c r="X1493" t="b">
        <v>1</v>
      </c>
      <c r="Y1493" t="b">
        <v>1</v>
      </c>
      <c r="Z1493" t="b">
        <v>1</v>
      </c>
      <c r="AA1493" t="b">
        <v>0</v>
      </c>
      <c r="AB1493" t="b">
        <v>0</v>
      </c>
      <c r="AC1493" t="b">
        <v>1</v>
      </c>
      <c r="AD1493" t="b">
        <v>0</v>
      </c>
      <c r="AE1493" t="b">
        <v>1</v>
      </c>
      <c r="AF1493" t="s">
        <v>303</v>
      </c>
      <c r="AG1493" t="b">
        <v>1</v>
      </c>
      <c r="AH1493" t="b">
        <v>1</v>
      </c>
    </row>
    <row r="1494" spans="22:34" x14ac:dyDescent="0.25">
      <c r="V1494" t="s">
        <v>365</v>
      </c>
      <c r="W1494" t="s">
        <v>366</v>
      </c>
      <c r="X1494" t="b">
        <v>1</v>
      </c>
      <c r="Y1494" t="b">
        <v>1</v>
      </c>
      <c r="Z1494" t="b">
        <v>1</v>
      </c>
      <c r="AA1494" t="b">
        <v>0</v>
      </c>
      <c r="AB1494" t="b">
        <v>0</v>
      </c>
      <c r="AC1494" t="b">
        <v>1</v>
      </c>
      <c r="AD1494" t="b">
        <v>0</v>
      </c>
      <c r="AE1494" t="b">
        <v>1</v>
      </c>
      <c r="AF1494" t="s">
        <v>304</v>
      </c>
      <c r="AG1494" t="b">
        <v>1</v>
      </c>
      <c r="AH1494" t="b">
        <v>1</v>
      </c>
    </row>
    <row r="1495" spans="22:34" x14ac:dyDescent="0.25">
      <c r="V1495" t="s">
        <v>365</v>
      </c>
      <c r="W1495" t="s">
        <v>366</v>
      </c>
      <c r="X1495" t="b">
        <v>1</v>
      </c>
      <c r="Y1495" t="b">
        <v>1</v>
      </c>
      <c r="Z1495" t="b">
        <v>1</v>
      </c>
      <c r="AA1495" t="b">
        <v>0</v>
      </c>
      <c r="AB1495" t="b">
        <v>0</v>
      </c>
      <c r="AC1495" t="b">
        <v>1</v>
      </c>
      <c r="AD1495" t="b">
        <v>0</v>
      </c>
      <c r="AE1495" t="b">
        <v>1</v>
      </c>
      <c r="AF1495" t="s">
        <v>305</v>
      </c>
      <c r="AG1495" t="b">
        <v>1</v>
      </c>
      <c r="AH1495" t="b">
        <v>1</v>
      </c>
    </row>
    <row r="1496" spans="22:34" x14ac:dyDescent="0.25">
      <c r="V1496" t="s">
        <v>365</v>
      </c>
      <c r="W1496" t="s">
        <v>366</v>
      </c>
      <c r="X1496" t="b">
        <v>1</v>
      </c>
      <c r="Y1496" t="b">
        <v>1</v>
      </c>
      <c r="Z1496" t="b">
        <v>1</v>
      </c>
      <c r="AA1496" t="b">
        <v>0</v>
      </c>
      <c r="AB1496" t="b">
        <v>0</v>
      </c>
      <c r="AC1496" t="b">
        <v>1</v>
      </c>
      <c r="AD1496" t="b">
        <v>0</v>
      </c>
      <c r="AE1496" t="b">
        <v>1</v>
      </c>
      <c r="AF1496" t="s">
        <v>306</v>
      </c>
      <c r="AG1496" t="b">
        <v>1</v>
      </c>
      <c r="AH1496" t="b">
        <v>1</v>
      </c>
    </row>
    <row r="1497" spans="22:34" x14ac:dyDescent="0.25">
      <c r="V1497" t="s">
        <v>365</v>
      </c>
      <c r="W1497" t="s">
        <v>366</v>
      </c>
      <c r="X1497" t="b">
        <v>1</v>
      </c>
      <c r="Y1497" t="b">
        <v>1</v>
      </c>
      <c r="Z1497" t="b">
        <v>1</v>
      </c>
      <c r="AA1497" t="b">
        <v>0</v>
      </c>
      <c r="AB1497" t="b">
        <v>0</v>
      </c>
      <c r="AC1497" t="b">
        <v>1</v>
      </c>
      <c r="AD1497" t="b">
        <v>0</v>
      </c>
      <c r="AE1497" t="b">
        <v>1</v>
      </c>
      <c r="AF1497" t="s">
        <v>307</v>
      </c>
      <c r="AG1497" t="b">
        <v>1</v>
      </c>
      <c r="AH1497" t="b">
        <v>1</v>
      </c>
    </row>
    <row r="1498" spans="22:34" x14ac:dyDescent="0.25">
      <c r="V1498" t="s">
        <v>365</v>
      </c>
      <c r="W1498" t="s">
        <v>366</v>
      </c>
      <c r="X1498" t="b">
        <v>1</v>
      </c>
      <c r="Y1498" t="b">
        <v>1</v>
      </c>
      <c r="Z1498" t="b">
        <v>1</v>
      </c>
      <c r="AA1498" t="b">
        <v>0</v>
      </c>
      <c r="AB1498" t="b">
        <v>0</v>
      </c>
      <c r="AC1498" t="b">
        <v>1</v>
      </c>
      <c r="AD1498" t="b">
        <v>0</v>
      </c>
      <c r="AE1498" t="b">
        <v>1</v>
      </c>
      <c r="AF1498" t="s">
        <v>308</v>
      </c>
      <c r="AG1498" t="b">
        <v>1</v>
      </c>
      <c r="AH1498" t="b">
        <v>1</v>
      </c>
    </row>
    <row r="1499" spans="22:34" x14ac:dyDescent="0.25">
      <c r="V1499" t="s">
        <v>365</v>
      </c>
      <c r="W1499" t="s">
        <v>366</v>
      </c>
      <c r="X1499" t="b">
        <v>1</v>
      </c>
      <c r="Y1499" t="b">
        <v>1</v>
      </c>
      <c r="Z1499" t="b">
        <v>1</v>
      </c>
      <c r="AA1499" t="b">
        <v>0</v>
      </c>
      <c r="AB1499" t="b">
        <v>0</v>
      </c>
      <c r="AC1499" t="b">
        <v>1</v>
      </c>
      <c r="AD1499" t="b">
        <v>0</v>
      </c>
      <c r="AE1499" t="b">
        <v>1</v>
      </c>
      <c r="AF1499" t="s">
        <v>309</v>
      </c>
      <c r="AG1499" t="b">
        <v>1</v>
      </c>
      <c r="AH1499" t="b">
        <v>1</v>
      </c>
    </row>
    <row r="1500" spans="22:34" x14ac:dyDescent="0.25">
      <c r="V1500" t="s">
        <v>365</v>
      </c>
      <c r="W1500" t="s">
        <v>366</v>
      </c>
      <c r="X1500" t="b">
        <v>1</v>
      </c>
      <c r="Y1500" t="b">
        <v>1</v>
      </c>
      <c r="Z1500" t="b">
        <v>1</v>
      </c>
      <c r="AA1500" t="b">
        <v>0</v>
      </c>
      <c r="AB1500" t="b">
        <v>0</v>
      </c>
      <c r="AC1500" t="b">
        <v>1</v>
      </c>
      <c r="AD1500" t="b">
        <v>0</v>
      </c>
      <c r="AE1500" t="b">
        <v>1</v>
      </c>
      <c r="AF1500" t="s">
        <v>310</v>
      </c>
      <c r="AG1500" t="b">
        <v>1</v>
      </c>
      <c r="AH1500" t="b">
        <v>1</v>
      </c>
    </row>
    <row r="1501" spans="22:34" x14ac:dyDescent="0.25">
      <c r="V1501" t="s">
        <v>365</v>
      </c>
      <c r="W1501" t="s">
        <v>366</v>
      </c>
      <c r="X1501" t="b">
        <v>1</v>
      </c>
      <c r="Y1501" t="b">
        <v>1</v>
      </c>
      <c r="Z1501" t="b">
        <v>1</v>
      </c>
      <c r="AA1501" t="b">
        <v>0</v>
      </c>
      <c r="AB1501" t="b">
        <v>0</v>
      </c>
      <c r="AC1501" t="b">
        <v>1</v>
      </c>
      <c r="AD1501" t="b">
        <v>0</v>
      </c>
      <c r="AE1501" t="b">
        <v>1</v>
      </c>
      <c r="AF1501" t="s">
        <v>311</v>
      </c>
      <c r="AG1501" t="b">
        <v>1</v>
      </c>
      <c r="AH1501" t="b">
        <v>1</v>
      </c>
    </row>
    <row r="1502" spans="22:34" x14ac:dyDescent="0.25">
      <c r="V1502" t="s">
        <v>365</v>
      </c>
      <c r="W1502" t="s">
        <v>366</v>
      </c>
      <c r="X1502" t="b">
        <v>1</v>
      </c>
      <c r="Y1502" t="b">
        <v>1</v>
      </c>
      <c r="Z1502" t="b">
        <v>1</v>
      </c>
      <c r="AA1502" t="b">
        <v>0</v>
      </c>
      <c r="AB1502" t="b">
        <v>0</v>
      </c>
      <c r="AC1502" t="b">
        <v>1</v>
      </c>
      <c r="AD1502" t="b">
        <v>0</v>
      </c>
      <c r="AE1502" t="b">
        <v>1</v>
      </c>
      <c r="AF1502" t="s">
        <v>312</v>
      </c>
      <c r="AG1502" t="b">
        <v>1</v>
      </c>
      <c r="AH1502" t="b">
        <v>1</v>
      </c>
    </row>
    <row r="1503" spans="22:34" x14ac:dyDescent="0.25">
      <c r="V1503" t="s">
        <v>365</v>
      </c>
      <c r="W1503" t="s">
        <v>366</v>
      </c>
      <c r="X1503" t="b">
        <v>1</v>
      </c>
      <c r="Y1503" t="b">
        <v>1</v>
      </c>
      <c r="Z1503" t="b">
        <v>1</v>
      </c>
      <c r="AA1503" t="b">
        <v>0</v>
      </c>
      <c r="AB1503" t="b">
        <v>0</v>
      </c>
      <c r="AC1503" t="b">
        <v>1</v>
      </c>
      <c r="AD1503" t="b">
        <v>0</v>
      </c>
      <c r="AE1503" t="b">
        <v>1</v>
      </c>
      <c r="AF1503" t="s">
        <v>313</v>
      </c>
      <c r="AG1503" t="b">
        <v>1</v>
      </c>
      <c r="AH1503" t="b">
        <v>1</v>
      </c>
    </row>
    <row r="1504" spans="22:34" x14ac:dyDescent="0.25">
      <c r="V1504" t="s">
        <v>365</v>
      </c>
      <c r="W1504" t="s">
        <v>366</v>
      </c>
      <c r="X1504" t="b">
        <v>1</v>
      </c>
      <c r="Y1504" t="b">
        <v>1</v>
      </c>
      <c r="Z1504" t="b">
        <v>1</v>
      </c>
      <c r="AA1504" t="b">
        <v>0</v>
      </c>
      <c r="AB1504" t="b">
        <v>0</v>
      </c>
      <c r="AC1504" t="b">
        <v>1</v>
      </c>
      <c r="AD1504" t="b">
        <v>0</v>
      </c>
      <c r="AE1504" t="b">
        <v>1</v>
      </c>
      <c r="AF1504" t="s">
        <v>314</v>
      </c>
      <c r="AG1504" t="b">
        <v>1</v>
      </c>
      <c r="AH1504" t="b">
        <v>1</v>
      </c>
    </row>
    <row r="1505" spans="22:34" x14ac:dyDescent="0.25">
      <c r="V1505" t="s">
        <v>365</v>
      </c>
      <c r="W1505" t="s">
        <v>366</v>
      </c>
      <c r="X1505" t="b">
        <v>1</v>
      </c>
      <c r="Y1505" t="b">
        <v>1</v>
      </c>
      <c r="Z1505" t="b">
        <v>1</v>
      </c>
      <c r="AA1505" t="b">
        <v>0</v>
      </c>
      <c r="AB1505" t="b">
        <v>0</v>
      </c>
      <c r="AC1505" t="b">
        <v>1</v>
      </c>
      <c r="AD1505" t="b">
        <v>0</v>
      </c>
      <c r="AE1505" t="b">
        <v>1</v>
      </c>
      <c r="AF1505" t="s">
        <v>315</v>
      </c>
      <c r="AG1505" t="b">
        <v>1</v>
      </c>
      <c r="AH1505" t="b">
        <v>1</v>
      </c>
    </row>
    <row r="1506" spans="22:34" x14ac:dyDescent="0.25">
      <c r="V1506" t="s">
        <v>365</v>
      </c>
      <c r="W1506" t="s">
        <v>366</v>
      </c>
      <c r="X1506" t="b">
        <v>1</v>
      </c>
      <c r="Y1506" t="b">
        <v>1</v>
      </c>
      <c r="Z1506" t="b">
        <v>1</v>
      </c>
      <c r="AA1506" t="b">
        <v>0</v>
      </c>
      <c r="AB1506" t="b">
        <v>0</v>
      </c>
      <c r="AC1506" t="b">
        <v>1</v>
      </c>
      <c r="AD1506" t="b">
        <v>0</v>
      </c>
      <c r="AE1506" t="b">
        <v>1</v>
      </c>
      <c r="AF1506" t="s">
        <v>316</v>
      </c>
      <c r="AG1506" t="b">
        <v>1</v>
      </c>
      <c r="AH1506" t="b">
        <v>1</v>
      </c>
    </row>
    <row r="1507" spans="22:34" x14ac:dyDescent="0.25">
      <c r="V1507" t="s">
        <v>365</v>
      </c>
      <c r="W1507" t="s">
        <v>366</v>
      </c>
      <c r="X1507" t="b">
        <v>1</v>
      </c>
      <c r="Y1507" t="b">
        <v>1</v>
      </c>
      <c r="Z1507" t="b">
        <v>1</v>
      </c>
      <c r="AA1507" t="b">
        <v>0</v>
      </c>
      <c r="AB1507" t="b">
        <v>0</v>
      </c>
      <c r="AC1507" t="b">
        <v>1</v>
      </c>
      <c r="AD1507" t="b">
        <v>0</v>
      </c>
      <c r="AE1507" t="b">
        <v>1</v>
      </c>
      <c r="AF1507" t="s">
        <v>317</v>
      </c>
      <c r="AG1507" t="b">
        <v>1</v>
      </c>
      <c r="AH1507" t="b">
        <v>1</v>
      </c>
    </row>
    <row r="1508" spans="22:34" x14ac:dyDescent="0.25">
      <c r="V1508" t="s">
        <v>365</v>
      </c>
      <c r="W1508" t="s">
        <v>366</v>
      </c>
      <c r="X1508" t="b">
        <v>1</v>
      </c>
      <c r="Y1508" t="b">
        <v>1</v>
      </c>
      <c r="Z1508" t="b">
        <v>1</v>
      </c>
      <c r="AA1508" t="b">
        <v>0</v>
      </c>
      <c r="AB1508" t="b">
        <v>0</v>
      </c>
      <c r="AC1508" t="b">
        <v>1</v>
      </c>
      <c r="AD1508" t="b">
        <v>0</v>
      </c>
      <c r="AE1508" t="b">
        <v>1</v>
      </c>
      <c r="AF1508" t="s">
        <v>318</v>
      </c>
      <c r="AG1508" t="b">
        <v>1</v>
      </c>
      <c r="AH1508" t="b">
        <v>1</v>
      </c>
    </row>
    <row r="1509" spans="22:34" x14ac:dyDescent="0.25">
      <c r="V1509" t="s">
        <v>365</v>
      </c>
      <c r="W1509" t="s">
        <v>366</v>
      </c>
      <c r="X1509" t="b">
        <v>1</v>
      </c>
      <c r="Y1509" t="b">
        <v>1</v>
      </c>
      <c r="Z1509" t="b">
        <v>1</v>
      </c>
      <c r="AA1509" t="b">
        <v>0</v>
      </c>
      <c r="AB1509" t="b">
        <v>0</v>
      </c>
      <c r="AC1509" t="b">
        <v>1</v>
      </c>
      <c r="AD1509" t="b">
        <v>0</v>
      </c>
      <c r="AE1509" t="b">
        <v>1</v>
      </c>
      <c r="AF1509" t="s">
        <v>319</v>
      </c>
      <c r="AG1509" t="b">
        <v>1</v>
      </c>
      <c r="AH1509" t="b">
        <v>1</v>
      </c>
    </row>
    <row r="1510" spans="22:34" x14ac:dyDescent="0.25">
      <c r="V1510" t="s">
        <v>574</v>
      </c>
      <c r="W1510" t="s">
        <v>367</v>
      </c>
      <c r="X1510" t="b">
        <v>1</v>
      </c>
      <c r="Y1510" t="b">
        <v>1</v>
      </c>
      <c r="Z1510" t="b">
        <v>1</v>
      </c>
      <c r="AA1510" t="b">
        <v>0</v>
      </c>
      <c r="AB1510" t="b">
        <v>0</v>
      </c>
      <c r="AC1510" t="b">
        <v>1</v>
      </c>
      <c r="AD1510" t="b">
        <v>0</v>
      </c>
      <c r="AE1510" t="b">
        <v>1</v>
      </c>
      <c r="AF1510" t="s">
        <v>295</v>
      </c>
      <c r="AG1510" t="b">
        <v>0</v>
      </c>
      <c r="AH1510" t="b">
        <v>0</v>
      </c>
    </row>
    <row r="1511" spans="22:34" x14ac:dyDescent="0.25">
      <c r="V1511" t="s">
        <v>574</v>
      </c>
      <c r="W1511" t="s">
        <v>367</v>
      </c>
      <c r="X1511" t="b">
        <v>1</v>
      </c>
      <c r="Y1511" t="b">
        <v>1</v>
      </c>
      <c r="Z1511" t="b">
        <v>1</v>
      </c>
      <c r="AA1511" t="b">
        <v>0</v>
      </c>
      <c r="AB1511" t="b">
        <v>0</v>
      </c>
      <c r="AC1511" t="b">
        <v>1</v>
      </c>
      <c r="AD1511" t="b">
        <v>0</v>
      </c>
      <c r="AE1511" t="b">
        <v>1</v>
      </c>
      <c r="AF1511" t="s">
        <v>297</v>
      </c>
      <c r="AG1511" t="b">
        <v>1</v>
      </c>
      <c r="AH1511" t="b">
        <v>1</v>
      </c>
    </row>
    <row r="1512" spans="22:34" x14ac:dyDescent="0.25">
      <c r="V1512" t="s">
        <v>574</v>
      </c>
      <c r="W1512" t="s">
        <v>367</v>
      </c>
      <c r="X1512" t="b">
        <v>1</v>
      </c>
      <c r="Y1512" t="b">
        <v>1</v>
      </c>
      <c r="Z1512" t="b">
        <v>1</v>
      </c>
      <c r="AA1512" t="b">
        <v>0</v>
      </c>
      <c r="AB1512" t="b">
        <v>0</v>
      </c>
      <c r="AC1512" t="b">
        <v>1</v>
      </c>
      <c r="AD1512" t="b">
        <v>0</v>
      </c>
      <c r="AE1512" t="b">
        <v>1</v>
      </c>
      <c r="AF1512" t="s">
        <v>112</v>
      </c>
      <c r="AG1512" t="b">
        <v>1</v>
      </c>
      <c r="AH1512" t="b">
        <v>1</v>
      </c>
    </row>
    <row r="1513" spans="22:34" x14ac:dyDescent="0.25">
      <c r="V1513" t="s">
        <v>574</v>
      </c>
      <c r="W1513" t="s">
        <v>367</v>
      </c>
      <c r="X1513" t="b">
        <v>1</v>
      </c>
      <c r="Y1513" t="b">
        <v>1</v>
      </c>
      <c r="Z1513" t="b">
        <v>1</v>
      </c>
      <c r="AA1513" t="b">
        <v>0</v>
      </c>
      <c r="AB1513" t="b">
        <v>0</v>
      </c>
      <c r="AC1513" t="b">
        <v>1</v>
      </c>
      <c r="AD1513" t="b">
        <v>0</v>
      </c>
      <c r="AE1513" t="b">
        <v>1</v>
      </c>
      <c r="AF1513" t="s">
        <v>114</v>
      </c>
      <c r="AG1513" t="b">
        <v>1</v>
      </c>
      <c r="AH1513" t="b">
        <v>1</v>
      </c>
    </row>
    <row r="1514" spans="22:34" x14ac:dyDescent="0.25">
      <c r="V1514" t="s">
        <v>574</v>
      </c>
      <c r="W1514" t="s">
        <v>367</v>
      </c>
      <c r="X1514" t="b">
        <v>1</v>
      </c>
      <c r="Y1514" t="b">
        <v>1</v>
      </c>
      <c r="Z1514" t="b">
        <v>1</v>
      </c>
      <c r="AA1514" t="b">
        <v>0</v>
      </c>
      <c r="AB1514" t="b">
        <v>0</v>
      </c>
      <c r="AC1514" t="b">
        <v>1</v>
      </c>
      <c r="AD1514" t="b">
        <v>0</v>
      </c>
      <c r="AE1514" t="b">
        <v>1</v>
      </c>
      <c r="AF1514" t="s">
        <v>115</v>
      </c>
      <c r="AG1514" t="b">
        <v>1</v>
      </c>
      <c r="AH1514" t="b">
        <v>1</v>
      </c>
    </row>
    <row r="1515" spans="22:34" x14ac:dyDescent="0.25">
      <c r="V1515" t="s">
        <v>574</v>
      </c>
      <c r="W1515" t="s">
        <v>367</v>
      </c>
      <c r="X1515" t="b">
        <v>1</v>
      </c>
      <c r="Y1515" t="b">
        <v>1</v>
      </c>
      <c r="Z1515" t="b">
        <v>1</v>
      </c>
      <c r="AA1515" t="b">
        <v>0</v>
      </c>
      <c r="AB1515" t="b">
        <v>0</v>
      </c>
      <c r="AC1515" t="b">
        <v>1</v>
      </c>
      <c r="AD1515" t="b">
        <v>0</v>
      </c>
      <c r="AE1515" t="b">
        <v>1</v>
      </c>
      <c r="AF1515" t="s">
        <v>116</v>
      </c>
      <c r="AG1515" t="b">
        <v>1</v>
      </c>
      <c r="AH1515" t="b">
        <v>1</v>
      </c>
    </row>
    <row r="1516" spans="22:34" x14ac:dyDescent="0.25">
      <c r="V1516" t="s">
        <v>574</v>
      </c>
      <c r="W1516" t="s">
        <v>367</v>
      </c>
      <c r="X1516" t="b">
        <v>1</v>
      </c>
      <c r="Y1516" t="b">
        <v>1</v>
      </c>
      <c r="Z1516" t="b">
        <v>1</v>
      </c>
      <c r="AA1516" t="b">
        <v>0</v>
      </c>
      <c r="AB1516" t="b">
        <v>0</v>
      </c>
      <c r="AC1516" t="b">
        <v>1</v>
      </c>
      <c r="AD1516" t="b">
        <v>0</v>
      </c>
      <c r="AE1516" t="b">
        <v>1</v>
      </c>
      <c r="AF1516" t="s">
        <v>298</v>
      </c>
      <c r="AG1516" t="b">
        <v>1</v>
      </c>
      <c r="AH1516" t="b">
        <v>1</v>
      </c>
    </row>
    <row r="1517" spans="22:34" x14ac:dyDescent="0.25">
      <c r="V1517" t="s">
        <v>574</v>
      </c>
      <c r="W1517" t="s">
        <v>367</v>
      </c>
      <c r="X1517" t="b">
        <v>1</v>
      </c>
      <c r="Y1517" t="b">
        <v>1</v>
      </c>
      <c r="Z1517" t="b">
        <v>1</v>
      </c>
      <c r="AA1517" t="b">
        <v>0</v>
      </c>
      <c r="AB1517" t="b">
        <v>0</v>
      </c>
      <c r="AC1517" t="b">
        <v>1</v>
      </c>
      <c r="AD1517" t="b">
        <v>0</v>
      </c>
      <c r="AE1517" t="b">
        <v>1</v>
      </c>
      <c r="AF1517" t="s">
        <v>299</v>
      </c>
      <c r="AG1517" t="b">
        <v>1</v>
      </c>
      <c r="AH1517" t="b">
        <v>1</v>
      </c>
    </row>
    <row r="1518" spans="22:34" x14ac:dyDescent="0.25">
      <c r="V1518" t="s">
        <v>574</v>
      </c>
      <c r="W1518" t="s">
        <v>367</v>
      </c>
      <c r="X1518" t="b">
        <v>1</v>
      </c>
      <c r="Y1518" t="b">
        <v>1</v>
      </c>
      <c r="Z1518" t="b">
        <v>1</v>
      </c>
      <c r="AA1518" t="b">
        <v>0</v>
      </c>
      <c r="AB1518" t="b">
        <v>0</v>
      </c>
      <c r="AC1518" t="b">
        <v>1</v>
      </c>
      <c r="AD1518" t="b">
        <v>0</v>
      </c>
      <c r="AE1518" t="b">
        <v>1</v>
      </c>
      <c r="AF1518" t="s">
        <v>414</v>
      </c>
      <c r="AG1518" t="b">
        <v>1</v>
      </c>
      <c r="AH1518" t="b">
        <v>1</v>
      </c>
    </row>
    <row r="1519" spans="22:34" x14ac:dyDescent="0.25">
      <c r="V1519" t="s">
        <v>574</v>
      </c>
      <c r="W1519" t="s">
        <v>367</v>
      </c>
      <c r="X1519" t="b">
        <v>1</v>
      </c>
      <c r="Y1519" t="b">
        <v>1</v>
      </c>
      <c r="Z1519" t="b">
        <v>1</v>
      </c>
      <c r="AA1519" t="b">
        <v>0</v>
      </c>
      <c r="AB1519" t="b">
        <v>0</v>
      </c>
      <c r="AC1519" t="b">
        <v>1</v>
      </c>
      <c r="AD1519" t="b">
        <v>0</v>
      </c>
      <c r="AE1519" t="b">
        <v>1</v>
      </c>
      <c r="AF1519" t="s">
        <v>118</v>
      </c>
      <c r="AG1519" t="b">
        <v>1</v>
      </c>
      <c r="AH1519" t="b">
        <v>1</v>
      </c>
    </row>
    <row r="1520" spans="22:34" x14ac:dyDescent="0.25">
      <c r="V1520" t="s">
        <v>574</v>
      </c>
      <c r="W1520" t="s">
        <v>367</v>
      </c>
      <c r="X1520" t="b">
        <v>1</v>
      </c>
      <c r="Y1520" t="b">
        <v>1</v>
      </c>
      <c r="Z1520" t="b">
        <v>1</v>
      </c>
      <c r="AA1520" t="b">
        <v>0</v>
      </c>
      <c r="AB1520" t="b">
        <v>0</v>
      </c>
      <c r="AC1520" t="b">
        <v>1</v>
      </c>
      <c r="AD1520" t="b">
        <v>0</v>
      </c>
      <c r="AE1520" t="b">
        <v>1</v>
      </c>
      <c r="AF1520" t="s">
        <v>119</v>
      </c>
      <c r="AG1520" t="b">
        <v>1</v>
      </c>
      <c r="AH1520" t="b">
        <v>1</v>
      </c>
    </row>
    <row r="1521" spans="22:34" x14ac:dyDescent="0.25">
      <c r="V1521" t="s">
        <v>574</v>
      </c>
      <c r="W1521" t="s">
        <v>367</v>
      </c>
      <c r="X1521" t="b">
        <v>1</v>
      </c>
      <c r="Y1521" t="b">
        <v>1</v>
      </c>
      <c r="Z1521" t="b">
        <v>1</v>
      </c>
      <c r="AA1521" t="b">
        <v>0</v>
      </c>
      <c r="AB1521" t="b">
        <v>0</v>
      </c>
      <c r="AC1521" t="b">
        <v>1</v>
      </c>
      <c r="AD1521" t="b">
        <v>0</v>
      </c>
      <c r="AE1521" t="b">
        <v>1</v>
      </c>
      <c r="AF1521" t="s">
        <v>300</v>
      </c>
      <c r="AG1521" t="b">
        <v>1</v>
      </c>
      <c r="AH1521" t="b">
        <v>1</v>
      </c>
    </row>
    <row r="1522" spans="22:34" x14ac:dyDescent="0.25">
      <c r="V1522" t="s">
        <v>574</v>
      </c>
      <c r="W1522" t="s">
        <v>367</v>
      </c>
      <c r="X1522" t="b">
        <v>1</v>
      </c>
      <c r="Y1522" t="b">
        <v>1</v>
      </c>
      <c r="Z1522" t="b">
        <v>1</v>
      </c>
      <c r="AA1522" t="b">
        <v>0</v>
      </c>
      <c r="AB1522" t="b">
        <v>0</v>
      </c>
      <c r="AC1522" t="b">
        <v>1</v>
      </c>
      <c r="AD1522" t="b">
        <v>0</v>
      </c>
      <c r="AE1522" t="b">
        <v>1</v>
      </c>
      <c r="AF1522" t="s">
        <v>301</v>
      </c>
      <c r="AG1522" t="b">
        <v>1</v>
      </c>
      <c r="AH1522" t="b">
        <v>1</v>
      </c>
    </row>
    <row r="1523" spans="22:34" x14ac:dyDescent="0.25">
      <c r="V1523" t="s">
        <v>574</v>
      </c>
      <c r="W1523" t="s">
        <v>367</v>
      </c>
      <c r="X1523" t="b">
        <v>1</v>
      </c>
      <c r="Y1523" t="b">
        <v>1</v>
      </c>
      <c r="Z1523" t="b">
        <v>1</v>
      </c>
      <c r="AA1523" t="b">
        <v>0</v>
      </c>
      <c r="AB1523" t="b">
        <v>0</v>
      </c>
      <c r="AC1523" t="b">
        <v>1</v>
      </c>
      <c r="AD1523" t="b">
        <v>0</v>
      </c>
      <c r="AE1523" t="b">
        <v>1</v>
      </c>
      <c r="AF1523" t="s">
        <v>120</v>
      </c>
      <c r="AG1523" t="b">
        <v>1</v>
      </c>
      <c r="AH1523" t="b">
        <v>1</v>
      </c>
    </row>
    <row r="1524" spans="22:34" x14ac:dyDescent="0.25">
      <c r="V1524" t="s">
        <v>574</v>
      </c>
      <c r="W1524" t="s">
        <v>367</v>
      </c>
      <c r="X1524" t="b">
        <v>1</v>
      </c>
      <c r="Y1524" t="b">
        <v>1</v>
      </c>
      <c r="Z1524" t="b">
        <v>1</v>
      </c>
      <c r="AA1524" t="b">
        <v>0</v>
      </c>
      <c r="AB1524" t="b">
        <v>0</v>
      </c>
      <c r="AC1524" t="b">
        <v>1</v>
      </c>
      <c r="AD1524" t="b">
        <v>0</v>
      </c>
      <c r="AE1524" t="b">
        <v>1</v>
      </c>
      <c r="AF1524" t="s">
        <v>302</v>
      </c>
      <c r="AG1524" t="b">
        <v>1</v>
      </c>
      <c r="AH1524" t="b">
        <v>1</v>
      </c>
    </row>
    <row r="1525" spans="22:34" x14ac:dyDescent="0.25">
      <c r="V1525" t="s">
        <v>574</v>
      </c>
      <c r="W1525" t="s">
        <v>367</v>
      </c>
      <c r="X1525" t="b">
        <v>1</v>
      </c>
      <c r="Y1525" t="b">
        <v>1</v>
      </c>
      <c r="Z1525" t="b">
        <v>1</v>
      </c>
      <c r="AA1525" t="b">
        <v>0</v>
      </c>
      <c r="AB1525" t="b">
        <v>0</v>
      </c>
      <c r="AC1525" t="b">
        <v>1</v>
      </c>
      <c r="AD1525" t="b">
        <v>0</v>
      </c>
      <c r="AE1525" t="b">
        <v>1</v>
      </c>
      <c r="AF1525" t="s">
        <v>303</v>
      </c>
      <c r="AG1525" t="b">
        <v>1</v>
      </c>
      <c r="AH1525" t="b">
        <v>1</v>
      </c>
    </row>
    <row r="1526" spans="22:34" x14ac:dyDescent="0.25">
      <c r="V1526" t="s">
        <v>574</v>
      </c>
      <c r="W1526" t="s">
        <v>367</v>
      </c>
      <c r="X1526" t="b">
        <v>1</v>
      </c>
      <c r="Y1526" t="b">
        <v>1</v>
      </c>
      <c r="Z1526" t="b">
        <v>1</v>
      </c>
      <c r="AA1526" t="b">
        <v>0</v>
      </c>
      <c r="AB1526" t="b">
        <v>0</v>
      </c>
      <c r="AC1526" t="b">
        <v>1</v>
      </c>
      <c r="AD1526" t="b">
        <v>0</v>
      </c>
      <c r="AE1526" t="b">
        <v>1</v>
      </c>
      <c r="AF1526" t="s">
        <v>304</v>
      </c>
      <c r="AG1526" t="b">
        <v>1</v>
      </c>
      <c r="AH1526" t="b">
        <v>1</v>
      </c>
    </row>
    <row r="1527" spans="22:34" x14ac:dyDescent="0.25">
      <c r="V1527" t="s">
        <v>574</v>
      </c>
      <c r="W1527" t="s">
        <v>367</v>
      </c>
      <c r="X1527" t="b">
        <v>1</v>
      </c>
      <c r="Y1527" t="b">
        <v>1</v>
      </c>
      <c r="Z1527" t="b">
        <v>1</v>
      </c>
      <c r="AA1527" t="b">
        <v>0</v>
      </c>
      <c r="AB1527" t="b">
        <v>0</v>
      </c>
      <c r="AC1527" t="b">
        <v>1</v>
      </c>
      <c r="AD1527" t="b">
        <v>0</v>
      </c>
      <c r="AE1527" t="b">
        <v>1</v>
      </c>
      <c r="AF1527" t="s">
        <v>305</v>
      </c>
      <c r="AG1527" t="b">
        <v>1</v>
      </c>
      <c r="AH1527" t="b">
        <v>1</v>
      </c>
    </row>
    <row r="1528" spans="22:34" x14ac:dyDescent="0.25">
      <c r="V1528" t="s">
        <v>574</v>
      </c>
      <c r="W1528" t="s">
        <v>367</v>
      </c>
      <c r="X1528" t="b">
        <v>1</v>
      </c>
      <c r="Y1528" t="b">
        <v>1</v>
      </c>
      <c r="Z1528" t="b">
        <v>1</v>
      </c>
      <c r="AA1528" t="b">
        <v>0</v>
      </c>
      <c r="AB1528" t="b">
        <v>0</v>
      </c>
      <c r="AC1528" t="b">
        <v>1</v>
      </c>
      <c r="AD1528" t="b">
        <v>0</v>
      </c>
      <c r="AE1528" t="b">
        <v>1</v>
      </c>
      <c r="AF1528" t="s">
        <v>306</v>
      </c>
      <c r="AG1528" t="b">
        <v>1</v>
      </c>
      <c r="AH1528" t="b">
        <v>1</v>
      </c>
    </row>
    <row r="1529" spans="22:34" x14ac:dyDescent="0.25">
      <c r="V1529" t="s">
        <v>574</v>
      </c>
      <c r="W1529" t="s">
        <v>367</v>
      </c>
      <c r="X1529" t="b">
        <v>1</v>
      </c>
      <c r="Y1529" t="b">
        <v>1</v>
      </c>
      <c r="Z1529" t="b">
        <v>1</v>
      </c>
      <c r="AA1529" t="b">
        <v>0</v>
      </c>
      <c r="AB1529" t="b">
        <v>0</v>
      </c>
      <c r="AC1529" t="b">
        <v>1</v>
      </c>
      <c r="AD1529" t="b">
        <v>0</v>
      </c>
      <c r="AE1529" t="b">
        <v>1</v>
      </c>
      <c r="AF1529" t="s">
        <v>307</v>
      </c>
      <c r="AG1529" t="b">
        <v>1</v>
      </c>
      <c r="AH1529" t="b">
        <v>1</v>
      </c>
    </row>
    <row r="1530" spans="22:34" x14ac:dyDescent="0.25">
      <c r="V1530" t="s">
        <v>574</v>
      </c>
      <c r="W1530" t="s">
        <v>367</v>
      </c>
      <c r="X1530" t="b">
        <v>1</v>
      </c>
      <c r="Y1530" t="b">
        <v>1</v>
      </c>
      <c r="Z1530" t="b">
        <v>1</v>
      </c>
      <c r="AA1530" t="b">
        <v>0</v>
      </c>
      <c r="AB1530" t="b">
        <v>0</v>
      </c>
      <c r="AC1530" t="b">
        <v>1</v>
      </c>
      <c r="AD1530" t="b">
        <v>0</v>
      </c>
      <c r="AE1530" t="b">
        <v>1</v>
      </c>
      <c r="AF1530" t="s">
        <v>308</v>
      </c>
      <c r="AG1530" t="b">
        <v>1</v>
      </c>
      <c r="AH1530" t="b">
        <v>1</v>
      </c>
    </row>
    <row r="1531" spans="22:34" x14ac:dyDescent="0.25">
      <c r="V1531" t="s">
        <v>574</v>
      </c>
      <c r="W1531" t="s">
        <v>367</v>
      </c>
      <c r="X1531" t="b">
        <v>1</v>
      </c>
      <c r="Y1531" t="b">
        <v>1</v>
      </c>
      <c r="Z1531" t="b">
        <v>1</v>
      </c>
      <c r="AA1531" t="b">
        <v>0</v>
      </c>
      <c r="AB1531" t="b">
        <v>0</v>
      </c>
      <c r="AC1531" t="b">
        <v>1</v>
      </c>
      <c r="AD1531" t="b">
        <v>0</v>
      </c>
      <c r="AE1531" t="b">
        <v>1</v>
      </c>
      <c r="AF1531" t="s">
        <v>309</v>
      </c>
      <c r="AG1531" t="b">
        <v>1</v>
      </c>
      <c r="AH1531" t="b">
        <v>1</v>
      </c>
    </row>
    <row r="1532" spans="22:34" x14ac:dyDescent="0.25">
      <c r="V1532" t="s">
        <v>574</v>
      </c>
      <c r="W1532" t="s">
        <v>367</v>
      </c>
      <c r="X1532" t="b">
        <v>1</v>
      </c>
      <c r="Y1532" t="b">
        <v>1</v>
      </c>
      <c r="Z1532" t="b">
        <v>1</v>
      </c>
      <c r="AA1532" t="b">
        <v>0</v>
      </c>
      <c r="AB1532" t="b">
        <v>0</v>
      </c>
      <c r="AC1532" t="b">
        <v>1</v>
      </c>
      <c r="AD1532" t="b">
        <v>0</v>
      </c>
      <c r="AE1532" t="b">
        <v>1</v>
      </c>
      <c r="AF1532" t="s">
        <v>310</v>
      </c>
      <c r="AG1532" t="b">
        <v>1</v>
      </c>
      <c r="AH1532" t="b">
        <v>1</v>
      </c>
    </row>
    <row r="1533" spans="22:34" x14ac:dyDescent="0.25">
      <c r="V1533" t="s">
        <v>574</v>
      </c>
      <c r="W1533" t="s">
        <v>367</v>
      </c>
      <c r="X1533" t="b">
        <v>1</v>
      </c>
      <c r="Y1533" t="b">
        <v>1</v>
      </c>
      <c r="Z1533" t="b">
        <v>1</v>
      </c>
      <c r="AA1533" t="b">
        <v>0</v>
      </c>
      <c r="AB1533" t="b">
        <v>0</v>
      </c>
      <c r="AC1533" t="b">
        <v>1</v>
      </c>
      <c r="AD1533" t="b">
        <v>0</v>
      </c>
      <c r="AE1533" t="b">
        <v>1</v>
      </c>
      <c r="AF1533" t="s">
        <v>311</v>
      </c>
      <c r="AG1533" t="b">
        <v>1</v>
      </c>
      <c r="AH1533" t="b">
        <v>1</v>
      </c>
    </row>
    <row r="1534" spans="22:34" x14ac:dyDescent="0.25">
      <c r="V1534" t="s">
        <v>574</v>
      </c>
      <c r="W1534" t="s">
        <v>367</v>
      </c>
      <c r="X1534" t="b">
        <v>1</v>
      </c>
      <c r="Y1534" t="b">
        <v>1</v>
      </c>
      <c r="Z1534" t="b">
        <v>1</v>
      </c>
      <c r="AA1534" t="b">
        <v>0</v>
      </c>
      <c r="AB1534" t="b">
        <v>0</v>
      </c>
      <c r="AC1534" t="b">
        <v>1</v>
      </c>
      <c r="AD1534" t="b">
        <v>0</v>
      </c>
      <c r="AE1534" t="b">
        <v>1</v>
      </c>
      <c r="AF1534" t="s">
        <v>312</v>
      </c>
      <c r="AG1534" t="b">
        <v>1</v>
      </c>
      <c r="AH1534" t="b">
        <v>1</v>
      </c>
    </row>
    <row r="1535" spans="22:34" x14ac:dyDescent="0.25">
      <c r="V1535" t="s">
        <v>574</v>
      </c>
      <c r="W1535" t="s">
        <v>367</v>
      </c>
      <c r="X1535" t="b">
        <v>1</v>
      </c>
      <c r="Y1535" t="b">
        <v>1</v>
      </c>
      <c r="Z1535" t="b">
        <v>1</v>
      </c>
      <c r="AA1535" t="b">
        <v>0</v>
      </c>
      <c r="AB1535" t="b">
        <v>0</v>
      </c>
      <c r="AC1535" t="b">
        <v>1</v>
      </c>
      <c r="AD1535" t="b">
        <v>0</v>
      </c>
      <c r="AE1535" t="b">
        <v>1</v>
      </c>
      <c r="AF1535" t="s">
        <v>313</v>
      </c>
      <c r="AG1535" t="b">
        <v>1</v>
      </c>
      <c r="AH1535" t="b">
        <v>1</v>
      </c>
    </row>
    <row r="1536" spans="22:34" x14ac:dyDescent="0.25">
      <c r="V1536" t="s">
        <v>574</v>
      </c>
      <c r="W1536" t="s">
        <v>367</v>
      </c>
      <c r="X1536" t="b">
        <v>1</v>
      </c>
      <c r="Y1536" t="b">
        <v>1</v>
      </c>
      <c r="Z1536" t="b">
        <v>1</v>
      </c>
      <c r="AA1536" t="b">
        <v>0</v>
      </c>
      <c r="AB1536" t="b">
        <v>0</v>
      </c>
      <c r="AC1536" t="b">
        <v>1</v>
      </c>
      <c r="AD1536" t="b">
        <v>0</v>
      </c>
      <c r="AE1536" t="b">
        <v>1</v>
      </c>
      <c r="AF1536" t="s">
        <v>314</v>
      </c>
      <c r="AG1536" t="b">
        <v>1</v>
      </c>
      <c r="AH1536" t="b">
        <v>1</v>
      </c>
    </row>
    <row r="1537" spans="22:34" x14ac:dyDescent="0.25">
      <c r="V1537" t="s">
        <v>574</v>
      </c>
      <c r="W1537" t="s">
        <v>367</v>
      </c>
      <c r="X1537" t="b">
        <v>1</v>
      </c>
      <c r="Y1537" t="b">
        <v>1</v>
      </c>
      <c r="Z1537" t="b">
        <v>1</v>
      </c>
      <c r="AA1537" t="b">
        <v>0</v>
      </c>
      <c r="AB1537" t="b">
        <v>0</v>
      </c>
      <c r="AC1537" t="b">
        <v>1</v>
      </c>
      <c r="AD1537" t="b">
        <v>0</v>
      </c>
      <c r="AE1537" t="b">
        <v>1</v>
      </c>
      <c r="AF1537" t="s">
        <v>315</v>
      </c>
      <c r="AG1537" t="b">
        <v>1</v>
      </c>
      <c r="AH1537" t="b">
        <v>1</v>
      </c>
    </row>
    <row r="1538" spans="22:34" x14ac:dyDescent="0.25">
      <c r="V1538" t="s">
        <v>574</v>
      </c>
      <c r="W1538" t="s">
        <v>367</v>
      </c>
      <c r="X1538" t="b">
        <v>1</v>
      </c>
      <c r="Y1538" t="b">
        <v>1</v>
      </c>
      <c r="Z1538" t="b">
        <v>1</v>
      </c>
      <c r="AA1538" t="b">
        <v>0</v>
      </c>
      <c r="AB1538" t="b">
        <v>0</v>
      </c>
      <c r="AC1538" t="b">
        <v>1</v>
      </c>
      <c r="AD1538" t="b">
        <v>0</v>
      </c>
      <c r="AE1538" t="b">
        <v>1</v>
      </c>
      <c r="AF1538" t="s">
        <v>316</v>
      </c>
      <c r="AG1538" t="b">
        <v>1</v>
      </c>
      <c r="AH1538" t="b">
        <v>1</v>
      </c>
    </row>
    <row r="1539" spans="22:34" x14ac:dyDescent="0.25">
      <c r="V1539" t="s">
        <v>574</v>
      </c>
      <c r="W1539" t="s">
        <v>367</v>
      </c>
      <c r="X1539" t="b">
        <v>1</v>
      </c>
      <c r="Y1539" t="b">
        <v>1</v>
      </c>
      <c r="Z1539" t="b">
        <v>1</v>
      </c>
      <c r="AA1539" t="b">
        <v>0</v>
      </c>
      <c r="AB1539" t="b">
        <v>0</v>
      </c>
      <c r="AC1539" t="b">
        <v>1</v>
      </c>
      <c r="AD1539" t="b">
        <v>0</v>
      </c>
      <c r="AE1539" t="b">
        <v>1</v>
      </c>
      <c r="AF1539" t="s">
        <v>317</v>
      </c>
      <c r="AG1539" t="b">
        <v>1</v>
      </c>
      <c r="AH1539" t="b">
        <v>1</v>
      </c>
    </row>
    <row r="1540" spans="22:34" x14ac:dyDescent="0.25">
      <c r="V1540" t="s">
        <v>574</v>
      </c>
      <c r="W1540" t="s">
        <v>367</v>
      </c>
      <c r="X1540" t="b">
        <v>1</v>
      </c>
      <c r="Y1540" t="b">
        <v>1</v>
      </c>
      <c r="Z1540" t="b">
        <v>1</v>
      </c>
      <c r="AA1540" t="b">
        <v>0</v>
      </c>
      <c r="AB1540" t="b">
        <v>0</v>
      </c>
      <c r="AC1540" t="b">
        <v>1</v>
      </c>
      <c r="AD1540" t="b">
        <v>0</v>
      </c>
      <c r="AE1540" t="b">
        <v>1</v>
      </c>
      <c r="AF1540" t="s">
        <v>318</v>
      </c>
      <c r="AG1540" t="b">
        <v>1</v>
      </c>
      <c r="AH1540" t="b">
        <v>1</v>
      </c>
    </row>
    <row r="1541" spans="22:34" x14ac:dyDescent="0.25">
      <c r="V1541" t="s">
        <v>574</v>
      </c>
      <c r="W1541" t="s">
        <v>367</v>
      </c>
      <c r="X1541" t="b">
        <v>1</v>
      </c>
      <c r="Y1541" t="b">
        <v>1</v>
      </c>
      <c r="Z1541" t="b">
        <v>1</v>
      </c>
      <c r="AA1541" t="b">
        <v>0</v>
      </c>
      <c r="AB1541" t="b">
        <v>0</v>
      </c>
      <c r="AC1541" t="b">
        <v>1</v>
      </c>
      <c r="AD1541" t="b">
        <v>0</v>
      </c>
      <c r="AE1541" t="b">
        <v>1</v>
      </c>
      <c r="AF1541" t="s">
        <v>319</v>
      </c>
      <c r="AG1541" t="b">
        <v>1</v>
      </c>
      <c r="AH1541" t="b">
        <v>1</v>
      </c>
    </row>
    <row r="1542" spans="22:34" x14ac:dyDescent="0.25">
      <c r="V1542" t="s">
        <v>575</v>
      </c>
      <c r="W1542" t="s">
        <v>576</v>
      </c>
      <c r="X1542" t="b">
        <v>1</v>
      </c>
      <c r="Y1542" t="b">
        <v>0</v>
      </c>
      <c r="Z1542" t="b">
        <v>1</v>
      </c>
      <c r="AA1542" t="b">
        <v>0</v>
      </c>
      <c r="AB1542" t="b">
        <v>1</v>
      </c>
      <c r="AC1542" t="b">
        <v>1</v>
      </c>
      <c r="AD1542" t="b">
        <v>0</v>
      </c>
      <c r="AE1542" t="b">
        <v>1</v>
      </c>
      <c r="AF1542" t="s">
        <v>295</v>
      </c>
      <c r="AG1542" t="b">
        <v>0</v>
      </c>
      <c r="AH1542" t="b">
        <v>0</v>
      </c>
    </row>
    <row r="1543" spans="22:34" x14ac:dyDescent="0.25">
      <c r="V1543" t="s">
        <v>575</v>
      </c>
      <c r="W1543" t="s">
        <v>576</v>
      </c>
      <c r="X1543" t="b">
        <v>1</v>
      </c>
      <c r="Y1543" t="b">
        <v>0</v>
      </c>
      <c r="Z1543" t="b">
        <v>1</v>
      </c>
      <c r="AA1543" t="b">
        <v>0</v>
      </c>
      <c r="AB1543" t="b">
        <v>1</v>
      </c>
      <c r="AC1543" t="b">
        <v>1</v>
      </c>
      <c r="AD1543" t="b">
        <v>0</v>
      </c>
      <c r="AE1543" t="b">
        <v>1</v>
      </c>
      <c r="AF1543" t="s">
        <v>297</v>
      </c>
      <c r="AG1543" t="b">
        <v>0</v>
      </c>
      <c r="AH1543" t="b">
        <v>0</v>
      </c>
    </row>
    <row r="1544" spans="22:34" x14ac:dyDescent="0.25">
      <c r="V1544" t="s">
        <v>575</v>
      </c>
      <c r="W1544" t="s">
        <v>576</v>
      </c>
      <c r="X1544" t="b">
        <v>1</v>
      </c>
      <c r="Y1544" t="b">
        <v>0</v>
      </c>
      <c r="Z1544" t="b">
        <v>1</v>
      </c>
      <c r="AA1544" t="b">
        <v>0</v>
      </c>
      <c r="AB1544" t="b">
        <v>1</v>
      </c>
      <c r="AC1544" t="b">
        <v>1</v>
      </c>
      <c r="AD1544" t="b">
        <v>0</v>
      </c>
      <c r="AE1544" t="b">
        <v>1</v>
      </c>
      <c r="AF1544" t="s">
        <v>112</v>
      </c>
      <c r="AG1544" t="b">
        <v>1</v>
      </c>
      <c r="AH1544" t="b">
        <v>1</v>
      </c>
    </row>
    <row r="1545" spans="22:34" x14ac:dyDescent="0.25">
      <c r="V1545" t="s">
        <v>575</v>
      </c>
      <c r="W1545" t="s">
        <v>576</v>
      </c>
      <c r="X1545" t="b">
        <v>1</v>
      </c>
      <c r="Y1545" t="b">
        <v>0</v>
      </c>
      <c r="Z1545" t="b">
        <v>1</v>
      </c>
      <c r="AA1545" t="b">
        <v>0</v>
      </c>
      <c r="AB1545" t="b">
        <v>1</v>
      </c>
      <c r="AC1545" t="b">
        <v>1</v>
      </c>
      <c r="AD1545" t="b">
        <v>0</v>
      </c>
      <c r="AE1545" t="b">
        <v>1</v>
      </c>
      <c r="AF1545" t="s">
        <v>114</v>
      </c>
      <c r="AG1545" t="b">
        <v>1</v>
      </c>
      <c r="AH1545" t="b">
        <v>1</v>
      </c>
    </row>
    <row r="1546" spans="22:34" x14ac:dyDescent="0.25">
      <c r="V1546" t="s">
        <v>575</v>
      </c>
      <c r="W1546" t="s">
        <v>576</v>
      </c>
      <c r="X1546" t="b">
        <v>1</v>
      </c>
      <c r="Y1546" t="b">
        <v>0</v>
      </c>
      <c r="Z1546" t="b">
        <v>1</v>
      </c>
      <c r="AA1546" t="b">
        <v>0</v>
      </c>
      <c r="AB1546" t="b">
        <v>1</v>
      </c>
      <c r="AC1546" t="b">
        <v>1</v>
      </c>
      <c r="AD1546" t="b">
        <v>0</v>
      </c>
      <c r="AE1546" t="b">
        <v>1</v>
      </c>
      <c r="AF1546" t="s">
        <v>115</v>
      </c>
      <c r="AG1546" t="b">
        <v>1</v>
      </c>
      <c r="AH1546" t="b">
        <v>1</v>
      </c>
    </row>
    <row r="1547" spans="22:34" x14ac:dyDescent="0.25">
      <c r="V1547" t="s">
        <v>575</v>
      </c>
      <c r="W1547" t="s">
        <v>576</v>
      </c>
      <c r="X1547" t="b">
        <v>1</v>
      </c>
      <c r="Y1547" t="b">
        <v>0</v>
      </c>
      <c r="Z1547" t="b">
        <v>1</v>
      </c>
      <c r="AA1547" t="b">
        <v>0</v>
      </c>
      <c r="AB1547" t="b">
        <v>1</v>
      </c>
      <c r="AC1547" t="b">
        <v>1</v>
      </c>
      <c r="AD1547" t="b">
        <v>0</v>
      </c>
      <c r="AE1547" t="b">
        <v>1</v>
      </c>
      <c r="AF1547" t="s">
        <v>116</v>
      </c>
      <c r="AG1547" t="b">
        <v>1</v>
      </c>
      <c r="AH1547" t="b">
        <v>1</v>
      </c>
    </row>
    <row r="1548" spans="22:34" x14ac:dyDescent="0.25">
      <c r="V1548" t="s">
        <v>575</v>
      </c>
      <c r="W1548" t="s">
        <v>576</v>
      </c>
      <c r="X1548" t="b">
        <v>1</v>
      </c>
      <c r="Y1548" t="b">
        <v>0</v>
      </c>
      <c r="Z1548" t="b">
        <v>1</v>
      </c>
      <c r="AA1548" t="b">
        <v>0</v>
      </c>
      <c r="AB1548" t="b">
        <v>1</v>
      </c>
      <c r="AC1548" t="b">
        <v>1</v>
      </c>
      <c r="AD1548" t="b">
        <v>0</v>
      </c>
      <c r="AE1548" t="b">
        <v>1</v>
      </c>
      <c r="AF1548" t="s">
        <v>298</v>
      </c>
      <c r="AG1548" t="b">
        <v>1</v>
      </c>
      <c r="AH1548" t="b">
        <v>1</v>
      </c>
    </row>
    <row r="1549" spans="22:34" x14ac:dyDescent="0.25">
      <c r="V1549" t="s">
        <v>575</v>
      </c>
      <c r="W1549" t="s">
        <v>576</v>
      </c>
      <c r="X1549" t="b">
        <v>1</v>
      </c>
      <c r="Y1549" t="b">
        <v>0</v>
      </c>
      <c r="Z1549" t="b">
        <v>1</v>
      </c>
      <c r="AA1549" t="b">
        <v>0</v>
      </c>
      <c r="AB1549" t="b">
        <v>1</v>
      </c>
      <c r="AC1549" t="b">
        <v>1</v>
      </c>
      <c r="AD1549" t="b">
        <v>0</v>
      </c>
      <c r="AE1549" t="b">
        <v>1</v>
      </c>
      <c r="AF1549" t="s">
        <v>299</v>
      </c>
      <c r="AG1549" t="b">
        <v>1</v>
      </c>
      <c r="AH1549" t="b">
        <v>1</v>
      </c>
    </row>
    <row r="1550" spans="22:34" x14ac:dyDescent="0.25">
      <c r="V1550" t="s">
        <v>575</v>
      </c>
      <c r="W1550" t="s">
        <v>576</v>
      </c>
      <c r="X1550" t="b">
        <v>1</v>
      </c>
      <c r="Y1550" t="b">
        <v>0</v>
      </c>
      <c r="Z1550" t="b">
        <v>1</v>
      </c>
      <c r="AA1550" t="b">
        <v>0</v>
      </c>
      <c r="AB1550" t="b">
        <v>1</v>
      </c>
      <c r="AC1550" t="b">
        <v>1</v>
      </c>
      <c r="AD1550" t="b">
        <v>0</v>
      </c>
      <c r="AE1550" t="b">
        <v>1</v>
      </c>
      <c r="AF1550" t="s">
        <v>414</v>
      </c>
      <c r="AG1550" t="b">
        <v>1</v>
      </c>
      <c r="AH1550" t="b">
        <v>1</v>
      </c>
    </row>
    <row r="1551" spans="22:34" x14ac:dyDescent="0.25">
      <c r="V1551" t="s">
        <v>575</v>
      </c>
      <c r="W1551" t="s">
        <v>576</v>
      </c>
      <c r="X1551" t="b">
        <v>1</v>
      </c>
      <c r="Y1551" t="b">
        <v>0</v>
      </c>
      <c r="Z1551" t="b">
        <v>1</v>
      </c>
      <c r="AA1551" t="b">
        <v>0</v>
      </c>
      <c r="AB1551" t="b">
        <v>1</v>
      </c>
      <c r="AC1551" t="b">
        <v>1</v>
      </c>
      <c r="AD1551" t="b">
        <v>0</v>
      </c>
      <c r="AE1551" t="b">
        <v>1</v>
      </c>
      <c r="AF1551" t="s">
        <v>118</v>
      </c>
      <c r="AG1551" t="b">
        <v>1</v>
      </c>
      <c r="AH1551" t="b">
        <v>1</v>
      </c>
    </row>
    <row r="1552" spans="22:34" x14ac:dyDescent="0.25">
      <c r="V1552" t="s">
        <v>575</v>
      </c>
      <c r="W1552" t="s">
        <v>576</v>
      </c>
      <c r="X1552" t="b">
        <v>1</v>
      </c>
      <c r="Y1552" t="b">
        <v>0</v>
      </c>
      <c r="Z1552" t="b">
        <v>1</v>
      </c>
      <c r="AA1552" t="b">
        <v>0</v>
      </c>
      <c r="AB1552" t="b">
        <v>1</v>
      </c>
      <c r="AC1552" t="b">
        <v>1</v>
      </c>
      <c r="AD1552" t="b">
        <v>0</v>
      </c>
      <c r="AE1552" t="b">
        <v>1</v>
      </c>
      <c r="AF1552" t="s">
        <v>119</v>
      </c>
      <c r="AG1552" t="b">
        <v>1</v>
      </c>
      <c r="AH1552" t="b">
        <v>1</v>
      </c>
    </row>
    <row r="1553" spans="22:34" x14ac:dyDescent="0.25">
      <c r="V1553" t="s">
        <v>575</v>
      </c>
      <c r="W1553" t="s">
        <v>576</v>
      </c>
      <c r="X1553" t="b">
        <v>1</v>
      </c>
      <c r="Y1553" t="b">
        <v>0</v>
      </c>
      <c r="Z1553" t="b">
        <v>1</v>
      </c>
      <c r="AA1553" t="b">
        <v>0</v>
      </c>
      <c r="AB1553" t="b">
        <v>1</v>
      </c>
      <c r="AC1553" t="b">
        <v>1</v>
      </c>
      <c r="AD1553" t="b">
        <v>0</v>
      </c>
      <c r="AE1553" t="b">
        <v>1</v>
      </c>
      <c r="AF1553" t="s">
        <v>300</v>
      </c>
      <c r="AG1553" t="b">
        <v>1</v>
      </c>
      <c r="AH1553" t="b">
        <v>1</v>
      </c>
    </row>
    <row r="1554" spans="22:34" x14ac:dyDescent="0.25">
      <c r="V1554" t="s">
        <v>575</v>
      </c>
      <c r="W1554" t="s">
        <v>576</v>
      </c>
      <c r="X1554" t="b">
        <v>1</v>
      </c>
      <c r="Y1554" t="b">
        <v>0</v>
      </c>
      <c r="Z1554" t="b">
        <v>1</v>
      </c>
      <c r="AA1554" t="b">
        <v>0</v>
      </c>
      <c r="AB1554" t="b">
        <v>1</v>
      </c>
      <c r="AC1554" t="b">
        <v>1</v>
      </c>
      <c r="AD1554" t="b">
        <v>0</v>
      </c>
      <c r="AE1554" t="b">
        <v>1</v>
      </c>
      <c r="AF1554" t="s">
        <v>301</v>
      </c>
      <c r="AG1554" t="b">
        <v>1</v>
      </c>
      <c r="AH1554" t="b">
        <v>1</v>
      </c>
    </row>
    <row r="1555" spans="22:34" x14ac:dyDescent="0.25">
      <c r="V1555" t="s">
        <v>575</v>
      </c>
      <c r="W1555" t="s">
        <v>576</v>
      </c>
      <c r="X1555" t="b">
        <v>1</v>
      </c>
      <c r="Y1555" t="b">
        <v>0</v>
      </c>
      <c r="Z1555" t="b">
        <v>1</v>
      </c>
      <c r="AA1555" t="b">
        <v>0</v>
      </c>
      <c r="AB1555" t="b">
        <v>1</v>
      </c>
      <c r="AC1555" t="b">
        <v>1</v>
      </c>
      <c r="AD1555" t="b">
        <v>0</v>
      </c>
      <c r="AE1555" t="b">
        <v>1</v>
      </c>
      <c r="AF1555" t="s">
        <v>120</v>
      </c>
      <c r="AG1555" t="b">
        <v>1</v>
      </c>
      <c r="AH1555" t="b">
        <v>1</v>
      </c>
    </row>
    <row r="1556" spans="22:34" x14ac:dyDescent="0.25">
      <c r="V1556" t="s">
        <v>575</v>
      </c>
      <c r="W1556" t="s">
        <v>576</v>
      </c>
      <c r="X1556" t="b">
        <v>1</v>
      </c>
      <c r="Y1556" t="b">
        <v>0</v>
      </c>
      <c r="Z1556" t="b">
        <v>1</v>
      </c>
      <c r="AA1556" t="b">
        <v>0</v>
      </c>
      <c r="AB1556" t="b">
        <v>1</v>
      </c>
      <c r="AC1556" t="b">
        <v>1</v>
      </c>
      <c r="AD1556" t="b">
        <v>0</v>
      </c>
      <c r="AE1556" t="b">
        <v>1</v>
      </c>
      <c r="AF1556" t="s">
        <v>302</v>
      </c>
      <c r="AG1556" t="b">
        <v>1</v>
      </c>
      <c r="AH1556" t="b">
        <v>1</v>
      </c>
    </row>
    <row r="1557" spans="22:34" x14ac:dyDescent="0.25">
      <c r="V1557" t="s">
        <v>575</v>
      </c>
      <c r="W1557" t="s">
        <v>576</v>
      </c>
      <c r="X1557" t="b">
        <v>1</v>
      </c>
      <c r="Y1557" t="b">
        <v>0</v>
      </c>
      <c r="Z1557" t="b">
        <v>1</v>
      </c>
      <c r="AA1557" t="b">
        <v>0</v>
      </c>
      <c r="AB1557" t="b">
        <v>1</v>
      </c>
      <c r="AC1557" t="b">
        <v>1</v>
      </c>
      <c r="AD1557" t="b">
        <v>0</v>
      </c>
      <c r="AE1557" t="b">
        <v>1</v>
      </c>
      <c r="AF1557" t="s">
        <v>303</v>
      </c>
      <c r="AG1557" t="b">
        <v>1</v>
      </c>
      <c r="AH1557" t="b">
        <v>1</v>
      </c>
    </row>
    <row r="1558" spans="22:34" x14ac:dyDescent="0.25">
      <c r="V1558" t="s">
        <v>575</v>
      </c>
      <c r="W1558" t="s">
        <v>576</v>
      </c>
      <c r="X1558" t="b">
        <v>1</v>
      </c>
      <c r="Y1558" t="b">
        <v>0</v>
      </c>
      <c r="Z1558" t="b">
        <v>1</v>
      </c>
      <c r="AA1558" t="b">
        <v>0</v>
      </c>
      <c r="AB1558" t="b">
        <v>1</v>
      </c>
      <c r="AC1558" t="b">
        <v>1</v>
      </c>
      <c r="AD1558" t="b">
        <v>0</v>
      </c>
      <c r="AE1558" t="b">
        <v>1</v>
      </c>
      <c r="AF1558" t="s">
        <v>304</v>
      </c>
      <c r="AG1558" t="b">
        <v>1</v>
      </c>
      <c r="AH1558" t="b">
        <v>1</v>
      </c>
    </row>
    <row r="1559" spans="22:34" x14ac:dyDescent="0.25">
      <c r="V1559" t="s">
        <v>575</v>
      </c>
      <c r="W1559" t="s">
        <v>576</v>
      </c>
      <c r="X1559" t="b">
        <v>1</v>
      </c>
      <c r="Y1559" t="b">
        <v>0</v>
      </c>
      <c r="Z1559" t="b">
        <v>1</v>
      </c>
      <c r="AA1559" t="b">
        <v>0</v>
      </c>
      <c r="AB1559" t="b">
        <v>1</v>
      </c>
      <c r="AC1559" t="b">
        <v>1</v>
      </c>
      <c r="AD1559" t="b">
        <v>0</v>
      </c>
      <c r="AE1559" t="b">
        <v>1</v>
      </c>
      <c r="AF1559" t="s">
        <v>305</v>
      </c>
      <c r="AG1559" t="b">
        <v>1</v>
      </c>
      <c r="AH1559" t="b">
        <v>1</v>
      </c>
    </row>
    <row r="1560" spans="22:34" x14ac:dyDescent="0.25">
      <c r="V1560" t="s">
        <v>575</v>
      </c>
      <c r="W1560" t="s">
        <v>576</v>
      </c>
      <c r="X1560" t="b">
        <v>1</v>
      </c>
      <c r="Y1560" t="b">
        <v>0</v>
      </c>
      <c r="Z1560" t="b">
        <v>1</v>
      </c>
      <c r="AA1560" t="b">
        <v>0</v>
      </c>
      <c r="AB1560" t="b">
        <v>1</v>
      </c>
      <c r="AC1560" t="b">
        <v>1</v>
      </c>
      <c r="AD1560" t="b">
        <v>0</v>
      </c>
      <c r="AE1560" t="b">
        <v>1</v>
      </c>
      <c r="AF1560" t="s">
        <v>306</v>
      </c>
      <c r="AG1560" t="b">
        <v>1</v>
      </c>
      <c r="AH1560" t="b">
        <v>1</v>
      </c>
    </row>
    <row r="1561" spans="22:34" x14ac:dyDescent="0.25">
      <c r="V1561" t="s">
        <v>575</v>
      </c>
      <c r="W1561" t="s">
        <v>576</v>
      </c>
      <c r="X1561" t="b">
        <v>1</v>
      </c>
      <c r="Y1561" t="b">
        <v>0</v>
      </c>
      <c r="Z1561" t="b">
        <v>1</v>
      </c>
      <c r="AA1561" t="b">
        <v>0</v>
      </c>
      <c r="AB1561" t="b">
        <v>1</v>
      </c>
      <c r="AC1561" t="b">
        <v>1</v>
      </c>
      <c r="AD1561" t="b">
        <v>0</v>
      </c>
      <c r="AE1561" t="b">
        <v>1</v>
      </c>
      <c r="AF1561" t="s">
        <v>307</v>
      </c>
      <c r="AG1561" t="b">
        <v>1</v>
      </c>
      <c r="AH1561" t="b">
        <v>1</v>
      </c>
    </row>
    <row r="1562" spans="22:34" x14ac:dyDescent="0.25">
      <c r="V1562" t="s">
        <v>575</v>
      </c>
      <c r="W1562" t="s">
        <v>576</v>
      </c>
      <c r="X1562" t="b">
        <v>1</v>
      </c>
      <c r="Y1562" t="b">
        <v>0</v>
      </c>
      <c r="Z1562" t="b">
        <v>1</v>
      </c>
      <c r="AA1562" t="b">
        <v>0</v>
      </c>
      <c r="AB1562" t="b">
        <v>1</v>
      </c>
      <c r="AC1562" t="b">
        <v>1</v>
      </c>
      <c r="AD1562" t="b">
        <v>0</v>
      </c>
      <c r="AE1562" t="b">
        <v>1</v>
      </c>
      <c r="AF1562" t="s">
        <v>308</v>
      </c>
      <c r="AG1562" t="b">
        <v>1</v>
      </c>
      <c r="AH1562" t="b">
        <v>1</v>
      </c>
    </row>
    <row r="1563" spans="22:34" x14ac:dyDescent="0.25">
      <c r="V1563" t="s">
        <v>575</v>
      </c>
      <c r="W1563" t="s">
        <v>576</v>
      </c>
      <c r="X1563" t="b">
        <v>1</v>
      </c>
      <c r="Y1563" t="b">
        <v>0</v>
      </c>
      <c r="Z1563" t="b">
        <v>1</v>
      </c>
      <c r="AA1563" t="b">
        <v>0</v>
      </c>
      <c r="AB1563" t="b">
        <v>1</v>
      </c>
      <c r="AC1563" t="b">
        <v>1</v>
      </c>
      <c r="AD1563" t="b">
        <v>0</v>
      </c>
      <c r="AE1563" t="b">
        <v>1</v>
      </c>
      <c r="AF1563" t="s">
        <v>309</v>
      </c>
      <c r="AG1563" t="b">
        <v>1</v>
      </c>
      <c r="AH1563" t="b">
        <v>1</v>
      </c>
    </row>
    <row r="1564" spans="22:34" x14ac:dyDescent="0.25">
      <c r="V1564" t="s">
        <v>575</v>
      </c>
      <c r="W1564" t="s">
        <v>576</v>
      </c>
      <c r="X1564" t="b">
        <v>1</v>
      </c>
      <c r="Y1564" t="b">
        <v>0</v>
      </c>
      <c r="Z1564" t="b">
        <v>1</v>
      </c>
      <c r="AA1564" t="b">
        <v>0</v>
      </c>
      <c r="AB1564" t="b">
        <v>1</v>
      </c>
      <c r="AC1564" t="b">
        <v>1</v>
      </c>
      <c r="AD1564" t="b">
        <v>0</v>
      </c>
      <c r="AE1564" t="b">
        <v>1</v>
      </c>
      <c r="AF1564" t="s">
        <v>310</v>
      </c>
      <c r="AG1564" t="b">
        <v>1</v>
      </c>
      <c r="AH1564" t="b">
        <v>1</v>
      </c>
    </row>
    <row r="1565" spans="22:34" x14ac:dyDescent="0.25">
      <c r="V1565" t="s">
        <v>575</v>
      </c>
      <c r="W1565" t="s">
        <v>576</v>
      </c>
      <c r="X1565" t="b">
        <v>1</v>
      </c>
      <c r="Y1565" t="b">
        <v>0</v>
      </c>
      <c r="Z1565" t="b">
        <v>1</v>
      </c>
      <c r="AA1565" t="b">
        <v>0</v>
      </c>
      <c r="AB1565" t="b">
        <v>1</v>
      </c>
      <c r="AC1565" t="b">
        <v>1</v>
      </c>
      <c r="AD1565" t="b">
        <v>0</v>
      </c>
      <c r="AE1565" t="b">
        <v>1</v>
      </c>
      <c r="AF1565" t="s">
        <v>311</v>
      </c>
      <c r="AG1565" t="b">
        <v>1</v>
      </c>
      <c r="AH1565" t="b">
        <v>1</v>
      </c>
    </row>
    <row r="1566" spans="22:34" x14ac:dyDescent="0.25">
      <c r="V1566" t="s">
        <v>575</v>
      </c>
      <c r="W1566" t="s">
        <v>576</v>
      </c>
      <c r="X1566" t="b">
        <v>1</v>
      </c>
      <c r="Y1566" t="b">
        <v>0</v>
      </c>
      <c r="Z1566" t="b">
        <v>1</v>
      </c>
      <c r="AA1566" t="b">
        <v>0</v>
      </c>
      <c r="AB1566" t="b">
        <v>1</v>
      </c>
      <c r="AC1566" t="b">
        <v>1</v>
      </c>
      <c r="AD1566" t="b">
        <v>0</v>
      </c>
      <c r="AE1566" t="b">
        <v>1</v>
      </c>
      <c r="AF1566" t="s">
        <v>312</v>
      </c>
      <c r="AG1566" t="b">
        <v>1</v>
      </c>
      <c r="AH1566" t="b">
        <v>1</v>
      </c>
    </row>
    <row r="1567" spans="22:34" x14ac:dyDescent="0.25">
      <c r="V1567" t="s">
        <v>575</v>
      </c>
      <c r="W1567" t="s">
        <v>576</v>
      </c>
      <c r="X1567" t="b">
        <v>1</v>
      </c>
      <c r="Y1567" t="b">
        <v>0</v>
      </c>
      <c r="Z1567" t="b">
        <v>1</v>
      </c>
      <c r="AA1567" t="b">
        <v>0</v>
      </c>
      <c r="AB1567" t="b">
        <v>1</v>
      </c>
      <c r="AC1567" t="b">
        <v>1</v>
      </c>
      <c r="AD1567" t="b">
        <v>0</v>
      </c>
      <c r="AE1567" t="b">
        <v>1</v>
      </c>
      <c r="AF1567" t="s">
        <v>313</v>
      </c>
      <c r="AG1567" t="b">
        <v>1</v>
      </c>
      <c r="AH1567" t="b">
        <v>1</v>
      </c>
    </row>
    <row r="1568" spans="22:34" x14ac:dyDescent="0.25">
      <c r="V1568" t="s">
        <v>575</v>
      </c>
      <c r="W1568" t="s">
        <v>576</v>
      </c>
      <c r="X1568" t="b">
        <v>1</v>
      </c>
      <c r="Y1568" t="b">
        <v>0</v>
      </c>
      <c r="Z1568" t="b">
        <v>1</v>
      </c>
      <c r="AA1568" t="b">
        <v>0</v>
      </c>
      <c r="AB1568" t="b">
        <v>1</v>
      </c>
      <c r="AC1568" t="b">
        <v>1</v>
      </c>
      <c r="AD1568" t="b">
        <v>0</v>
      </c>
      <c r="AE1568" t="b">
        <v>1</v>
      </c>
      <c r="AF1568" t="s">
        <v>314</v>
      </c>
      <c r="AG1568" t="b">
        <v>1</v>
      </c>
      <c r="AH1568" t="b">
        <v>1</v>
      </c>
    </row>
    <row r="1569" spans="1:34" x14ac:dyDescent="0.25">
      <c r="V1569" t="s">
        <v>575</v>
      </c>
      <c r="W1569" t="s">
        <v>576</v>
      </c>
      <c r="X1569" t="b">
        <v>1</v>
      </c>
      <c r="Y1569" t="b">
        <v>0</v>
      </c>
      <c r="Z1569" t="b">
        <v>1</v>
      </c>
      <c r="AA1569" t="b">
        <v>0</v>
      </c>
      <c r="AB1569" t="b">
        <v>1</v>
      </c>
      <c r="AC1569" t="b">
        <v>1</v>
      </c>
      <c r="AD1569" t="b">
        <v>0</v>
      </c>
      <c r="AE1569" t="b">
        <v>1</v>
      </c>
      <c r="AF1569" t="s">
        <v>315</v>
      </c>
      <c r="AG1569" t="b">
        <v>1</v>
      </c>
      <c r="AH1569" t="b">
        <v>1</v>
      </c>
    </row>
    <row r="1570" spans="1:34" x14ac:dyDescent="0.25">
      <c r="V1570" t="s">
        <v>575</v>
      </c>
      <c r="W1570" t="s">
        <v>576</v>
      </c>
      <c r="X1570" t="b">
        <v>1</v>
      </c>
      <c r="Y1570" t="b">
        <v>0</v>
      </c>
      <c r="Z1570" t="b">
        <v>1</v>
      </c>
      <c r="AA1570" t="b">
        <v>0</v>
      </c>
      <c r="AB1570" t="b">
        <v>1</v>
      </c>
      <c r="AC1570" t="b">
        <v>1</v>
      </c>
      <c r="AD1570" t="b">
        <v>0</v>
      </c>
      <c r="AE1570" t="b">
        <v>1</v>
      </c>
      <c r="AF1570" t="s">
        <v>316</v>
      </c>
      <c r="AG1570" t="b">
        <v>1</v>
      </c>
      <c r="AH1570" t="b">
        <v>1</v>
      </c>
    </row>
    <row r="1571" spans="1:34" x14ac:dyDescent="0.25">
      <c r="V1571" t="s">
        <v>575</v>
      </c>
      <c r="W1571" t="s">
        <v>576</v>
      </c>
      <c r="X1571" t="b">
        <v>1</v>
      </c>
      <c r="Y1571" t="b">
        <v>0</v>
      </c>
      <c r="Z1571" t="b">
        <v>1</v>
      </c>
      <c r="AA1571" t="b">
        <v>0</v>
      </c>
      <c r="AB1571" t="b">
        <v>1</v>
      </c>
      <c r="AC1571" t="b">
        <v>1</v>
      </c>
      <c r="AD1571" t="b">
        <v>0</v>
      </c>
      <c r="AE1571" t="b">
        <v>1</v>
      </c>
      <c r="AF1571" t="s">
        <v>317</v>
      </c>
      <c r="AG1571" t="b">
        <v>1</v>
      </c>
      <c r="AH1571" t="b">
        <v>1</v>
      </c>
    </row>
    <row r="1572" spans="1:34" x14ac:dyDescent="0.25">
      <c r="V1572" t="s">
        <v>575</v>
      </c>
      <c r="W1572" t="s">
        <v>576</v>
      </c>
      <c r="X1572" t="b">
        <v>1</v>
      </c>
      <c r="Y1572" t="b">
        <v>0</v>
      </c>
      <c r="Z1572" t="b">
        <v>1</v>
      </c>
      <c r="AA1572" t="b">
        <v>0</v>
      </c>
      <c r="AB1572" t="b">
        <v>1</v>
      </c>
      <c r="AC1572" t="b">
        <v>1</v>
      </c>
      <c r="AD1572" t="b">
        <v>0</v>
      </c>
      <c r="AE1572" t="b">
        <v>1</v>
      </c>
      <c r="AF1572" t="s">
        <v>318</v>
      </c>
      <c r="AG1572" t="b">
        <v>1</v>
      </c>
      <c r="AH1572" t="b">
        <v>1</v>
      </c>
    </row>
    <row r="1573" spans="1:34" x14ac:dyDescent="0.25">
      <c r="V1573" t="s">
        <v>575</v>
      </c>
      <c r="W1573" t="s">
        <v>576</v>
      </c>
      <c r="X1573" t="b">
        <v>1</v>
      </c>
      <c r="Y1573" t="b">
        <v>0</v>
      </c>
      <c r="Z1573" t="b">
        <v>1</v>
      </c>
      <c r="AA1573" t="b">
        <v>0</v>
      </c>
      <c r="AB1573" t="b">
        <v>1</v>
      </c>
      <c r="AC1573" t="b">
        <v>1</v>
      </c>
      <c r="AD1573" t="b">
        <v>0</v>
      </c>
      <c r="AE1573" t="b">
        <v>1</v>
      </c>
      <c r="AF1573" t="s">
        <v>319</v>
      </c>
      <c r="AG1573" t="b">
        <v>1</v>
      </c>
      <c r="AH1573" t="b">
        <v>1</v>
      </c>
    </row>
    <row r="1574" spans="1:34" x14ac:dyDescent="0.25">
      <c r="B1574"/>
      <c r="C1574"/>
    </row>
    <row r="1575" spans="1:34" x14ac:dyDescent="0.25">
      <c r="B1575"/>
      <c r="C1575"/>
    </row>
    <row r="1576" spans="1:34" x14ac:dyDescent="0.25">
      <c r="B1576"/>
      <c r="C1576"/>
    </row>
    <row r="1577" spans="1:34" x14ac:dyDescent="0.25">
      <c r="B1577"/>
      <c r="C1577"/>
    </row>
    <row r="1578" spans="1:34" x14ac:dyDescent="0.25">
      <c r="A1578" s="58"/>
      <c r="B1578" s="58"/>
      <c r="C1578"/>
    </row>
    <row r="1579" spans="1:34" x14ac:dyDescent="0.25">
      <c r="B1579"/>
      <c r="C1579"/>
    </row>
    <row r="1580" spans="1:34" x14ac:dyDescent="0.25">
      <c r="B1580"/>
      <c r="C1580"/>
    </row>
    <row r="1581" spans="1:34" x14ac:dyDescent="0.25">
      <c r="B1581"/>
      <c r="C1581"/>
    </row>
    <row r="1582" spans="1:34" x14ac:dyDescent="0.25">
      <c r="B1582"/>
      <c r="C1582"/>
    </row>
    <row r="1583" spans="1:34" x14ac:dyDescent="0.25">
      <c r="B1583"/>
      <c r="C1583"/>
    </row>
    <row r="1584" spans="1:34" x14ac:dyDescent="0.25">
      <c r="B1584"/>
      <c r="C1584"/>
    </row>
    <row r="1585" spans="1:3" x14ac:dyDescent="0.25">
      <c r="B1585"/>
      <c r="C1585"/>
    </row>
    <row r="1586" spans="1:3" x14ac:dyDescent="0.25">
      <c r="B1586"/>
      <c r="C1586"/>
    </row>
    <row r="1587" spans="1:3" x14ac:dyDescent="0.25">
      <c r="A1587" s="58"/>
      <c r="B1587" s="58"/>
      <c r="C1587"/>
    </row>
    <row r="1588" spans="1:3" x14ac:dyDescent="0.25">
      <c r="B1588"/>
      <c r="C1588"/>
    </row>
    <row r="1589" spans="1:3" x14ac:dyDescent="0.25">
      <c r="B1589"/>
      <c r="C1589"/>
    </row>
    <row r="1590" spans="1:3" x14ac:dyDescent="0.25">
      <c r="B1590"/>
      <c r="C1590"/>
    </row>
    <row r="1591" spans="1:3" x14ac:dyDescent="0.25">
      <c r="B1591"/>
      <c r="C1591"/>
    </row>
    <row r="1592" spans="1:3" x14ac:dyDescent="0.25">
      <c r="A1592" s="58"/>
      <c r="B1592" s="58"/>
      <c r="C1592"/>
    </row>
    <row r="1593" spans="1:3" x14ac:dyDescent="0.25">
      <c r="B1593"/>
      <c r="C1593"/>
    </row>
    <row r="1594" spans="1:3" x14ac:dyDescent="0.25">
      <c r="B1594"/>
      <c r="C1594"/>
    </row>
    <row r="1595" spans="1:3" x14ac:dyDescent="0.25">
      <c r="B1595"/>
      <c r="C1595"/>
    </row>
    <row r="1596" spans="1:3" x14ac:dyDescent="0.25">
      <c r="B1596"/>
      <c r="C1596"/>
    </row>
    <row r="1597" spans="1:3" x14ac:dyDescent="0.25">
      <c r="B1597"/>
      <c r="C1597"/>
    </row>
    <row r="1598" spans="1:3" x14ac:dyDescent="0.25">
      <c r="B1598"/>
      <c r="C1598"/>
    </row>
  </sheetData>
  <autoFilter ref="A1:F61" xr:uid="{A3C5A463-A2D8-4D6E-B608-DAE20F91192C}"/>
  <hyperlinks>
    <hyperlink ref="D7" r:id="rId1" xr:uid="{F646F731-4F7A-42EE-A611-3A5F36BA9C4C}"/>
  </hyperlinks>
  <pageMargins left="0.7" right="0.7" top="0.75" bottom="0.75" header="0.3" footer="0.3"/>
  <pageSetup paperSize="9"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9F859-513A-4A7E-87DE-935A4785671F}">
  <sheetPr codeName="Sheet15">
    <tabColor theme="5" tint="-0.249977111117893"/>
    <pageSetUpPr fitToPage="1"/>
  </sheetPr>
  <dimension ref="B1:AB32"/>
  <sheetViews>
    <sheetView zoomScaleNormal="100" workbookViewId="0">
      <selection activeCell="A17" sqref="A17"/>
    </sheetView>
  </sheetViews>
  <sheetFormatPr defaultRowHeight="15" x14ac:dyDescent="0.25"/>
  <cols>
    <col min="2" max="2" width="9.5703125" bestFit="1" customWidth="1"/>
    <col min="3" max="3" width="3.140625" customWidth="1"/>
    <col min="4" max="4" width="33" bestFit="1" customWidth="1"/>
    <col min="5" max="5" width="17.28515625" bestFit="1" customWidth="1"/>
    <col min="6" max="6" width="15.85546875" bestFit="1" customWidth="1"/>
    <col min="7" max="7" width="12" bestFit="1" customWidth="1"/>
    <col min="8" max="8" width="33" bestFit="1" customWidth="1"/>
    <col min="9" max="9" width="17.140625" bestFit="1" customWidth="1"/>
    <col min="10" max="10" width="17.140625" customWidth="1"/>
    <col min="11" max="11" width="19.5703125" bestFit="1" customWidth="1"/>
    <col min="12" max="12" width="14.85546875" customWidth="1"/>
    <col min="13" max="13" width="7.7109375" customWidth="1"/>
    <col min="14" max="14" width="69.42578125" bestFit="1" customWidth="1"/>
    <col min="15" max="15" width="38.5703125" customWidth="1"/>
    <col min="16" max="16" width="48.42578125" customWidth="1"/>
    <col min="17" max="17" width="26.85546875" bestFit="1" customWidth="1"/>
    <col min="18" max="18" width="16.85546875" customWidth="1"/>
    <col min="19" max="19" width="20.140625" bestFit="1" customWidth="1"/>
    <col min="20" max="20" width="31.140625" bestFit="1" customWidth="1"/>
    <col min="21" max="21" width="33" bestFit="1" customWidth="1"/>
    <col min="22" max="22" width="30.28515625" bestFit="1" customWidth="1"/>
    <col min="23" max="23" width="27.28515625" bestFit="1" customWidth="1"/>
    <col min="24" max="24" width="28.85546875" bestFit="1" customWidth="1"/>
    <col min="25" max="25" width="23" customWidth="1"/>
    <col min="26" max="26" width="15.7109375" customWidth="1"/>
    <col min="27" max="27" width="16.7109375" customWidth="1"/>
    <col min="28" max="28" width="32.42578125" bestFit="1" customWidth="1"/>
  </cols>
  <sheetData>
    <row r="1" spans="2:28" ht="15.75" thickBot="1" x14ac:dyDescent="0.3">
      <c r="B1" s="130" t="s">
        <v>1047</v>
      </c>
      <c r="C1" s="130" t="s">
        <v>960</v>
      </c>
      <c r="D1" s="130" t="s">
        <v>961</v>
      </c>
      <c r="E1" s="130" t="s">
        <v>962</v>
      </c>
      <c r="F1" s="130" t="s">
        <v>963</v>
      </c>
      <c r="G1" s="130" t="s">
        <v>1034</v>
      </c>
      <c r="H1" s="130" t="s">
        <v>1036</v>
      </c>
      <c r="I1" s="130" t="s">
        <v>964</v>
      </c>
      <c r="J1" s="130" t="s">
        <v>3503</v>
      </c>
      <c r="L1" s="130" t="s">
        <v>795</v>
      </c>
      <c r="M1" s="130" t="s">
        <v>960</v>
      </c>
      <c r="N1" s="131" t="s">
        <v>989</v>
      </c>
      <c r="O1" s="132" t="s">
        <v>990</v>
      </c>
      <c r="P1" s="132" t="s">
        <v>991</v>
      </c>
      <c r="Q1" s="132" t="s">
        <v>992</v>
      </c>
      <c r="R1" s="132" t="s">
        <v>638</v>
      </c>
      <c r="S1" s="132" t="s">
        <v>968</v>
      </c>
      <c r="T1" s="132" t="s">
        <v>971</v>
      </c>
      <c r="U1" s="132" t="s">
        <v>974</v>
      </c>
      <c r="V1" s="132" t="s">
        <v>977</v>
      </c>
      <c r="W1" s="132" t="s">
        <v>674</v>
      </c>
      <c r="X1" s="132" t="s">
        <v>716</v>
      </c>
      <c r="Y1" s="132" t="s">
        <v>984</v>
      </c>
      <c r="Z1" s="132" t="s">
        <v>334</v>
      </c>
      <c r="AA1" s="132" t="s">
        <v>179</v>
      </c>
      <c r="AB1" s="132" t="s">
        <v>3944</v>
      </c>
    </row>
    <row r="2" spans="2:28" x14ac:dyDescent="0.25">
      <c r="B2" s="27">
        <v>45310</v>
      </c>
      <c r="C2" s="7">
        <v>1</v>
      </c>
      <c r="D2" s="128" t="s">
        <v>638</v>
      </c>
      <c r="E2" s="129" t="s">
        <v>965</v>
      </c>
      <c r="F2" s="129" t="s">
        <v>966</v>
      </c>
      <c r="G2" s="129" t="s">
        <v>1035</v>
      </c>
      <c r="H2" s="217" t="s">
        <v>1037</v>
      </c>
      <c r="I2" s="7" t="s">
        <v>967</v>
      </c>
      <c r="J2" s="7" t="s">
        <v>3504</v>
      </c>
      <c r="K2" s="27">
        <v>45462</v>
      </c>
      <c r="L2" s="27">
        <v>45315</v>
      </c>
      <c r="M2" s="7">
        <v>1</v>
      </c>
      <c r="N2" s="133" t="s">
        <v>993</v>
      </c>
      <c r="O2" t="s">
        <v>1033</v>
      </c>
      <c r="P2" t="s">
        <v>994</v>
      </c>
      <c r="Q2" s="7" t="s">
        <v>47</v>
      </c>
      <c r="R2" s="7" t="s">
        <v>47</v>
      </c>
      <c r="S2" s="7" t="s">
        <v>47</v>
      </c>
      <c r="T2" s="7" t="s">
        <v>47</v>
      </c>
      <c r="U2" s="7" t="s">
        <v>47</v>
      </c>
      <c r="V2" s="7" t="s">
        <v>47</v>
      </c>
      <c r="W2" s="7" t="s">
        <v>612</v>
      </c>
      <c r="X2" s="7" t="s">
        <v>47</v>
      </c>
      <c r="Y2" s="7" t="s">
        <v>47</v>
      </c>
      <c r="Z2" s="7" t="s">
        <v>612</v>
      </c>
      <c r="AA2" s="7" t="s">
        <v>47</v>
      </c>
      <c r="AB2" s="7" t="s">
        <v>47</v>
      </c>
    </row>
    <row r="3" spans="2:28" x14ac:dyDescent="0.25">
      <c r="B3" s="27">
        <v>45310</v>
      </c>
      <c r="C3" s="7">
        <v>2</v>
      </c>
      <c r="D3" s="128" t="s">
        <v>968</v>
      </c>
      <c r="E3" s="129" t="s">
        <v>969</v>
      </c>
      <c r="F3" s="129" t="s">
        <v>970</v>
      </c>
      <c r="G3" s="129" t="s">
        <v>1035</v>
      </c>
      <c r="H3" s="217" t="s">
        <v>1038</v>
      </c>
      <c r="I3" s="7" t="s">
        <v>967</v>
      </c>
      <c r="J3" s="7" t="s">
        <v>3505</v>
      </c>
      <c r="K3" s="27">
        <v>45462</v>
      </c>
      <c r="L3" s="27">
        <v>45315</v>
      </c>
      <c r="M3" s="7">
        <v>2</v>
      </c>
      <c r="N3" s="133" t="s">
        <v>995</v>
      </c>
      <c r="O3" t="s">
        <v>1033</v>
      </c>
      <c r="P3" t="s">
        <v>994</v>
      </c>
      <c r="Q3" s="7" t="s">
        <v>47</v>
      </c>
      <c r="R3" s="7" t="s">
        <v>47</v>
      </c>
      <c r="S3" s="7" t="s">
        <v>47</v>
      </c>
      <c r="T3" s="7" t="s">
        <v>47</v>
      </c>
      <c r="U3" s="7" t="s">
        <v>47</v>
      </c>
      <c r="V3" s="7" t="s">
        <v>47</v>
      </c>
      <c r="W3" s="7" t="s">
        <v>612</v>
      </c>
      <c r="X3" s="7" t="s">
        <v>47</v>
      </c>
      <c r="Y3" s="7" t="s">
        <v>47</v>
      </c>
      <c r="Z3" s="7" t="s">
        <v>612</v>
      </c>
      <c r="AA3" s="7" t="s">
        <v>47</v>
      </c>
      <c r="AB3" s="7" t="s">
        <v>47</v>
      </c>
    </row>
    <row r="4" spans="2:28" x14ac:dyDescent="0.25">
      <c r="B4" s="27">
        <v>45310</v>
      </c>
      <c r="C4" s="7">
        <v>3</v>
      </c>
      <c r="D4" s="128" t="s">
        <v>971</v>
      </c>
      <c r="E4" s="129" t="s">
        <v>972</v>
      </c>
      <c r="F4" s="129" t="s">
        <v>973</v>
      </c>
      <c r="G4" s="129" t="s">
        <v>1035</v>
      </c>
      <c r="H4" s="217" t="s">
        <v>1039</v>
      </c>
      <c r="I4" s="7" t="s">
        <v>967</v>
      </c>
      <c r="J4" s="7"/>
      <c r="K4" s="27">
        <v>45462</v>
      </c>
      <c r="L4" s="27">
        <v>45315</v>
      </c>
      <c r="M4" s="7">
        <v>3</v>
      </c>
      <c r="N4" s="133" t="s">
        <v>996</v>
      </c>
      <c r="O4" t="s">
        <v>1033</v>
      </c>
      <c r="P4" t="s">
        <v>994</v>
      </c>
      <c r="Q4" s="7" t="s">
        <v>47</v>
      </c>
      <c r="R4" s="7" t="s">
        <v>47</v>
      </c>
      <c r="S4" s="7" t="s">
        <v>47</v>
      </c>
      <c r="T4" s="7" t="s">
        <v>47</v>
      </c>
      <c r="U4" s="7" t="s">
        <v>47</v>
      </c>
      <c r="V4" s="7" t="s">
        <v>47</v>
      </c>
      <c r="W4" s="7" t="s">
        <v>612</v>
      </c>
      <c r="X4" s="7" t="s">
        <v>47</v>
      </c>
      <c r="Y4" s="7" t="s">
        <v>47</v>
      </c>
      <c r="Z4" s="7" t="s">
        <v>612</v>
      </c>
      <c r="AA4" s="7" t="s">
        <v>47</v>
      </c>
      <c r="AB4" s="7" t="s">
        <v>47</v>
      </c>
    </row>
    <row r="5" spans="2:28" x14ac:dyDescent="0.25">
      <c r="B5" s="27">
        <v>45310</v>
      </c>
      <c r="C5" s="7">
        <v>4</v>
      </c>
      <c r="D5" s="128" t="s">
        <v>974</v>
      </c>
      <c r="E5" s="129" t="s">
        <v>975</v>
      </c>
      <c r="F5" s="129" t="s">
        <v>976</v>
      </c>
      <c r="G5" s="129" t="s">
        <v>1035</v>
      </c>
      <c r="H5" s="217" t="s">
        <v>1040</v>
      </c>
      <c r="I5" s="7" t="s">
        <v>967</v>
      </c>
      <c r="J5" s="7"/>
      <c r="K5" s="27">
        <v>45462</v>
      </c>
      <c r="L5" s="27">
        <v>45315</v>
      </c>
      <c r="M5" s="7">
        <v>4</v>
      </c>
      <c r="N5" s="133" t="s">
        <v>997</v>
      </c>
      <c r="O5" t="s">
        <v>1032</v>
      </c>
      <c r="P5" t="s">
        <v>994</v>
      </c>
      <c r="Q5" s="7" t="s">
        <v>47</v>
      </c>
      <c r="R5" s="7" t="s">
        <v>47</v>
      </c>
      <c r="S5" s="7" t="s">
        <v>47</v>
      </c>
      <c r="T5" s="7" t="s">
        <v>47</v>
      </c>
      <c r="U5" s="7" t="s">
        <v>47</v>
      </c>
      <c r="V5" s="7" t="s">
        <v>47</v>
      </c>
      <c r="W5" s="7" t="s">
        <v>612</v>
      </c>
      <c r="X5" s="7" t="s">
        <v>47</v>
      </c>
      <c r="Y5" s="7" t="s">
        <v>47</v>
      </c>
      <c r="Z5" s="7" t="s">
        <v>612</v>
      </c>
      <c r="AA5" s="7" t="s">
        <v>47</v>
      </c>
      <c r="AB5" s="7" t="s">
        <v>47</v>
      </c>
    </row>
    <row r="6" spans="2:28" x14ac:dyDescent="0.25">
      <c r="B6" s="27">
        <v>45310</v>
      </c>
      <c r="C6" s="7">
        <v>5</v>
      </c>
      <c r="D6" s="128" t="s">
        <v>977</v>
      </c>
      <c r="E6" s="129" t="s">
        <v>978</v>
      </c>
      <c r="F6" s="129" t="s">
        <v>979</v>
      </c>
      <c r="G6" s="129" t="s">
        <v>1035</v>
      </c>
      <c r="H6" s="217" t="s">
        <v>1041</v>
      </c>
      <c r="I6" s="7" t="s">
        <v>967</v>
      </c>
      <c r="J6" s="7" t="s">
        <v>408</v>
      </c>
      <c r="K6" s="27">
        <v>45462</v>
      </c>
      <c r="L6" s="27">
        <v>45315</v>
      </c>
      <c r="M6" s="7">
        <v>5</v>
      </c>
      <c r="N6" s="133" t="s">
        <v>998</v>
      </c>
      <c r="O6" t="s">
        <v>1032</v>
      </c>
      <c r="P6" t="s">
        <v>3961</v>
      </c>
      <c r="Q6" s="7" t="s">
        <v>47</v>
      </c>
      <c r="R6" s="7" t="s">
        <v>47</v>
      </c>
      <c r="S6" s="7" t="s">
        <v>47</v>
      </c>
      <c r="T6" s="7" t="s">
        <v>47</v>
      </c>
      <c r="U6" s="7" t="s">
        <v>47</v>
      </c>
      <c r="V6" s="7" t="s">
        <v>47</v>
      </c>
      <c r="W6" s="7" t="s">
        <v>612</v>
      </c>
      <c r="X6" s="7" t="s">
        <v>47</v>
      </c>
      <c r="Y6" s="7" t="s">
        <v>47</v>
      </c>
      <c r="Z6" s="7" t="s">
        <v>612</v>
      </c>
      <c r="AA6" s="7" t="s">
        <v>47</v>
      </c>
      <c r="AB6" s="7" t="s">
        <v>47</v>
      </c>
    </row>
    <row r="7" spans="2:28" x14ac:dyDescent="0.25">
      <c r="B7" s="218">
        <v>45034</v>
      </c>
      <c r="C7" s="7">
        <v>6</v>
      </c>
      <c r="D7" s="128" t="s">
        <v>674</v>
      </c>
      <c r="E7" s="129" t="s">
        <v>980</v>
      </c>
      <c r="F7" s="129" t="s">
        <v>981</v>
      </c>
      <c r="G7" s="129" t="s">
        <v>1035</v>
      </c>
      <c r="H7" s="129" t="s">
        <v>1042</v>
      </c>
      <c r="I7" s="7" t="s">
        <v>3948</v>
      </c>
      <c r="J7" s="7" t="s">
        <v>408</v>
      </c>
      <c r="L7" s="27">
        <v>45034</v>
      </c>
      <c r="M7" s="7">
        <v>6</v>
      </c>
      <c r="N7" s="133" t="s">
        <v>999</v>
      </c>
      <c r="O7" t="s">
        <v>1032</v>
      </c>
      <c r="P7" t="s">
        <v>1000</v>
      </c>
      <c r="Q7" s="7" t="s">
        <v>47</v>
      </c>
      <c r="R7" s="7" t="s">
        <v>47</v>
      </c>
      <c r="S7" s="7" t="s">
        <v>47</v>
      </c>
      <c r="T7" s="7" t="s">
        <v>47</v>
      </c>
      <c r="U7" s="7" t="s">
        <v>47</v>
      </c>
      <c r="V7" s="7" t="s">
        <v>47</v>
      </c>
      <c r="W7" s="7" t="s">
        <v>47</v>
      </c>
      <c r="X7" s="7" t="s">
        <v>47</v>
      </c>
      <c r="Y7" s="7" t="s">
        <v>47</v>
      </c>
      <c r="Z7" s="7" t="s">
        <v>47</v>
      </c>
      <c r="AA7" s="7" t="s">
        <v>612</v>
      </c>
      <c r="AB7" s="7" t="s">
        <v>612</v>
      </c>
    </row>
    <row r="8" spans="2:28" x14ac:dyDescent="0.25">
      <c r="B8" s="27">
        <v>45310</v>
      </c>
      <c r="C8" s="7">
        <v>7</v>
      </c>
      <c r="D8" s="128" t="s">
        <v>716</v>
      </c>
      <c r="E8" s="129" t="s">
        <v>982</v>
      </c>
      <c r="F8" s="129" t="s">
        <v>983</v>
      </c>
      <c r="G8" s="129" t="s">
        <v>1035</v>
      </c>
      <c r="H8" s="217" t="s">
        <v>1043</v>
      </c>
      <c r="I8" s="7" t="s">
        <v>967</v>
      </c>
      <c r="J8" s="7" t="s">
        <v>3506</v>
      </c>
      <c r="K8" s="27">
        <v>45464</v>
      </c>
      <c r="L8" s="27">
        <v>45034</v>
      </c>
      <c r="M8" s="7">
        <v>7</v>
      </c>
      <c r="N8" s="133" t="s">
        <v>1001</v>
      </c>
      <c r="O8" t="s">
        <v>1032</v>
      </c>
      <c r="P8" t="s">
        <v>1002</v>
      </c>
      <c r="Q8" s="7" t="s">
        <v>47</v>
      </c>
      <c r="R8" s="7" t="s">
        <v>47</v>
      </c>
      <c r="S8" s="7" t="s">
        <v>47</v>
      </c>
      <c r="T8" s="7" t="s">
        <v>47</v>
      </c>
      <c r="U8" s="7" t="s">
        <v>612</v>
      </c>
      <c r="V8" s="7" t="s">
        <v>47</v>
      </c>
      <c r="W8" s="7" t="s">
        <v>47</v>
      </c>
      <c r="X8" s="7" t="s">
        <v>612</v>
      </c>
      <c r="Y8" s="7" t="s">
        <v>612</v>
      </c>
      <c r="Z8" s="7" t="s">
        <v>612</v>
      </c>
      <c r="AA8" s="7" t="s">
        <v>612</v>
      </c>
      <c r="AB8" s="7" t="s">
        <v>612</v>
      </c>
    </row>
    <row r="9" spans="2:28" x14ac:dyDescent="0.25">
      <c r="B9" s="27">
        <v>45310</v>
      </c>
      <c r="C9" s="7">
        <v>8</v>
      </c>
      <c r="D9" s="128" t="s">
        <v>984</v>
      </c>
      <c r="E9" s="129" t="s">
        <v>985</v>
      </c>
      <c r="F9" s="129" t="s">
        <v>986</v>
      </c>
      <c r="G9" s="129" t="s">
        <v>1035</v>
      </c>
      <c r="H9" s="217" t="s">
        <v>1044</v>
      </c>
      <c r="I9" s="7" t="s">
        <v>967</v>
      </c>
      <c r="J9" s="7" t="s">
        <v>3507</v>
      </c>
      <c r="K9" t="s">
        <v>3957</v>
      </c>
      <c r="L9" s="27">
        <v>45315</v>
      </c>
      <c r="M9" s="7">
        <v>8</v>
      </c>
      <c r="N9" s="133" t="s">
        <v>1003</v>
      </c>
      <c r="O9" t="s">
        <v>1032</v>
      </c>
      <c r="P9" s="268" t="s">
        <v>3958</v>
      </c>
      <c r="Q9" s="7" t="s">
        <v>47</v>
      </c>
      <c r="R9" s="7" t="s">
        <v>47</v>
      </c>
      <c r="S9" s="7" t="s">
        <v>47</v>
      </c>
      <c r="T9" s="7" t="s">
        <v>47</v>
      </c>
      <c r="U9" s="7" t="s">
        <v>47</v>
      </c>
      <c r="V9" s="7" t="s">
        <v>47</v>
      </c>
      <c r="W9" s="7" t="s">
        <v>612</v>
      </c>
      <c r="X9" s="7" t="s">
        <v>47</v>
      </c>
      <c r="Y9" s="7" t="s">
        <v>47</v>
      </c>
      <c r="Z9" s="7" t="s">
        <v>612</v>
      </c>
      <c r="AA9" s="7" t="s">
        <v>47</v>
      </c>
      <c r="AB9" s="7" t="s">
        <v>47</v>
      </c>
    </row>
    <row r="10" spans="2:28" x14ac:dyDescent="0.25">
      <c r="B10" s="218">
        <v>45034</v>
      </c>
      <c r="C10" s="7">
        <v>9</v>
      </c>
      <c r="D10" s="128" t="s">
        <v>334</v>
      </c>
      <c r="E10" s="129" t="s">
        <v>987</v>
      </c>
      <c r="F10" s="129" t="s">
        <v>988</v>
      </c>
      <c r="G10" s="129" t="s">
        <v>1035</v>
      </c>
      <c r="H10" s="129" t="s">
        <v>1045</v>
      </c>
      <c r="I10" s="7" t="s">
        <v>3948</v>
      </c>
      <c r="J10" s="7" t="s">
        <v>408</v>
      </c>
      <c r="L10" s="27">
        <v>45315</v>
      </c>
      <c r="M10" s="7">
        <v>9</v>
      </c>
      <c r="N10" s="133" t="s">
        <v>1004</v>
      </c>
      <c r="O10" t="s">
        <v>1032</v>
      </c>
      <c r="P10" t="s">
        <v>1005</v>
      </c>
      <c r="Q10" s="7" t="s">
        <v>47</v>
      </c>
      <c r="R10" s="7" t="s">
        <v>47</v>
      </c>
      <c r="S10" s="7" t="s">
        <v>47</v>
      </c>
      <c r="T10" s="7" t="s">
        <v>47</v>
      </c>
      <c r="U10" s="7" t="s">
        <v>47</v>
      </c>
      <c r="V10" s="7" t="s">
        <v>47</v>
      </c>
      <c r="W10" s="7" t="s">
        <v>612</v>
      </c>
      <c r="X10" s="7" t="s">
        <v>47</v>
      </c>
      <c r="Y10" s="7" t="s">
        <v>47</v>
      </c>
      <c r="Z10" s="7" t="s">
        <v>612</v>
      </c>
      <c r="AA10" s="7" t="s">
        <v>47</v>
      </c>
      <c r="AB10" s="7" t="s">
        <v>612</v>
      </c>
    </row>
    <row r="11" spans="2:28" x14ac:dyDescent="0.25">
      <c r="B11" s="27">
        <v>45310</v>
      </c>
      <c r="C11" s="7">
        <v>10</v>
      </c>
      <c r="D11" s="128" t="s">
        <v>179</v>
      </c>
      <c r="E11" s="129" t="s">
        <v>2545</v>
      </c>
      <c r="F11" s="129" t="s">
        <v>2546</v>
      </c>
      <c r="G11" s="129" t="s">
        <v>1035</v>
      </c>
      <c r="H11" s="217" t="s">
        <v>2547</v>
      </c>
      <c r="I11" s="7" t="s">
        <v>967</v>
      </c>
      <c r="J11" s="7" t="s">
        <v>408</v>
      </c>
      <c r="K11" t="s">
        <v>3957</v>
      </c>
      <c r="L11" s="27">
        <v>45315</v>
      </c>
      <c r="M11" s="7">
        <v>10</v>
      </c>
      <c r="N11" s="133" t="s">
        <v>1006</v>
      </c>
      <c r="O11" t="s">
        <v>1032</v>
      </c>
      <c r="P11" t="s">
        <v>3955</v>
      </c>
      <c r="Q11" s="7" t="s">
        <v>47</v>
      </c>
      <c r="R11" s="7" t="s">
        <v>47</v>
      </c>
      <c r="S11" s="7" t="s">
        <v>47</v>
      </c>
      <c r="T11" s="7" t="s">
        <v>47</v>
      </c>
      <c r="U11" s="7" t="s">
        <v>47</v>
      </c>
      <c r="V11" s="7" t="s">
        <v>47</v>
      </c>
      <c r="W11" s="7" t="s">
        <v>612</v>
      </c>
      <c r="X11" s="7" t="s">
        <v>47</v>
      </c>
      <c r="Y11" s="7" t="s">
        <v>47</v>
      </c>
      <c r="Z11" s="7" t="s">
        <v>612</v>
      </c>
      <c r="AA11" s="7" t="s">
        <v>47</v>
      </c>
      <c r="AB11" s="7" t="s">
        <v>47</v>
      </c>
    </row>
    <row r="12" spans="2:28" x14ac:dyDescent="0.25">
      <c r="B12" s="27">
        <v>45443</v>
      </c>
      <c r="C12" s="7">
        <v>11</v>
      </c>
      <c r="D12" s="128" t="s">
        <v>3944</v>
      </c>
      <c r="E12" s="129" t="s">
        <v>3945</v>
      </c>
      <c r="F12" s="129" t="s">
        <v>3946</v>
      </c>
      <c r="G12" s="129" t="s">
        <v>1035</v>
      </c>
      <c r="H12" s="217" t="s">
        <v>3947</v>
      </c>
      <c r="I12" s="7" t="s">
        <v>967</v>
      </c>
      <c r="J12" s="7" t="s">
        <v>3949</v>
      </c>
      <c r="K12" t="s">
        <v>3957</v>
      </c>
      <c r="L12" s="27">
        <v>45315</v>
      </c>
      <c r="M12" s="7">
        <v>11</v>
      </c>
      <c r="N12" s="133" t="s">
        <v>1007</v>
      </c>
      <c r="O12" t="s">
        <v>1033</v>
      </c>
      <c r="P12" t="s">
        <v>3955</v>
      </c>
      <c r="Q12" s="7" t="s">
        <v>47</v>
      </c>
      <c r="R12" s="7" t="s">
        <v>47</v>
      </c>
      <c r="S12" s="7" t="s">
        <v>47</v>
      </c>
      <c r="T12" s="7" t="s">
        <v>47</v>
      </c>
      <c r="U12" s="7" t="s">
        <v>47</v>
      </c>
      <c r="V12" s="7" t="s">
        <v>47</v>
      </c>
      <c r="W12" s="7" t="s">
        <v>612</v>
      </c>
      <c r="X12" s="7" t="s">
        <v>47</v>
      </c>
      <c r="Y12" s="7" t="s">
        <v>47</v>
      </c>
      <c r="Z12" s="7" t="s">
        <v>612</v>
      </c>
      <c r="AA12" s="7" t="s">
        <v>47</v>
      </c>
      <c r="AB12" s="7" t="s">
        <v>47</v>
      </c>
    </row>
    <row r="13" spans="2:28" x14ac:dyDescent="0.25">
      <c r="K13" t="s">
        <v>3957</v>
      </c>
      <c r="L13" s="27">
        <v>45315</v>
      </c>
      <c r="M13" s="7">
        <v>12</v>
      </c>
      <c r="N13" s="133" t="s">
        <v>1008</v>
      </c>
      <c r="O13" t="s">
        <v>1032</v>
      </c>
      <c r="P13" t="s">
        <v>1009</v>
      </c>
      <c r="Q13" s="7" t="s">
        <v>47</v>
      </c>
      <c r="R13" s="7" t="s">
        <v>47</v>
      </c>
      <c r="S13" s="7" t="s">
        <v>47</v>
      </c>
      <c r="T13" s="7" t="s">
        <v>47</v>
      </c>
      <c r="U13" s="7" t="s">
        <v>47</v>
      </c>
      <c r="V13" s="7" t="s">
        <v>47</v>
      </c>
      <c r="W13" s="7" t="s">
        <v>612</v>
      </c>
      <c r="X13" s="7" t="s">
        <v>47</v>
      </c>
      <c r="Y13" s="7" t="s">
        <v>47</v>
      </c>
      <c r="Z13" s="7" t="s">
        <v>612</v>
      </c>
      <c r="AA13" s="7" t="s">
        <v>47</v>
      </c>
      <c r="AB13" s="7" t="s">
        <v>47</v>
      </c>
    </row>
    <row r="14" spans="2:28" x14ac:dyDescent="0.25">
      <c r="K14" t="s">
        <v>3957</v>
      </c>
      <c r="L14" s="27">
        <v>45315</v>
      </c>
      <c r="M14" s="7">
        <v>13</v>
      </c>
      <c r="N14" s="133" t="s">
        <v>1010</v>
      </c>
      <c r="O14" t="s">
        <v>1032</v>
      </c>
      <c r="P14" t="s">
        <v>1009</v>
      </c>
      <c r="Q14" s="7" t="s">
        <v>47</v>
      </c>
      <c r="R14" s="7" t="s">
        <v>47</v>
      </c>
      <c r="S14" s="7" t="s">
        <v>47</v>
      </c>
      <c r="T14" s="7" t="s">
        <v>47</v>
      </c>
      <c r="U14" s="7" t="s">
        <v>47</v>
      </c>
      <c r="V14" s="7" t="s">
        <v>47</v>
      </c>
      <c r="W14" s="7" t="s">
        <v>612</v>
      </c>
      <c r="X14" s="7" t="s">
        <v>47</v>
      </c>
      <c r="Y14" s="7" t="s">
        <v>47</v>
      </c>
      <c r="Z14" s="7" t="s">
        <v>612</v>
      </c>
      <c r="AA14" s="7" t="s">
        <v>47</v>
      </c>
      <c r="AB14" s="7" t="s">
        <v>47</v>
      </c>
    </row>
    <row r="15" spans="2:28" x14ac:dyDescent="0.25">
      <c r="K15" t="s">
        <v>3957</v>
      </c>
      <c r="L15" s="27">
        <v>45034</v>
      </c>
      <c r="M15" s="7">
        <v>14</v>
      </c>
      <c r="N15" s="133" t="s">
        <v>1011</v>
      </c>
      <c r="O15" t="s">
        <v>1032</v>
      </c>
      <c r="P15" t="s">
        <v>3959</v>
      </c>
      <c r="Q15" s="7" t="s">
        <v>47</v>
      </c>
      <c r="R15" s="7" t="s">
        <v>47</v>
      </c>
      <c r="S15" s="7" t="s">
        <v>47</v>
      </c>
      <c r="T15" s="7" t="s">
        <v>47</v>
      </c>
      <c r="U15" s="7" t="s">
        <v>612</v>
      </c>
      <c r="V15" s="7" t="s">
        <v>47</v>
      </c>
      <c r="W15" s="7" t="s">
        <v>47</v>
      </c>
      <c r="X15" s="7" t="s">
        <v>612</v>
      </c>
      <c r="Y15" s="7" t="s">
        <v>612</v>
      </c>
      <c r="Z15" s="7" t="s">
        <v>612</v>
      </c>
      <c r="AA15" s="7" t="s">
        <v>612</v>
      </c>
      <c r="AB15" s="7" t="s">
        <v>612</v>
      </c>
    </row>
    <row r="16" spans="2:28" x14ac:dyDescent="0.25">
      <c r="K16" s="27">
        <v>45464</v>
      </c>
      <c r="L16" s="27">
        <v>45034</v>
      </c>
      <c r="M16" s="7">
        <v>15</v>
      </c>
      <c r="N16" s="134" t="s">
        <v>1012</v>
      </c>
      <c r="O16" t="s">
        <v>1033</v>
      </c>
      <c r="P16" t="s">
        <v>1013</v>
      </c>
      <c r="Q16" s="7" t="s">
        <v>47</v>
      </c>
      <c r="R16" s="7" t="s">
        <v>47</v>
      </c>
      <c r="S16" s="7" t="s">
        <v>47</v>
      </c>
      <c r="T16" s="7" t="s">
        <v>47</v>
      </c>
      <c r="U16" s="7" t="s">
        <v>612</v>
      </c>
      <c r="V16" s="7" t="s">
        <v>47</v>
      </c>
      <c r="W16" s="7" t="s">
        <v>47</v>
      </c>
      <c r="X16" s="7" t="s">
        <v>612</v>
      </c>
      <c r="Y16" s="7" t="s">
        <v>612</v>
      </c>
      <c r="Z16" s="7" t="s">
        <v>612</v>
      </c>
      <c r="AA16" s="7" t="s">
        <v>612</v>
      </c>
      <c r="AB16" s="7" t="s">
        <v>612</v>
      </c>
    </row>
    <row r="17" spans="11:28" x14ac:dyDescent="0.25">
      <c r="K17" s="27">
        <v>45464</v>
      </c>
      <c r="L17" s="27">
        <v>45034</v>
      </c>
      <c r="M17" s="7">
        <v>16</v>
      </c>
      <c r="N17" s="134" t="s">
        <v>1014</v>
      </c>
      <c r="O17" t="s">
        <v>1032</v>
      </c>
      <c r="P17" t="s">
        <v>1013</v>
      </c>
      <c r="Q17" s="7" t="s">
        <v>47</v>
      </c>
      <c r="R17" s="7" t="s">
        <v>47</v>
      </c>
      <c r="S17" s="7" t="s">
        <v>47</v>
      </c>
      <c r="T17" s="7" t="s">
        <v>47</v>
      </c>
      <c r="U17" s="7" t="s">
        <v>612</v>
      </c>
      <c r="V17" s="7" t="s">
        <v>47</v>
      </c>
      <c r="W17" s="7" t="s">
        <v>47</v>
      </c>
      <c r="X17" s="7" t="s">
        <v>612</v>
      </c>
      <c r="Y17" s="7" t="s">
        <v>612</v>
      </c>
      <c r="Z17" s="7" t="s">
        <v>612</v>
      </c>
      <c r="AA17" s="7" t="s">
        <v>612</v>
      </c>
      <c r="AB17" s="7" t="s">
        <v>612</v>
      </c>
    </row>
    <row r="18" spans="11:28" x14ac:dyDescent="0.25">
      <c r="K18" s="27">
        <v>45462</v>
      </c>
      <c r="L18" s="27">
        <v>45034</v>
      </c>
      <c r="M18" s="7">
        <v>17</v>
      </c>
      <c r="N18" s="133" t="s">
        <v>1015</v>
      </c>
      <c r="O18" t="s">
        <v>1032</v>
      </c>
      <c r="P18" t="s">
        <v>1016</v>
      </c>
      <c r="Q18" s="7" t="s">
        <v>47</v>
      </c>
      <c r="R18" s="7" t="s">
        <v>47</v>
      </c>
      <c r="S18" s="7" t="s">
        <v>47</v>
      </c>
      <c r="T18" s="7" t="s">
        <v>47</v>
      </c>
      <c r="U18" s="7" t="s">
        <v>47</v>
      </c>
      <c r="V18" s="7" t="s">
        <v>47</v>
      </c>
      <c r="W18" s="7" t="s">
        <v>47</v>
      </c>
      <c r="X18" s="7" t="s">
        <v>47</v>
      </c>
      <c r="Y18" s="7" t="s">
        <v>47</v>
      </c>
      <c r="Z18" s="7" t="s">
        <v>47</v>
      </c>
      <c r="AA18" s="7" t="s">
        <v>612</v>
      </c>
      <c r="AB18" s="7" t="s">
        <v>612</v>
      </c>
    </row>
    <row r="19" spans="11:28" x14ac:dyDescent="0.25">
      <c r="K19" s="27">
        <v>45464</v>
      </c>
      <c r="L19" s="27">
        <v>45315</v>
      </c>
      <c r="M19" s="7">
        <v>18</v>
      </c>
      <c r="N19" s="134" t="s">
        <v>1017</v>
      </c>
      <c r="O19" t="s">
        <v>1032</v>
      </c>
      <c r="P19" t="s">
        <v>1018</v>
      </c>
      <c r="Q19" s="7" t="s">
        <v>47</v>
      </c>
      <c r="R19" s="7" t="s">
        <v>47</v>
      </c>
      <c r="S19" s="7" t="s">
        <v>47</v>
      </c>
      <c r="T19" s="7" t="s">
        <v>47</v>
      </c>
      <c r="U19" s="7" t="s">
        <v>47</v>
      </c>
      <c r="V19" s="7" t="s">
        <v>47</v>
      </c>
      <c r="W19" s="7" t="s">
        <v>612</v>
      </c>
      <c r="X19" s="7" t="s">
        <v>47</v>
      </c>
      <c r="Y19" s="7" t="s">
        <v>47</v>
      </c>
      <c r="Z19" s="7" t="s">
        <v>612</v>
      </c>
      <c r="AA19" s="7" t="s">
        <v>47</v>
      </c>
      <c r="AB19" s="7" t="s">
        <v>612</v>
      </c>
    </row>
    <row r="20" spans="11:28" x14ac:dyDescent="0.25">
      <c r="K20" t="s">
        <v>3982</v>
      </c>
      <c r="L20" s="27">
        <v>45034</v>
      </c>
      <c r="M20" s="7">
        <v>19</v>
      </c>
      <c r="N20" s="134" t="s">
        <v>1019</v>
      </c>
      <c r="O20" t="s">
        <v>1033</v>
      </c>
      <c r="P20" t="s">
        <v>1020</v>
      </c>
      <c r="Q20" s="7" t="s">
        <v>47</v>
      </c>
      <c r="R20" s="7" t="s">
        <v>47</v>
      </c>
      <c r="S20" s="7" t="s">
        <v>47</v>
      </c>
      <c r="T20" s="7" t="s">
        <v>47</v>
      </c>
      <c r="U20" s="7" t="s">
        <v>47</v>
      </c>
      <c r="V20" s="7" t="s">
        <v>47</v>
      </c>
      <c r="W20" s="7" t="s">
        <v>47</v>
      </c>
      <c r="X20" s="7" t="s">
        <v>47</v>
      </c>
      <c r="Y20" s="7" t="s">
        <v>47</v>
      </c>
      <c r="Z20" s="7" t="s">
        <v>47</v>
      </c>
      <c r="AA20" s="7" t="s">
        <v>612</v>
      </c>
      <c r="AB20" s="7" t="s">
        <v>612</v>
      </c>
    </row>
    <row r="21" spans="11:28" x14ac:dyDescent="0.25">
      <c r="K21" t="s">
        <v>3982</v>
      </c>
      <c r="L21" s="27">
        <v>45034</v>
      </c>
      <c r="M21" s="7">
        <v>20</v>
      </c>
      <c r="N21" s="134" t="s">
        <v>1021</v>
      </c>
      <c r="O21" t="s">
        <v>1033</v>
      </c>
      <c r="P21" t="s">
        <v>1020</v>
      </c>
      <c r="Q21" s="7" t="s">
        <v>47</v>
      </c>
      <c r="R21" s="7" t="s">
        <v>47</v>
      </c>
      <c r="S21" s="7" t="s">
        <v>47</v>
      </c>
      <c r="T21" s="7" t="s">
        <v>47</v>
      </c>
      <c r="U21" s="7" t="s">
        <v>47</v>
      </c>
      <c r="V21" s="7" t="s">
        <v>47</v>
      </c>
      <c r="W21" s="7" t="s">
        <v>47</v>
      </c>
      <c r="X21" s="7" t="s">
        <v>47</v>
      </c>
      <c r="Y21" s="7" t="s">
        <v>47</v>
      </c>
      <c r="Z21" s="7" t="s">
        <v>47</v>
      </c>
      <c r="AA21" s="7" t="s">
        <v>612</v>
      </c>
      <c r="AB21" s="7" t="s">
        <v>612</v>
      </c>
    </row>
    <row r="22" spans="11:28" x14ac:dyDescent="0.25">
      <c r="K22" s="27">
        <v>45464</v>
      </c>
      <c r="L22" s="27">
        <v>45034</v>
      </c>
      <c r="M22" s="7">
        <v>21</v>
      </c>
      <c r="N22" s="134" t="s">
        <v>1022</v>
      </c>
      <c r="O22" t="s">
        <v>1032</v>
      </c>
      <c r="P22" t="s">
        <v>1023</v>
      </c>
      <c r="Q22" s="7" t="s">
        <v>47</v>
      </c>
      <c r="R22" s="7" t="s">
        <v>47</v>
      </c>
      <c r="S22" s="7" t="s">
        <v>47</v>
      </c>
      <c r="T22" s="7" t="s">
        <v>47</v>
      </c>
      <c r="U22" s="7" t="s">
        <v>47</v>
      </c>
      <c r="V22" s="7" t="s">
        <v>47</v>
      </c>
      <c r="W22" s="7" t="s">
        <v>612</v>
      </c>
      <c r="X22" s="7" t="s">
        <v>47</v>
      </c>
      <c r="Y22" s="7" t="s">
        <v>47</v>
      </c>
      <c r="Z22" s="7" t="s">
        <v>612</v>
      </c>
      <c r="AA22" s="7" t="s">
        <v>47</v>
      </c>
      <c r="AB22" s="7" t="s">
        <v>47</v>
      </c>
    </row>
    <row r="23" spans="11:28" x14ac:dyDescent="0.25">
      <c r="K23" s="27">
        <v>45464</v>
      </c>
      <c r="L23" s="27">
        <v>45034</v>
      </c>
      <c r="M23" s="7">
        <v>22</v>
      </c>
      <c r="N23" s="134" t="s">
        <v>1024</v>
      </c>
      <c r="O23" t="s">
        <v>1033</v>
      </c>
      <c r="P23" t="s">
        <v>1023</v>
      </c>
      <c r="Q23" s="7" t="s">
        <v>47</v>
      </c>
      <c r="R23" s="7" t="s">
        <v>47</v>
      </c>
      <c r="S23" s="7" t="s">
        <v>47</v>
      </c>
      <c r="T23" s="7" t="s">
        <v>47</v>
      </c>
      <c r="U23" s="7" t="s">
        <v>47</v>
      </c>
      <c r="V23" s="7" t="s">
        <v>47</v>
      </c>
      <c r="W23" s="7" t="s">
        <v>612</v>
      </c>
      <c r="X23" s="7" t="s">
        <v>47</v>
      </c>
      <c r="Y23" s="7" t="s">
        <v>47</v>
      </c>
      <c r="Z23" s="7" t="s">
        <v>612</v>
      </c>
      <c r="AA23" s="7" t="s">
        <v>47</v>
      </c>
      <c r="AB23" s="7" t="s">
        <v>47</v>
      </c>
    </row>
    <row r="24" spans="11:28" x14ac:dyDescent="0.25">
      <c r="K24" s="27">
        <v>45464</v>
      </c>
      <c r="L24" s="27">
        <v>45034</v>
      </c>
      <c r="M24" s="7">
        <v>23</v>
      </c>
      <c r="N24" s="134" t="s">
        <v>1025</v>
      </c>
      <c r="O24" t="s">
        <v>1033</v>
      </c>
      <c r="P24" t="s">
        <v>1023</v>
      </c>
      <c r="Q24" s="7" t="s">
        <v>47</v>
      </c>
      <c r="R24" s="7" t="s">
        <v>47</v>
      </c>
      <c r="S24" s="7" t="s">
        <v>47</v>
      </c>
      <c r="T24" s="7" t="s">
        <v>47</v>
      </c>
      <c r="U24" s="7" t="s">
        <v>47</v>
      </c>
      <c r="V24" s="7" t="s">
        <v>47</v>
      </c>
      <c r="W24" s="7" t="s">
        <v>612</v>
      </c>
      <c r="X24" s="7" t="s">
        <v>47</v>
      </c>
      <c r="Y24" s="7" t="s">
        <v>47</v>
      </c>
      <c r="Z24" s="7" t="s">
        <v>612</v>
      </c>
      <c r="AA24" s="7" t="s">
        <v>47</v>
      </c>
      <c r="AB24" s="7" t="s">
        <v>47</v>
      </c>
    </row>
    <row r="25" spans="11:28" x14ac:dyDescent="0.25">
      <c r="K25" s="27">
        <v>45464</v>
      </c>
      <c r="L25" s="27">
        <v>45034</v>
      </c>
      <c r="M25" s="7">
        <v>24</v>
      </c>
      <c r="N25" s="134" t="s">
        <v>1026</v>
      </c>
      <c r="O25" t="s">
        <v>1032</v>
      </c>
      <c r="P25" t="s">
        <v>1027</v>
      </c>
      <c r="Q25" s="7" t="s">
        <v>47</v>
      </c>
      <c r="R25" s="7" t="s">
        <v>47</v>
      </c>
      <c r="S25" s="7" t="s">
        <v>47</v>
      </c>
      <c r="T25" s="7" t="s">
        <v>47</v>
      </c>
      <c r="U25" s="7" t="s">
        <v>47</v>
      </c>
      <c r="V25" s="7" t="s">
        <v>47</v>
      </c>
      <c r="W25" s="7" t="s">
        <v>612</v>
      </c>
      <c r="X25" s="7" t="s">
        <v>47</v>
      </c>
      <c r="Y25" s="7" t="s">
        <v>47</v>
      </c>
      <c r="Z25" s="7" t="s">
        <v>612</v>
      </c>
      <c r="AA25" s="7" t="s">
        <v>47</v>
      </c>
      <c r="AB25" s="7" t="s">
        <v>47</v>
      </c>
    </row>
    <row r="26" spans="11:28" x14ac:dyDescent="0.25">
      <c r="L26" s="27">
        <v>45315</v>
      </c>
      <c r="M26" s="7">
        <v>25</v>
      </c>
      <c r="N26" s="134" t="s">
        <v>1028</v>
      </c>
      <c r="O26" t="s">
        <v>1032</v>
      </c>
      <c r="P26" t="s">
        <v>1029</v>
      </c>
      <c r="Q26" s="7" t="s">
        <v>47</v>
      </c>
      <c r="R26" s="7" t="s">
        <v>47</v>
      </c>
      <c r="S26" s="7" t="s">
        <v>47</v>
      </c>
      <c r="T26" s="7" t="s">
        <v>47</v>
      </c>
      <c r="U26" s="7" t="s">
        <v>612</v>
      </c>
      <c r="V26" s="7" t="s">
        <v>47</v>
      </c>
      <c r="W26" s="7" t="s">
        <v>612</v>
      </c>
      <c r="X26" s="7" t="s">
        <v>612</v>
      </c>
      <c r="Y26" s="7" t="s">
        <v>47</v>
      </c>
      <c r="Z26" s="7" t="s">
        <v>612</v>
      </c>
      <c r="AA26" s="7" t="s">
        <v>612</v>
      </c>
      <c r="AB26" s="7" t="s">
        <v>612</v>
      </c>
    </row>
    <row r="27" spans="11:28" x14ac:dyDescent="0.25">
      <c r="K27" t="s">
        <v>3956</v>
      </c>
      <c r="L27" s="27">
        <v>45034</v>
      </c>
      <c r="M27" s="7">
        <v>26</v>
      </c>
      <c r="N27" s="134" t="s">
        <v>1030</v>
      </c>
      <c r="O27" t="s">
        <v>1032</v>
      </c>
      <c r="P27" t="s">
        <v>3953</v>
      </c>
      <c r="Q27" s="7" t="s">
        <v>47</v>
      </c>
      <c r="R27" s="7" t="s">
        <v>47</v>
      </c>
      <c r="S27" s="7" t="s">
        <v>47</v>
      </c>
      <c r="T27" s="7" t="s">
        <v>47</v>
      </c>
      <c r="U27" s="7" t="s">
        <v>47</v>
      </c>
      <c r="V27" s="7" t="s">
        <v>47</v>
      </c>
      <c r="W27" s="7" t="s">
        <v>612</v>
      </c>
      <c r="X27" s="7" t="s">
        <v>47</v>
      </c>
      <c r="Y27" s="7" t="s">
        <v>47</v>
      </c>
      <c r="Z27" s="7" t="s">
        <v>612</v>
      </c>
      <c r="AA27" s="7" t="s">
        <v>47</v>
      </c>
      <c r="AB27" s="7" t="s">
        <v>47</v>
      </c>
    </row>
    <row r="28" spans="11:28" x14ac:dyDescent="0.25">
      <c r="K28" t="s">
        <v>3956</v>
      </c>
      <c r="L28" s="27">
        <v>45034</v>
      </c>
      <c r="M28" s="7">
        <v>27</v>
      </c>
      <c r="N28" s="134" t="s">
        <v>1031</v>
      </c>
      <c r="O28" t="s">
        <v>1033</v>
      </c>
      <c r="P28" t="s">
        <v>3953</v>
      </c>
      <c r="Q28" s="7" t="s">
        <v>47</v>
      </c>
      <c r="R28" s="7" t="s">
        <v>47</v>
      </c>
      <c r="S28" s="7" t="s">
        <v>47</v>
      </c>
      <c r="T28" s="7" t="s">
        <v>47</v>
      </c>
      <c r="U28" s="7" t="s">
        <v>47</v>
      </c>
      <c r="V28" s="7" t="s">
        <v>47</v>
      </c>
      <c r="W28" s="7" t="s">
        <v>612</v>
      </c>
      <c r="X28" s="7" t="s">
        <v>47</v>
      </c>
      <c r="Y28" s="7" t="s">
        <v>47</v>
      </c>
      <c r="Z28" s="7" t="s">
        <v>612</v>
      </c>
      <c r="AA28" s="7" t="s">
        <v>47</v>
      </c>
      <c r="AB28" s="7" t="s">
        <v>47</v>
      </c>
    </row>
    <row r="29" spans="11:28" x14ac:dyDescent="0.25">
      <c r="K29" s="27">
        <v>45469</v>
      </c>
      <c r="L29" s="27">
        <v>44993</v>
      </c>
      <c r="M29" s="7">
        <v>28</v>
      </c>
      <c r="N29" t="s">
        <v>3620</v>
      </c>
      <c r="O29" t="s">
        <v>1033</v>
      </c>
      <c r="P29" t="s">
        <v>3983</v>
      </c>
      <c r="Q29" s="7" t="s">
        <v>47</v>
      </c>
      <c r="R29" s="7" t="s">
        <v>47</v>
      </c>
      <c r="S29" s="7" t="s">
        <v>47</v>
      </c>
      <c r="T29" s="7" t="s">
        <v>47</v>
      </c>
      <c r="U29" s="7" t="s">
        <v>47</v>
      </c>
      <c r="V29" s="7" t="s">
        <v>47</v>
      </c>
      <c r="W29" s="7" t="s">
        <v>47</v>
      </c>
      <c r="X29" s="7" t="s">
        <v>47</v>
      </c>
      <c r="Y29" s="7" t="s">
        <v>47</v>
      </c>
      <c r="Z29" s="7" t="s">
        <v>47</v>
      </c>
      <c r="AA29" s="7" t="s">
        <v>612</v>
      </c>
      <c r="AB29" s="7" t="s">
        <v>612</v>
      </c>
    </row>
    <row r="30" spans="11:28" x14ac:dyDescent="0.25">
      <c r="K30" s="27">
        <v>45469</v>
      </c>
      <c r="L30" s="27">
        <v>44993</v>
      </c>
      <c r="M30" s="7">
        <v>29</v>
      </c>
      <c r="N30" t="s">
        <v>3621</v>
      </c>
      <c r="O30" t="s">
        <v>1033</v>
      </c>
      <c r="Q30" s="7" t="s">
        <v>612</v>
      </c>
      <c r="R30" s="7" t="s">
        <v>612</v>
      </c>
      <c r="S30" s="7" t="s">
        <v>612</v>
      </c>
      <c r="T30" s="7" t="s">
        <v>612</v>
      </c>
      <c r="U30" s="7" t="s">
        <v>612</v>
      </c>
      <c r="V30" s="7" t="s">
        <v>612</v>
      </c>
      <c r="W30" s="7" t="s">
        <v>612</v>
      </c>
      <c r="X30" s="7" t="s">
        <v>612</v>
      </c>
      <c r="Y30" s="7" t="s">
        <v>612</v>
      </c>
      <c r="Z30" s="7" t="s">
        <v>612</v>
      </c>
      <c r="AA30" s="7" t="s">
        <v>612</v>
      </c>
      <c r="AB30" s="7" t="s">
        <v>612</v>
      </c>
    </row>
    <row r="31" spans="11:28" x14ac:dyDescent="0.25">
      <c r="K31" s="27">
        <v>45469</v>
      </c>
      <c r="L31" s="27">
        <v>44993</v>
      </c>
      <c r="M31" s="7">
        <v>30</v>
      </c>
      <c r="N31" t="s">
        <v>3622</v>
      </c>
      <c r="O31" t="s">
        <v>1033</v>
      </c>
      <c r="Q31" s="7" t="s">
        <v>612</v>
      </c>
      <c r="R31" s="7" t="s">
        <v>612</v>
      </c>
      <c r="S31" s="7" t="s">
        <v>612</v>
      </c>
      <c r="T31" s="7" t="s">
        <v>612</v>
      </c>
      <c r="U31" s="7" t="s">
        <v>612</v>
      </c>
      <c r="V31" s="7" t="s">
        <v>612</v>
      </c>
      <c r="W31" s="7" t="s">
        <v>612</v>
      </c>
      <c r="X31" s="7" t="s">
        <v>612</v>
      </c>
      <c r="Y31" s="7" t="s">
        <v>612</v>
      </c>
      <c r="Z31" s="7" t="s">
        <v>612</v>
      </c>
      <c r="AA31" s="7" t="s">
        <v>612</v>
      </c>
      <c r="AB31" s="7" t="s">
        <v>612</v>
      </c>
    </row>
    <row r="32" spans="11:28" x14ac:dyDescent="0.25">
      <c r="K32" t="s">
        <v>3956</v>
      </c>
      <c r="L32" s="27">
        <v>45025</v>
      </c>
      <c r="M32" s="7">
        <v>31</v>
      </c>
      <c r="N32" s="134" t="s">
        <v>3623</v>
      </c>
      <c r="O32" t="s">
        <v>1033</v>
      </c>
      <c r="P32" t="s">
        <v>3953</v>
      </c>
      <c r="Q32" s="7" t="s">
        <v>47</v>
      </c>
      <c r="R32" s="7" t="s">
        <v>47</v>
      </c>
      <c r="S32" s="7" t="s">
        <v>47</v>
      </c>
      <c r="T32" s="7" t="s">
        <v>47</v>
      </c>
      <c r="U32" s="7" t="s">
        <v>47</v>
      </c>
      <c r="V32" s="7" t="s">
        <v>47</v>
      </c>
      <c r="W32" s="7" t="s">
        <v>612</v>
      </c>
      <c r="X32" s="7" t="s">
        <v>47</v>
      </c>
      <c r="Y32" s="7" t="s">
        <v>47</v>
      </c>
      <c r="Z32" s="7" t="s">
        <v>612</v>
      </c>
      <c r="AA32" s="7" t="s">
        <v>47</v>
      </c>
      <c r="AB32" s="7" t="s">
        <v>47</v>
      </c>
    </row>
  </sheetData>
  <hyperlinks>
    <hyperlink ref="H11" r:id="rId1" xr:uid="{971DBD1A-F4F8-48D5-8530-827B5FB4DD92}"/>
    <hyperlink ref="H2" r:id="rId2" xr:uid="{761D4F9D-56FE-4223-9ABE-D42D4C31BCDD}"/>
    <hyperlink ref="H3" r:id="rId3" xr:uid="{BA0618DC-F4F1-4255-A6F1-E7D80EE29B70}"/>
    <hyperlink ref="H4" r:id="rId4" xr:uid="{235903E0-6672-4BD0-871E-8B93228DE834}"/>
    <hyperlink ref="H5" r:id="rId5" xr:uid="{CD1ACBAF-B970-4521-B612-424EA0DB5F7A}"/>
    <hyperlink ref="H6" r:id="rId6" xr:uid="{A065010A-BA2B-4417-ACFA-8AB6684B9724}"/>
    <hyperlink ref="H8" r:id="rId7" xr:uid="{28F4EA12-F02F-4828-8610-E3008EE33314}"/>
    <hyperlink ref="H9" r:id="rId8" xr:uid="{5EA65408-A934-43B1-AA23-4E3599FB2A57}"/>
    <hyperlink ref="H12" r:id="rId9" xr:uid="{B806715F-DCF2-496F-826C-199DC2D21BCE}"/>
    <hyperlink ref="P9" r:id="rId10" xr:uid="{7D3939E5-034E-44CD-B4EF-A11DEE29FA80}"/>
  </hyperlinks>
  <pageMargins left="0.7" right="0.7" top="0.75" bottom="0.75" header="0.3" footer="0.3"/>
  <pageSetup paperSize="9" scale="62" orientation="portrait" r:id="rId1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C3CA8-F209-4A1B-B0C9-5CC619B36034}">
  <sheetPr codeName="Sheet14"/>
  <dimension ref="A1:C15"/>
  <sheetViews>
    <sheetView workbookViewId="0">
      <selection activeCell="C28" sqref="C28"/>
    </sheetView>
  </sheetViews>
  <sheetFormatPr defaultRowHeight="15" x14ac:dyDescent="0.25"/>
  <cols>
    <col min="2" max="2" width="20.28515625" bestFit="1" customWidth="1"/>
    <col min="3" max="3" width="175.85546875" customWidth="1"/>
  </cols>
  <sheetData>
    <row r="1" spans="1:3" x14ac:dyDescent="0.25">
      <c r="A1" s="124" t="s">
        <v>0</v>
      </c>
      <c r="B1" s="124" t="s">
        <v>799</v>
      </c>
      <c r="C1" s="124" t="s">
        <v>855</v>
      </c>
    </row>
    <row r="2" spans="1:3" x14ac:dyDescent="0.25">
      <c r="A2" s="123">
        <v>44927</v>
      </c>
      <c r="B2" s="8" t="s">
        <v>856</v>
      </c>
      <c r="C2" s="8" t="s">
        <v>39</v>
      </c>
    </row>
    <row r="3" spans="1:3" x14ac:dyDescent="0.25">
      <c r="A3" s="123">
        <v>44927</v>
      </c>
      <c r="B3" s="8" t="s">
        <v>857</v>
      </c>
      <c r="C3" s="8" t="s">
        <v>39</v>
      </c>
    </row>
    <row r="4" spans="1:3" x14ac:dyDescent="0.25">
      <c r="A4" s="123">
        <v>44927</v>
      </c>
      <c r="B4" s="8" t="s">
        <v>859</v>
      </c>
      <c r="C4" s="8" t="s">
        <v>39</v>
      </c>
    </row>
    <row r="5" spans="1:3" x14ac:dyDescent="0.25">
      <c r="A5" s="123">
        <v>44927</v>
      </c>
      <c r="B5" s="8" t="s">
        <v>860</v>
      </c>
      <c r="C5" s="8" t="s">
        <v>39</v>
      </c>
    </row>
    <row r="6" spans="1:3" x14ac:dyDescent="0.25">
      <c r="A6" s="123">
        <v>44927</v>
      </c>
      <c r="B6" s="8" t="s">
        <v>858</v>
      </c>
      <c r="C6" s="8" t="s">
        <v>39</v>
      </c>
    </row>
    <row r="7" spans="1:3" x14ac:dyDescent="0.25">
      <c r="A7" s="123">
        <v>44927</v>
      </c>
      <c r="B7" s="8" t="s">
        <v>861</v>
      </c>
      <c r="C7" s="8" t="s">
        <v>39</v>
      </c>
    </row>
    <row r="8" spans="1:3" x14ac:dyDescent="0.25">
      <c r="A8" s="123">
        <v>44927</v>
      </c>
      <c r="B8" s="8" t="s">
        <v>862</v>
      </c>
      <c r="C8" s="8" t="s">
        <v>39</v>
      </c>
    </row>
    <row r="9" spans="1:3" x14ac:dyDescent="0.25">
      <c r="A9" s="123">
        <v>44927</v>
      </c>
      <c r="B9" s="8" t="s">
        <v>863</v>
      </c>
      <c r="C9" s="8" t="s">
        <v>39</v>
      </c>
    </row>
    <row r="10" spans="1:3" x14ac:dyDescent="0.25">
      <c r="A10" s="123">
        <v>44927</v>
      </c>
      <c r="B10" s="8" t="s">
        <v>864</v>
      </c>
      <c r="C10" s="8" t="s">
        <v>39</v>
      </c>
    </row>
    <row r="11" spans="1:3" x14ac:dyDescent="0.25">
      <c r="A11" s="123">
        <v>44927</v>
      </c>
      <c r="B11" s="8" t="s">
        <v>865</v>
      </c>
      <c r="C11" s="8" t="s">
        <v>39</v>
      </c>
    </row>
    <row r="12" spans="1:3" x14ac:dyDescent="0.25">
      <c r="A12" s="123">
        <v>44927</v>
      </c>
      <c r="B12" s="8" t="s">
        <v>866</v>
      </c>
      <c r="C12" s="8" t="s">
        <v>39</v>
      </c>
    </row>
    <row r="13" spans="1:3" x14ac:dyDescent="0.25">
      <c r="A13" s="123">
        <v>44927</v>
      </c>
      <c r="B13" s="8" t="s">
        <v>867</v>
      </c>
      <c r="C13" s="8" t="s">
        <v>39</v>
      </c>
    </row>
    <row r="14" spans="1:3" x14ac:dyDescent="0.25">
      <c r="A14" s="123">
        <v>44927</v>
      </c>
      <c r="B14" s="8" t="s">
        <v>868</v>
      </c>
      <c r="C14" s="8" t="s">
        <v>39</v>
      </c>
    </row>
    <row r="15" spans="1:3" x14ac:dyDescent="0.25">
      <c r="A15" s="123">
        <v>44927</v>
      </c>
      <c r="B15" s="8" t="s">
        <v>869</v>
      </c>
      <c r="C15" s="8" t="s">
        <v>39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88F9-A61F-4607-A3D3-BE48450EDF52}">
  <sheetPr codeName="Sheet23"/>
  <dimension ref="A2:P70"/>
  <sheetViews>
    <sheetView showGridLines="0" topLeftCell="A25" workbookViewId="0">
      <selection activeCell="A66" sqref="A66"/>
    </sheetView>
  </sheetViews>
  <sheetFormatPr defaultRowHeight="15" x14ac:dyDescent="0.25"/>
  <cols>
    <col min="1" max="1" width="46" bestFit="1" customWidth="1"/>
    <col min="2" max="2" width="110.5703125" bestFit="1" customWidth="1"/>
    <col min="3" max="3" width="18.42578125" bestFit="1" customWidth="1"/>
    <col min="4" max="5" width="18.42578125" customWidth="1"/>
    <col min="6" max="6" width="17" bestFit="1" customWidth="1"/>
    <col min="7" max="7" width="18.5703125" style="7" bestFit="1" customWidth="1"/>
    <col min="8" max="8" width="18.85546875" bestFit="1" customWidth="1"/>
    <col min="14" max="15" width="10.7109375" bestFit="1" customWidth="1"/>
  </cols>
  <sheetData>
    <row r="2" spans="1:16" x14ac:dyDescent="0.25">
      <c r="A2" t="s">
        <v>615</v>
      </c>
      <c r="B2" t="s">
        <v>1766</v>
      </c>
      <c r="C2" t="s">
        <v>1250</v>
      </c>
      <c r="D2" t="s">
        <v>1964</v>
      </c>
      <c r="E2" t="s">
        <v>1965</v>
      </c>
      <c r="F2" t="s">
        <v>1767</v>
      </c>
      <c r="G2" s="7" t="s">
        <v>1966</v>
      </c>
      <c r="H2" t="s">
        <v>1768</v>
      </c>
    </row>
    <row r="3" spans="1:16" x14ac:dyDescent="0.25">
      <c r="A3" t="s">
        <v>1769</v>
      </c>
      <c r="B3" t="s">
        <v>1770</v>
      </c>
      <c r="C3" t="s">
        <v>1771</v>
      </c>
      <c r="D3" s="27">
        <v>43780</v>
      </c>
      <c r="E3" s="27"/>
      <c r="F3" s="27">
        <v>45187</v>
      </c>
      <c r="G3" s="98" t="str">
        <f>IF(E3&gt;D3,"SIM","NÃO")</f>
        <v>NÃO</v>
      </c>
    </row>
    <row r="4" spans="1:16" x14ac:dyDescent="0.25">
      <c r="A4" t="s">
        <v>1772</v>
      </c>
      <c r="B4" t="s">
        <v>1773</v>
      </c>
      <c r="C4" t="s">
        <v>1774</v>
      </c>
      <c r="D4" s="27">
        <v>44041</v>
      </c>
      <c r="E4" s="27"/>
      <c r="F4" s="27">
        <v>45187</v>
      </c>
      <c r="G4" s="98" t="str">
        <f t="shared" ref="G4:G67" si="0">IF(E4&gt;D4,"SIM","NÃO")</f>
        <v>NÃO</v>
      </c>
    </row>
    <row r="5" spans="1:16" x14ac:dyDescent="0.25">
      <c r="A5" t="s">
        <v>1775</v>
      </c>
      <c r="B5" t="s">
        <v>1776</v>
      </c>
      <c r="C5" t="s">
        <v>1777</v>
      </c>
      <c r="D5" t="s">
        <v>1963</v>
      </c>
      <c r="G5" s="98" t="str">
        <f t="shared" si="0"/>
        <v>NÃO</v>
      </c>
    </row>
    <row r="6" spans="1:16" x14ac:dyDescent="0.25">
      <c r="A6" t="s">
        <v>1778</v>
      </c>
      <c r="B6" t="s">
        <v>1779</v>
      </c>
      <c r="C6" t="s">
        <v>1780</v>
      </c>
      <c r="D6" s="27">
        <v>43819</v>
      </c>
      <c r="E6" s="27">
        <v>42489</v>
      </c>
      <c r="F6" s="27">
        <v>45187</v>
      </c>
      <c r="G6" s="98" t="str">
        <f t="shared" si="0"/>
        <v>NÃO</v>
      </c>
      <c r="N6" t="s">
        <v>1257</v>
      </c>
      <c r="O6" t="s">
        <v>257</v>
      </c>
      <c r="P6" t="s">
        <v>11</v>
      </c>
    </row>
    <row r="7" spans="1:16" x14ac:dyDescent="0.25">
      <c r="A7" t="s">
        <v>1781</v>
      </c>
      <c r="B7" t="s">
        <v>1782</v>
      </c>
      <c r="C7" t="s">
        <v>1783</v>
      </c>
      <c r="D7" s="27">
        <v>43756</v>
      </c>
      <c r="E7" s="27">
        <v>43756</v>
      </c>
      <c r="F7" s="27">
        <v>45187</v>
      </c>
      <c r="G7" s="98" t="str">
        <f t="shared" si="0"/>
        <v>NÃO</v>
      </c>
      <c r="M7" t="s">
        <v>1251</v>
      </c>
      <c r="P7" t="s">
        <v>47</v>
      </c>
    </row>
    <row r="8" spans="1:16" x14ac:dyDescent="0.25">
      <c r="A8" t="s">
        <v>1784</v>
      </c>
      <c r="B8" t="s">
        <v>1785</v>
      </c>
      <c r="C8" t="s">
        <v>1786</v>
      </c>
      <c r="D8" s="27">
        <v>43756</v>
      </c>
      <c r="E8" s="27"/>
      <c r="G8" s="98" t="str">
        <f t="shared" si="0"/>
        <v>NÃO</v>
      </c>
      <c r="M8" t="s">
        <v>1252</v>
      </c>
      <c r="N8" s="27">
        <v>43584</v>
      </c>
      <c r="O8" s="27">
        <v>43819</v>
      </c>
      <c r="P8" t="s">
        <v>1968</v>
      </c>
    </row>
    <row r="9" spans="1:16" x14ac:dyDescent="0.25">
      <c r="A9" t="s">
        <v>1787</v>
      </c>
      <c r="B9" t="s">
        <v>1788</v>
      </c>
      <c r="C9" t="s">
        <v>1789</v>
      </c>
      <c r="D9" t="s">
        <v>1963</v>
      </c>
      <c r="G9" s="98" t="str">
        <f t="shared" si="0"/>
        <v>NÃO</v>
      </c>
      <c r="M9" t="s">
        <v>1253</v>
      </c>
      <c r="N9" s="27">
        <v>43780</v>
      </c>
      <c r="O9" s="27">
        <v>43780</v>
      </c>
    </row>
    <row r="10" spans="1:16" x14ac:dyDescent="0.25">
      <c r="A10" t="s">
        <v>1249</v>
      </c>
      <c r="B10" t="s">
        <v>1790</v>
      </c>
      <c r="C10" t="s">
        <v>1791</v>
      </c>
      <c r="D10" s="27">
        <v>43780</v>
      </c>
      <c r="E10" s="27">
        <v>42888</v>
      </c>
      <c r="F10" s="27">
        <v>45187</v>
      </c>
      <c r="G10" s="98" t="str">
        <f t="shared" si="0"/>
        <v>NÃO</v>
      </c>
      <c r="M10" t="s">
        <v>1967</v>
      </c>
    </row>
    <row r="11" spans="1:16" x14ac:dyDescent="0.25">
      <c r="A11" t="s">
        <v>1792</v>
      </c>
      <c r="B11" t="s">
        <v>1793</v>
      </c>
      <c r="C11" t="s">
        <v>1794</v>
      </c>
      <c r="D11" s="27">
        <v>43756</v>
      </c>
      <c r="E11" s="27"/>
      <c r="G11" s="98" t="str">
        <f t="shared" si="0"/>
        <v>NÃO</v>
      </c>
      <c r="M11" t="s">
        <v>1255</v>
      </c>
    </row>
    <row r="12" spans="1:16" x14ac:dyDescent="0.25">
      <c r="A12" t="s">
        <v>1795</v>
      </c>
      <c r="B12" t="s">
        <v>1796</v>
      </c>
      <c r="C12" t="s">
        <v>1797</v>
      </c>
      <c r="D12" s="27">
        <v>43780</v>
      </c>
      <c r="E12" s="27">
        <v>44996</v>
      </c>
      <c r="F12" s="27">
        <v>45187</v>
      </c>
      <c r="G12" s="98" t="str">
        <f t="shared" ref="G12:G19" si="1">IF(E12&gt;D12,"SIM","NÃO")</f>
        <v>SIM</v>
      </c>
    </row>
    <row r="13" spans="1:16" x14ac:dyDescent="0.25">
      <c r="A13" t="s">
        <v>1798</v>
      </c>
      <c r="B13" t="s">
        <v>1799</v>
      </c>
      <c r="C13" t="s">
        <v>1800</v>
      </c>
      <c r="D13" s="27">
        <v>44203</v>
      </c>
      <c r="E13" s="27">
        <v>44715</v>
      </c>
      <c r="F13" s="27">
        <v>45187</v>
      </c>
      <c r="G13" s="98" t="str">
        <f t="shared" si="1"/>
        <v>SIM</v>
      </c>
    </row>
    <row r="14" spans="1:16" x14ac:dyDescent="0.25">
      <c r="A14" t="s">
        <v>1801</v>
      </c>
      <c r="B14" t="s">
        <v>1802</v>
      </c>
      <c r="C14" t="s">
        <v>1803</v>
      </c>
      <c r="D14" s="27">
        <v>43819</v>
      </c>
      <c r="E14" s="27">
        <v>42458</v>
      </c>
      <c r="F14" s="27">
        <v>45187</v>
      </c>
      <c r="G14" s="98" t="str">
        <f t="shared" si="1"/>
        <v>NÃO</v>
      </c>
    </row>
    <row r="15" spans="1:16" x14ac:dyDescent="0.25">
      <c r="A15" t="s">
        <v>1804</v>
      </c>
      <c r="B15" t="s">
        <v>1805</v>
      </c>
      <c r="C15" t="s">
        <v>1806</v>
      </c>
      <c r="D15" s="27">
        <v>43797</v>
      </c>
      <c r="E15" s="27">
        <v>43787</v>
      </c>
      <c r="F15" s="27">
        <v>45187</v>
      </c>
      <c r="G15" s="98" t="str">
        <f t="shared" si="1"/>
        <v>NÃO</v>
      </c>
    </row>
    <row r="16" spans="1:16" x14ac:dyDescent="0.25">
      <c r="A16" t="s">
        <v>1807</v>
      </c>
      <c r="B16" t="s">
        <v>1808</v>
      </c>
      <c r="C16" t="s">
        <v>1809</v>
      </c>
      <c r="D16" s="27">
        <v>44216</v>
      </c>
      <c r="E16" s="27">
        <v>43172</v>
      </c>
      <c r="F16" s="27">
        <v>45187</v>
      </c>
      <c r="G16" s="98" t="str">
        <f t="shared" si="1"/>
        <v>NÃO</v>
      </c>
    </row>
    <row r="17" spans="1:7" x14ac:dyDescent="0.25">
      <c r="A17" t="s">
        <v>1810</v>
      </c>
      <c r="B17" t="s">
        <v>1811</v>
      </c>
      <c r="C17" t="s">
        <v>1812</v>
      </c>
      <c r="D17" s="27">
        <v>43773</v>
      </c>
      <c r="E17" s="27">
        <v>42459</v>
      </c>
      <c r="F17" s="27">
        <v>45187</v>
      </c>
      <c r="G17" s="98" t="str">
        <f t="shared" si="1"/>
        <v>NÃO</v>
      </c>
    </row>
    <row r="18" spans="1:7" x14ac:dyDescent="0.25">
      <c r="A18" t="s">
        <v>1813</v>
      </c>
      <c r="B18" t="s">
        <v>1814</v>
      </c>
      <c r="C18" t="s">
        <v>1815</v>
      </c>
      <c r="D18" t="s">
        <v>1963</v>
      </c>
      <c r="E18" s="27">
        <v>42923</v>
      </c>
      <c r="F18" s="27">
        <v>45187</v>
      </c>
      <c r="G18" s="98" t="str">
        <f t="shared" si="1"/>
        <v>NÃO</v>
      </c>
    </row>
    <row r="19" spans="1:7" x14ac:dyDescent="0.25">
      <c r="A19" t="s">
        <v>1816</v>
      </c>
      <c r="B19" t="s">
        <v>1817</v>
      </c>
      <c r="C19" t="s">
        <v>1818</v>
      </c>
      <c r="D19" s="27">
        <v>44146</v>
      </c>
      <c r="E19" s="27">
        <v>42890</v>
      </c>
      <c r="F19" s="27">
        <v>45187</v>
      </c>
      <c r="G19" s="98" t="str">
        <f t="shared" si="1"/>
        <v>NÃO</v>
      </c>
    </row>
    <row r="20" spans="1:7" x14ac:dyDescent="0.25">
      <c r="A20" t="s">
        <v>1819</v>
      </c>
      <c r="B20" t="s">
        <v>1820</v>
      </c>
      <c r="C20" t="s">
        <v>1821</v>
      </c>
      <c r="D20" s="27">
        <v>44174</v>
      </c>
      <c r="E20" s="27">
        <v>42576</v>
      </c>
      <c r="F20" s="27">
        <v>45187</v>
      </c>
      <c r="G20" s="98" t="str">
        <f t="shared" si="0"/>
        <v>NÃO</v>
      </c>
    </row>
    <row r="21" spans="1:7" x14ac:dyDescent="0.25">
      <c r="A21" t="s">
        <v>1822</v>
      </c>
      <c r="B21" t="s">
        <v>1823</v>
      </c>
      <c r="C21" t="s">
        <v>1824</v>
      </c>
      <c r="D21" s="27">
        <v>43734</v>
      </c>
      <c r="E21" s="27">
        <v>42782</v>
      </c>
      <c r="F21" s="27">
        <v>45187</v>
      </c>
      <c r="G21" s="98" t="str">
        <f>IF(E21&gt;D21,"SIM","NÃO")</f>
        <v>NÃO</v>
      </c>
    </row>
    <row r="22" spans="1:7" x14ac:dyDescent="0.25">
      <c r="A22" t="s">
        <v>1825</v>
      </c>
      <c r="B22" t="s">
        <v>1826</v>
      </c>
      <c r="C22" t="s">
        <v>1827</v>
      </c>
      <c r="E22" s="27">
        <v>43679</v>
      </c>
      <c r="F22" s="27">
        <v>45187</v>
      </c>
      <c r="G22" s="98" t="str">
        <f>IF(E22&gt;D22,"SIM","NÃO")</f>
        <v>SIM</v>
      </c>
    </row>
    <row r="23" spans="1:7" x14ac:dyDescent="0.25">
      <c r="A23" t="s">
        <v>1828</v>
      </c>
      <c r="B23" t="s">
        <v>1829</v>
      </c>
      <c r="C23" t="s">
        <v>1830</v>
      </c>
      <c r="E23" s="27">
        <v>42488</v>
      </c>
      <c r="F23" s="27">
        <v>45187</v>
      </c>
      <c r="G23" s="98" t="str">
        <f t="shared" si="0"/>
        <v>SIM</v>
      </c>
    </row>
    <row r="24" spans="1:7" x14ac:dyDescent="0.25">
      <c r="A24" t="s">
        <v>1831</v>
      </c>
      <c r="B24" t="s">
        <v>1832</v>
      </c>
      <c r="C24" t="s">
        <v>1833</v>
      </c>
      <c r="E24" s="27">
        <v>43676</v>
      </c>
      <c r="F24" s="27">
        <v>45187</v>
      </c>
      <c r="G24" s="98" t="str">
        <f t="shared" si="0"/>
        <v>SIM</v>
      </c>
    </row>
    <row r="25" spans="1:7" x14ac:dyDescent="0.25">
      <c r="A25" t="s">
        <v>1834</v>
      </c>
      <c r="B25" t="s">
        <v>1835</v>
      </c>
      <c r="C25" t="s">
        <v>1836</v>
      </c>
      <c r="E25" s="27">
        <v>43679</v>
      </c>
      <c r="F25" s="27">
        <v>45187</v>
      </c>
      <c r="G25" s="98" t="str">
        <f t="shared" si="0"/>
        <v>SIM</v>
      </c>
    </row>
    <row r="26" spans="1:7" x14ac:dyDescent="0.25">
      <c r="A26" t="s">
        <v>1837</v>
      </c>
      <c r="B26" t="s">
        <v>1838</v>
      </c>
      <c r="C26" t="s">
        <v>1839</v>
      </c>
      <c r="E26" s="27">
        <v>42488</v>
      </c>
      <c r="F26" s="27">
        <v>45187</v>
      </c>
      <c r="G26" s="98" t="str">
        <f t="shared" si="0"/>
        <v>SIM</v>
      </c>
    </row>
    <row r="27" spans="1:7" x14ac:dyDescent="0.25">
      <c r="A27" t="s">
        <v>1840</v>
      </c>
      <c r="B27" t="s">
        <v>1841</v>
      </c>
      <c r="C27" t="s">
        <v>1842</v>
      </c>
      <c r="E27" s="27">
        <v>42874</v>
      </c>
      <c r="F27" s="27">
        <v>45187</v>
      </c>
      <c r="G27" s="98" t="str">
        <f t="shared" si="0"/>
        <v>SIM</v>
      </c>
    </row>
    <row r="28" spans="1:7" x14ac:dyDescent="0.25">
      <c r="A28" t="s">
        <v>1843</v>
      </c>
      <c r="B28" t="s">
        <v>1844</v>
      </c>
      <c r="C28" t="s">
        <v>1845</v>
      </c>
      <c r="E28" s="27">
        <v>42874</v>
      </c>
      <c r="F28" s="27">
        <v>45187</v>
      </c>
      <c r="G28" s="98" t="str">
        <f t="shared" si="0"/>
        <v>SIM</v>
      </c>
    </row>
    <row r="29" spans="1:7" x14ac:dyDescent="0.25">
      <c r="A29" t="s">
        <v>1846</v>
      </c>
      <c r="B29" t="s">
        <v>1847</v>
      </c>
      <c r="C29" t="s">
        <v>1848</v>
      </c>
      <c r="F29" s="27">
        <v>45187</v>
      </c>
      <c r="G29" s="98" t="str">
        <f t="shared" si="0"/>
        <v>NÃO</v>
      </c>
    </row>
    <row r="30" spans="1:7" x14ac:dyDescent="0.25">
      <c r="A30" t="s">
        <v>1849</v>
      </c>
      <c r="B30" t="s">
        <v>1850</v>
      </c>
      <c r="C30" t="s">
        <v>1851</v>
      </c>
      <c r="E30" s="27">
        <v>43859</v>
      </c>
      <c r="F30" s="27">
        <v>45187</v>
      </c>
      <c r="G30" s="98" t="str">
        <f t="shared" si="0"/>
        <v>SIM</v>
      </c>
    </row>
    <row r="31" spans="1:7" x14ac:dyDescent="0.25">
      <c r="A31" t="s">
        <v>1852</v>
      </c>
      <c r="B31" t="s">
        <v>1853</v>
      </c>
      <c r="C31" t="s">
        <v>1854</v>
      </c>
      <c r="F31" s="27">
        <v>45187</v>
      </c>
      <c r="G31" s="98" t="str">
        <f t="shared" si="0"/>
        <v>NÃO</v>
      </c>
    </row>
    <row r="32" spans="1:7" x14ac:dyDescent="0.25">
      <c r="A32" t="s">
        <v>1855</v>
      </c>
      <c r="B32" t="s">
        <v>1856</v>
      </c>
      <c r="C32" t="s">
        <v>1857</v>
      </c>
      <c r="E32" s="27">
        <v>44174</v>
      </c>
      <c r="F32" s="27">
        <v>45187</v>
      </c>
      <c r="G32" s="98" t="str">
        <f t="shared" si="0"/>
        <v>SIM</v>
      </c>
    </row>
    <row r="33" spans="1:7" x14ac:dyDescent="0.25">
      <c r="A33" t="s">
        <v>1858</v>
      </c>
      <c r="B33" t="s">
        <v>1859</v>
      </c>
      <c r="C33" t="s">
        <v>1254</v>
      </c>
      <c r="E33" s="27">
        <v>44174</v>
      </c>
      <c r="F33" s="27">
        <v>45187</v>
      </c>
      <c r="G33" s="98" t="str">
        <f t="shared" si="0"/>
        <v>SIM</v>
      </c>
    </row>
    <row r="34" spans="1:7" x14ac:dyDescent="0.25">
      <c r="A34" t="s">
        <v>1860</v>
      </c>
      <c r="B34" t="s">
        <v>1861</v>
      </c>
      <c r="C34" t="s">
        <v>1862</v>
      </c>
      <c r="E34" s="27">
        <v>44162</v>
      </c>
      <c r="F34" s="27">
        <v>45187</v>
      </c>
      <c r="G34" s="98" t="str">
        <f t="shared" si="0"/>
        <v>SIM</v>
      </c>
    </row>
    <row r="35" spans="1:7" x14ac:dyDescent="0.25">
      <c r="A35" t="s">
        <v>1863</v>
      </c>
      <c r="B35" t="s">
        <v>1864</v>
      </c>
      <c r="C35" t="s">
        <v>1865</v>
      </c>
      <c r="F35" s="27">
        <v>45187</v>
      </c>
      <c r="G35" s="98" t="str">
        <f t="shared" si="0"/>
        <v>NÃO</v>
      </c>
    </row>
    <row r="36" spans="1:7" x14ac:dyDescent="0.25">
      <c r="A36" t="s">
        <v>1866</v>
      </c>
      <c r="B36" t="s">
        <v>1867</v>
      </c>
      <c r="C36" t="s">
        <v>1868</v>
      </c>
      <c r="E36" s="27">
        <v>44250</v>
      </c>
      <c r="F36" s="27">
        <v>45187</v>
      </c>
      <c r="G36" s="98" t="str">
        <f t="shared" si="0"/>
        <v>SIM</v>
      </c>
    </row>
    <row r="37" spans="1:7" x14ac:dyDescent="0.25">
      <c r="A37" t="s">
        <v>1869</v>
      </c>
      <c r="B37" t="s">
        <v>1870</v>
      </c>
      <c r="C37" t="s">
        <v>1871</v>
      </c>
      <c r="F37" s="27">
        <v>45187</v>
      </c>
      <c r="G37" s="98" t="str">
        <f t="shared" si="0"/>
        <v>NÃO</v>
      </c>
    </row>
    <row r="38" spans="1:7" x14ac:dyDescent="0.25">
      <c r="A38" t="s">
        <v>1872</v>
      </c>
      <c r="B38" t="s">
        <v>1873</v>
      </c>
      <c r="C38" t="s">
        <v>1874</v>
      </c>
      <c r="E38" t="s">
        <v>847</v>
      </c>
      <c r="F38" s="27">
        <v>45187</v>
      </c>
      <c r="G38" s="98" t="str">
        <f t="shared" si="0"/>
        <v>SIM</v>
      </c>
    </row>
    <row r="39" spans="1:7" x14ac:dyDescent="0.25">
      <c r="A39" t="s">
        <v>1875</v>
      </c>
      <c r="B39" t="s">
        <v>1876</v>
      </c>
      <c r="C39" t="s">
        <v>1877</v>
      </c>
      <c r="D39" s="27">
        <v>43902</v>
      </c>
      <c r="F39" s="27">
        <v>45187</v>
      </c>
      <c r="G39" s="98" t="str">
        <f t="shared" si="0"/>
        <v>NÃO</v>
      </c>
    </row>
    <row r="40" spans="1:7" x14ac:dyDescent="0.25">
      <c r="A40" t="s">
        <v>1878</v>
      </c>
      <c r="B40" t="s">
        <v>1879</v>
      </c>
      <c r="C40" t="s">
        <v>1880</v>
      </c>
      <c r="D40" s="27">
        <v>43865</v>
      </c>
      <c r="F40" s="27">
        <v>45187</v>
      </c>
      <c r="G40" s="98" t="str">
        <f t="shared" si="0"/>
        <v>NÃO</v>
      </c>
    </row>
    <row r="41" spans="1:7" x14ac:dyDescent="0.25">
      <c r="A41" t="s">
        <v>1881</v>
      </c>
      <c r="B41" t="s">
        <v>1882</v>
      </c>
      <c r="C41" t="s">
        <v>1883</v>
      </c>
      <c r="D41" s="27">
        <v>44272</v>
      </c>
      <c r="F41" s="27">
        <v>45187</v>
      </c>
      <c r="G41" s="98" t="str">
        <f t="shared" si="0"/>
        <v>NÃO</v>
      </c>
    </row>
    <row r="42" spans="1:7" x14ac:dyDescent="0.25">
      <c r="A42" t="s">
        <v>1884</v>
      </c>
      <c r="B42" t="s">
        <v>1885</v>
      </c>
      <c r="C42" t="s">
        <v>1886</v>
      </c>
      <c r="D42" s="27">
        <v>44904</v>
      </c>
      <c r="F42" s="27">
        <v>45187</v>
      </c>
      <c r="G42" s="98" t="str">
        <f t="shared" si="0"/>
        <v>NÃO</v>
      </c>
    </row>
    <row r="43" spans="1:7" x14ac:dyDescent="0.25">
      <c r="A43" t="s">
        <v>1887</v>
      </c>
      <c r="B43" t="s">
        <v>1888</v>
      </c>
      <c r="C43" t="s">
        <v>1889</v>
      </c>
      <c r="D43" s="27">
        <v>44327</v>
      </c>
      <c r="F43" s="27">
        <v>45187</v>
      </c>
      <c r="G43" s="98" t="str">
        <f t="shared" si="0"/>
        <v>NÃO</v>
      </c>
    </row>
    <row r="44" spans="1:7" x14ac:dyDescent="0.25">
      <c r="A44" t="s">
        <v>1890</v>
      </c>
      <c r="B44" t="s">
        <v>1891</v>
      </c>
      <c r="C44" t="s">
        <v>1692</v>
      </c>
      <c r="D44" s="27">
        <v>44327</v>
      </c>
      <c r="F44" s="27">
        <v>45187</v>
      </c>
      <c r="G44" s="98" t="str">
        <f t="shared" si="0"/>
        <v>NÃO</v>
      </c>
    </row>
    <row r="45" spans="1:7" x14ac:dyDescent="0.25">
      <c r="A45" t="s">
        <v>1884</v>
      </c>
      <c r="B45" t="s">
        <v>1885</v>
      </c>
      <c r="C45" t="s">
        <v>1886</v>
      </c>
      <c r="D45" s="27">
        <v>44904</v>
      </c>
      <c r="F45" s="27">
        <v>45187</v>
      </c>
      <c r="G45" s="98" t="str">
        <f t="shared" si="0"/>
        <v>NÃO</v>
      </c>
    </row>
    <row r="46" spans="1:7" x14ac:dyDescent="0.25">
      <c r="A46" t="s">
        <v>1892</v>
      </c>
      <c r="B46" t="s">
        <v>1893</v>
      </c>
      <c r="C46" t="s">
        <v>1894</v>
      </c>
      <c r="D46" s="27">
        <v>44378</v>
      </c>
      <c r="F46" s="27">
        <v>45187</v>
      </c>
      <c r="G46" s="98" t="str">
        <f t="shared" si="0"/>
        <v>NÃO</v>
      </c>
    </row>
    <row r="47" spans="1:7" x14ac:dyDescent="0.25">
      <c r="A47" t="s">
        <v>1895</v>
      </c>
      <c r="B47" t="s">
        <v>1896</v>
      </c>
      <c r="C47" t="s">
        <v>1897</v>
      </c>
      <c r="D47" t="s">
        <v>1963</v>
      </c>
      <c r="F47" s="27">
        <v>45187</v>
      </c>
      <c r="G47" s="98" t="str">
        <f t="shared" si="0"/>
        <v>NÃO</v>
      </c>
    </row>
    <row r="48" spans="1:7" x14ac:dyDescent="0.25">
      <c r="A48" t="s">
        <v>1898</v>
      </c>
      <c r="B48" t="s">
        <v>1899</v>
      </c>
      <c r="C48" t="s">
        <v>1900</v>
      </c>
      <c r="D48" s="27">
        <v>44195</v>
      </c>
      <c r="F48" s="27">
        <v>45187</v>
      </c>
      <c r="G48" s="98" t="str">
        <f t="shared" si="0"/>
        <v>NÃO</v>
      </c>
    </row>
    <row r="49" spans="1:7" x14ac:dyDescent="0.25">
      <c r="A49" t="s">
        <v>1901</v>
      </c>
      <c r="B49" t="s">
        <v>1902</v>
      </c>
      <c r="C49" t="s">
        <v>1903</v>
      </c>
      <c r="D49" t="s">
        <v>1963</v>
      </c>
      <c r="F49" s="27">
        <v>45187</v>
      </c>
      <c r="G49" s="98" t="str">
        <f t="shared" si="0"/>
        <v>NÃO</v>
      </c>
    </row>
    <row r="50" spans="1:7" x14ac:dyDescent="0.25">
      <c r="A50" t="s">
        <v>1904</v>
      </c>
      <c r="B50" t="s">
        <v>1905</v>
      </c>
      <c r="C50" t="s">
        <v>1906</v>
      </c>
      <c r="D50" t="s">
        <v>1963</v>
      </c>
      <c r="F50" s="27">
        <v>45187</v>
      </c>
      <c r="G50" s="98" t="str">
        <f t="shared" si="0"/>
        <v>NÃO</v>
      </c>
    </row>
    <row r="51" spans="1:7" x14ac:dyDescent="0.25">
      <c r="A51" t="s">
        <v>1907</v>
      </c>
      <c r="B51" t="s">
        <v>1908</v>
      </c>
      <c r="C51" t="s">
        <v>1909</v>
      </c>
      <c r="D51" t="s">
        <v>1963</v>
      </c>
      <c r="F51" s="27">
        <v>45187</v>
      </c>
      <c r="G51" s="98" t="str">
        <f t="shared" si="0"/>
        <v>NÃO</v>
      </c>
    </row>
    <row r="52" spans="1:7" x14ac:dyDescent="0.25">
      <c r="A52" t="s">
        <v>1910</v>
      </c>
      <c r="B52" t="s">
        <v>1911</v>
      </c>
      <c r="C52" t="s">
        <v>1912</v>
      </c>
      <c r="D52" t="s">
        <v>1963</v>
      </c>
      <c r="F52" s="27">
        <v>45187</v>
      </c>
      <c r="G52" s="98" t="str">
        <f t="shared" si="0"/>
        <v>NÃO</v>
      </c>
    </row>
    <row r="53" spans="1:7" x14ac:dyDescent="0.25">
      <c r="A53" t="s">
        <v>1913</v>
      </c>
      <c r="F53" s="27">
        <v>45187</v>
      </c>
      <c r="G53" s="98" t="str">
        <f t="shared" si="0"/>
        <v>NÃO</v>
      </c>
    </row>
    <row r="54" spans="1:7" x14ac:dyDescent="0.25">
      <c r="A54" t="s">
        <v>1914</v>
      </c>
      <c r="B54" t="s">
        <v>1915</v>
      </c>
      <c r="C54" t="s">
        <v>1916</v>
      </c>
      <c r="D54" t="s">
        <v>1963</v>
      </c>
      <c r="F54" s="27">
        <v>45187</v>
      </c>
      <c r="G54" s="98" t="str">
        <f t="shared" si="0"/>
        <v>NÃO</v>
      </c>
    </row>
    <row r="55" spans="1:7" x14ac:dyDescent="0.25">
      <c r="A55" t="s">
        <v>1917</v>
      </c>
      <c r="B55" t="s">
        <v>1918</v>
      </c>
      <c r="C55" t="s">
        <v>1919</v>
      </c>
      <c r="D55" t="s">
        <v>1963</v>
      </c>
      <c r="F55" s="27">
        <v>45187</v>
      </c>
      <c r="G55" s="98" t="str">
        <f t="shared" si="0"/>
        <v>NÃO</v>
      </c>
    </row>
    <row r="56" spans="1:7" x14ac:dyDescent="0.25">
      <c r="A56" t="s">
        <v>1920</v>
      </c>
      <c r="B56" t="s">
        <v>1921</v>
      </c>
      <c r="C56" t="s">
        <v>1922</v>
      </c>
      <c r="D56" t="s">
        <v>1963</v>
      </c>
      <c r="F56" s="27">
        <v>45187</v>
      </c>
      <c r="G56" s="98" t="str">
        <f t="shared" si="0"/>
        <v>NÃO</v>
      </c>
    </row>
    <row r="57" spans="1:7" x14ac:dyDescent="0.25">
      <c r="A57" t="s">
        <v>1923</v>
      </c>
      <c r="B57" t="s">
        <v>1924</v>
      </c>
      <c r="C57" t="s">
        <v>1925</v>
      </c>
      <c r="D57" t="s">
        <v>1963</v>
      </c>
      <c r="F57" s="27">
        <v>45187</v>
      </c>
      <c r="G57" s="98" t="str">
        <f t="shared" si="0"/>
        <v>NÃO</v>
      </c>
    </row>
    <row r="58" spans="1:7" x14ac:dyDescent="0.25">
      <c r="A58" t="s">
        <v>1926</v>
      </c>
      <c r="B58" t="s">
        <v>1927</v>
      </c>
      <c r="C58" t="s">
        <v>1928</v>
      </c>
      <c r="D58" t="s">
        <v>1963</v>
      </c>
      <c r="F58" s="27">
        <v>45187</v>
      </c>
      <c r="G58" s="98" t="str">
        <f t="shared" si="0"/>
        <v>NÃO</v>
      </c>
    </row>
    <row r="59" spans="1:7" x14ac:dyDescent="0.25">
      <c r="A59" t="s">
        <v>1929</v>
      </c>
      <c r="B59" t="s">
        <v>1930</v>
      </c>
      <c r="C59" t="s">
        <v>1931</v>
      </c>
      <c r="D59" t="s">
        <v>1963</v>
      </c>
      <c r="F59" s="27">
        <v>45187</v>
      </c>
      <c r="G59" s="98" t="str">
        <f t="shared" si="0"/>
        <v>NÃO</v>
      </c>
    </row>
    <row r="60" spans="1:7" x14ac:dyDescent="0.25">
      <c r="A60" t="s">
        <v>1932</v>
      </c>
      <c r="B60" t="s">
        <v>1933</v>
      </c>
      <c r="C60" t="s">
        <v>1934</v>
      </c>
      <c r="D60" s="27">
        <v>44047</v>
      </c>
      <c r="F60" s="27">
        <v>45187</v>
      </c>
      <c r="G60" s="98" t="str">
        <f t="shared" si="0"/>
        <v>NÃO</v>
      </c>
    </row>
    <row r="61" spans="1:7" x14ac:dyDescent="0.25">
      <c r="A61" t="s">
        <v>1935</v>
      </c>
      <c r="B61" t="s">
        <v>1936</v>
      </c>
      <c r="C61" t="s">
        <v>1937</v>
      </c>
      <c r="D61" t="s">
        <v>1963</v>
      </c>
      <c r="F61" s="27">
        <v>45187</v>
      </c>
      <c r="G61" s="98" t="str">
        <f t="shared" si="0"/>
        <v>NÃO</v>
      </c>
    </row>
    <row r="62" spans="1:7" x14ac:dyDescent="0.25">
      <c r="A62" t="s">
        <v>1938</v>
      </c>
      <c r="B62" t="s">
        <v>1939</v>
      </c>
      <c r="C62" t="s">
        <v>1940</v>
      </c>
      <c r="D62" t="s">
        <v>1963</v>
      </c>
      <c r="F62" s="27">
        <v>45187</v>
      </c>
      <c r="G62" s="98" t="str">
        <f t="shared" si="0"/>
        <v>NÃO</v>
      </c>
    </row>
    <row r="63" spans="1:7" x14ac:dyDescent="0.25">
      <c r="A63" t="s">
        <v>1941</v>
      </c>
      <c r="B63" t="s">
        <v>1942</v>
      </c>
      <c r="C63" t="s">
        <v>1943</v>
      </c>
      <c r="D63" t="s">
        <v>1963</v>
      </c>
      <c r="E63" s="27">
        <v>44126</v>
      </c>
      <c r="F63" s="27">
        <v>45187</v>
      </c>
      <c r="G63" s="98" t="str">
        <f t="shared" si="0"/>
        <v>NÃO</v>
      </c>
    </row>
    <row r="64" spans="1:7" x14ac:dyDescent="0.25">
      <c r="A64" t="s">
        <v>1944</v>
      </c>
      <c r="B64" t="s">
        <v>1945</v>
      </c>
      <c r="C64" t="s">
        <v>1946</v>
      </c>
      <c r="D64" t="s">
        <v>1963</v>
      </c>
      <c r="F64" s="27">
        <v>45187</v>
      </c>
      <c r="G64" s="98" t="str">
        <f t="shared" si="0"/>
        <v>NÃO</v>
      </c>
    </row>
    <row r="65" spans="1:7" x14ac:dyDescent="0.25">
      <c r="A65" t="s">
        <v>1947</v>
      </c>
      <c r="B65" t="s">
        <v>1850</v>
      </c>
      <c r="C65" t="s">
        <v>1851</v>
      </c>
      <c r="D65" s="27">
        <v>43770</v>
      </c>
      <c r="E65" s="27">
        <v>43859</v>
      </c>
      <c r="F65" s="27">
        <v>45187</v>
      </c>
      <c r="G65" s="98" t="str">
        <f t="shared" si="0"/>
        <v>SIM</v>
      </c>
    </row>
    <row r="66" spans="1:7" x14ac:dyDescent="0.25">
      <c r="A66" t="s">
        <v>1948</v>
      </c>
      <c r="B66" t="s">
        <v>1949</v>
      </c>
      <c r="C66" t="s">
        <v>1950</v>
      </c>
      <c r="D66" t="s">
        <v>1963</v>
      </c>
      <c r="E66" s="27">
        <v>44599</v>
      </c>
      <c r="F66" s="27">
        <v>45187</v>
      </c>
      <c r="G66" s="98" t="str">
        <f t="shared" si="0"/>
        <v>NÃO</v>
      </c>
    </row>
    <row r="67" spans="1:7" x14ac:dyDescent="0.25">
      <c r="A67" t="s">
        <v>1951</v>
      </c>
      <c r="B67" t="s">
        <v>1952</v>
      </c>
      <c r="C67" t="s">
        <v>1953</v>
      </c>
      <c r="D67" t="s">
        <v>1963</v>
      </c>
      <c r="E67" s="27">
        <v>44505</v>
      </c>
      <c r="F67" s="27">
        <v>45187</v>
      </c>
      <c r="G67" s="98" t="str">
        <f t="shared" si="0"/>
        <v>NÃO</v>
      </c>
    </row>
    <row r="68" spans="1:7" x14ac:dyDescent="0.25">
      <c r="A68" t="s">
        <v>1954</v>
      </c>
      <c r="B68" t="s">
        <v>1955</v>
      </c>
      <c r="C68" t="s">
        <v>1956</v>
      </c>
      <c r="D68" t="s">
        <v>1963</v>
      </c>
      <c r="E68" s="27">
        <v>44419</v>
      </c>
      <c r="F68" s="27">
        <v>45187</v>
      </c>
      <c r="G68" s="98" t="str">
        <f t="shared" ref="G68:G70" si="2">IF(E68&gt;D68,"SIM","NÃO")</f>
        <v>NÃO</v>
      </c>
    </row>
    <row r="69" spans="1:7" x14ac:dyDescent="0.25">
      <c r="A69" t="s">
        <v>1957</v>
      </c>
      <c r="B69" t="s">
        <v>1958</v>
      </c>
      <c r="C69" t="s">
        <v>1959</v>
      </c>
      <c r="D69" t="s">
        <v>1963</v>
      </c>
      <c r="E69" s="27">
        <v>44467</v>
      </c>
      <c r="F69" s="27">
        <v>45187</v>
      </c>
      <c r="G69" s="98" t="str">
        <f t="shared" si="2"/>
        <v>NÃO</v>
      </c>
    </row>
    <row r="70" spans="1:7" x14ac:dyDescent="0.25">
      <c r="A70" t="s">
        <v>1960</v>
      </c>
      <c r="B70" t="s">
        <v>1961</v>
      </c>
      <c r="C70" t="s">
        <v>1962</v>
      </c>
      <c r="D70" t="s">
        <v>1963</v>
      </c>
      <c r="E70" s="27">
        <v>43172</v>
      </c>
      <c r="F70" s="27">
        <v>45187</v>
      </c>
      <c r="G70" s="98" t="str">
        <f t="shared" si="2"/>
        <v>NÃO</v>
      </c>
    </row>
  </sheetData>
  <autoFilter ref="A2:H70" xr:uid="{905C88F9-A61F-4607-A3D3-BE48450EDF52}"/>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B702D-F759-42C0-82EA-8AD2CA7820AE}">
  <sheetPr codeName="Sheet24"/>
  <dimension ref="A2:J26"/>
  <sheetViews>
    <sheetView showGridLines="0" workbookViewId="0">
      <selection activeCell="E22" sqref="E22"/>
    </sheetView>
  </sheetViews>
  <sheetFormatPr defaultRowHeight="15" x14ac:dyDescent="0.25"/>
  <cols>
    <col min="1" max="1" width="10.42578125" bestFit="1" customWidth="1"/>
    <col min="2" max="2" width="38.7109375" customWidth="1"/>
    <col min="4" max="4" width="25.5703125" customWidth="1"/>
    <col min="5" max="5" width="15.42578125" bestFit="1" customWidth="1"/>
    <col min="6" max="6" width="69.42578125" bestFit="1" customWidth="1"/>
    <col min="7" max="7" width="53.28515625" bestFit="1" customWidth="1"/>
    <col min="8" max="8" width="9.5703125" customWidth="1"/>
    <col min="9" max="9" width="14.42578125" bestFit="1" customWidth="1"/>
    <col min="10" max="10" width="12.7109375" bestFit="1" customWidth="1"/>
  </cols>
  <sheetData>
    <row r="2" spans="1:10" x14ac:dyDescent="0.25">
      <c r="A2" s="7" t="s">
        <v>2130</v>
      </c>
      <c r="B2" s="7" t="s">
        <v>591</v>
      </c>
      <c r="C2" s="7" t="s">
        <v>2131</v>
      </c>
      <c r="D2" s="7" t="s">
        <v>2132</v>
      </c>
      <c r="E2" s="7" t="s">
        <v>1984</v>
      </c>
      <c r="F2" s="7" t="s">
        <v>2133</v>
      </c>
      <c r="G2" s="7" t="s">
        <v>2134</v>
      </c>
      <c r="H2" s="7" t="s">
        <v>2135</v>
      </c>
      <c r="I2" s="7" t="s">
        <v>0</v>
      </c>
      <c r="J2" s="7" t="s">
        <v>2154</v>
      </c>
    </row>
    <row r="3" spans="1:10" x14ac:dyDescent="0.25">
      <c r="A3" s="200" t="s">
        <v>397</v>
      </c>
      <c r="B3" t="s">
        <v>2136</v>
      </c>
      <c r="C3" t="s">
        <v>2137</v>
      </c>
      <c r="D3" s="1" t="s">
        <v>39</v>
      </c>
      <c r="E3" t="s">
        <v>2138</v>
      </c>
      <c r="F3" t="s">
        <v>2139</v>
      </c>
      <c r="J3" s="201" t="str">
        <f>IF(AND(F3="ATA",I3="OK"),"12/31/2500",IF(G3="Mensal",EOMONTH(H3,1),IF(G3="Bimestral",EOMONTH(H3,2),IF(G3="Trimestral",EOMONTH(H3,3),IF(G3="Semestral",EOMONTH(H3,6),IF(G3="Anual",EOMONTH(H3,12),IF(G3="5 anos",EOMONTH(H3,60),"")))))))</f>
        <v/>
      </c>
    </row>
    <row r="4" spans="1:10" x14ac:dyDescent="0.25">
      <c r="A4" s="200" t="s">
        <v>397</v>
      </c>
      <c r="B4" t="s">
        <v>2140</v>
      </c>
      <c r="C4" t="s">
        <v>2137</v>
      </c>
      <c r="D4" s="1" t="s">
        <v>39</v>
      </c>
      <c r="E4" t="s">
        <v>2138</v>
      </c>
      <c r="F4" t="s">
        <v>2141</v>
      </c>
      <c r="J4" s="201" t="str">
        <f t="shared" ref="J4:J13" si="0">IF(AND(F4="ATA",I4="OK"),"12/31/2500",IF(G4="Mensal",EOMONTH(H4,1),IF(G4="Bimestral",EOMONTH(H4,2),IF(G4="Trimestral",EOMONTH(H4,3),IF(G4="Semestral",EOMONTH(H4,6),IF(G4="Anual",EOMONTH(H4,12),IF(G4="5 anos",EOMONTH(H4,60),"")))))))</f>
        <v/>
      </c>
    </row>
    <row r="5" spans="1:10" x14ac:dyDescent="0.25">
      <c r="A5" s="200" t="s">
        <v>397</v>
      </c>
      <c r="B5" t="s">
        <v>2142</v>
      </c>
      <c r="C5" t="s">
        <v>2137</v>
      </c>
      <c r="D5" s="1" t="s">
        <v>39</v>
      </c>
      <c r="E5" t="s">
        <v>2138</v>
      </c>
      <c r="F5" t="s">
        <v>2143</v>
      </c>
      <c r="J5" s="201" t="str">
        <f t="shared" si="0"/>
        <v/>
      </c>
    </row>
    <row r="6" spans="1:10" x14ac:dyDescent="0.25">
      <c r="A6" s="200" t="s">
        <v>397</v>
      </c>
      <c r="B6" t="s">
        <v>2159</v>
      </c>
      <c r="C6" t="s">
        <v>2137</v>
      </c>
      <c r="D6" s="1" t="s">
        <v>39</v>
      </c>
      <c r="E6" t="s">
        <v>448</v>
      </c>
      <c r="F6" t="s">
        <v>2160</v>
      </c>
      <c r="G6" t="s">
        <v>2161</v>
      </c>
      <c r="J6" s="201" t="str">
        <f>IF(AND(F6="ATA",I6="OK"),"12/31/2500",IF(G6="Mensal",EOMONTH(H6,1),IF(G6="Bimestral",EOMONTH(H6,2),IF(G6="Trimestral",EOMONTH(H6,3),IF(G6="Semestral",EOMONTH(H6,6),IF(G6="Anual",EOMONTH(H6,12),IF(G6="5 anos",EOMONTH(H6,60),"")))))))</f>
        <v/>
      </c>
    </row>
    <row r="7" spans="1:10" x14ac:dyDescent="0.25">
      <c r="A7" s="200" t="s">
        <v>397</v>
      </c>
      <c r="B7" t="s">
        <v>2144</v>
      </c>
      <c r="C7" t="s">
        <v>2137</v>
      </c>
      <c r="D7" s="1" t="s">
        <v>39</v>
      </c>
      <c r="E7" t="s">
        <v>2138</v>
      </c>
      <c r="F7" t="s">
        <v>2145</v>
      </c>
      <c r="J7" s="201" t="str">
        <f t="shared" si="0"/>
        <v/>
      </c>
    </row>
    <row r="8" spans="1:10" x14ac:dyDescent="0.25">
      <c r="A8" s="200" t="s">
        <v>2146</v>
      </c>
      <c r="B8" t="s">
        <v>2147</v>
      </c>
      <c r="C8" t="s">
        <v>2137</v>
      </c>
      <c r="D8" s="1" t="s">
        <v>39</v>
      </c>
      <c r="E8" t="s">
        <v>37</v>
      </c>
      <c r="J8" s="201" t="str">
        <f t="shared" si="0"/>
        <v/>
      </c>
    </row>
    <row r="9" spans="1:10" x14ac:dyDescent="0.25">
      <c r="A9" s="200" t="s">
        <v>2146</v>
      </c>
      <c r="D9" s="1"/>
      <c r="J9" s="201" t="str">
        <f t="shared" si="0"/>
        <v/>
      </c>
    </row>
    <row r="10" spans="1:10" x14ac:dyDescent="0.25">
      <c r="A10" s="200" t="s">
        <v>644</v>
      </c>
      <c r="B10" t="s">
        <v>2148</v>
      </c>
      <c r="D10" s="1"/>
      <c r="J10" s="201" t="str">
        <f t="shared" si="0"/>
        <v/>
      </c>
    </row>
    <row r="11" spans="1:10" x14ac:dyDescent="0.25">
      <c r="A11" s="200" t="s">
        <v>170</v>
      </c>
      <c r="B11" t="s">
        <v>2149</v>
      </c>
      <c r="C11" t="s">
        <v>2150</v>
      </c>
      <c r="D11" s="1">
        <v>15</v>
      </c>
      <c r="J11" s="201" t="str">
        <f t="shared" si="0"/>
        <v/>
      </c>
    </row>
    <row r="12" spans="1:10" x14ac:dyDescent="0.25">
      <c r="A12" s="200" t="s">
        <v>170</v>
      </c>
      <c r="B12" t="s">
        <v>2151</v>
      </c>
      <c r="C12" t="s">
        <v>2150</v>
      </c>
      <c r="D12" s="1">
        <v>15</v>
      </c>
      <c r="J12" s="201" t="str">
        <f>IF(AND(F12="ATA",I12="OK"),"12/31/2500",IF(G12="Mensal",EOMONTH(H12,1),IF(G12="Bimestral",EOMONTH(H12,2),IF(G12="Trimestral",EOMONTH(H12,3),IF(G12="Semestral",EOMONTH(H12,6),IF(G12="Anual",EOMONTH(H12,12),IF(G12="5 anos",EOMONTH(H12,60),"")))))))</f>
        <v/>
      </c>
    </row>
    <row r="13" spans="1:10" x14ac:dyDescent="0.25">
      <c r="A13" s="200" t="s">
        <v>170</v>
      </c>
      <c r="B13" t="s">
        <v>2152</v>
      </c>
      <c r="C13" t="s">
        <v>2150</v>
      </c>
      <c r="D13" s="1">
        <v>20</v>
      </c>
      <c r="E13" t="s">
        <v>37</v>
      </c>
      <c r="J13" s="201" t="str">
        <f t="shared" si="0"/>
        <v/>
      </c>
    </row>
    <row r="14" spans="1:10" x14ac:dyDescent="0.25">
      <c r="A14" s="200" t="s">
        <v>266</v>
      </c>
      <c r="B14" t="s">
        <v>377</v>
      </c>
      <c r="D14" s="1"/>
      <c r="G14" s="27"/>
      <c r="I14" s="27">
        <v>45056</v>
      </c>
      <c r="J14" s="201" t="str">
        <f>IF(AND(F14="ATA",I14="OK"),"12/31/2500",IF(G14="Mensal",EOMONTH(H14,1),IF(G14="Bimestral",EOMONTH(H14,2),IF(G14="Trimestral",EOMONTH(H14,3),IF(G14="Semestral",EOMONTH(H14,6),IF(G14="Anual",EOMONTH(H14,12),IF(G14="5 anos",EOMONTH(H14,60),"")))))))</f>
        <v/>
      </c>
    </row>
    <row r="26" spans="6:6" x14ac:dyDescent="0.25">
      <c r="F26" t="s">
        <v>2709</v>
      </c>
    </row>
  </sheetData>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55EEB-16B4-4EA0-B4C3-C98336378708}">
  <sheetPr codeName="Sheet32"/>
  <dimension ref="A1:C10"/>
  <sheetViews>
    <sheetView topLeftCell="A7" workbookViewId="0">
      <selection activeCell="C4" sqref="C4"/>
    </sheetView>
  </sheetViews>
  <sheetFormatPr defaultRowHeight="15" x14ac:dyDescent="0.25"/>
  <cols>
    <col min="2" max="2" width="30.85546875" bestFit="1" customWidth="1"/>
    <col min="3" max="3" width="127" customWidth="1"/>
  </cols>
  <sheetData>
    <row r="1" spans="1:3" x14ac:dyDescent="0.25">
      <c r="A1" s="8" t="s">
        <v>2131</v>
      </c>
      <c r="B1" s="8" t="s">
        <v>799</v>
      </c>
      <c r="C1" s="8" t="s">
        <v>3962</v>
      </c>
    </row>
    <row r="2" spans="1:3" ht="60" x14ac:dyDescent="0.25">
      <c r="A2" s="8" t="s">
        <v>3979</v>
      </c>
      <c r="B2" s="8" t="s">
        <v>3963</v>
      </c>
      <c r="C2" s="95" t="s">
        <v>3964</v>
      </c>
    </row>
    <row r="3" spans="1:3" ht="60" x14ac:dyDescent="0.25">
      <c r="A3" s="8" t="s">
        <v>3979</v>
      </c>
      <c r="B3" s="8" t="s">
        <v>3965</v>
      </c>
      <c r="C3" s="95" t="s">
        <v>3966</v>
      </c>
    </row>
    <row r="4" spans="1:3" ht="45" x14ac:dyDescent="0.25">
      <c r="A4" s="8" t="s">
        <v>3979</v>
      </c>
      <c r="B4" s="8" t="s">
        <v>3967</v>
      </c>
      <c r="C4" s="95" t="s">
        <v>3968</v>
      </c>
    </row>
    <row r="5" spans="1:3" ht="240" x14ac:dyDescent="0.25">
      <c r="A5" s="8" t="s">
        <v>3979</v>
      </c>
      <c r="B5" s="104" t="s">
        <v>2892</v>
      </c>
      <c r="C5" s="95" t="s">
        <v>3969</v>
      </c>
    </row>
    <row r="6" spans="1:3" ht="45" x14ac:dyDescent="0.25">
      <c r="A6" s="8" t="s">
        <v>3979</v>
      </c>
      <c r="B6" s="8" t="s">
        <v>3970</v>
      </c>
      <c r="C6" s="95" t="s">
        <v>3971</v>
      </c>
    </row>
    <row r="7" spans="1:3" ht="90" x14ac:dyDescent="0.25">
      <c r="A7" s="8" t="s">
        <v>3979</v>
      </c>
      <c r="B7" s="8" t="s">
        <v>3972</v>
      </c>
      <c r="C7" s="95" t="s">
        <v>3973</v>
      </c>
    </row>
    <row r="8" spans="1:3" ht="45" x14ac:dyDescent="0.25">
      <c r="A8" s="8" t="s">
        <v>3979</v>
      </c>
      <c r="B8" s="8" t="s">
        <v>3974</v>
      </c>
      <c r="C8" s="95" t="s">
        <v>3975</v>
      </c>
    </row>
    <row r="9" spans="1:3" ht="90" x14ac:dyDescent="0.25">
      <c r="A9" s="8" t="s">
        <v>3976</v>
      </c>
      <c r="B9" s="8" t="s">
        <v>3977</v>
      </c>
      <c r="C9" s="95" t="s">
        <v>3978</v>
      </c>
    </row>
    <row r="10" spans="1:3" ht="60" x14ac:dyDescent="0.25">
      <c r="A10" s="8" t="s">
        <v>3976</v>
      </c>
      <c r="B10" s="8" t="s">
        <v>3981</v>
      </c>
      <c r="C10" s="95" t="s">
        <v>3980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903B426-D046-4A37-8360-B95F59ED2F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Menu</vt:lpstr>
      <vt:lpstr>Sheet1</vt:lpstr>
      <vt:lpstr>Sheet2</vt:lpstr>
      <vt:lpstr>Rotinas</vt:lpstr>
      <vt:lpstr>DEPARA - ATIVOS</vt:lpstr>
      <vt:lpstr>Monitor Legal</vt:lpstr>
      <vt:lpstr>Compliance - Manual Operacional</vt:lpstr>
      <vt:lpstr>Compliance - Onshore</vt:lpstr>
      <vt:lpstr>Textos comercial</vt:lpstr>
      <vt:lpstr>Compliance - Rel. Risco</vt:lpstr>
      <vt:lpstr>Compliance - LGPD</vt:lpstr>
      <vt:lpstr>Compliance - Risco Operacional</vt:lpstr>
      <vt:lpstr>Compliance - Docs Internos</vt:lpstr>
      <vt:lpstr>log</vt:lpstr>
      <vt:lpstr>Compliance - Monit de Terceiros</vt:lpstr>
      <vt:lpstr>Compliance - PCN</vt:lpstr>
      <vt:lpstr>Compliance - Termos</vt:lpstr>
      <vt:lpstr>Compliance - DDQ</vt:lpstr>
      <vt:lpstr>DD - Admn e Corretoras</vt:lpstr>
      <vt:lpstr>Treinamento</vt:lpstr>
      <vt:lpstr>Distribuidores</vt:lpstr>
      <vt:lpstr>CPM</vt:lpstr>
      <vt:lpstr>BackOffice - Passagens</vt:lpstr>
      <vt:lpstr>TI - Diario</vt:lpstr>
      <vt:lpstr>TI - Semanal</vt:lpstr>
      <vt:lpstr>TI - Matriz SoD</vt:lpstr>
      <vt:lpstr>TI - Acessos Sistemas</vt:lpstr>
      <vt:lpstr>Emissores de Ordem</vt:lpstr>
      <vt:lpstr>Questionamento Comitê</vt:lpstr>
      <vt:lpstr>Compliance - Regulamentos</vt:lpstr>
      <vt:lpstr>Testes</vt:lpstr>
      <vt:lpstr>Textos padrão</vt:lpstr>
      <vt:lpstr>'Monitor Legal'!_DV_M39</vt:lpstr>
      <vt:lpstr>'Monitor Legal'!_DV_M43</vt:lpstr>
      <vt:lpstr>'Monitor Legal'!_DV_M47</vt:lpstr>
      <vt:lpstr>Anual</vt:lpstr>
      <vt:lpstr>Atas</vt:lpstr>
      <vt:lpstr>Consolidação</vt:lpstr>
      <vt:lpstr>Consolidado_forncecedores</vt:lpstr>
      <vt:lpstr>diário</vt:lpstr>
      <vt:lpstr>Grupo</vt:lpstr>
      <vt:lpstr>grupos</vt:lpstr>
      <vt:lpstr>impacto_fin</vt:lpstr>
      <vt:lpstr>impacto_imagem</vt:lpstr>
      <vt:lpstr>impacto_reg</vt:lpstr>
      <vt:lpstr>Mensal</vt:lpstr>
      <vt:lpstr>nucleo</vt:lpstr>
      <vt:lpstr>pacotes</vt:lpstr>
      <vt:lpstr>Pastas</vt:lpstr>
      <vt:lpstr>periodicidade</vt:lpstr>
      <vt:lpstr>'Emissores de Ordem'!Print_Area</vt:lpstr>
      <vt:lpstr>probabilidade</vt:lpstr>
      <vt:lpstr>Raiz</vt:lpstr>
      <vt:lpstr>Ramais</vt:lpstr>
      <vt:lpstr>Semanal</vt:lpstr>
      <vt:lpstr>Semestral</vt:lpstr>
      <vt:lpstr>SOD</vt:lpstr>
      <vt:lpstr>Tecnico_PCN</vt:lpstr>
      <vt:lpstr>Tipo_de_Risco</vt:lpstr>
      <vt:lpstr>Trimestral</vt:lpstr>
      <vt:lpstr>Usuários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Geovane Carmo</dc:creator>
  <cp:lastModifiedBy>Jessica Padilha</cp:lastModifiedBy>
  <cp:lastPrinted>2023-05-09T14:00:06Z</cp:lastPrinted>
  <dcterms:created xsi:type="dcterms:W3CDTF">2022-05-19T17:29:13Z</dcterms:created>
  <dcterms:modified xsi:type="dcterms:W3CDTF">2024-08-01T17:58:53Z</dcterms:modified>
</cp:coreProperties>
</file>